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13_ncr:1_{57E73C20-753E-4ABB-B42C-725951113A16}" xr6:coauthVersionLast="47" xr6:coauthVersionMax="47" xr10:uidLastSave="{00000000-0000-0000-0000-000000000000}"/>
  <bookViews>
    <workbookView xWindow="-108" yWindow="-108" windowWidth="23256" windowHeight="12456" activeTab="1" xr2:uid="{359CF27F-0E2E-4E97-A169-6610DAEF9DEE}"/>
  </bookViews>
  <sheets>
    <sheet name="Formatted Orders Data" sheetId="1" r:id="rId1"/>
    <sheet name="Clients Requirement" sheetId="2" r:id="rId2"/>
    <sheet name="Homework" sheetId="3" r:id="rId3"/>
    <sheet name="Homework Solution" sheetId="5" r:id="rId4"/>
  </sheets>
  <definedNames>
    <definedName name="circ">#REF!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12" r:id="rId5"/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542" i="2" l="1"/>
  <c r="H5542" i="2"/>
  <c r="F5542" i="2"/>
  <c r="C3" i="5"/>
  <c r="D3" i="5"/>
  <c r="C4" i="5"/>
  <c r="C5" i="5" s="1"/>
  <c r="D4" i="5"/>
  <c r="D5" i="5"/>
  <c r="C7" i="5"/>
  <c r="D7" i="5"/>
  <c r="C8" i="5"/>
  <c r="D8" i="5"/>
  <c r="C10" i="5"/>
  <c r="C11" i="5" s="1"/>
  <c r="C12" i="5" s="1"/>
  <c r="C13" i="5" s="1"/>
  <c r="D10" i="5"/>
  <c r="D11" i="5" s="1"/>
  <c r="D12" i="5" s="1"/>
  <c r="D13" i="5" s="1"/>
  <c r="E13" i="5"/>
  <c r="C15" i="5"/>
  <c r="D15" i="5"/>
  <c r="C16" i="5"/>
  <c r="D16" i="5"/>
  <c r="C18" i="5"/>
  <c r="C19" i="5" s="1"/>
  <c r="D18" i="5"/>
  <c r="D19" i="5"/>
  <c r="C21" i="5"/>
  <c r="D21" i="5"/>
  <c r="C22" i="5"/>
  <c r="D22" i="5"/>
  <c r="C23" i="5"/>
  <c r="D23" i="5"/>
  <c r="C24" i="5"/>
  <c r="D24" i="5"/>
  <c r="D25" i="5" s="1"/>
  <c r="C25" i="5"/>
  <c r="C27" i="5"/>
  <c r="D27" i="5"/>
  <c r="D28" i="5" s="1"/>
  <c r="D29" i="5" s="1"/>
  <c r="C28" i="5"/>
  <c r="C29" i="5"/>
  <c r="C31" i="5"/>
  <c r="D31" i="5"/>
  <c r="C32" i="5"/>
  <c r="D32" i="5"/>
  <c r="D33" i="5" s="1"/>
  <c r="D34" i="5" s="1"/>
  <c r="D35" i="5" s="1"/>
  <c r="D36" i="5" s="1"/>
  <c r="C33" i="5"/>
  <c r="C34" i="5" s="1"/>
  <c r="C35" i="5" s="1"/>
  <c r="C36" i="5" s="1"/>
  <c r="C38" i="5"/>
  <c r="D38" i="5"/>
  <c r="C39" i="5"/>
  <c r="D39" i="5"/>
  <c r="C41" i="5"/>
  <c r="C42" i="5" s="1"/>
  <c r="C43" i="5" s="1"/>
  <c r="C44" i="5" s="1"/>
  <c r="D41" i="5"/>
  <c r="D42" i="5"/>
  <c r="D43" i="5" s="1"/>
  <c r="D44" i="5" s="1"/>
  <c r="D9" i="1"/>
  <c r="D10" i="1"/>
  <c r="D11" i="1" s="1"/>
  <c r="D13" i="1"/>
  <c r="D14" i="1"/>
  <c r="D15" i="1" s="1"/>
  <c r="D16" i="1"/>
  <c r="D18" i="1"/>
  <c r="D19" i="1"/>
  <c r="D20" i="1" s="1"/>
  <c r="D24" i="1"/>
  <c r="D26" i="1"/>
  <c r="D27" i="1" s="1"/>
  <c r="D28" i="1" s="1"/>
  <c r="D30" i="1"/>
  <c r="D32" i="1"/>
  <c r="D33" i="1"/>
  <c r="D37" i="1"/>
  <c r="D38" i="1"/>
  <c r="D39" i="1" s="1"/>
  <c r="D41" i="1"/>
  <c r="D44" i="1"/>
  <c r="D45" i="1"/>
  <c r="D46" i="1" s="1"/>
  <c r="D48" i="1"/>
  <c r="D50" i="1"/>
  <c r="D52" i="1"/>
  <c r="D54" i="1"/>
  <c r="D55" i="1"/>
  <c r="D56" i="1" s="1"/>
  <c r="D57" i="1"/>
  <c r="D59" i="1"/>
  <c r="D61" i="1"/>
  <c r="D62" i="1" s="1"/>
  <c r="D65" i="1"/>
  <c r="D66" i="1" s="1"/>
  <c r="D67" i="1" s="1"/>
  <c r="D70" i="1"/>
  <c r="D71" i="1" s="1"/>
  <c r="D72" i="1" s="1"/>
  <c r="D74" i="1"/>
  <c r="D75" i="1"/>
  <c r="D76" i="1" s="1"/>
  <c r="D77" i="1" s="1"/>
  <c r="D78" i="1" s="1"/>
  <c r="D79" i="1"/>
  <c r="D80" i="1" s="1"/>
  <c r="D84" i="1"/>
  <c r="D85" i="1" s="1"/>
  <c r="D86" i="1" s="1"/>
  <c r="D87" i="1" s="1"/>
  <c r="D89" i="1"/>
  <c r="D90" i="1"/>
  <c r="D92" i="1"/>
  <c r="D93" i="1"/>
  <c r="D94" i="1" s="1"/>
  <c r="D97" i="1"/>
  <c r="D98" i="1" s="1"/>
  <c r="D99" i="1" s="1"/>
  <c r="D102" i="1"/>
  <c r="D103" i="1" s="1"/>
  <c r="D106" i="1"/>
  <c r="D108" i="1"/>
  <c r="D110" i="1"/>
  <c r="D111" i="1"/>
  <c r="D112" i="1"/>
  <c r="D114" i="1"/>
  <c r="D115" i="1"/>
  <c r="D119" i="1"/>
  <c r="D120" i="1"/>
  <c r="D122" i="1"/>
  <c r="D123" i="1"/>
  <c r="D124" i="1" s="1"/>
  <c r="D125" i="1" s="1"/>
  <c r="D126" i="1" s="1"/>
  <c r="D127" i="1" s="1"/>
  <c r="D128" i="1" s="1"/>
  <c r="D131" i="1"/>
  <c r="D132" i="1" s="1"/>
  <c r="D133" i="1" s="1"/>
  <c r="D134" i="1" s="1"/>
  <c r="D136" i="1"/>
  <c r="D138" i="1"/>
  <c r="D139" i="1"/>
  <c r="D141" i="1"/>
  <c r="D142" i="1"/>
  <c r="D143" i="1" s="1"/>
  <c r="D144" i="1" s="1"/>
  <c r="D145" i="1" s="1"/>
  <c r="D146" i="1" s="1"/>
  <c r="D147" i="1" s="1"/>
  <c r="D148" i="1"/>
  <c r="D150" i="1"/>
  <c r="D151" i="1"/>
  <c r="D152" i="1" s="1"/>
  <c r="D153" i="1" s="1"/>
  <c r="D154" i="1" s="1"/>
  <c r="D155" i="1" s="1"/>
  <c r="D157" i="1"/>
  <c r="D158" i="1"/>
  <c r="D161" i="1"/>
  <c r="D162" i="1" s="1"/>
  <c r="D165" i="1"/>
  <c r="D167" i="1"/>
  <c r="D172" i="1"/>
  <c r="D173" i="1"/>
  <c r="D174" i="1" s="1"/>
  <c r="D176" i="1"/>
  <c r="D178" i="1"/>
  <c r="D182" i="1"/>
  <c r="D183" i="1" s="1"/>
  <c r="D184" i="1" s="1"/>
  <c r="D186" i="1"/>
  <c r="D188" i="1"/>
  <c r="D189" i="1"/>
  <c r="D190" i="1"/>
  <c r="D191" i="1" s="1"/>
  <c r="D192" i="1" s="1"/>
  <c r="D193" i="1" s="1"/>
  <c r="D194" i="1" s="1"/>
  <c r="D195" i="1" s="1"/>
  <c r="D196" i="1" s="1"/>
  <c r="D197" i="1" s="1"/>
  <c r="D199" i="1"/>
  <c r="D201" i="1"/>
  <c r="D204" i="1"/>
  <c r="D205" i="1"/>
  <c r="D206" i="1" s="1"/>
  <c r="D207" i="1" s="1"/>
  <c r="D208" i="1" s="1"/>
  <c r="D211" i="1"/>
  <c r="D212" i="1" s="1"/>
  <c r="D213" i="1" s="1"/>
  <c r="D214" i="1" s="1"/>
  <c r="D215" i="1" s="1"/>
  <c r="D216" i="1" s="1"/>
  <c r="D217" i="1" s="1"/>
  <c r="D219" i="1"/>
  <c r="D221" i="1"/>
  <c r="D223" i="1"/>
  <c r="D225" i="1"/>
  <c r="D226" i="1" s="1"/>
  <c r="D227" i="1" s="1"/>
  <c r="D228" i="1" s="1"/>
  <c r="D229" i="1" s="1"/>
  <c r="D231" i="1"/>
  <c r="D232" i="1" s="1"/>
  <c r="D233" i="1" s="1"/>
  <c r="D234" i="1" s="1"/>
  <c r="D235" i="1" s="1"/>
  <c r="D236" i="1" s="1"/>
  <c r="D238" i="1"/>
  <c r="D239" i="1" s="1"/>
  <c r="D241" i="1"/>
  <c r="D242" i="1" s="1"/>
  <c r="D243" i="1" s="1"/>
  <c r="D245" i="1"/>
  <c r="D246" i="1"/>
  <c r="D247" i="1" s="1"/>
  <c r="D248" i="1" s="1"/>
  <c r="D249" i="1" s="1"/>
  <c r="D251" i="1"/>
  <c r="D252" i="1"/>
  <c r="D253" i="1" s="1"/>
  <c r="D254" i="1" s="1"/>
  <c r="D256" i="1"/>
  <c r="D258" i="1"/>
  <c r="D259" i="1"/>
  <c r="D260" i="1" s="1"/>
  <c r="D261" i="1" s="1"/>
  <c r="D262" i="1" s="1"/>
  <c r="D263" i="1" s="1"/>
  <c r="D264" i="1" s="1"/>
  <c r="D265" i="1" s="1"/>
  <c r="D266" i="1" s="1"/>
  <c r="D267" i="1" s="1"/>
  <c r="D268" i="1" s="1"/>
  <c r="D270" i="1"/>
  <c r="D271" i="1"/>
  <c r="D273" i="1"/>
  <c r="D274" i="1" s="1"/>
  <c r="D275" i="1" s="1"/>
  <c r="D276" i="1" s="1"/>
  <c r="D277" i="1" s="1"/>
  <c r="D278" i="1" s="1"/>
  <c r="D280" i="1"/>
  <c r="D282" i="1"/>
  <c r="D284" i="1"/>
  <c r="D286" i="1"/>
  <c r="D287" i="1"/>
  <c r="D288" i="1"/>
  <c r="D289" i="1" s="1"/>
  <c r="D290" i="1" s="1"/>
  <c r="D291" i="1" s="1"/>
  <c r="D292" i="1" s="1"/>
  <c r="D294" i="1"/>
  <c r="D295" i="1"/>
  <c r="D296" i="1" s="1"/>
  <c r="D297" i="1" s="1"/>
  <c r="D298" i="1" s="1"/>
  <c r="D299" i="1"/>
  <c r="D300" i="1" s="1"/>
  <c r="D302" i="1"/>
  <c r="D303" i="1" s="1"/>
  <c r="D304" i="1" s="1"/>
  <c r="D306" i="1"/>
  <c r="D307" i="1" s="1"/>
  <c r="D309" i="1"/>
  <c r="D311" i="1"/>
  <c r="D312" i="1" s="1"/>
  <c r="D313" i="1" s="1"/>
  <c r="D314" i="1" s="1"/>
  <c r="D317" i="1"/>
  <c r="D318" i="1" s="1"/>
  <c r="D319" i="1" s="1"/>
  <c r="D320" i="1" s="1"/>
  <c r="D322" i="1"/>
  <c r="D324" i="1"/>
  <c r="D326" i="1"/>
  <c r="D327" i="1"/>
  <c r="D328" i="1"/>
  <c r="D329" i="1" s="1"/>
  <c r="D331" i="1"/>
  <c r="D332" i="1" s="1"/>
  <c r="D333" i="1" s="1"/>
  <c r="D334" i="1" s="1"/>
  <c r="D336" i="1"/>
  <c r="D337" i="1" s="1"/>
  <c r="D338" i="1" s="1"/>
  <c r="D339" i="1" s="1"/>
  <c r="D342" i="1"/>
  <c r="D343" i="1"/>
  <c r="D344" i="1"/>
  <c r="D345" i="1"/>
  <c r="D347" i="1"/>
  <c r="D348" i="1" s="1"/>
  <c r="D349" i="1"/>
  <c r="D350" i="1"/>
  <c r="D351" i="1"/>
  <c r="D352" i="1" s="1"/>
  <c r="D353" i="1" s="1"/>
  <c r="D355" i="1"/>
  <c r="D356" i="1"/>
  <c r="D357" i="1"/>
  <c r="D358" i="1"/>
  <c r="D359" i="1"/>
  <c r="D361" i="1"/>
  <c r="D362" i="1" s="1"/>
  <c r="D363" i="1" s="1"/>
  <c r="D364" i="1" s="1"/>
  <c r="D367" i="1"/>
  <c r="D368" i="1"/>
  <c r="D372" i="1"/>
  <c r="D373" i="1"/>
  <c r="D375" i="1"/>
  <c r="D376" i="1"/>
  <c r="D377" i="1"/>
  <c r="D380" i="1"/>
  <c r="D381" i="1" s="1"/>
  <c r="D382" i="1" s="1"/>
  <c r="D384" i="1"/>
  <c r="D385" i="1"/>
  <c r="D386" i="1" s="1"/>
  <c r="D388" i="1"/>
  <c r="D389" i="1" s="1"/>
  <c r="D393" i="1"/>
  <c r="D396" i="1"/>
  <c r="D397" i="1"/>
  <c r="D399" i="1"/>
  <c r="D401" i="1"/>
  <c r="D402" i="1"/>
  <c r="D407" i="1"/>
  <c r="D408" i="1" s="1"/>
  <c r="D409" i="1" s="1"/>
  <c r="D410" i="1" s="1"/>
  <c r="D411" i="1" s="1"/>
  <c r="D412" i="1" s="1"/>
  <c r="D413" i="1" s="1"/>
  <c r="D415" i="1"/>
  <c r="D416" i="1"/>
  <c r="D417" i="1"/>
  <c r="D419" i="1"/>
  <c r="D423" i="1"/>
  <c r="D424" i="1" s="1"/>
  <c r="D426" i="1"/>
  <c r="D427" i="1"/>
  <c r="D428" i="1"/>
  <c r="D432" i="1"/>
  <c r="D433" i="1" s="1"/>
  <c r="D434" i="1" s="1"/>
  <c r="D438" i="1"/>
  <c r="D439" i="1"/>
  <c r="D441" i="1"/>
  <c r="D443" i="1"/>
  <c r="D444" i="1"/>
  <c r="D445" i="1" s="1"/>
  <c r="D447" i="1"/>
  <c r="D449" i="1"/>
  <c r="D451" i="1"/>
  <c r="D453" i="1"/>
  <c r="D455" i="1"/>
  <c r="D456" i="1"/>
  <c r="D457" i="1"/>
  <c r="D459" i="1"/>
  <c r="D461" i="1"/>
  <c r="D462" i="1" s="1"/>
  <c r="D464" i="1"/>
  <c r="D465" i="1" s="1"/>
  <c r="D466" i="1" s="1"/>
  <c r="D467" i="1" s="1"/>
  <c r="D468" i="1" s="1"/>
  <c r="D470" i="1"/>
  <c r="D472" i="1"/>
  <c r="D475" i="1"/>
  <c r="D477" i="1"/>
  <c r="D478" i="1"/>
  <c r="D479" i="1"/>
  <c r="D482" i="1"/>
  <c r="D484" i="1"/>
  <c r="D486" i="1"/>
  <c r="D487" i="1"/>
  <c r="D490" i="1"/>
  <c r="D492" i="1"/>
  <c r="D493" i="1"/>
  <c r="D497" i="1"/>
  <c r="D499" i="1"/>
  <c r="D502" i="1"/>
  <c r="D504" i="1"/>
  <c r="D506" i="1"/>
  <c r="D507" i="1" s="1"/>
  <c r="D509" i="1"/>
  <c r="D511" i="1"/>
  <c r="D513" i="1"/>
  <c r="D515" i="1"/>
  <c r="D516" i="1"/>
  <c r="D520" i="1"/>
  <c r="D521" i="1" s="1"/>
  <c r="D524" i="1"/>
  <c r="D526" i="1"/>
  <c r="D527" i="1"/>
  <c r="D528" i="1"/>
  <c r="D529" i="1" s="1"/>
  <c r="D530" i="1" s="1"/>
  <c r="D532" i="1"/>
  <c r="D533" i="1" s="1"/>
  <c r="D534" i="1"/>
  <c r="D536" i="1"/>
  <c r="D538" i="1"/>
  <c r="D541" i="1"/>
  <c r="D542" i="1"/>
  <c r="D544" i="1"/>
  <c r="D545" i="1"/>
  <c r="D546" i="1"/>
  <c r="D548" i="1"/>
  <c r="D550" i="1"/>
  <c r="D553" i="1"/>
  <c r="D555" i="1"/>
  <c r="D556" i="1"/>
  <c r="D557" i="1" s="1"/>
  <c r="D558" i="1" s="1"/>
  <c r="D560" i="1"/>
  <c r="D562" i="1"/>
  <c r="D563" i="1"/>
  <c r="D565" i="1"/>
  <c r="D566" i="1"/>
  <c r="D567" i="1"/>
  <c r="D568" i="1" s="1"/>
  <c r="D570" i="1"/>
  <c r="D571" i="1" s="1"/>
  <c r="D572" i="1"/>
  <c r="D573" i="1" s="1"/>
  <c r="D575" i="1"/>
  <c r="D576" i="1" s="1"/>
  <c r="D578" i="1"/>
  <c r="D580" i="1"/>
  <c r="D581" i="1"/>
  <c r="D582" i="1"/>
  <c r="D591" i="1"/>
  <c r="D592" i="1" s="1"/>
  <c r="D595" i="1"/>
  <c r="D597" i="1"/>
  <c r="D598" i="1" s="1"/>
  <c r="D599" i="1"/>
  <c r="D601" i="1"/>
  <c r="D602" i="1" s="1"/>
  <c r="D604" i="1"/>
  <c r="D605" i="1"/>
  <c r="D607" i="1"/>
  <c r="D608" i="1"/>
  <c r="D609" i="1"/>
  <c r="D610" i="1" s="1"/>
  <c r="D611" i="1" s="1"/>
  <c r="D612" i="1" s="1"/>
  <c r="D613" i="1" s="1"/>
  <c r="D614" i="1" s="1"/>
  <c r="D615" i="1" s="1"/>
  <c r="D616" i="1" s="1"/>
  <c r="D618" i="1"/>
  <c r="D619" i="1"/>
  <c r="D620" i="1"/>
  <c r="D621" i="1"/>
  <c r="D622" i="1" s="1"/>
  <c r="D623" i="1" s="1"/>
  <c r="D624" i="1" s="1"/>
  <c r="D625" i="1" s="1"/>
  <c r="D627" i="1"/>
  <c r="D628" i="1"/>
  <c r="D629" i="1" s="1"/>
  <c r="D630" i="1" s="1"/>
  <c r="D635" i="1"/>
  <c r="D636" i="1"/>
  <c r="D637" i="1"/>
  <c r="D638" i="1"/>
  <c r="D639" i="1"/>
  <c r="D641" i="1"/>
  <c r="D644" i="1"/>
  <c r="D646" i="1"/>
  <c r="D647" i="1"/>
  <c r="D648" i="1" s="1"/>
  <c r="D649" i="1"/>
  <c r="D650" i="1" s="1"/>
  <c r="D651" i="1" s="1"/>
  <c r="D652" i="1" s="1"/>
  <c r="D653" i="1" s="1"/>
  <c r="D654" i="1" s="1"/>
  <c r="D656" i="1"/>
  <c r="D659" i="1"/>
  <c r="D661" i="1"/>
  <c r="D662" i="1" s="1"/>
  <c r="D663" i="1" s="1"/>
  <c r="D665" i="1"/>
  <c r="D667" i="1"/>
  <c r="D668" i="1" s="1"/>
  <c r="D671" i="1"/>
  <c r="D672" i="1"/>
  <c r="D673" i="1"/>
  <c r="D674" i="1"/>
  <c r="D675" i="1" s="1"/>
  <c r="D676" i="1" s="1"/>
  <c r="D677" i="1" s="1"/>
  <c r="D678" i="1" s="1"/>
  <c r="D679" i="1" s="1"/>
  <c r="D681" i="1"/>
  <c r="D682" i="1" s="1"/>
  <c r="D683" i="1" s="1"/>
  <c r="D684" i="1" s="1"/>
  <c r="D685" i="1" s="1"/>
  <c r="D687" i="1"/>
  <c r="D688" i="1"/>
  <c r="D689" i="1"/>
  <c r="D690" i="1" s="1"/>
  <c r="D691" i="1" s="1"/>
  <c r="D693" i="1"/>
  <c r="D694" i="1"/>
  <c r="D695" i="1" s="1"/>
  <c r="D697" i="1"/>
  <c r="D698" i="1" s="1"/>
  <c r="D699" i="1" s="1"/>
  <c r="D700" i="1" s="1"/>
  <c r="D701" i="1" s="1"/>
  <c r="D703" i="1"/>
  <c r="D704" i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6" i="1"/>
  <c r="D717" i="1"/>
  <c r="D718" i="1" s="1"/>
  <c r="D719" i="1" s="1"/>
  <c r="D720" i="1" s="1"/>
  <c r="D721" i="1" s="1"/>
  <c r="D722" i="1" s="1"/>
  <c r="D723" i="1" s="1"/>
  <c r="D724" i="1" s="1"/>
  <c r="D725" i="1" s="1"/>
  <c r="D726" i="1" s="1"/>
  <c r="D728" i="1"/>
  <c r="D729" i="1"/>
  <c r="D730" i="1" s="1"/>
  <c r="D731" i="1" s="1"/>
  <c r="D732" i="1" s="1"/>
  <c r="D733" i="1" s="1"/>
  <c r="D734" i="1" s="1"/>
  <c r="D735" i="1" s="1"/>
  <c r="D736" i="1" s="1"/>
  <c r="D737" i="1" s="1"/>
  <c r="D739" i="1"/>
  <c r="D740" i="1"/>
  <c r="D741" i="1"/>
  <c r="D742" i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5" i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9" i="1"/>
  <c r="D770" i="1" s="1"/>
  <c r="D771" i="1" s="1"/>
  <c r="D772" i="1" s="1"/>
  <c r="D773" i="1" s="1"/>
  <c r="D774" i="1" s="1"/>
  <c r="D775" i="1" s="1"/>
  <c r="D776" i="1" s="1"/>
  <c r="D778" i="1"/>
  <c r="D779" i="1"/>
  <c r="D781" i="1"/>
  <c r="D783" i="1"/>
  <c r="D784" i="1" s="1"/>
  <c r="D785" i="1" s="1"/>
  <c r="D786" i="1" s="1"/>
  <c r="D787" i="1" s="1"/>
  <c r="D792" i="1"/>
  <c r="D793" i="1" s="1"/>
  <c r="D794" i="1" s="1"/>
  <c r="D796" i="1"/>
  <c r="D799" i="1"/>
  <c r="D801" i="1"/>
  <c r="D802" i="1"/>
  <c r="D803" i="1"/>
  <c r="D805" i="1"/>
  <c r="D806" i="1"/>
  <c r="D809" i="1"/>
  <c r="D812" i="1"/>
  <c r="D813" i="1"/>
  <c r="D814" i="1"/>
  <c r="D816" i="1"/>
  <c r="D818" i="1"/>
  <c r="D819" i="1" s="1"/>
  <c r="D820" i="1" s="1"/>
  <c r="D821" i="1" s="1"/>
  <c r="D822" i="1" s="1"/>
  <c r="D824" i="1"/>
  <c r="D825" i="1" s="1"/>
  <c r="D828" i="1"/>
  <c r="D829" i="1" s="1"/>
  <c r="D830" i="1"/>
  <c r="D831" i="1" s="1"/>
  <c r="D832" i="1" s="1"/>
  <c r="D833" i="1" s="1"/>
  <c r="D835" i="1"/>
  <c r="D836" i="1"/>
  <c r="D837" i="1"/>
  <c r="D838" i="1"/>
  <c r="D839" i="1"/>
  <c r="D840" i="1"/>
  <c r="D841" i="1" s="1"/>
  <c r="D842" i="1" s="1"/>
  <c r="D844" i="1"/>
  <c r="D845" i="1"/>
  <c r="D847" i="1"/>
  <c r="D848" i="1" s="1"/>
  <c r="D849" i="1" s="1"/>
  <c r="D851" i="1"/>
  <c r="D853" i="1"/>
  <c r="D854" i="1"/>
  <c r="D855" i="1" s="1"/>
  <c r="D859" i="1"/>
  <c r="D860" i="1" s="1"/>
  <c r="D861" i="1" s="1"/>
  <c r="D862" i="1" s="1"/>
  <c r="D863" i="1"/>
  <c r="D864" i="1" s="1"/>
  <c r="D866" i="1"/>
  <c r="D867" i="1" s="1"/>
  <c r="D868" i="1" s="1"/>
  <c r="D869" i="1" s="1"/>
  <c r="D870" i="1" s="1"/>
  <c r="D871" i="1"/>
  <c r="D873" i="1"/>
  <c r="D874" i="1" s="1"/>
  <c r="D875" i="1" s="1"/>
  <c r="D877" i="1"/>
  <c r="D879" i="1"/>
  <c r="D881" i="1"/>
  <c r="D885" i="1"/>
  <c r="D886" i="1" s="1"/>
  <c r="D887" i="1" s="1"/>
  <c r="D890" i="1"/>
  <c r="D891" i="1"/>
  <c r="D892" i="1"/>
  <c r="D893" i="1" s="1"/>
  <c r="D894" i="1"/>
  <c r="D896" i="1"/>
  <c r="D897" i="1"/>
  <c r="D899" i="1"/>
  <c r="D900" i="1"/>
  <c r="D902" i="1"/>
  <c r="D903" i="1" s="1"/>
  <c r="D904" i="1" s="1"/>
  <c r="D905" i="1" s="1"/>
  <c r="D906" i="1" s="1"/>
  <c r="D908" i="1"/>
  <c r="D910" i="1"/>
  <c r="D911" i="1" s="1"/>
  <c r="D912" i="1"/>
  <c r="D913" i="1" s="1"/>
  <c r="D914" i="1" s="1"/>
  <c r="D915" i="1" s="1"/>
  <c r="D917" i="1"/>
  <c r="D918" i="1" s="1"/>
  <c r="D919" i="1" s="1"/>
  <c r="D920" i="1" s="1"/>
  <c r="D921" i="1" s="1"/>
  <c r="D922" i="1"/>
  <c r="D923" i="1" s="1"/>
  <c r="D925" i="1"/>
  <c r="D927" i="1"/>
  <c r="D928" i="1"/>
  <c r="D929" i="1" s="1"/>
  <c r="D930" i="1" s="1"/>
  <c r="D931" i="1" s="1"/>
  <c r="D932" i="1" s="1"/>
  <c r="D933" i="1" s="1"/>
  <c r="D934" i="1" s="1"/>
  <c r="D935" i="1" s="1"/>
  <c r="D936" i="1" s="1"/>
  <c r="D938" i="1"/>
  <c r="D939" i="1"/>
  <c r="D940" i="1" s="1"/>
  <c r="D941" i="1" s="1"/>
  <c r="D942" i="1" s="1"/>
  <c r="D943" i="1" s="1"/>
  <c r="D944" i="1" s="1"/>
  <c r="D945" i="1" s="1"/>
  <c r="D947" i="1"/>
  <c r="D948" i="1" s="1"/>
  <c r="D950" i="1"/>
  <c r="D951" i="1" s="1"/>
  <c r="D952" i="1"/>
  <c r="D953" i="1" s="1"/>
  <c r="D954" i="1"/>
  <c r="D955" i="1" s="1"/>
  <c r="D956" i="1"/>
  <c r="D957" i="1" s="1"/>
  <c r="D958" i="1" s="1"/>
  <c r="D960" i="1"/>
  <c r="D961" i="1"/>
  <c r="D962" i="1" s="1"/>
  <c r="D963" i="1"/>
  <c r="D964" i="1" s="1"/>
  <c r="D965" i="1" s="1"/>
  <c r="D966" i="1" s="1"/>
  <c r="D968" i="1"/>
  <c r="D969" i="1" s="1"/>
  <c r="D970" i="1"/>
  <c r="D972" i="1"/>
  <c r="D973" i="1" s="1"/>
  <c r="D974" i="1" s="1"/>
  <c r="D975" i="1" s="1"/>
  <c r="D976" i="1" s="1"/>
  <c r="D977" i="1"/>
  <c r="D978" i="1" s="1"/>
  <c r="D979" i="1"/>
  <c r="D980" i="1"/>
  <c r="D982" i="1"/>
  <c r="D983" i="1" s="1"/>
  <c r="D984" i="1" s="1"/>
  <c r="D985" i="1" s="1"/>
  <c r="D986" i="1" s="1"/>
  <c r="D988" i="1"/>
  <c r="D989" i="1"/>
  <c r="D990" i="1" s="1"/>
  <c r="D991" i="1"/>
  <c r="D992" i="1" s="1"/>
  <c r="D993" i="1" s="1"/>
  <c r="D994" i="1" s="1"/>
  <c r="D995" i="1" s="1"/>
  <c r="D996" i="1" s="1"/>
  <c r="D997" i="1" s="1"/>
  <c r="D998" i="1" s="1"/>
  <c r="D999" i="1" s="1"/>
  <c r="D1001" i="1"/>
  <c r="D1002" i="1"/>
  <c r="D1003" i="1" s="1"/>
  <c r="D1005" i="1"/>
  <c r="D1006" i="1" s="1"/>
  <c r="D1007" i="1"/>
  <c r="D1008" i="1" s="1"/>
  <c r="D1009" i="1" s="1"/>
  <c r="D1011" i="1"/>
  <c r="D1012" i="1"/>
  <c r="D1013" i="1"/>
  <c r="D1014" i="1" s="1"/>
  <c r="D1015" i="1" s="1"/>
  <c r="D1016" i="1" s="1"/>
  <c r="D1017" i="1" s="1"/>
  <c r="D1018" i="1"/>
  <c r="D1019" i="1" s="1"/>
  <c r="D1020" i="1" s="1"/>
  <c r="D1021" i="1" s="1"/>
  <c r="D1022" i="1" s="1"/>
  <c r="D1023" i="1" s="1"/>
  <c r="D1025" i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7" i="1"/>
  <c r="D1038" i="1"/>
  <c r="D1039" i="1" s="1"/>
  <c r="D1040" i="1" s="1"/>
  <c r="D1041" i="1" s="1"/>
  <c r="D1042" i="1" s="1"/>
  <c r="D1043" i="1" s="1"/>
  <c r="D1044" i="1"/>
  <c r="D1047" i="1"/>
  <c r="D1048" i="1"/>
  <c r="D1049" i="1" s="1"/>
  <c r="D1052" i="1"/>
  <c r="D1054" i="1"/>
  <c r="D1055" i="1"/>
  <c r="D1056" i="1" s="1"/>
  <c r="D1057" i="1" s="1"/>
  <c r="D1060" i="1"/>
  <c r="D1061" i="1"/>
  <c r="D1062" i="1" s="1"/>
  <c r="D1063" i="1"/>
  <c r="D1065" i="1"/>
  <c r="D1066" i="1"/>
  <c r="D1067" i="1" s="1"/>
  <c r="D1068" i="1"/>
  <c r="D1069" i="1"/>
  <c r="D1070" i="1"/>
  <c r="D1071" i="1" s="1"/>
  <c r="D1075" i="1"/>
  <c r="D1078" i="1"/>
  <c r="D1080" i="1"/>
  <c r="D1082" i="1"/>
  <c r="D1084" i="1"/>
  <c r="D1085" i="1" s="1"/>
  <c r="D1089" i="1"/>
  <c r="D1090" i="1" s="1"/>
  <c r="D1091" i="1"/>
  <c r="D1094" i="1"/>
  <c r="D1096" i="1"/>
  <c r="D1098" i="1"/>
  <c r="D1099" i="1" s="1"/>
  <c r="D1100" i="1" s="1"/>
  <c r="D1101" i="1" s="1"/>
  <c r="D1102" i="1" s="1"/>
  <c r="D1104" i="1"/>
  <c r="D1107" i="1"/>
  <c r="D1108" i="1" s="1"/>
  <c r="D1110" i="1"/>
  <c r="D1111" i="1"/>
  <c r="D1112" i="1" s="1"/>
  <c r="D1113" i="1" s="1"/>
  <c r="D1115" i="1"/>
  <c r="D1116" i="1" s="1"/>
  <c r="D1117" i="1" s="1"/>
  <c r="D1118" i="1" s="1"/>
  <c r="D1119" i="1" s="1"/>
  <c r="D1126" i="1"/>
  <c r="D1127" i="1"/>
  <c r="D1128" i="1" s="1"/>
  <c r="D1129" i="1" s="1"/>
  <c r="D1130" i="1" s="1"/>
  <c r="D1131" i="1"/>
  <c r="D1132" i="1" s="1"/>
  <c r="D1134" i="1"/>
  <c r="D1135" i="1" s="1"/>
  <c r="D1136" i="1" s="1"/>
  <c r="D1137" i="1" s="1"/>
  <c r="D1138" i="1" s="1"/>
  <c r="D1139" i="1"/>
  <c r="D1141" i="1"/>
  <c r="D1143" i="1"/>
  <c r="D1144" i="1" s="1"/>
  <c r="D1145" i="1" s="1"/>
  <c r="D1146" i="1" s="1"/>
  <c r="D1149" i="1"/>
  <c r="D1150" i="1" s="1"/>
  <c r="D1151" i="1" s="1"/>
  <c r="D1152" i="1" s="1"/>
  <c r="D1153" i="1" s="1"/>
  <c r="D1154" i="1" s="1"/>
  <c r="D1155" i="1"/>
  <c r="D1156" i="1" s="1"/>
  <c r="D1158" i="1"/>
  <c r="D1159" i="1" s="1"/>
  <c r="D1160" i="1"/>
  <c r="D1163" i="1"/>
  <c r="D1164" i="1"/>
  <c r="D1165" i="1" s="1"/>
  <c r="D1166" i="1" s="1"/>
  <c r="D1167" i="1" s="1"/>
  <c r="D1168" i="1" s="1"/>
  <c r="D1169" i="1" s="1"/>
  <c r="D1170" i="1"/>
  <c r="D1171" i="1" s="1"/>
  <c r="D1172" i="1" s="1"/>
  <c r="D1173" i="1" s="1"/>
  <c r="D1175" i="1"/>
  <c r="D1176" i="1" s="1"/>
  <c r="D1177" i="1" s="1"/>
  <c r="D1178" i="1" s="1"/>
  <c r="D1179" i="1" s="1"/>
  <c r="D1180" i="1" s="1"/>
  <c r="D1181" i="1" s="1"/>
  <c r="D1182" i="1" s="1"/>
  <c r="D1183" i="1"/>
  <c r="D1184" i="1" s="1"/>
  <c r="D1185" i="1" s="1"/>
  <c r="D1186" i="1" s="1"/>
  <c r="D1188" i="1"/>
  <c r="D1189" i="1"/>
  <c r="D1190" i="1" s="1"/>
  <c r="D1191" i="1" s="1"/>
  <c r="D1192" i="1" s="1"/>
  <c r="D1193" i="1" s="1"/>
  <c r="D1194" i="1" s="1"/>
  <c r="D1195" i="1" s="1"/>
  <c r="D1196" i="1" s="1"/>
  <c r="D1199" i="1"/>
  <c r="D1200" i="1"/>
  <c r="D1201" i="1" s="1"/>
  <c r="D1202" i="1"/>
  <c r="D1203" i="1" s="1"/>
  <c r="D1207" i="1"/>
  <c r="D1208" i="1" s="1"/>
  <c r="D1209" i="1" s="1"/>
  <c r="D1211" i="1"/>
  <c r="D1212" i="1"/>
  <c r="D1213" i="1" s="1"/>
  <c r="D1214" i="1"/>
  <c r="D1216" i="1"/>
  <c r="D1217" i="1"/>
  <c r="D1219" i="1"/>
  <c r="D1221" i="1"/>
  <c r="D1222" i="1" s="1"/>
  <c r="D1224" i="1"/>
  <c r="D1225" i="1" s="1"/>
  <c r="D1228" i="1"/>
  <c r="D1230" i="1"/>
  <c r="D1231" i="1"/>
  <c r="D1232" i="1" s="1"/>
  <c r="D1233" i="1"/>
  <c r="D1234" i="1" s="1"/>
  <c r="D1235" i="1" s="1"/>
  <c r="D1236" i="1" s="1"/>
  <c r="D1237" i="1" s="1"/>
  <c r="D1238" i="1" s="1"/>
  <c r="D1240" i="1"/>
  <c r="D1241" i="1"/>
  <c r="D1242" i="1" s="1"/>
  <c r="D1243" i="1" s="1"/>
  <c r="D1244" i="1" s="1"/>
  <c r="D1248" i="1"/>
  <c r="D1250" i="1"/>
  <c r="D1252" i="1"/>
  <c r="D1255" i="1"/>
  <c r="D1256" i="1" s="1"/>
  <c r="D1258" i="1"/>
  <c r="D1259" i="1" s="1"/>
  <c r="D1263" i="1"/>
  <c r="D1264" i="1"/>
  <c r="D1265" i="1" s="1"/>
  <c r="D1267" i="1"/>
  <c r="D1268" i="1"/>
  <c r="D1269" i="1" s="1"/>
  <c r="D1270" i="1"/>
  <c r="D1271" i="1" s="1"/>
  <c r="D1272" i="1"/>
  <c r="D1273" i="1" s="1"/>
  <c r="D1274" i="1"/>
  <c r="D1276" i="1"/>
  <c r="D1277" i="1" s="1"/>
  <c r="D1278" i="1" s="1"/>
  <c r="D1279" i="1" s="1"/>
  <c r="D1280" i="1" s="1"/>
  <c r="D1281" i="1" s="1"/>
  <c r="D1285" i="1"/>
  <c r="D1286" i="1"/>
  <c r="D1287" i="1"/>
  <c r="D1289" i="1"/>
  <c r="D1292" i="1"/>
  <c r="D1293" i="1" s="1"/>
  <c r="D1295" i="1"/>
  <c r="D1296" i="1" s="1"/>
  <c r="D1297" i="1" s="1"/>
  <c r="D1300" i="1"/>
  <c r="D1301" i="1" s="1"/>
  <c r="D1302" i="1" s="1"/>
  <c r="D1303" i="1" s="1"/>
  <c r="D1306" i="1"/>
  <c r="D1307" i="1" s="1"/>
  <c r="D1308" i="1" s="1"/>
  <c r="D1309" i="1"/>
  <c r="D1311" i="1"/>
  <c r="D1313" i="1"/>
  <c r="D1314" i="1"/>
  <c r="D1315" i="1" s="1"/>
  <c r="D1316" i="1" s="1"/>
  <c r="D1318" i="1"/>
  <c r="D1319" i="1"/>
  <c r="D1321" i="1"/>
  <c r="D1323" i="1"/>
  <c r="D1324" i="1" s="1"/>
  <c r="D1325" i="1" s="1"/>
  <c r="D1326" i="1" s="1"/>
  <c r="D1327" i="1" s="1"/>
  <c r="D1328" i="1" s="1"/>
  <c r="D1329" i="1" s="1"/>
  <c r="D1331" i="1"/>
  <c r="D1332" i="1" s="1"/>
  <c r="D1333" i="1" s="1"/>
  <c r="D1334" i="1" s="1"/>
  <c r="D1336" i="1"/>
  <c r="D1337" i="1"/>
  <c r="D1338" i="1" s="1"/>
  <c r="D1340" i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2" i="1"/>
  <c r="D1353" i="1"/>
  <c r="D1354" i="1" s="1"/>
  <c r="D1355" i="1"/>
  <c r="D1356" i="1" s="1"/>
  <c r="D1357" i="1"/>
  <c r="D1358" i="1" s="1"/>
  <c r="D1359" i="1" s="1"/>
  <c r="D1360" i="1" s="1"/>
  <c r="D1362" i="1"/>
  <c r="D1363" i="1" s="1"/>
  <c r="D1364" i="1" s="1"/>
  <c r="D1366" i="1"/>
  <c r="D1367" i="1" s="1"/>
  <c r="D1369" i="1"/>
  <c r="D1370" i="1" s="1"/>
  <c r="D1372" i="1"/>
  <c r="D1373" i="1" s="1"/>
  <c r="D1375" i="1"/>
  <c r="D1376" i="1" s="1"/>
  <c r="D1377" i="1" s="1"/>
  <c r="D1378" i="1" s="1"/>
  <c r="D1380" i="1"/>
  <c r="D1382" i="1"/>
  <c r="D1385" i="1"/>
  <c r="D1386" i="1"/>
  <c r="D1387" i="1" s="1"/>
  <c r="D1388" i="1"/>
  <c r="D1389" i="1" s="1"/>
  <c r="D1390" i="1"/>
  <c r="D1392" i="1"/>
  <c r="D1398" i="1"/>
  <c r="D1400" i="1"/>
  <c r="D1401" i="1"/>
  <c r="D1404" i="1"/>
  <c r="D1405" i="1"/>
  <c r="D1407" i="1"/>
  <c r="D1409" i="1"/>
  <c r="D1411" i="1"/>
  <c r="D1412" i="1"/>
  <c r="D1414" i="1"/>
  <c r="D1416" i="1"/>
  <c r="D1417" i="1" s="1"/>
  <c r="D1420" i="1"/>
  <c r="D1421" i="1" s="1"/>
  <c r="D1423" i="1"/>
  <c r="D1425" i="1"/>
  <c r="D1429" i="1"/>
  <c r="D1432" i="1"/>
  <c r="D1434" i="1"/>
  <c r="D1435" i="1"/>
  <c r="D1436" i="1" s="1"/>
  <c r="D1437" i="1"/>
  <c r="D1438" i="1"/>
  <c r="D1440" i="1"/>
  <c r="D1441" i="1" s="1"/>
  <c r="D1442" i="1" s="1"/>
  <c r="D1443" i="1" s="1"/>
  <c r="D1448" i="1"/>
  <c r="D1449" i="1"/>
  <c r="D1452" i="1"/>
  <c r="D1453" i="1"/>
  <c r="D1454" i="1" s="1"/>
  <c r="D1457" i="1"/>
  <c r="D1458" i="1"/>
  <c r="D1459" i="1"/>
  <c r="D1460" i="1" s="1"/>
  <c r="D1463" i="1"/>
  <c r="D1465" i="1"/>
  <c r="D1467" i="1"/>
  <c r="D1468" i="1" s="1"/>
  <c r="D1471" i="1"/>
  <c r="D1473" i="1"/>
  <c r="D1474" i="1" s="1"/>
  <c r="D1476" i="1"/>
  <c r="D1481" i="1"/>
  <c r="D1482" i="1"/>
  <c r="D1483" i="1"/>
  <c r="D1485" i="1"/>
  <c r="D1487" i="1"/>
  <c r="D1489" i="1"/>
  <c r="D1490" i="1"/>
  <c r="D1491" i="1" s="1"/>
  <c r="D1493" i="1"/>
  <c r="D1494" i="1" s="1"/>
  <c r="D1495" i="1"/>
  <c r="D1496" i="1" s="1"/>
  <c r="D1498" i="1"/>
  <c r="D1499" i="1" s="1"/>
  <c r="D1500" i="1"/>
  <c r="D1501" i="1" s="1"/>
  <c r="D1503" i="1"/>
  <c r="D1506" i="1"/>
  <c r="D1508" i="1"/>
  <c r="D1509" i="1" s="1"/>
  <c r="D1510" i="1" s="1"/>
  <c r="D1511" i="1" s="1"/>
  <c r="D1513" i="1"/>
  <c r="D1514" i="1"/>
  <c r="D1515" i="1" s="1"/>
  <c r="D1517" i="1"/>
  <c r="D1518" i="1" s="1"/>
  <c r="D1521" i="1"/>
  <c r="D1522" i="1" s="1"/>
  <c r="D1523" i="1" s="1"/>
  <c r="D1526" i="1"/>
  <c r="D1527" i="1" s="1"/>
  <c r="D1528" i="1"/>
  <c r="D1529" i="1" s="1"/>
  <c r="D1530" i="1"/>
  <c r="D1531" i="1"/>
  <c r="D1533" i="1"/>
  <c r="D1534" i="1" s="1"/>
  <c r="D1535" i="1"/>
  <c r="D1536" i="1" s="1"/>
  <c r="D1538" i="1"/>
  <c r="D1540" i="1"/>
  <c r="D1541" i="1"/>
  <c r="D1543" i="1"/>
  <c r="D1548" i="1"/>
  <c r="D1549" i="1" s="1"/>
  <c r="D1550" i="1"/>
  <c r="D1551" i="1" s="1"/>
  <c r="D1554" i="1"/>
  <c r="D1555" i="1" s="1"/>
  <c r="D1556" i="1"/>
  <c r="D1557" i="1" s="1"/>
  <c r="D1558" i="1" s="1"/>
  <c r="D1560" i="1"/>
  <c r="D1562" i="1"/>
  <c r="D1563" i="1"/>
  <c r="D1564" i="1" s="1"/>
  <c r="D1565" i="1" s="1"/>
  <c r="D1566" i="1" s="1"/>
  <c r="D1567" i="1"/>
  <c r="D1568" i="1" s="1"/>
  <c r="D1570" i="1"/>
  <c r="D1571" i="1" s="1"/>
  <c r="D1572" i="1"/>
  <c r="D1573" i="1" s="1"/>
  <c r="D1575" i="1"/>
  <c r="D1577" i="1"/>
  <c r="D1580" i="1"/>
  <c r="D1581" i="1"/>
  <c r="D1582" i="1"/>
  <c r="D1583" i="1"/>
  <c r="D1584" i="1" s="1"/>
  <c r="D1587" i="1"/>
  <c r="D1588" i="1"/>
  <c r="D1589" i="1"/>
  <c r="D1591" i="1"/>
  <c r="D1594" i="1"/>
  <c r="D1596" i="1"/>
  <c r="D1597" i="1"/>
  <c r="D1599" i="1"/>
  <c r="D1604" i="1"/>
  <c r="D1605" i="1" s="1"/>
  <c r="D1606" i="1" s="1"/>
  <c r="D1609" i="1"/>
  <c r="D1610" i="1"/>
  <c r="D1611" i="1"/>
  <c r="D1612" i="1"/>
  <c r="D1614" i="1"/>
  <c r="D1616" i="1"/>
  <c r="D1617" i="1" s="1"/>
  <c r="D1619" i="1"/>
  <c r="D1621" i="1"/>
  <c r="D1622" i="1" s="1"/>
  <c r="D1623" i="1" s="1"/>
  <c r="D1624" i="1" s="1"/>
  <c r="D1626" i="1"/>
  <c r="D1627" i="1" s="1"/>
  <c r="D1628" i="1"/>
  <c r="D1629" i="1"/>
  <c r="D1630" i="1" s="1"/>
  <c r="D1631" i="1" s="1"/>
  <c r="D1632" i="1" s="1"/>
  <c r="D1634" i="1"/>
  <c r="D1639" i="1"/>
  <c r="D1640" i="1" s="1"/>
  <c r="D1643" i="1"/>
  <c r="D1644" i="1" s="1"/>
  <c r="D1645" i="1"/>
  <c r="D1647" i="1"/>
  <c r="D1649" i="1"/>
  <c r="D1650" i="1" s="1"/>
  <c r="D1651" i="1" s="1"/>
  <c r="D1653" i="1"/>
  <c r="D1654" i="1" s="1"/>
  <c r="D1655" i="1" s="1"/>
  <c r="D1656" i="1" s="1"/>
  <c r="D1657" i="1" s="1"/>
  <c r="D1658" i="1" s="1"/>
  <c r="D1659" i="1" s="1"/>
  <c r="D1661" i="1"/>
  <c r="D1662" i="1"/>
  <c r="D1663" i="1"/>
  <c r="D1664" i="1" s="1"/>
  <c r="D1665" i="1" s="1"/>
  <c r="D1666" i="1" s="1"/>
  <c r="D1668" i="1"/>
  <c r="D1669" i="1"/>
  <c r="D1671" i="1"/>
  <c r="D1674" i="1"/>
  <c r="D1675" i="1"/>
  <c r="D1683" i="1"/>
  <c r="D1684" i="1"/>
  <c r="D1686" i="1"/>
  <c r="D1687" i="1"/>
  <c r="D1688" i="1" s="1"/>
  <c r="D1689" i="1"/>
  <c r="D1691" i="1"/>
  <c r="D1692" i="1" s="1"/>
  <c r="D1693" i="1"/>
  <c r="D1695" i="1"/>
  <c r="D1697" i="1"/>
  <c r="D1698" i="1" s="1"/>
  <c r="D1699" i="1"/>
  <c r="D1700" i="1" s="1"/>
  <c r="D1702" i="1"/>
  <c r="D1706" i="1"/>
  <c r="D1708" i="1"/>
  <c r="D1709" i="1" s="1"/>
  <c r="D1713" i="1"/>
  <c r="D1717" i="1"/>
  <c r="D1718" i="1"/>
  <c r="D1720" i="1"/>
  <c r="D1721" i="1"/>
  <c r="D1722" i="1" s="1"/>
  <c r="D1724" i="1"/>
  <c r="D1725" i="1" s="1"/>
  <c r="D1726" i="1"/>
  <c r="D1728" i="1"/>
  <c r="D1729" i="1"/>
  <c r="D1731" i="1"/>
  <c r="D1732" i="1" s="1"/>
  <c r="D1733" i="1" s="1"/>
  <c r="D1734" i="1" s="1"/>
  <c r="D1736" i="1"/>
  <c r="D1737" i="1"/>
  <c r="D1738" i="1" s="1"/>
  <c r="D1739" i="1"/>
  <c r="D1740" i="1" s="1"/>
  <c r="D1742" i="1"/>
  <c r="D1744" i="1"/>
  <c r="D1745" i="1"/>
  <c r="D1747" i="1"/>
  <c r="D1748" i="1" s="1"/>
  <c r="D1749" i="1" s="1"/>
  <c r="D1750" i="1"/>
  <c r="D1754" i="1"/>
  <c r="D1755" i="1" s="1"/>
  <c r="D1756" i="1" s="1"/>
  <c r="D1757" i="1" s="1"/>
  <c r="D1759" i="1"/>
  <c r="D1760" i="1" s="1"/>
  <c r="D1761" i="1" s="1"/>
  <c r="D1766" i="1"/>
  <c r="D1767" i="1" s="1"/>
  <c r="D1768" i="1" s="1"/>
  <c r="D1769" i="1" s="1"/>
  <c r="D1770" i="1"/>
  <c r="D1771" i="1" s="1"/>
  <c r="D1772" i="1" s="1"/>
  <c r="D1774" i="1"/>
  <c r="D1775" i="1"/>
  <c r="D1779" i="1"/>
  <c r="D1780" i="1"/>
  <c r="D1782" i="1"/>
  <c r="D1784" i="1"/>
  <c r="D1786" i="1"/>
  <c r="D1787" i="1" s="1"/>
  <c r="D1789" i="1"/>
  <c r="D1790" i="1"/>
  <c r="D1791" i="1"/>
  <c r="D1793" i="1"/>
  <c r="D1796" i="1"/>
  <c r="D1798" i="1"/>
  <c r="D1799" i="1"/>
  <c r="D1801" i="1"/>
  <c r="D1802" i="1"/>
  <c r="D1804" i="1"/>
  <c r="D1805" i="1" s="1"/>
  <c r="D1806" i="1" s="1"/>
  <c r="D1807" i="1" s="1"/>
  <c r="D1809" i="1"/>
  <c r="D1810" i="1"/>
  <c r="D1811" i="1" s="1"/>
  <c r="D1812" i="1" s="1"/>
  <c r="D1815" i="1"/>
  <c r="D1819" i="1"/>
  <c r="D1820" i="1" s="1"/>
  <c r="D1823" i="1"/>
  <c r="D1825" i="1"/>
  <c r="D1828" i="1"/>
  <c r="D1829" i="1" s="1"/>
  <c r="D1830" i="1" s="1"/>
  <c r="D1831" i="1"/>
  <c r="D1834" i="1"/>
  <c r="D1835" i="1" s="1"/>
  <c r="D1838" i="1"/>
  <c r="D1839" i="1" s="1"/>
  <c r="D1842" i="1"/>
  <c r="D1843" i="1" s="1"/>
  <c r="D1844" i="1" s="1"/>
  <c r="D1845" i="1" s="1"/>
  <c r="D1847" i="1"/>
  <c r="D1848" i="1" s="1"/>
  <c r="D1851" i="1"/>
  <c r="D1852" i="1"/>
  <c r="D1854" i="1"/>
  <c r="D1856" i="1"/>
  <c r="D1857" i="1" s="1"/>
  <c r="D1862" i="1"/>
  <c r="D1863" i="1" s="1"/>
  <c r="D1864" i="1"/>
  <c r="D1865" i="1" s="1"/>
  <c r="D1866" i="1"/>
  <c r="D1867" i="1"/>
  <c r="D1871" i="1"/>
  <c r="D1874" i="1"/>
  <c r="D1875" i="1"/>
  <c r="D1876" i="1" s="1"/>
  <c r="D1877" i="1" s="1"/>
  <c r="D1878" i="1" s="1"/>
  <c r="D1880" i="1"/>
  <c r="D1882" i="1"/>
  <c r="D1883" i="1"/>
  <c r="D1885" i="1"/>
  <c r="D1886" i="1"/>
  <c r="D1888" i="1"/>
  <c r="D1889" i="1" s="1"/>
  <c r="D1890" i="1" s="1"/>
  <c r="D1891" i="1" s="1"/>
  <c r="D1892" i="1" s="1"/>
  <c r="D1894" i="1"/>
  <c r="D1895" i="1"/>
  <c r="D1896" i="1" s="1"/>
  <c r="D1897" i="1" s="1"/>
  <c r="D1899" i="1"/>
  <c r="D1900" i="1" s="1"/>
  <c r="D1902" i="1"/>
  <c r="D1903" i="1" s="1"/>
  <c r="D1904" i="1" s="1"/>
  <c r="D1905" i="1" s="1"/>
  <c r="D1906" i="1"/>
  <c r="D1907" i="1" s="1"/>
  <c r="D1908" i="1" s="1"/>
  <c r="D1911" i="1"/>
  <c r="D1912" i="1"/>
  <c r="D1913" i="1" s="1"/>
  <c r="D1914" i="1" s="1"/>
  <c r="D1915" i="1" s="1"/>
  <c r="D1916" i="1" s="1"/>
  <c r="D1918" i="1"/>
  <c r="D1919" i="1" s="1"/>
  <c r="D1922" i="1"/>
  <c r="D1923" i="1"/>
  <c r="D1924" i="1"/>
  <c r="D1926" i="1"/>
  <c r="D1928" i="1"/>
  <c r="D1929" i="1" s="1"/>
  <c r="D1930" i="1" s="1"/>
  <c r="D1932" i="1"/>
  <c r="D1934" i="1"/>
  <c r="D1936" i="1"/>
  <c r="D1937" i="1"/>
  <c r="D1940" i="1"/>
  <c r="D1941" i="1" s="1"/>
  <c r="D1945" i="1"/>
  <c r="D1946" i="1" s="1"/>
  <c r="D1948" i="1"/>
  <c r="D1951" i="1"/>
  <c r="D1953" i="1"/>
  <c r="D1956" i="1"/>
  <c r="D1958" i="1"/>
  <c r="D1960" i="1"/>
  <c r="D1963" i="1"/>
  <c r="D1966" i="1"/>
  <c r="D1970" i="1"/>
  <c r="D1972" i="1"/>
  <c r="D1974" i="1"/>
  <c r="D1977" i="1"/>
  <c r="D1978" i="1"/>
  <c r="D1980" i="1"/>
  <c r="D1981" i="1"/>
  <c r="D1982" i="1" s="1"/>
  <c r="D1983" i="1"/>
  <c r="D1984" i="1"/>
  <c r="D1985" i="1" s="1"/>
  <c r="D1986" i="1"/>
  <c r="D1987" i="1" s="1"/>
  <c r="D1989" i="1"/>
  <c r="D1990" i="1"/>
  <c r="D1991" i="1"/>
  <c r="D1992" i="1" s="1"/>
  <c r="D1993" i="1" s="1"/>
  <c r="D1994" i="1" s="1"/>
  <c r="D1995" i="1" s="1"/>
  <c r="D1996" i="1" s="1"/>
  <c r="D1998" i="1"/>
  <c r="D1999" i="1"/>
  <c r="D2000" i="1"/>
  <c r="D2001" i="1" s="1"/>
  <c r="D2002" i="1" s="1"/>
  <c r="D2003" i="1" s="1"/>
  <c r="D2004" i="1" s="1"/>
  <c r="D2006" i="1"/>
  <c r="D2007" i="1"/>
  <c r="D2008" i="1" s="1"/>
  <c r="D2009" i="1"/>
  <c r="D2010" i="1"/>
  <c r="D2011" i="1" s="1"/>
  <c r="D2013" i="1"/>
  <c r="D2014" i="1"/>
  <c r="D2015" i="1" s="1"/>
  <c r="D2016" i="1" s="1"/>
  <c r="D2017" i="1" s="1"/>
  <c r="D2018" i="1" s="1"/>
  <c r="D2019" i="1"/>
  <c r="D2020" i="1" s="1"/>
  <c r="D2021" i="1" s="1"/>
  <c r="D2022" i="1"/>
  <c r="D2023" i="1" s="1"/>
  <c r="D2024" i="1"/>
  <c r="D2026" i="1"/>
  <c r="D2027" i="1"/>
  <c r="D2028" i="1" s="1"/>
  <c r="D2029" i="1" s="1"/>
  <c r="D2030" i="1" s="1"/>
  <c r="D2031" i="1"/>
  <c r="D2032" i="1" s="1"/>
  <c r="D2033" i="1" s="1"/>
  <c r="D2034" i="1" s="1"/>
  <c r="D2035" i="1" s="1"/>
  <c r="D2036" i="1" s="1"/>
  <c r="D2038" i="1"/>
  <c r="D2039" i="1" s="1"/>
  <c r="D2040" i="1" s="1"/>
  <c r="D2041" i="1" s="1"/>
  <c r="D2042" i="1" s="1"/>
  <c r="D2043" i="1" s="1"/>
  <c r="D2044" i="1" s="1"/>
  <c r="D2045" i="1" s="1"/>
  <c r="D2046" i="1" s="1"/>
  <c r="D2048" i="1"/>
  <c r="D2049" i="1"/>
  <c r="D2050" i="1"/>
  <c r="D2051" i="1" s="1"/>
  <c r="D2052" i="1" s="1"/>
  <c r="D2053" i="1" s="1"/>
  <c r="D2054" i="1" s="1"/>
  <c r="D2055" i="1" s="1"/>
  <c r="D2056" i="1" s="1"/>
  <c r="D2057" i="1" s="1"/>
  <c r="D2058" i="1"/>
  <c r="D2059" i="1" s="1"/>
  <c r="D2060" i="1" s="1"/>
  <c r="D2061" i="1" s="1"/>
  <c r="D2062" i="1" s="1"/>
  <c r="D2064" i="1"/>
  <c r="D2065" i="1"/>
  <c r="D2066" i="1" s="1"/>
  <c r="D2067" i="1" s="1"/>
  <c r="D2068" i="1" s="1"/>
  <c r="D2069" i="1" s="1"/>
  <c r="D2070" i="1" s="1"/>
  <c r="D2071" i="1" s="1"/>
  <c r="D2072" i="1"/>
  <c r="D2073" i="1" s="1"/>
  <c r="D2074" i="1" s="1"/>
  <c r="D2075" i="1" s="1"/>
  <c r="D2076" i="1"/>
  <c r="D2077" i="1"/>
  <c r="D2078" i="1" s="1"/>
  <c r="D2079" i="1" s="1"/>
  <c r="D2081" i="1"/>
  <c r="D2082" i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7" i="1"/>
  <c r="D2098" i="1" s="1"/>
  <c r="D2100" i="1"/>
  <c r="D2104" i="1"/>
  <c r="D2105" i="1" s="1"/>
  <c r="D2106" i="1"/>
  <c r="D2107" i="1" s="1"/>
  <c r="D2109" i="1"/>
  <c r="D2110" i="1" s="1"/>
  <c r="D2111" i="1" s="1"/>
  <c r="D2112" i="1" s="1"/>
  <c r="D2113" i="1"/>
  <c r="D2114" i="1" s="1"/>
  <c r="D2115" i="1" s="1"/>
  <c r="D2116" i="1" s="1"/>
  <c r="D2118" i="1"/>
  <c r="D2119" i="1" s="1"/>
  <c r="D2120" i="1" s="1"/>
  <c r="D2121" i="1" s="1"/>
  <c r="D2125" i="1"/>
  <c r="D2127" i="1"/>
  <c r="D2129" i="1"/>
  <c r="D2131" i="1"/>
  <c r="D2132" i="1" s="1"/>
  <c r="D2133" i="1" s="1"/>
  <c r="D2136" i="1"/>
  <c r="D2137" i="1" s="1"/>
  <c r="D2138" i="1" s="1"/>
  <c r="D2141" i="1"/>
  <c r="D2142" i="1"/>
  <c r="D2144" i="1"/>
  <c r="D2145" i="1"/>
  <c r="D2147" i="1"/>
  <c r="D2149" i="1"/>
  <c r="D2150" i="1"/>
  <c r="D2151" i="1" s="1"/>
  <c r="D2152" i="1" s="1"/>
  <c r="D2153" i="1" s="1"/>
  <c r="D2154" i="1" s="1"/>
  <c r="D2155" i="1" s="1"/>
  <c r="D2157" i="1"/>
  <c r="D2158" i="1"/>
  <c r="D2162" i="1"/>
  <c r="D2163" i="1" s="1"/>
  <c r="D2164" i="1" s="1"/>
  <c r="D2165" i="1" s="1"/>
  <c r="D2168" i="1"/>
  <c r="D2169" i="1" s="1"/>
  <c r="D2171" i="1"/>
  <c r="D2172" i="1"/>
  <c r="D2173" i="1" s="1"/>
  <c r="D2174" i="1" s="1"/>
  <c r="D2175" i="1" s="1"/>
  <c r="D2177" i="1"/>
  <c r="D2178" i="1"/>
  <c r="D2180" i="1"/>
  <c r="D2181" i="1" s="1"/>
  <c r="D2182" i="1"/>
  <c r="D2183" i="1"/>
  <c r="D2184" i="1"/>
  <c r="D2185" i="1" s="1"/>
  <c r="D2186" i="1"/>
  <c r="D2187" i="1" s="1"/>
  <c r="D2188" i="1"/>
  <c r="D2189" i="1" s="1"/>
  <c r="D2191" i="1"/>
  <c r="D2192" i="1"/>
  <c r="D2193" i="1" s="1"/>
  <c r="D2194" i="1" s="1"/>
  <c r="D2195" i="1" s="1"/>
  <c r="D2196" i="1"/>
  <c r="D2197" i="1" s="1"/>
  <c r="D2198" i="1" s="1"/>
  <c r="D2200" i="1"/>
  <c r="D2201" i="1" s="1"/>
  <c r="D2202" i="1" s="1"/>
  <c r="D2203" i="1" s="1"/>
  <c r="D2204" i="1" s="1"/>
  <c r="D2205" i="1" s="1"/>
  <c r="D2206" i="1" s="1"/>
  <c r="D2207" i="1" s="1"/>
  <c r="D2208" i="1"/>
  <c r="D2210" i="1"/>
  <c r="D2211" i="1"/>
  <c r="D2212" i="1"/>
  <c r="D2213" i="1" s="1"/>
  <c r="D2214" i="1" s="1"/>
  <c r="D2215" i="1" s="1"/>
  <c r="D2216" i="1" s="1"/>
  <c r="D2217" i="1" s="1"/>
  <c r="D2219" i="1"/>
  <c r="D2220" i="1" s="1"/>
  <c r="D2221" i="1" s="1"/>
  <c r="D2222" i="1" s="1"/>
  <c r="D2223" i="1" s="1"/>
  <c r="D2225" i="1"/>
  <c r="D2226" i="1" s="1"/>
  <c r="D2227" i="1" s="1"/>
  <c r="D2228" i="1" s="1"/>
  <c r="D2231" i="1"/>
  <c r="D2232" i="1" s="1"/>
  <c r="D2233" i="1" s="1"/>
  <c r="D2234" i="1" s="1"/>
  <c r="D2235" i="1"/>
  <c r="D2236" i="1"/>
  <c r="D2237" i="1" s="1"/>
  <c r="D2239" i="1"/>
  <c r="D2240" i="1"/>
  <c r="D2241" i="1"/>
  <c r="D2242" i="1"/>
  <c r="D2243" i="1" s="1"/>
  <c r="D2244" i="1" s="1"/>
  <c r="D2245" i="1" s="1"/>
  <c r="D2247" i="1"/>
  <c r="D2248" i="1"/>
  <c r="D2249" i="1" s="1"/>
  <c r="D2251" i="1"/>
  <c r="D2252" i="1"/>
  <c r="D2253" i="1"/>
  <c r="D2254" i="1"/>
  <c r="D2255" i="1"/>
  <c r="D2256" i="1" s="1"/>
  <c r="D2257" i="1" s="1"/>
  <c r="D2258" i="1" s="1"/>
  <c r="D2259" i="1" s="1"/>
  <c r="D2260" i="1" s="1"/>
  <c r="D2261" i="1" s="1"/>
  <c r="D2262" i="1" s="1"/>
  <c r="D2264" i="1"/>
  <c r="D2265" i="1" s="1"/>
  <c r="D2266" i="1" s="1"/>
  <c r="D2267" i="1"/>
  <c r="D2268" i="1" s="1"/>
  <c r="D2269" i="1" s="1"/>
  <c r="D2270" i="1" s="1"/>
  <c r="D2271" i="1" s="1"/>
  <c r="D2272" i="1" s="1"/>
  <c r="D2274" i="1"/>
  <c r="D2275" i="1"/>
  <c r="D2276" i="1"/>
  <c r="D2277" i="1" s="1"/>
  <c r="D2278" i="1" s="1"/>
  <c r="D2279" i="1" s="1"/>
  <c r="D2284" i="1"/>
  <c r="D2285" i="1"/>
  <c r="D2286" i="1"/>
  <c r="D2288" i="1"/>
  <c r="D2289" i="1"/>
  <c r="D2290" i="1" s="1"/>
  <c r="D2291" i="1" s="1"/>
  <c r="D2292" i="1" s="1"/>
  <c r="D2296" i="1"/>
  <c r="D2297" i="1"/>
  <c r="D2298" i="1" s="1"/>
  <c r="D2299" i="1" s="1"/>
  <c r="D2300" i="1"/>
  <c r="D2301" i="1" s="1"/>
  <c r="D2305" i="1"/>
  <c r="D2308" i="1"/>
  <c r="D2309" i="1"/>
  <c r="D2310" i="1" s="1"/>
  <c r="D2311" i="1" s="1"/>
  <c r="D2313" i="1"/>
  <c r="D2315" i="1"/>
  <c r="D2316" i="1"/>
  <c r="D2317" i="1" s="1"/>
  <c r="D2318" i="1" s="1"/>
  <c r="D2320" i="1"/>
  <c r="D2321" i="1"/>
  <c r="D2322" i="1" s="1"/>
  <c r="D2323" i="1" s="1"/>
  <c r="D2324" i="1" s="1"/>
  <c r="D2327" i="1"/>
  <c r="D2331" i="1"/>
  <c r="D2333" i="1"/>
  <c r="D2334" i="1" s="1"/>
  <c r="D2335" i="1"/>
  <c r="D2337" i="1"/>
  <c r="D2338" i="1" s="1"/>
  <c r="D2340" i="1"/>
  <c r="D2342" i="1"/>
  <c r="D2343" i="1"/>
  <c r="D2344" i="1" s="1"/>
  <c r="D2345" i="1" s="1"/>
  <c r="D2346" i="1" s="1"/>
  <c r="D2351" i="1"/>
  <c r="D2352" i="1"/>
  <c r="D2353" i="1"/>
  <c r="D2355" i="1"/>
  <c r="D2357" i="1"/>
  <c r="D2358" i="1" s="1"/>
  <c r="D2360" i="1"/>
  <c r="D2361" i="1"/>
  <c r="D2362" i="1" s="1"/>
  <c r="D2363" i="1" s="1"/>
  <c r="D2367" i="1"/>
  <c r="D2368" i="1" s="1"/>
  <c r="D2369" i="1"/>
  <c r="D2370" i="1" s="1"/>
  <c r="D2371" i="1" s="1"/>
  <c r="D2372" i="1"/>
  <c r="D2373" i="1" s="1"/>
  <c r="D2375" i="1"/>
  <c r="D2376" i="1" s="1"/>
  <c r="D2377" i="1" s="1"/>
  <c r="D2378" i="1" s="1"/>
  <c r="D2380" i="1"/>
  <c r="D2381" i="1"/>
  <c r="D2382" i="1" s="1"/>
  <c r="D2383" i="1"/>
  <c r="D2385" i="1"/>
  <c r="D2386" i="1" s="1"/>
  <c r="D2387" i="1" s="1"/>
  <c r="D2388" i="1" s="1"/>
  <c r="D2389" i="1"/>
  <c r="D2392" i="1"/>
  <c r="D2394" i="1"/>
  <c r="D2396" i="1"/>
  <c r="D2400" i="1"/>
  <c r="D2402" i="1"/>
  <c r="D2403" i="1" s="1"/>
  <c r="D2405" i="1"/>
  <c r="D2406" i="1"/>
  <c r="D2407" i="1"/>
  <c r="D2408" i="1" s="1"/>
  <c r="D2409" i="1" s="1"/>
  <c r="D2410" i="1" s="1"/>
  <c r="D2411" i="1" s="1"/>
  <c r="D2413" i="1"/>
  <c r="D2417" i="1"/>
  <c r="D2420" i="1"/>
  <c r="D2421" i="1"/>
  <c r="D2422" i="1" s="1"/>
  <c r="D2424" i="1"/>
  <c r="D2425" i="1" s="1"/>
  <c r="D2426" i="1" s="1"/>
  <c r="D2427" i="1" s="1"/>
  <c r="D2428" i="1" s="1"/>
  <c r="D2429" i="1" s="1"/>
  <c r="D2431" i="1"/>
  <c r="D2432" i="1"/>
  <c r="D2434" i="1"/>
  <c r="D2435" i="1" s="1"/>
  <c r="D2439" i="1"/>
  <c r="D2441" i="1"/>
  <c r="D2443" i="1"/>
  <c r="D2444" i="1" s="1"/>
  <c r="D2445" i="1" s="1"/>
  <c r="D2446" i="1" s="1"/>
  <c r="D2447" i="1" s="1"/>
  <c r="D2448" i="1" s="1"/>
  <c r="D2450" i="1"/>
  <c r="D2451" i="1"/>
  <c r="D2452" i="1" s="1"/>
  <c r="D2453" i="1" s="1"/>
  <c r="D2454" i="1" s="1"/>
  <c r="D2455" i="1" s="1"/>
  <c r="D2456" i="1" s="1"/>
  <c r="D2457" i="1" s="1"/>
  <c r="D2458" i="1" s="1"/>
  <c r="D2459" i="1" s="1"/>
  <c r="D2461" i="1"/>
  <c r="D2462" i="1"/>
  <c r="D2463" i="1"/>
  <c r="D2464" i="1" s="1"/>
  <c r="D2465" i="1" s="1"/>
  <c r="D2466" i="1" s="1"/>
  <c r="D2467" i="1"/>
  <c r="D2469" i="1"/>
  <c r="D2470" i="1"/>
  <c r="D2471" i="1" s="1"/>
  <c r="D2473" i="1"/>
  <c r="D2475" i="1"/>
  <c r="D2476" i="1"/>
  <c r="D2477" i="1" s="1"/>
  <c r="D2478" i="1" s="1"/>
  <c r="D2480" i="1"/>
  <c r="D2481" i="1" s="1"/>
  <c r="D2482" i="1" s="1"/>
  <c r="D2484" i="1"/>
  <c r="D2485" i="1" s="1"/>
  <c r="D2486" i="1"/>
  <c r="D2487" i="1"/>
  <c r="D2488" i="1" s="1"/>
  <c r="D2489" i="1" s="1"/>
  <c r="D2491" i="1"/>
  <c r="D2492" i="1" s="1"/>
  <c r="D2493" i="1" s="1"/>
  <c r="D2494" i="1" s="1"/>
  <c r="D2496" i="1"/>
  <c r="D2497" i="1" s="1"/>
  <c r="D2498" i="1"/>
  <c r="D2501" i="1"/>
  <c r="D2502" i="1"/>
  <c r="D2503" i="1"/>
  <c r="D2504" i="1" s="1"/>
  <c r="D2506" i="1"/>
  <c r="D2509" i="1"/>
  <c r="D2510" i="1"/>
  <c r="D2511" i="1" s="1"/>
  <c r="D2513" i="1"/>
  <c r="D2514" i="1" s="1"/>
  <c r="D2515" i="1" s="1"/>
  <c r="D2516" i="1" s="1"/>
  <c r="D2521" i="1"/>
  <c r="D2524" i="1"/>
  <c r="D2525" i="1"/>
  <c r="D2526" i="1"/>
  <c r="D2527" i="1"/>
  <c r="D2531" i="1"/>
  <c r="D2537" i="1"/>
  <c r="D2538" i="1"/>
  <c r="D2539" i="1"/>
  <c r="D2540" i="1"/>
  <c r="D2542" i="1"/>
  <c r="D2543" i="1"/>
  <c r="D2544" i="1" s="1"/>
  <c r="D2545" i="1"/>
  <c r="D2546" i="1" s="1"/>
  <c r="D2547" i="1" s="1"/>
  <c r="D2548" i="1" s="1"/>
  <c r="D2550" i="1"/>
  <c r="D2551" i="1"/>
  <c r="D2552" i="1" s="1"/>
  <c r="D2553" i="1"/>
  <c r="D2554" i="1"/>
  <c r="D2556" i="1"/>
  <c r="D2557" i="1"/>
  <c r="D2558" i="1" s="1"/>
  <c r="D2559" i="1"/>
  <c r="D2560" i="1"/>
  <c r="D2561" i="1" s="1"/>
  <c r="D2562" i="1" s="1"/>
  <c r="D2563" i="1" s="1"/>
  <c r="D2564" i="1" s="1"/>
  <c r="D2566" i="1"/>
  <c r="D2568" i="1"/>
  <c r="D2571" i="1"/>
  <c r="D2573" i="1"/>
  <c r="D2574" i="1"/>
  <c r="D2575" i="1" s="1"/>
  <c r="D2577" i="1"/>
  <c r="D2582" i="1"/>
  <c r="D2584" i="1"/>
  <c r="D2585" i="1" s="1"/>
  <c r="D2588" i="1"/>
  <c r="D2591" i="1"/>
  <c r="D2595" i="1"/>
  <c r="D2596" i="1" s="1"/>
  <c r="D2598" i="1"/>
  <c r="D2600" i="1"/>
  <c r="D2601" i="1"/>
  <c r="D2602" i="1" s="1"/>
  <c r="D2604" i="1"/>
  <c r="D2605" i="1" s="1"/>
  <c r="D2606" i="1" s="1"/>
  <c r="D2607" i="1" s="1"/>
  <c r="D2609" i="1"/>
  <c r="D2610" i="1"/>
  <c r="D2611" i="1"/>
  <c r="D2616" i="1"/>
  <c r="D2617" i="1" s="1"/>
  <c r="D2622" i="1"/>
  <c r="D2623" i="1"/>
  <c r="D2625" i="1"/>
  <c r="D2626" i="1"/>
  <c r="D2627" i="1" s="1"/>
  <c r="D2628" i="1" s="1"/>
  <c r="D2629" i="1"/>
  <c r="D2631" i="1"/>
  <c r="D2634" i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9" i="1"/>
  <c r="D2650" i="1"/>
  <c r="D2651" i="1" s="1"/>
  <c r="D2652" i="1"/>
  <c r="D2653" i="1" s="1"/>
  <c r="D2654" i="1" s="1"/>
  <c r="D2655" i="1"/>
  <c r="D2657" i="1"/>
  <c r="D2660" i="1"/>
  <c r="D2661" i="1" s="1"/>
  <c r="D2663" i="1"/>
  <c r="D2667" i="1"/>
  <c r="D2668" i="1"/>
  <c r="D2669" i="1" s="1"/>
  <c r="D2670" i="1" s="1"/>
  <c r="D2672" i="1"/>
  <c r="D2673" i="1" s="1"/>
  <c r="D2674" i="1"/>
  <c r="D2675" i="1"/>
  <c r="D2676" i="1"/>
  <c r="D2677" i="1" s="1"/>
  <c r="D2678" i="1"/>
  <c r="D2679" i="1"/>
  <c r="D2680" i="1"/>
  <c r="D2681" i="1" s="1"/>
  <c r="D2682" i="1" s="1"/>
  <c r="D2683" i="1" s="1"/>
  <c r="D2684" i="1" s="1"/>
  <c r="D2686" i="1"/>
  <c r="D2687" i="1"/>
  <c r="D2688" i="1"/>
  <c r="D2689" i="1" s="1"/>
  <c r="D2690" i="1" s="1"/>
  <c r="D2691" i="1" s="1"/>
  <c r="D2692" i="1" s="1"/>
  <c r="D2693" i="1" s="1"/>
  <c r="D2694" i="1" s="1"/>
  <c r="D2695" i="1" s="1"/>
  <c r="D2697" i="1"/>
  <c r="D2698" i="1"/>
  <c r="D2699" i="1" s="1"/>
  <c r="D2700" i="1" s="1"/>
  <c r="D2701" i="1"/>
  <c r="D2702" i="1"/>
  <c r="D2703" i="1" s="1"/>
  <c r="D2704" i="1" s="1"/>
  <c r="D2705" i="1" s="1"/>
  <c r="D2706" i="1" s="1"/>
  <c r="D2707" i="1"/>
  <c r="D2709" i="1"/>
  <c r="D2710" i="1" s="1"/>
  <c r="D2711" i="1" s="1"/>
  <c r="D2712" i="1" s="1"/>
  <c r="D2714" i="1"/>
  <c r="D2715" i="1"/>
  <c r="D2716" i="1" s="1"/>
  <c r="D2717" i="1" s="1"/>
  <c r="D2718" i="1" s="1"/>
  <c r="D2719" i="1" s="1"/>
  <c r="D2720" i="1" s="1"/>
  <c r="D2721" i="1" s="1"/>
  <c r="D2723" i="1"/>
  <c r="D2724" i="1" s="1"/>
  <c r="D2725" i="1" s="1"/>
  <c r="D2726" i="1" s="1"/>
  <c r="D2727" i="1" s="1"/>
  <c r="D2729" i="1"/>
  <c r="D2730" i="1"/>
  <c r="D2731" i="1" s="1"/>
  <c r="D2732" i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3" i="1"/>
  <c r="D2744" i="1"/>
  <c r="D2745" i="1" s="1"/>
  <c r="D2746" i="1"/>
  <c r="D2747" i="1" s="1"/>
  <c r="D2748" i="1"/>
  <c r="D2749" i="1"/>
  <c r="D2750" i="1" s="1"/>
  <c r="D2751" i="1" s="1"/>
  <c r="D2752" i="1" s="1"/>
  <c r="D2753" i="1" s="1"/>
  <c r="D2755" i="1"/>
  <c r="D2756" i="1"/>
  <c r="D2757" i="1"/>
  <c r="D2758" i="1" s="1"/>
  <c r="D2759" i="1"/>
  <c r="D2760" i="1"/>
  <c r="D2761" i="1" s="1"/>
  <c r="D2762" i="1"/>
  <c r="D2763" i="1"/>
  <c r="D2764" i="1"/>
  <c r="D2765" i="1"/>
  <c r="D2767" i="1"/>
  <c r="D2768" i="1" s="1"/>
  <c r="D2769" i="1" s="1"/>
  <c r="D2770" i="1"/>
  <c r="D2771" i="1" s="1"/>
  <c r="D2772" i="1" s="1"/>
  <c r="D2773" i="1" s="1"/>
  <c r="D2774" i="1" s="1"/>
  <c r="D2775" i="1" s="1"/>
  <c r="D2776" i="1"/>
  <c r="D2777" i="1" s="1"/>
  <c r="D2778" i="1" s="1"/>
  <c r="D2779" i="1" s="1"/>
  <c r="D2780" i="1" s="1"/>
  <c r="D2781" i="1" s="1"/>
  <c r="D2782" i="1" s="1"/>
  <c r="D2784" i="1"/>
  <c r="D2785" i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800" i="1"/>
  <c r="D2801" i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3" i="1"/>
  <c r="D2814" i="1" s="1"/>
  <c r="D2815" i="1" s="1"/>
  <c r="D2816" i="1" s="1"/>
  <c r="D2817" i="1" s="1"/>
  <c r="D2818" i="1" s="1"/>
  <c r="D2820" i="1"/>
  <c r="D2823" i="1"/>
  <c r="D2825" i="1"/>
  <c r="D2826" i="1" s="1"/>
  <c r="D2827" i="1"/>
  <c r="D2828" i="1"/>
  <c r="D2829" i="1" s="1"/>
  <c r="D2830" i="1"/>
  <c r="D2832" i="1"/>
  <c r="D2834" i="1"/>
  <c r="D2835" i="1" s="1"/>
  <c r="D2836" i="1" s="1"/>
  <c r="D2837" i="1" s="1"/>
  <c r="D2838" i="1" s="1"/>
  <c r="D2839" i="1" s="1"/>
  <c r="D2840" i="1" s="1"/>
  <c r="D2842" i="1"/>
  <c r="D2844" i="1"/>
  <c r="D2845" i="1" s="1"/>
  <c r="D2846" i="1" s="1"/>
  <c r="D2847" i="1"/>
  <c r="D2848" i="1" s="1"/>
  <c r="D2850" i="1"/>
  <c r="D2854" i="1"/>
  <c r="D2855" i="1" s="1"/>
  <c r="D2856" i="1" s="1"/>
  <c r="D2857" i="1"/>
  <c r="D2859" i="1"/>
  <c r="D2860" i="1"/>
  <c r="D2862" i="1"/>
  <c r="D2867" i="1"/>
  <c r="D2868" i="1"/>
  <c r="D2874" i="1"/>
  <c r="D2876" i="1"/>
  <c r="D2878" i="1"/>
  <c r="D2880" i="1"/>
  <c r="D2881" i="1" s="1"/>
  <c r="D2882" i="1" s="1"/>
  <c r="D2883" i="1"/>
  <c r="D2884" i="1" s="1"/>
  <c r="D2887" i="1"/>
  <c r="D2890" i="1"/>
  <c r="D2891" i="1"/>
  <c r="D2892" i="1"/>
  <c r="D2894" i="1"/>
  <c r="D2895" i="1" s="1"/>
  <c r="D2896" i="1" s="1"/>
  <c r="D2901" i="1"/>
  <c r="D2904" i="1"/>
  <c r="D2905" i="1" s="1"/>
  <c r="D2909" i="1"/>
  <c r="D2911" i="1"/>
  <c r="D2912" i="1"/>
  <c r="D2916" i="1"/>
  <c r="D2917" i="1"/>
  <c r="D2919" i="1"/>
  <c r="D2920" i="1"/>
  <c r="D2923" i="1"/>
  <c r="D2924" i="1" s="1"/>
  <c r="D2925" i="1" s="1"/>
  <c r="D2926" i="1" s="1"/>
  <c r="D2928" i="1"/>
  <c r="D2929" i="1"/>
  <c r="D2930" i="1" s="1"/>
  <c r="D2934" i="1"/>
  <c r="D2936" i="1"/>
  <c r="D2938" i="1"/>
  <c r="D2939" i="1" s="1"/>
  <c r="D2940" i="1" s="1"/>
  <c r="D2941" i="1" s="1"/>
  <c r="D2942" i="1" s="1"/>
  <c r="D2944" i="1"/>
  <c r="D2945" i="1" s="1"/>
  <c r="D2946" i="1" s="1"/>
  <c r="D2948" i="1"/>
  <c r="D2950" i="1"/>
  <c r="D2954" i="1"/>
  <c r="D2955" i="1"/>
  <c r="D2957" i="1"/>
  <c r="D2958" i="1"/>
  <c r="D2959" i="1"/>
  <c r="D2960" i="1" s="1"/>
  <c r="D2963" i="1"/>
  <c r="D2964" i="1" s="1"/>
  <c r="D2965" i="1" s="1"/>
  <c r="D2967" i="1"/>
  <c r="D2968" i="1"/>
  <c r="D2970" i="1"/>
  <c r="D2971" i="1"/>
  <c r="D2972" i="1" s="1"/>
  <c r="D2973" i="1" s="1"/>
  <c r="D2974" i="1" s="1"/>
  <c r="D2975" i="1" s="1"/>
  <c r="D2976" i="1" s="1"/>
  <c r="D2977" i="1" s="1"/>
  <c r="D2979" i="1"/>
  <c r="D2980" i="1" s="1"/>
  <c r="D2981" i="1" s="1"/>
  <c r="D2982" i="1" s="1"/>
  <c r="D2983" i="1" s="1"/>
  <c r="D2985" i="1"/>
  <c r="D2986" i="1" s="1"/>
  <c r="D2987" i="1" s="1"/>
  <c r="D2988" i="1" s="1"/>
  <c r="D2992" i="1"/>
  <c r="D2994" i="1"/>
  <c r="D2995" i="1"/>
  <c r="D2997" i="1"/>
  <c r="D2998" i="1" s="1"/>
  <c r="D3001" i="1"/>
  <c r="D3002" i="1"/>
  <c r="D3004" i="1"/>
  <c r="D3007" i="1"/>
  <c r="D3008" i="1" s="1"/>
  <c r="D3009" i="1" s="1"/>
  <c r="D3010" i="1" s="1"/>
  <c r="D3011" i="1" s="1"/>
  <c r="D3012" i="1" s="1"/>
  <c r="D3014" i="1"/>
  <c r="D3015" i="1"/>
  <c r="D3016" i="1" s="1"/>
  <c r="D3017" i="1" s="1"/>
  <c r="D3019" i="1"/>
  <c r="D3020" i="1" s="1"/>
  <c r="D3021" i="1" s="1"/>
  <c r="D3022" i="1"/>
  <c r="D3026" i="1"/>
  <c r="D3027" i="1"/>
  <c r="D3028" i="1" s="1"/>
  <c r="D3030" i="1"/>
  <c r="D3031" i="1" s="1"/>
  <c r="D3033" i="1"/>
  <c r="D3034" i="1" s="1"/>
  <c r="D3038" i="1"/>
  <c r="D3039" i="1"/>
  <c r="D3040" i="1" s="1"/>
  <c r="D3041" i="1"/>
  <c r="D3042" i="1" s="1"/>
  <c r="D3043" i="1" s="1"/>
  <c r="D3044" i="1" s="1"/>
  <c r="D3047" i="1"/>
  <c r="D3049" i="1"/>
  <c r="D3050" i="1"/>
  <c r="D3051" i="1"/>
  <c r="D3052" i="1" s="1"/>
  <c r="D3053" i="1" s="1"/>
  <c r="D3054" i="1" s="1"/>
  <c r="D3055" i="1" s="1"/>
  <c r="D3056" i="1" s="1"/>
  <c r="D3058" i="1"/>
  <c r="D3059" i="1"/>
  <c r="D3060" i="1"/>
  <c r="D3061" i="1" s="1"/>
  <c r="D3062" i="1" s="1"/>
  <c r="D3063" i="1" s="1"/>
  <c r="D3065" i="1"/>
  <c r="D3066" i="1" s="1"/>
  <c r="D3067" i="1" s="1"/>
  <c r="D3068" i="1" s="1"/>
  <c r="D3069" i="1" s="1"/>
  <c r="D3073" i="1"/>
  <c r="D3074" i="1"/>
  <c r="D3075" i="1" s="1"/>
  <c r="D3077" i="1"/>
  <c r="D3079" i="1"/>
  <c r="D3082" i="1"/>
  <c r="D3083" i="1"/>
  <c r="D3084" i="1"/>
  <c r="D3085" i="1" s="1"/>
  <c r="D3087" i="1"/>
  <c r="D3088" i="1"/>
  <c r="D3090" i="1"/>
  <c r="D3094" i="1"/>
  <c r="D3095" i="1" s="1"/>
  <c r="D3098" i="1"/>
  <c r="D3099" i="1" s="1"/>
  <c r="D3101" i="1"/>
  <c r="D3102" i="1" s="1"/>
  <c r="D3103" i="1" s="1"/>
  <c r="D3104" i="1"/>
  <c r="D3106" i="1"/>
  <c r="D3107" i="1" s="1"/>
  <c r="D3108" i="1" s="1"/>
  <c r="D3109" i="1" s="1"/>
  <c r="D3111" i="1"/>
  <c r="D3112" i="1"/>
  <c r="D3113" i="1" s="1"/>
  <c r="D3114" i="1" s="1"/>
  <c r="D3115" i="1" s="1"/>
  <c r="D3117" i="1"/>
  <c r="D3118" i="1"/>
  <c r="D3119" i="1" s="1"/>
  <c r="D3120" i="1" s="1"/>
  <c r="D3121" i="1" s="1"/>
  <c r="D3122" i="1" s="1"/>
  <c r="D3124" i="1"/>
  <c r="D3125" i="1"/>
  <c r="D3127" i="1"/>
  <c r="D3130" i="1"/>
  <c r="D3131" i="1" s="1"/>
  <c r="D3134" i="1"/>
  <c r="D3136" i="1"/>
  <c r="D3137" i="1" s="1"/>
  <c r="D3138" i="1" s="1"/>
  <c r="D3139" i="1" s="1"/>
  <c r="D3140" i="1" s="1"/>
  <c r="D3141" i="1" s="1"/>
  <c r="D3145" i="1"/>
  <c r="D3146" i="1"/>
  <c r="D3147" i="1"/>
  <c r="D3151" i="1"/>
  <c r="D3154" i="1"/>
  <c r="D3156" i="1"/>
  <c r="D3161" i="1"/>
  <c r="D3162" i="1"/>
  <c r="D3164" i="1"/>
  <c r="D3165" i="1" s="1"/>
  <c r="D3166" i="1" s="1"/>
  <c r="D3167" i="1"/>
  <c r="D3168" i="1" s="1"/>
  <c r="D3171" i="1"/>
  <c r="D3173" i="1"/>
  <c r="D3177" i="1"/>
  <c r="D3179" i="1"/>
  <c r="D3180" i="1"/>
  <c r="D3181" i="1" s="1"/>
  <c r="D3182" i="1"/>
  <c r="D3183" i="1"/>
  <c r="D3184" i="1" s="1"/>
  <c r="D3186" i="1"/>
  <c r="D3187" i="1"/>
  <c r="D3188" i="1" s="1"/>
  <c r="D3191" i="1"/>
  <c r="D3193" i="1"/>
  <c r="D3194" i="1" s="1"/>
  <c r="D3195" i="1" s="1"/>
  <c r="D3198" i="1"/>
  <c r="D3199" i="1"/>
  <c r="D3203" i="1"/>
  <c r="D3207" i="1"/>
  <c r="D3208" i="1" s="1"/>
  <c r="D3209" i="1" s="1"/>
  <c r="D3211" i="1"/>
  <c r="D3212" i="1" s="1"/>
  <c r="D3213" i="1" s="1"/>
  <c r="D3215" i="1"/>
  <c r="D3217" i="1"/>
  <c r="D3218" i="1"/>
  <c r="D3220" i="1"/>
  <c r="D3224" i="1"/>
  <c r="D3226" i="1"/>
  <c r="D3227" i="1" s="1"/>
  <c r="D3228" i="1" s="1"/>
  <c r="D3229" i="1" s="1"/>
  <c r="D3233" i="1"/>
  <c r="D3234" i="1" s="1"/>
  <c r="D3235" i="1"/>
  <c r="D3236" i="1"/>
  <c r="D3237" i="1" s="1"/>
  <c r="D3241" i="1"/>
  <c r="D3245" i="1"/>
  <c r="D3247" i="1"/>
  <c r="D3249" i="1"/>
  <c r="D3250" i="1"/>
  <c r="D3254" i="1"/>
  <c r="D3255" i="1" s="1"/>
  <c r="D3262" i="1"/>
  <c r="D3263" i="1" s="1"/>
  <c r="D3264" i="1" s="1"/>
  <c r="D3265" i="1" s="1"/>
  <c r="D3266" i="1"/>
  <c r="D3267" i="1"/>
  <c r="D3268" i="1" s="1"/>
  <c r="D3270" i="1"/>
  <c r="D3271" i="1" s="1"/>
  <c r="D3272" i="1" s="1"/>
  <c r="D3273" i="1" s="1"/>
  <c r="D3274" i="1" s="1"/>
  <c r="D3275" i="1" s="1"/>
  <c r="D3276" i="1" s="1"/>
  <c r="D3279" i="1"/>
  <c r="D3280" i="1" s="1"/>
  <c r="D3281" i="1" s="1"/>
  <c r="D3284" i="1"/>
  <c r="D3285" i="1"/>
  <c r="D3287" i="1"/>
  <c r="D3289" i="1"/>
  <c r="D3292" i="1"/>
  <c r="D3293" i="1" s="1"/>
  <c r="D3294" i="1" s="1"/>
  <c r="D3296" i="1"/>
  <c r="D3298" i="1"/>
  <c r="D3299" i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/>
  <c r="D3310" i="1" s="1"/>
  <c r="D3311" i="1"/>
  <c r="D3312" i="1"/>
  <c r="D3314" i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6" i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40" i="1"/>
  <c r="D3341" i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/>
  <c r="D3352" i="1"/>
  <c r="D3354" i="1"/>
  <c r="D3355" i="1" s="1"/>
  <c r="D3356" i="1" s="1"/>
  <c r="D3357" i="1" s="1"/>
  <c r="D3358" i="1" s="1"/>
  <c r="D3360" i="1"/>
  <c r="D3361" i="1" s="1"/>
  <c r="D3362" i="1" s="1"/>
  <c r="D3363" i="1" s="1"/>
  <c r="D3364" i="1"/>
  <c r="D3365" i="1" s="1"/>
  <c r="D3367" i="1"/>
  <c r="D3368" i="1" s="1"/>
  <c r="D3369" i="1"/>
  <c r="D3370" i="1"/>
  <c r="D3371" i="1"/>
  <c r="D3372" i="1"/>
  <c r="D3373" i="1" s="1"/>
  <c r="D3374" i="1" s="1"/>
  <c r="D3375" i="1" s="1"/>
  <c r="D3376" i="1" s="1"/>
  <c r="D3377" i="1" s="1"/>
  <c r="D3378" i="1"/>
  <c r="D3380" i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4" i="1"/>
  <c r="D3395" i="1" s="1"/>
  <c r="D3396" i="1" s="1"/>
  <c r="D3397" i="1" s="1"/>
  <c r="D3398" i="1" s="1"/>
  <c r="D3399" i="1" s="1"/>
  <c r="D3400" i="1" s="1"/>
  <c r="D3401" i="1" s="1"/>
  <c r="D3403" i="1"/>
  <c r="D3404" i="1"/>
  <c r="D3405" i="1"/>
  <c r="D3406" i="1" s="1"/>
  <c r="D3407" i="1"/>
  <c r="D3408" i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20" i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6" i="1"/>
  <c r="D3437" i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9" i="1"/>
  <c r="D3450" i="1" s="1"/>
  <c r="D3451" i="1" s="1"/>
  <c r="D3452" i="1" s="1"/>
  <c r="D3453" i="1" s="1"/>
  <c r="D3454" i="1" s="1"/>
  <c r="D3456" i="1"/>
  <c r="D3458" i="1"/>
  <c r="D3459" i="1" s="1"/>
  <c r="D3461" i="1"/>
  <c r="D3463" i="1"/>
  <c r="D3464" i="1"/>
  <c r="D3465" i="1" s="1"/>
  <c r="D3467" i="1"/>
  <c r="D3468" i="1" s="1"/>
  <c r="D3470" i="1"/>
  <c r="D3471" i="1" s="1"/>
  <c r="D3472" i="1" s="1"/>
  <c r="D3473" i="1" s="1"/>
  <c r="D3474" i="1" s="1"/>
  <c r="D3475" i="1" s="1"/>
  <c r="D3476" i="1" s="1"/>
  <c r="D3479" i="1"/>
  <c r="D3480" i="1" s="1"/>
  <c r="D3481" i="1" s="1"/>
  <c r="D3482" i="1" s="1"/>
  <c r="D3483" i="1" s="1"/>
  <c r="D3484" i="1" s="1"/>
  <c r="D3485" i="1" s="1"/>
  <c r="D3486" i="1" s="1"/>
  <c r="D3487" i="1" s="1"/>
  <c r="D3488" i="1" s="1"/>
  <c r="D3490" i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1" i="1"/>
  <c r="D3502" i="1" s="1"/>
  <c r="D3503" i="1" s="1"/>
  <c r="D3505" i="1"/>
  <c r="D3507" i="1"/>
  <c r="D3508" i="1" s="1"/>
  <c r="D3509" i="1" s="1"/>
  <c r="D3511" i="1"/>
  <c r="D3512" i="1" s="1"/>
  <c r="D3515" i="1"/>
  <c r="D3517" i="1"/>
  <c r="D3529" i="1"/>
  <c r="D3530" i="1"/>
  <c r="D3532" i="1"/>
  <c r="D3533" i="1" s="1"/>
  <c r="D3535" i="1"/>
  <c r="D3536" i="1" s="1"/>
  <c r="D3537" i="1" s="1"/>
  <c r="D3538" i="1" s="1"/>
  <c r="D3539" i="1"/>
  <c r="D3540" i="1" s="1"/>
  <c r="D3545" i="1"/>
  <c r="D3548" i="1"/>
  <c r="D3550" i="1"/>
  <c r="D3551" i="1"/>
  <c r="D3552" i="1"/>
  <c r="D3553" i="1"/>
  <c r="D3554" i="1" s="1"/>
  <c r="D3555" i="1" s="1"/>
  <c r="D3558" i="1"/>
  <c r="D3560" i="1"/>
  <c r="D3562" i="1"/>
  <c r="D3563" i="1" s="1"/>
  <c r="D3564" i="1" s="1"/>
  <c r="D3565" i="1" s="1"/>
  <c r="D3567" i="1"/>
  <c r="D3568" i="1"/>
  <c r="D3569" i="1"/>
  <c r="D3570" i="1"/>
  <c r="D3573" i="1"/>
  <c r="D3574" i="1"/>
  <c r="D3575" i="1" s="1"/>
  <c r="D3576" i="1" s="1"/>
  <c r="D3578" i="1"/>
  <c r="D3581" i="1"/>
  <c r="D3582" i="1" s="1"/>
  <c r="D3583" i="1" s="1"/>
  <c r="D3585" i="1"/>
  <c r="D3586" i="1"/>
  <c r="D3588" i="1"/>
  <c r="D3589" i="1"/>
  <c r="D3590" i="1"/>
  <c r="D3591" i="1"/>
  <c r="D3592" i="1" s="1"/>
  <c r="D3594" i="1"/>
  <c r="D3595" i="1"/>
  <c r="D3598" i="1"/>
  <c r="D3600" i="1"/>
  <c r="D3603" i="1"/>
  <c r="D3604" i="1"/>
  <c r="D3607" i="1"/>
  <c r="D3608" i="1"/>
  <c r="D3609" i="1" s="1"/>
  <c r="D3610" i="1" s="1"/>
  <c r="D3611" i="1" s="1"/>
  <c r="D3613" i="1"/>
  <c r="D3615" i="1"/>
  <c r="D3616" i="1"/>
  <c r="D3617" i="1" s="1"/>
  <c r="D3618" i="1" s="1"/>
  <c r="D3619" i="1" s="1"/>
  <c r="D3621" i="1"/>
  <c r="D3622" i="1"/>
  <c r="D3623" i="1" s="1"/>
  <c r="D3624" i="1" s="1"/>
  <c r="D3626" i="1"/>
  <c r="D3627" i="1"/>
  <c r="D3628" i="1"/>
  <c r="D3629" i="1" s="1"/>
  <c r="D3631" i="1"/>
  <c r="D3633" i="1"/>
  <c r="D3637" i="1"/>
  <c r="D3638" i="1" s="1"/>
  <c r="D3640" i="1"/>
  <c r="D3641" i="1" s="1"/>
  <c r="D3642" i="1" s="1"/>
  <c r="D3643" i="1" s="1"/>
  <c r="D3644" i="1" s="1"/>
  <c r="D3645" i="1" s="1"/>
  <c r="D3648" i="1"/>
  <c r="D3653" i="1"/>
  <c r="D3657" i="1"/>
  <c r="D3658" i="1" s="1"/>
  <c r="D3659" i="1" s="1"/>
  <c r="D3660" i="1" s="1"/>
  <c r="D3661" i="1" s="1"/>
  <c r="D3664" i="1"/>
  <c r="D3667" i="1"/>
  <c r="D3668" i="1"/>
  <c r="D3669" i="1" s="1"/>
  <c r="D3670" i="1" s="1"/>
  <c r="D3672" i="1"/>
  <c r="D3673" i="1"/>
  <c r="D3674" i="1"/>
  <c r="D3675" i="1" s="1"/>
  <c r="D3678" i="1"/>
  <c r="D3680" i="1"/>
  <c r="D3682" i="1"/>
  <c r="D3683" i="1"/>
  <c r="D3684" i="1" s="1"/>
  <c r="D3688" i="1"/>
  <c r="D3689" i="1" s="1"/>
  <c r="D3690" i="1" s="1"/>
  <c r="D3694" i="1"/>
  <c r="D3697" i="1"/>
  <c r="D3702" i="1"/>
  <c r="D3704" i="1"/>
  <c r="D3705" i="1" s="1"/>
  <c r="D3707" i="1"/>
  <c r="D3708" i="1"/>
  <c r="D3710" i="1"/>
  <c r="D3713" i="1"/>
  <c r="D3714" i="1" s="1"/>
  <c r="D3715" i="1"/>
  <c r="D3716" i="1"/>
  <c r="D3718" i="1"/>
  <c r="D3719" i="1"/>
  <c r="D3720" i="1" s="1"/>
  <c r="D3721" i="1" s="1"/>
  <c r="D3723" i="1"/>
  <c r="D3724" i="1" s="1"/>
  <c r="D3726" i="1"/>
  <c r="D3729" i="1"/>
  <c r="D3730" i="1" s="1"/>
  <c r="D3731" i="1" s="1"/>
  <c r="D3732" i="1" s="1"/>
  <c r="D3733" i="1" s="1"/>
  <c r="D3734" i="1" s="1"/>
  <c r="D3736" i="1"/>
  <c r="D3737" i="1" s="1"/>
  <c r="D3739" i="1"/>
  <c r="D3740" i="1" s="1"/>
  <c r="D3741" i="1" s="1"/>
  <c r="D3742" i="1" s="1"/>
  <c r="D3743" i="1" s="1"/>
  <c r="D3744" i="1" s="1"/>
  <c r="D3745" i="1"/>
  <c r="D3746" i="1"/>
  <c r="D3747" i="1" s="1"/>
  <c r="D3748" i="1" s="1"/>
  <c r="D3750" i="1"/>
  <c r="D3751" i="1"/>
  <c r="D3752" i="1" s="1"/>
  <c r="D3753" i="1" s="1"/>
  <c r="D3755" i="1"/>
  <c r="D3756" i="1"/>
  <c r="D3757" i="1"/>
  <c r="D3758" i="1" s="1"/>
  <c r="D3761" i="1"/>
  <c r="D3762" i="1" s="1"/>
  <c r="D3763" i="1"/>
  <c r="D3765" i="1"/>
  <c r="D3766" i="1"/>
  <c r="D3768" i="1"/>
  <c r="D3769" i="1" s="1"/>
  <c r="D3770" i="1" s="1"/>
  <c r="D3771" i="1" s="1"/>
  <c r="D3773" i="1"/>
  <c r="D3774" i="1"/>
  <c r="D3775" i="1"/>
  <c r="D3776" i="1" s="1"/>
  <c r="D3779" i="1"/>
  <c r="D3781" i="1"/>
  <c r="D3782" i="1"/>
  <c r="D3783" i="1" s="1"/>
  <c r="D3784" i="1"/>
  <c r="D3785" i="1" s="1"/>
  <c r="D3786" i="1" s="1"/>
  <c r="D3787" i="1" s="1"/>
  <c r="D3791" i="1"/>
  <c r="D3792" i="1"/>
  <c r="D3793" i="1"/>
  <c r="D3796" i="1"/>
  <c r="D3798" i="1"/>
  <c r="D3799" i="1" s="1"/>
  <c r="D3801" i="1"/>
  <c r="D3802" i="1"/>
  <c r="D3804" i="1"/>
  <c r="D3805" i="1" s="1"/>
  <c r="D3807" i="1"/>
  <c r="D3810" i="1"/>
  <c r="D3811" i="1"/>
  <c r="D3813" i="1"/>
  <c r="D3816" i="1"/>
  <c r="D3817" i="1"/>
  <c r="D3819" i="1"/>
  <c r="D3820" i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3" i="1"/>
  <c r="D3834" i="1" s="1"/>
  <c r="D3835" i="1" s="1"/>
  <c r="D3836" i="1" s="1"/>
  <c r="D3837" i="1" s="1"/>
  <c r="D3838" i="1" s="1"/>
  <c r="D3839" i="1" s="1"/>
  <c r="D3840" i="1" s="1"/>
  <c r="D3841" i="1" s="1"/>
  <c r="D3843" i="1"/>
  <c r="D3844" i="1" s="1"/>
  <c r="D3845" i="1" s="1"/>
  <c r="D3846" i="1" s="1"/>
  <c r="D3847" i="1"/>
  <c r="D3848" i="1"/>
  <c r="D3849" i="1"/>
  <c r="D3850" i="1" s="1"/>
  <c r="D3851" i="1" s="1"/>
  <c r="D3853" i="1"/>
  <c r="D3855" i="1"/>
  <c r="D3856" i="1"/>
  <c r="D3857" i="1"/>
  <c r="D3858" i="1" s="1"/>
  <c r="D3859" i="1" s="1"/>
  <c r="D3861" i="1"/>
  <c r="D3862" i="1"/>
  <c r="D3864" i="1"/>
  <c r="D3865" i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7" i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9" i="1"/>
  <c r="D3890" i="1"/>
  <c r="D3891" i="1" s="1"/>
  <c r="D3892" i="1" s="1"/>
  <c r="D3894" i="1"/>
  <c r="D3895" i="1" s="1"/>
  <c r="D3896" i="1"/>
  <c r="D3897" i="1" s="1"/>
  <c r="D3898" i="1" s="1"/>
  <c r="D3899" i="1" s="1"/>
  <c r="D3900" i="1"/>
  <c r="D3901" i="1"/>
  <c r="D3902" i="1" s="1"/>
  <c r="D3903" i="1" s="1"/>
  <c r="D3904" i="1" s="1"/>
  <c r="D3905" i="1" s="1"/>
  <c r="D3906" i="1" s="1"/>
  <c r="D3907" i="1" s="1"/>
  <c r="D3908" i="1" s="1"/>
  <c r="D3909" i="1" s="1"/>
  <c r="D3911" i="1"/>
  <c r="D3912" i="1"/>
  <c r="D3913" i="1" s="1"/>
  <c r="D3914" i="1" s="1"/>
  <c r="D3915" i="1" s="1"/>
  <c r="D3916" i="1"/>
  <c r="D3917" i="1" s="1"/>
  <c r="D3918" i="1" s="1"/>
  <c r="D3919" i="1" s="1"/>
  <c r="D3920" i="1" s="1"/>
  <c r="D3921" i="1" s="1"/>
  <c r="D3922" i="1" s="1"/>
  <c r="D3923" i="1" s="1"/>
  <c r="D3924" i="1" s="1"/>
  <c r="D3926" i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41" i="1"/>
  <c r="D3942" i="1"/>
  <c r="D3946" i="1"/>
  <c r="D3947" i="1" s="1"/>
  <c r="D3949" i="1"/>
  <c r="D3950" i="1" s="1"/>
  <c r="D3953" i="1"/>
  <c r="D3954" i="1"/>
  <c r="D3955" i="1" s="1"/>
  <c r="D3956" i="1"/>
  <c r="D3957" i="1"/>
  <c r="D3958" i="1" s="1"/>
  <c r="D3959" i="1" s="1"/>
  <c r="D3960" i="1" s="1"/>
  <c r="D3961" i="1" s="1"/>
  <c r="D3962" i="1" s="1"/>
  <c r="D3963" i="1" s="1"/>
  <c r="D3965" i="1"/>
  <c r="D3966" i="1" s="1"/>
  <c r="D3967" i="1"/>
  <c r="D3968" i="1" s="1"/>
  <c r="D3969" i="1" s="1"/>
  <c r="D3970" i="1" s="1"/>
  <c r="D3971" i="1"/>
  <c r="D3973" i="1"/>
  <c r="D3974" i="1"/>
  <c r="D3975" i="1"/>
  <c r="D3976" i="1" s="1"/>
  <c r="D3977" i="1" s="1"/>
  <c r="D3980" i="1"/>
  <c r="D3982" i="1"/>
  <c r="D3984" i="1"/>
  <c r="D3985" i="1"/>
  <c r="D3986" i="1" s="1"/>
  <c r="D3988" i="1"/>
  <c r="D3990" i="1"/>
  <c r="D3991" i="1"/>
  <c r="D3995" i="1"/>
  <c r="D3996" i="1"/>
  <c r="D3997" i="1" s="1"/>
  <c r="D3998" i="1" s="1"/>
  <c r="D3999" i="1" s="1"/>
  <c r="D4000" i="1" s="1"/>
  <c r="D4001" i="1" s="1"/>
  <c r="D4004" i="1"/>
  <c r="D4006" i="1"/>
  <c r="D4007" i="1" s="1"/>
  <c r="D4008" i="1" s="1"/>
  <c r="D4009" i="1" s="1"/>
  <c r="D4010" i="1" s="1"/>
  <c r="D4012" i="1"/>
  <c r="D4013" i="1"/>
  <c r="D4014" i="1" s="1"/>
  <c r="D4015" i="1" s="1"/>
  <c r="D4016" i="1" s="1"/>
  <c r="D4019" i="1"/>
  <c r="D4020" i="1" s="1"/>
  <c r="D4022" i="1"/>
  <c r="D4023" i="1" s="1"/>
  <c r="D4024" i="1"/>
  <c r="D4029" i="1"/>
  <c r="D4032" i="1"/>
  <c r="D4033" i="1"/>
  <c r="D4035" i="1"/>
  <c r="D4036" i="1" s="1"/>
  <c r="D4045" i="1"/>
  <c r="D4046" i="1" s="1"/>
  <c r="D4047" i="1" s="1"/>
  <c r="D4050" i="1"/>
  <c r="D4051" i="1"/>
  <c r="D4053" i="1"/>
  <c r="D4054" i="1" s="1"/>
  <c r="D4055" i="1" s="1"/>
  <c r="D4056" i="1" s="1"/>
  <c r="D4057" i="1" s="1"/>
  <c r="D4058" i="1" s="1"/>
  <c r="D4060" i="1"/>
  <c r="D4061" i="1" s="1"/>
  <c r="D4064" i="1"/>
  <c r="D4067" i="1"/>
  <c r="D4068" i="1" s="1"/>
  <c r="D4069" i="1"/>
  <c r="D4071" i="1"/>
  <c r="D4073" i="1"/>
  <c r="D4075" i="1"/>
  <c r="D4076" i="1" s="1"/>
  <c r="D4077" i="1"/>
  <c r="D4080" i="1"/>
  <c r="D4081" i="1" s="1"/>
  <c r="D4083" i="1"/>
  <c r="D4084" i="1" s="1"/>
  <c r="D4085" i="1"/>
  <c r="D4086" i="1" s="1"/>
  <c r="D4087" i="1" s="1"/>
  <c r="D4088" i="1" s="1"/>
  <c r="D4089" i="1"/>
  <c r="D4090" i="1"/>
  <c r="D4092" i="1"/>
  <c r="D4093" i="1" s="1"/>
  <c r="D4094" i="1" s="1"/>
  <c r="D4095" i="1" s="1"/>
  <c r="D4100" i="1"/>
  <c r="D4101" i="1" s="1"/>
  <c r="D4106" i="1"/>
  <c r="D4107" i="1" s="1"/>
  <c r="D4108" i="1" s="1"/>
  <c r="D4111" i="1"/>
  <c r="D4112" i="1"/>
  <c r="D4113" i="1" s="1"/>
  <c r="D4114" i="1"/>
  <c r="D4116" i="1"/>
  <c r="D4117" i="1" s="1"/>
  <c r="D4118" i="1" s="1"/>
  <c r="D4119" i="1" s="1"/>
  <c r="D4121" i="1"/>
  <c r="D4123" i="1"/>
  <c r="D4124" i="1"/>
  <c r="D4125" i="1" s="1"/>
  <c r="D4126" i="1" s="1"/>
  <c r="D4129" i="1"/>
  <c r="D4131" i="1"/>
  <c r="D4133" i="1"/>
  <c r="D4134" i="1" s="1"/>
  <c r="D4135" i="1"/>
  <c r="D4136" i="1" s="1"/>
  <c r="D4137" i="1" s="1"/>
  <c r="D4139" i="1"/>
  <c r="D4142" i="1"/>
  <c r="D4145" i="1"/>
  <c r="D4147" i="1"/>
  <c r="D4149" i="1"/>
  <c r="D4153" i="1"/>
  <c r="D4154" i="1" s="1"/>
  <c r="D4155" i="1" s="1"/>
  <c r="D4156" i="1" s="1"/>
  <c r="D4157" i="1" s="1"/>
  <c r="D4158" i="1" s="1"/>
  <c r="D4159" i="1" s="1"/>
  <c r="D4160" i="1" s="1"/>
  <c r="D4161" i="1" s="1"/>
  <c r="D4163" i="1"/>
  <c r="D4167" i="1"/>
  <c r="D4168" i="1" s="1"/>
  <c r="D4169" i="1" s="1"/>
  <c r="D4170" i="1" s="1"/>
  <c r="D4174" i="1"/>
  <c r="D4175" i="1"/>
  <c r="D4178" i="1"/>
  <c r="D4179" i="1" s="1"/>
  <c r="D4183" i="1"/>
  <c r="D4186" i="1"/>
  <c r="D4187" i="1"/>
  <c r="D4189" i="1"/>
  <c r="D4190" i="1"/>
  <c r="D4191" i="1"/>
  <c r="D4192" i="1" s="1"/>
  <c r="D4194" i="1"/>
  <c r="D4196" i="1"/>
  <c r="D4198" i="1"/>
  <c r="D4201" i="1"/>
  <c r="D4202" i="1" s="1"/>
  <c r="D4203" i="1" s="1"/>
  <c r="D4204" i="1" s="1"/>
  <c r="D4205" i="1" s="1"/>
  <c r="D4206" i="1" s="1"/>
  <c r="D4208" i="1"/>
  <c r="D4209" i="1"/>
  <c r="D4210" i="1" s="1"/>
  <c r="D4211" i="1"/>
  <c r="D4212" i="1" s="1"/>
  <c r="D4213" i="1" s="1"/>
  <c r="D4214" i="1" s="1"/>
  <c r="D4215" i="1" s="1"/>
  <c r="D4216" i="1" s="1"/>
  <c r="D4218" i="1"/>
  <c r="D4219" i="1"/>
  <c r="D4220" i="1" s="1"/>
  <c r="D4221" i="1" s="1"/>
  <c r="D4222" i="1" s="1"/>
  <c r="D4224" i="1"/>
  <c r="D4225" i="1" s="1"/>
  <c r="D4226" i="1"/>
  <c r="D4227" i="1" s="1"/>
  <c r="D4228" i="1" s="1"/>
  <c r="D4229" i="1" s="1"/>
  <c r="D4230" i="1" s="1"/>
  <c r="D4231" i="1" s="1"/>
  <c r="D4233" i="1"/>
  <c r="D4234" i="1" s="1"/>
  <c r="D4235" i="1" s="1"/>
  <c r="D4236" i="1" s="1"/>
  <c r="D4237" i="1" s="1"/>
  <c r="D4238" i="1" s="1"/>
  <c r="D4239" i="1" s="1"/>
  <c r="D4241" i="1"/>
  <c r="D4242" i="1"/>
  <c r="D4243" i="1"/>
  <c r="D4244" i="1" s="1"/>
  <c r="D4245" i="1" s="1"/>
  <c r="D4246" i="1" s="1"/>
  <c r="D4247" i="1" s="1"/>
  <c r="D4248" i="1" s="1"/>
  <c r="D4249" i="1" s="1"/>
  <c r="D4250" i="1" s="1"/>
  <c r="D4254" i="1"/>
  <c r="D4255" i="1"/>
  <c r="D4256" i="1"/>
  <c r="D4258" i="1"/>
  <c r="D4259" i="1"/>
  <c r="D4262" i="1"/>
  <c r="D4264" i="1"/>
  <c r="D4267" i="1"/>
  <c r="D4268" i="1" s="1"/>
  <c r="D4269" i="1" s="1"/>
  <c r="D4270" i="1" s="1"/>
  <c r="D4272" i="1"/>
  <c r="D4274" i="1"/>
  <c r="D4275" i="1"/>
  <c r="D4278" i="1"/>
  <c r="D4279" i="1"/>
  <c r="D4280" i="1" s="1"/>
  <c r="D4281" i="1" s="1"/>
  <c r="D4283" i="1"/>
  <c r="D4284" i="1"/>
  <c r="D4285" i="1" s="1"/>
  <c r="D4286" i="1" s="1"/>
  <c r="D4287" i="1" s="1"/>
  <c r="D4288" i="1" s="1"/>
  <c r="D4289" i="1"/>
  <c r="D4290" i="1"/>
  <c r="D4291" i="1" s="1"/>
  <c r="D4292" i="1" s="1"/>
  <c r="D4293" i="1" s="1"/>
  <c r="D4295" i="1"/>
  <c r="D4296" i="1"/>
  <c r="D4297" i="1" s="1"/>
  <c r="D4298" i="1" s="1"/>
  <c r="D4300" i="1"/>
  <c r="D4301" i="1" s="1"/>
  <c r="D4307" i="1"/>
  <c r="D4309" i="1"/>
  <c r="D4310" i="1"/>
  <c r="D4311" i="1"/>
  <c r="D4314" i="1"/>
  <c r="D4316" i="1"/>
  <c r="D4318" i="1"/>
  <c r="D4323" i="1"/>
  <c r="D4324" i="1"/>
  <c r="D4327" i="1"/>
  <c r="D4329" i="1"/>
  <c r="D4330" i="1" s="1"/>
  <c r="D4332" i="1"/>
  <c r="D4333" i="1"/>
  <c r="D4334" i="1"/>
  <c r="D4335" i="1"/>
  <c r="D4336" i="1"/>
  <c r="D4337" i="1"/>
  <c r="D4339" i="1"/>
  <c r="D4340" i="1"/>
  <c r="D4342" i="1"/>
  <c r="D4343" i="1" s="1"/>
  <c r="D4344" i="1" s="1"/>
  <c r="D4345" i="1" s="1"/>
  <c r="D4346" i="1" s="1"/>
  <c r="D4349" i="1"/>
  <c r="D4351" i="1"/>
  <c r="D4353" i="1"/>
  <c r="D4354" i="1"/>
  <c r="D4355" i="1" s="1"/>
  <c r="D4356" i="1" s="1"/>
  <c r="D4357" i="1" s="1"/>
  <c r="D4359" i="1"/>
  <c r="D4360" i="1" s="1"/>
  <c r="D4363" i="1"/>
  <c r="D4364" i="1" s="1"/>
  <c r="D4365" i="1" s="1"/>
  <c r="D4366" i="1"/>
  <c r="D4367" i="1" s="1"/>
  <c r="D4371" i="1"/>
  <c r="D4373" i="1"/>
  <c r="D4375" i="1"/>
  <c r="D4376" i="1" s="1"/>
  <c r="D4377" i="1" s="1"/>
  <c r="D4380" i="1"/>
  <c r="D4381" i="1" s="1"/>
  <c r="D4382" i="1" s="1"/>
  <c r="D4386" i="1"/>
  <c r="D4389" i="1"/>
  <c r="D4390" i="1"/>
  <c r="D4391" i="1"/>
  <c r="D4395" i="1"/>
  <c r="D4397" i="1"/>
  <c r="D4406" i="1"/>
  <c r="D4407" i="1" s="1"/>
  <c r="D4409" i="1"/>
  <c r="D4410" i="1"/>
  <c r="D4411" i="1" s="1"/>
  <c r="D4412" i="1" s="1"/>
  <c r="D4413" i="1" s="1"/>
  <c r="D4414" i="1" s="1"/>
  <c r="D4416" i="1"/>
  <c r="D4418" i="1"/>
  <c r="D4419" i="1" s="1"/>
  <c r="D4420" i="1" s="1"/>
  <c r="D4421" i="1" s="1"/>
  <c r="D4422" i="1" s="1"/>
  <c r="D4423" i="1" s="1"/>
  <c r="D4425" i="1"/>
  <c r="D4427" i="1"/>
  <c r="D4429" i="1"/>
  <c r="D4430" i="1" s="1"/>
  <c r="D4431" i="1" s="1"/>
  <c r="D4432" i="1" s="1"/>
  <c r="D4433" i="1" s="1"/>
  <c r="D4434" i="1" s="1"/>
  <c r="D4435" i="1" s="1"/>
  <c r="D4436" i="1" s="1"/>
  <c r="D4437" i="1" s="1"/>
  <c r="D4438" i="1" s="1"/>
  <c r="D4440" i="1"/>
  <c r="D4441" i="1" s="1"/>
  <c r="D4443" i="1"/>
  <c r="D4444" i="1" s="1"/>
  <c r="D4445" i="1" s="1"/>
  <c r="D4446" i="1"/>
  <c r="D4451" i="1"/>
  <c r="D4453" i="1"/>
  <c r="D4455" i="1"/>
  <c r="D4459" i="1"/>
  <c r="D4460" i="1" s="1"/>
  <c r="D4461" i="1" s="1"/>
  <c r="D4465" i="1"/>
  <c r="D4466" i="1" s="1"/>
  <c r="D4467" i="1" s="1"/>
  <c r="D4468" i="1" s="1"/>
  <c r="D4470" i="1"/>
  <c r="D4472" i="1"/>
  <c r="D4473" i="1" s="1"/>
  <c r="D4474" i="1" s="1"/>
  <c r="D4475" i="1" s="1"/>
  <c r="D4476" i="1" s="1"/>
  <c r="D4477" i="1" s="1"/>
  <c r="D4478" i="1" s="1"/>
  <c r="D4479" i="1" s="1"/>
  <c r="D4480" i="1" s="1"/>
  <c r="D4481" i="1" s="1"/>
  <c r="D4482" i="1" s="1"/>
  <c r="D4484" i="1"/>
  <c r="D4485" i="1"/>
  <c r="D4486" i="1" s="1"/>
  <c r="D4487" i="1" s="1"/>
  <c r="D4488" i="1" s="1"/>
  <c r="D4489" i="1" s="1"/>
  <c r="D4490" i="1" s="1"/>
  <c r="D4491" i="1" s="1"/>
  <c r="D4493" i="1"/>
  <c r="D4494" i="1" s="1"/>
  <c r="D4496" i="1"/>
  <c r="D4497" i="1" s="1"/>
  <c r="D4498" i="1" s="1"/>
  <c r="D4499" i="1"/>
  <c r="D4502" i="1"/>
  <c r="D4504" i="1"/>
  <c r="D4505" i="1"/>
  <c r="D4506" i="1" s="1"/>
  <c r="D4507" i="1" s="1"/>
  <c r="D4508" i="1" s="1"/>
  <c r="D4510" i="1"/>
  <c r="D4511" i="1" s="1"/>
  <c r="D4512" i="1" s="1"/>
  <c r="D4513" i="1" s="1"/>
  <c r="D4514" i="1" s="1"/>
  <c r="D4515" i="1"/>
  <c r="D4517" i="1"/>
  <c r="D4518" i="1" s="1"/>
  <c r="D4519" i="1" s="1"/>
  <c r="D4520" i="1" s="1"/>
  <c r="D4523" i="1"/>
  <c r="D4525" i="1"/>
  <c r="D4526" i="1"/>
  <c r="D4527" i="1" s="1"/>
  <c r="D4528" i="1" s="1"/>
  <c r="D4529" i="1" s="1"/>
  <c r="D4530" i="1" s="1"/>
  <c r="D4531" i="1"/>
  <c r="D4532" i="1" s="1"/>
  <c r="D4533" i="1" s="1"/>
  <c r="D4535" i="1"/>
  <c r="D4536" i="1"/>
  <c r="D4537" i="1" s="1"/>
  <c r="D4539" i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4" i="1"/>
  <c r="D4555" i="1" s="1"/>
  <c r="D4556" i="1" s="1"/>
  <c r="D4557" i="1" s="1"/>
  <c r="D4558" i="1"/>
  <c r="D4559" i="1"/>
  <c r="D4560" i="1" s="1"/>
  <c r="D4561" i="1" s="1"/>
  <c r="D4562" i="1" s="1"/>
  <c r="D4564" i="1"/>
  <c r="D4565" i="1"/>
  <c r="D4566" i="1"/>
  <c r="D4567" i="1" s="1"/>
  <c r="D4568" i="1" s="1"/>
  <c r="D4569" i="1" s="1"/>
  <c r="D4570" i="1" s="1"/>
  <c r="D4571" i="1"/>
  <c r="D4572" i="1"/>
  <c r="D4573" i="1" s="1"/>
  <c r="D4575" i="1"/>
  <c r="D4576" i="1"/>
  <c r="D4577" i="1" s="1"/>
  <c r="D4578" i="1"/>
  <c r="D4579" i="1" s="1"/>
  <c r="D4580" i="1" s="1"/>
  <c r="D4581" i="1" s="1"/>
  <c r="D4582" i="1" s="1"/>
  <c r="D4583" i="1" s="1"/>
  <c r="D4584" i="1" s="1"/>
  <c r="D4585" i="1" s="1"/>
  <c r="D4586" i="1" s="1"/>
  <c r="D4588" i="1"/>
  <c r="D4589" i="1"/>
  <c r="D4590" i="1" s="1"/>
  <c r="D4591" i="1"/>
  <c r="D4592" i="1"/>
  <c r="D4593" i="1" s="1"/>
  <c r="D4594" i="1" s="1"/>
  <c r="D4595" i="1" s="1"/>
  <c r="D4596" i="1" s="1"/>
  <c r="D4597" i="1" s="1"/>
  <c r="D4598" i="1" s="1"/>
  <c r="D4599" i="1" s="1"/>
  <c r="D4601" i="1"/>
  <c r="D4602" i="1" s="1"/>
  <c r="D4603" i="1" s="1"/>
  <c r="D4604" i="1" s="1"/>
  <c r="D4605" i="1" s="1"/>
  <c r="D4606" i="1" s="1"/>
  <c r="D4607" i="1" s="1"/>
  <c r="D4608" i="1" s="1"/>
  <c r="D4610" i="1"/>
  <c r="D4611" i="1"/>
  <c r="D4612" i="1"/>
  <c r="D4613" i="1"/>
  <c r="D4614" i="1"/>
  <c r="D4615" i="1" s="1"/>
  <c r="D4616" i="1" s="1"/>
  <c r="D4617" i="1" s="1"/>
  <c r="D4618" i="1" s="1"/>
  <c r="D4620" i="1"/>
  <c r="D4621" i="1" s="1"/>
  <c r="D4622" i="1" s="1"/>
  <c r="D4623" i="1" s="1"/>
  <c r="D4624" i="1" s="1"/>
  <c r="D4625" i="1" s="1"/>
  <c r="D4627" i="1"/>
  <c r="D4628" i="1" s="1"/>
  <c r="D4629" i="1" s="1"/>
  <c r="D4630" i="1" s="1"/>
  <c r="D4631" i="1" s="1"/>
  <c r="D4632" i="1" s="1"/>
  <c r="D4633" i="1" s="1"/>
  <c r="D4635" i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9" i="1"/>
  <c r="D4650" i="1"/>
  <c r="D4651" i="1"/>
  <c r="D4652" i="1"/>
  <c r="D4653" i="1"/>
  <c r="D4654" i="1" s="1"/>
  <c r="D4655" i="1" s="1"/>
  <c r="D4656" i="1" s="1"/>
  <c r="D4657" i="1" s="1"/>
  <c r="D4658" i="1" s="1"/>
  <c r="D4659" i="1" s="1"/>
  <c r="D4660" i="1" s="1"/>
  <c r="D4662" i="1"/>
  <c r="D4663" i="1"/>
  <c r="D4664" i="1"/>
  <c r="D4665" i="1" s="1"/>
  <c r="D4666" i="1" s="1"/>
  <c r="D4667" i="1" s="1"/>
  <c r="D4668" i="1" s="1"/>
  <c r="D4669" i="1" s="1"/>
  <c r="D4670" i="1" s="1"/>
  <c r="D4671" i="1" s="1"/>
  <c r="D4673" i="1"/>
  <c r="D4674" i="1"/>
  <c r="D4675" i="1" s="1"/>
  <c r="D4676" i="1" s="1"/>
  <c r="D4677" i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90" i="1"/>
  <c r="D4691" i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6" i="1"/>
  <c r="D4707" i="1"/>
  <c r="D4708" i="1" s="1"/>
  <c r="D4709" i="1"/>
  <c r="D4710" i="1"/>
  <c r="D4711" i="1" s="1"/>
  <c r="D4712" i="1" s="1"/>
  <c r="D4713" i="1" s="1"/>
  <c r="D4714" i="1" s="1"/>
  <c r="D4715" i="1" s="1"/>
  <c r="D4716" i="1" s="1"/>
  <c r="D4718" i="1"/>
  <c r="D4719" i="1"/>
  <c r="D4721" i="1"/>
  <c r="D4722" i="1" s="1"/>
  <c r="D4723" i="1" s="1"/>
  <c r="D4724" i="1" s="1"/>
  <c r="D4726" i="1"/>
  <c r="D4729" i="1"/>
  <c r="D4730" i="1" s="1"/>
  <c r="D4733" i="1"/>
  <c r="D4734" i="1"/>
  <c r="D4735" i="1"/>
  <c r="D4736" i="1" s="1"/>
  <c r="D4737" i="1" s="1"/>
  <c r="D4738" i="1" s="1"/>
  <c r="D4739" i="1" s="1"/>
  <c r="D4740" i="1" s="1"/>
  <c r="D4741" i="1" s="1"/>
  <c r="D4743" i="1"/>
  <c r="D4744" i="1" s="1"/>
  <c r="D4745" i="1" s="1"/>
  <c r="D4746" i="1" s="1"/>
  <c r="D4750" i="1"/>
  <c r="D4751" i="1" s="1"/>
  <c r="D4752" i="1" s="1"/>
  <c r="D4755" i="1"/>
  <c r="D4756" i="1"/>
  <c r="D4757" i="1" s="1"/>
  <c r="D4759" i="1"/>
  <c r="D4761" i="1"/>
  <c r="D4763" i="1"/>
  <c r="D4764" i="1" s="1"/>
  <c r="D4765" i="1" s="1"/>
  <c r="D4767" i="1"/>
  <c r="D4770" i="1"/>
  <c r="D4771" i="1" s="1"/>
  <c r="D4773" i="1"/>
  <c r="D4775" i="1"/>
  <c r="D4776" i="1" s="1"/>
  <c r="D4777" i="1" s="1"/>
  <c r="D4778" i="1" s="1"/>
  <c r="D4779" i="1" s="1"/>
  <c r="D4780" i="1" s="1"/>
  <c r="D4783" i="1"/>
  <c r="D4787" i="1"/>
  <c r="D4788" i="1"/>
  <c r="D4790" i="1"/>
  <c r="D4792" i="1"/>
  <c r="D4793" i="1"/>
  <c r="D4799" i="1"/>
  <c r="D4800" i="1" s="1"/>
  <c r="D4801" i="1" s="1"/>
  <c r="D4803" i="1"/>
  <c r="D4807" i="1"/>
  <c r="D4809" i="1"/>
  <c r="D4810" i="1" s="1"/>
  <c r="D4811" i="1" s="1"/>
  <c r="D4812" i="1" s="1"/>
  <c r="D4813" i="1"/>
  <c r="D4814" i="1"/>
  <c r="D4815" i="1"/>
  <c r="D4816" i="1" s="1"/>
  <c r="D4817" i="1" s="1"/>
  <c r="D4818" i="1" s="1"/>
  <c r="D4819" i="1" s="1"/>
  <c r="D4821" i="1"/>
  <c r="D4822" i="1" s="1"/>
  <c r="D4823" i="1" s="1"/>
  <c r="D4824" i="1" s="1"/>
  <c r="D4825" i="1" s="1"/>
  <c r="D4826" i="1" s="1"/>
  <c r="D4827" i="1" s="1"/>
  <c r="D4828" i="1" s="1"/>
  <c r="D4830" i="1"/>
  <c r="D4831" i="1"/>
  <c r="D4832" i="1" s="1"/>
  <c r="D4833" i="1"/>
  <c r="D4834" i="1"/>
  <c r="D4835" i="1" s="1"/>
  <c r="D4837" i="1"/>
  <c r="D4838" i="1" s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9" i="1"/>
  <c r="D4851" i="1"/>
  <c r="D4852" i="1" s="1"/>
  <c r="D4853" i="1" s="1"/>
  <c r="D4854" i="1"/>
  <c r="D4856" i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1" i="1"/>
  <c r="D4872" i="1"/>
  <c r="D4873" i="1"/>
  <c r="D4874" i="1" s="1"/>
  <c r="D4875" i="1" s="1"/>
  <c r="D4876" i="1" s="1"/>
  <c r="D4877" i="1" s="1"/>
  <c r="D4878" i="1" s="1"/>
  <c r="D4880" i="1"/>
  <c r="D4881" i="1"/>
  <c r="D4882" i="1" s="1"/>
  <c r="D4883" i="1" s="1"/>
  <c r="D4884" i="1" s="1"/>
  <c r="D4885" i="1" s="1"/>
  <c r="D4886" i="1" s="1"/>
  <c r="D4888" i="1"/>
  <c r="D4889" i="1"/>
  <c r="D4890" i="1" s="1"/>
  <c r="D4891" i="1" s="1"/>
  <c r="D4892" i="1" s="1"/>
  <c r="D4893" i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5" i="1"/>
  <c r="D4906" i="1"/>
  <c r="D4907" i="1"/>
  <c r="D4908" i="1"/>
  <c r="D4909" i="1" s="1"/>
  <c r="D4910" i="1" s="1"/>
  <c r="D4911" i="1" s="1"/>
  <c r="D4912" i="1" s="1"/>
  <c r="D4913" i="1" s="1"/>
  <c r="D4914" i="1" s="1"/>
  <c r="D4915" i="1" s="1"/>
  <c r="D4916" i="1" s="1"/>
  <c r="D4917" i="1" s="1"/>
  <c r="D4918" i="1" s="1"/>
  <c r="D4920" i="1"/>
  <c r="D4921" i="1"/>
  <c r="D4922" i="1"/>
  <c r="D4923" i="1"/>
  <c r="D4924" i="1"/>
  <c r="D4925" i="1" s="1"/>
  <c r="D4926" i="1" s="1"/>
  <c r="D4927" i="1" s="1"/>
  <c r="D4928" i="1" s="1"/>
  <c r="D4929" i="1" s="1"/>
  <c r="D4930" i="1" s="1"/>
  <c r="D4932" i="1"/>
  <c r="D4933" i="1" s="1"/>
  <c r="D4935" i="1"/>
  <c r="D4938" i="1"/>
  <c r="D4941" i="1"/>
  <c r="D4942" i="1"/>
  <c r="D4943" i="1"/>
  <c r="D4944" i="1"/>
  <c r="D4945" i="1"/>
  <c r="D4947" i="1"/>
  <c r="D4949" i="1"/>
  <c r="D4950" i="1" s="1"/>
  <c r="D4952" i="1"/>
  <c r="D4953" i="1"/>
  <c r="D4956" i="1"/>
  <c r="D4957" i="1" s="1"/>
  <c r="D4959" i="1"/>
  <c r="D4960" i="1" s="1"/>
  <c r="D4961" i="1" s="1"/>
  <c r="D4962" i="1" s="1"/>
  <c r="D4963" i="1" s="1"/>
  <c r="D4964" i="1" s="1"/>
  <c r="D4966" i="1"/>
  <c r="D4967" i="1" s="1"/>
  <c r="D4968" i="1" s="1"/>
  <c r="D4970" i="1"/>
  <c r="D4971" i="1"/>
  <c r="D4973" i="1"/>
  <c r="D4975" i="1"/>
  <c r="D4976" i="1" s="1"/>
  <c r="D4977" i="1" s="1"/>
  <c r="D4979" i="1"/>
  <c r="D4980" i="1"/>
  <c r="D4981" i="1" s="1"/>
  <c r="D4983" i="1"/>
  <c r="D4984" i="1" s="1"/>
  <c r="D4990" i="1"/>
  <c r="D4992" i="1"/>
  <c r="D4997" i="1"/>
  <c r="D4998" i="1" s="1"/>
  <c r="D4999" i="1" s="1"/>
  <c r="D5001" i="1"/>
  <c r="D5002" i="1" s="1"/>
  <c r="D5003" i="1" s="1"/>
  <c r="D5004" i="1" s="1"/>
  <c r="D5005" i="1" s="1"/>
  <c r="D5006" i="1" s="1"/>
  <c r="D5007" i="1" s="1"/>
  <c r="D5008" i="1" s="1"/>
  <c r="D5009" i="1" s="1"/>
  <c r="D5010" i="1" s="1"/>
  <c r="D5012" i="1"/>
  <c r="D5013" i="1"/>
  <c r="D5015" i="1"/>
  <c r="D5016" i="1" s="1"/>
  <c r="D5017" i="1" s="1"/>
  <c r="D5019" i="1"/>
  <c r="D5020" i="1" s="1"/>
  <c r="D5021" i="1" s="1"/>
  <c r="D5022" i="1" s="1"/>
  <c r="D5023" i="1" s="1"/>
  <c r="D5024" i="1" s="1"/>
  <c r="D5025" i="1" s="1"/>
  <c r="D5026" i="1" s="1"/>
  <c r="D5028" i="1"/>
  <c r="D5029" i="1"/>
  <c r="D5030" i="1"/>
  <c r="D5031" i="1"/>
  <c r="D5032" i="1" s="1"/>
  <c r="D5033" i="1" s="1"/>
  <c r="D5035" i="1"/>
  <c r="D5036" i="1" s="1"/>
  <c r="D5037" i="1"/>
  <c r="D5038" i="1"/>
  <c r="D5039" i="1" s="1"/>
  <c r="D5041" i="1"/>
  <c r="D5042" i="1"/>
  <c r="D5043" i="1" s="1"/>
  <c r="D5044" i="1" s="1"/>
  <c r="D5045" i="1" s="1"/>
  <c r="D5046" i="1" s="1"/>
  <c r="D5047" i="1" s="1"/>
  <c r="D5048" i="1" s="1"/>
  <c r="D5049" i="1" s="1"/>
  <c r="D5050" i="1" s="1"/>
  <c r="D5051" i="1" s="1"/>
  <c r="D5053" i="1"/>
  <c r="D5054" i="1"/>
  <c r="D5055" i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66" i="1" s="1"/>
  <c r="D5068" i="1"/>
  <c r="D5069" i="1" s="1"/>
  <c r="D5070" i="1" s="1"/>
  <c r="D5071" i="1" s="1"/>
  <c r="D5072" i="1" s="1"/>
  <c r="D5073" i="1" s="1"/>
  <c r="D5074" i="1" s="1"/>
  <c r="D5075" i="1" s="1"/>
  <c r="D5076" i="1" s="1"/>
  <c r="D5077" i="1" s="1"/>
  <c r="D5083" i="1"/>
  <c r="D5084" i="1"/>
  <c r="D5089" i="1"/>
  <c r="D5090" i="1"/>
  <c r="D5091" i="1"/>
  <c r="D5093" i="1"/>
  <c r="D5094" i="1" s="1"/>
  <c r="D5096" i="1"/>
  <c r="D5099" i="1"/>
  <c r="D5100" i="1" s="1"/>
  <c r="D5101" i="1" s="1"/>
  <c r="D5103" i="1"/>
  <c r="D5104" i="1"/>
  <c r="D5105" i="1" s="1"/>
  <c r="D5106" i="1" s="1"/>
  <c r="D5107" i="1" s="1"/>
  <c r="D5110" i="1"/>
  <c r="D5111" i="1"/>
  <c r="D5112" i="1" s="1"/>
  <c r="D5114" i="1"/>
  <c r="D5115" i="1" s="1"/>
  <c r="D5117" i="1"/>
  <c r="D5118" i="1"/>
  <c r="D5119" i="1" s="1"/>
  <c r="D5121" i="1"/>
  <c r="D5122" i="1"/>
  <c r="D5124" i="1"/>
  <c r="D5125" i="1"/>
  <c r="D5130" i="1"/>
  <c r="D5131" i="1"/>
  <c r="D5133" i="1"/>
  <c r="D5134" i="1" s="1"/>
  <c r="D5135" i="1" s="1"/>
  <c r="D5136" i="1" s="1"/>
  <c r="D5137" i="1" s="1"/>
  <c r="D5139" i="1"/>
  <c r="D5140" i="1"/>
  <c r="D5141" i="1"/>
  <c r="D5143" i="1"/>
  <c r="D5144" i="1" s="1"/>
  <c r="D5145" i="1" s="1"/>
  <c r="D5146" i="1" s="1"/>
  <c r="D5148" i="1"/>
  <c r="D5149" i="1" s="1"/>
  <c r="D5150" i="1" s="1"/>
  <c r="D5151" i="1" s="1"/>
  <c r="D5156" i="1"/>
  <c r="D5157" i="1"/>
  <c r="D5159" i="1"/>
  <c r="D5160" i="1" s="1"/>
  <c r="D5161" i="1" s="1"/>
  <c r="D5162" i="1" s="1"/>
  <c r="D5163" i="1" s="1"/>
  <c r="D5166" i="1"/>
  <c r="D5167" i="1" s="1"/>
  <c r="D5169" i="1"/>
  <c r="D5173" i="1"/>
  <c r="D5175" i="1"/>
  <c r="D5178" i="1"/>
  <c r="D5179" i="1"/>
  <c r="D5182" i="1"/>
  <c r="D5183" i="1" s="1"/>
  <c r="D5184" i="1" s="1"/>
  <c r="D5185" i="1" s="1"/>
  <c r="D5190" i="1"/>
  <c r="D5193" i="1"/>
  <c r="D5194" i="1" s="1"/>
  <c r="D5196" i="1"/>
  <c r="D5198" i="1"/>
  <c r="D5199" i="1" s="1"/>
  <c r="D5202" i="1"/>
  <c r="D5203" i="1"/>
  <c r="D5204" i="1"/>
  <c r="D5205" i="1"/>
  <c r="D5206" i="1" s="1"/>
  <c r="D5209" i="1"/>
  <c r="D5211" i="1"/>
  <c r="D5213" i="1"/>
  <c r="D5214" i="1" s="1"/>
  <c r="D5216" i="1"/>
  <c r="D5217" i="1" s="1"/>
  <c r="D5218" i="1" s="1"/>
  <c r="D5219" i="1"/>
  <c r="D5220" i="1" s="1"/>
  <c r="D5222" i="1"/>
  <c r="D5224" i="1"/>
  <c r="D5225" i="1"/>
  <c r="D5226" i="1"/>
  <c r="D5229" i="1"/>
  <c r="D5230" i="1" s="1"/>
  <c r="D5231" i="1" s="1"/>
  <c r="D5232" i="1" s="1"/>
  <c r="D5234" i="1"/>
  <c r="D5235" i="1" s="1"/>
  <c r="D5236" i="1" s="1"/>
  <c r="D5237" i="1" s="1"/>
  <c r="D5239" i="1"/>
  <c r="D5240" i="1" s="1"/>
  <c r="D5241" i="1" s="1"/>
  <c r="D5242" i="1" s="1"/>
  <c r="D5243" i="1" s="1"/>
  <c r="D5245" i="1"/>
  <c r="D5246" i="1" s="1"/>
  <c r="D5247" i="1" s="1"/>
  <c r="D5248" i="1" s="1"/>
  <c r="D5250" i="1"/>
  <c r="D5252" i="1"/>
  <c r="D5253" i="1"/>
  <c r="D5254" i="1" s="1"/>
  <c r="D5256" i="1"/>
  <c r="D5257" i="1"/>
  <c r="D5259" i="1"/>
  <c r="D5260" i="1"/>
  <c r="D5263" i="1"/>
  <c r="D5265" i="1"/>
  <c r="D5266" i="1" s="1"/>
  <c r="D5267" i="1" s="1"/>
  <c r="D5269" i="1"/>
  <c r="D5270" i="1"/>
  <c r="D5271" i="1" s="1"/>
  <c r="D5272" i="1" s="1"/>
  <c r="D5276" i="1"/>
  <c r="D5277" i="1" s="1"/>
  <c r="D5278" i="1" s="1"/>
  <c r="D5279" i="1" s="1"/>
  <c r="D5280" i="1" s="1"/>
  <c r="D5282" i="1"/>
  <c r="D5283" i="1" s="1"/>
  <c r="D5284" i="1" s="1"/>
  <c r="D5285" i="1" s="1"/>
  <c r="D5287" i="1"/>
  <c r="D5291" i="1"/>
  <c r="D5292" i="1"/>
  <c r="D5293" i="1" s="1"/>
  <c r="D5294" i="1" s="1"/>
  <c r="D5295" i="1" s="1"/>
  <c r="D5297" i="1"/>
  <c r="D5298" i="1" s="1"/>
  <c r="D5299" i="1" s="1"/>
  <c r="D5300" i="1" s="1"/>
  <c r="D5302" i="1"/>
  <c r="D5303" i="1" s="1"/>
  <c r="D5304" i="1" s="1"/>
  <c r="D5306" i="1"/>
  <c r="D5307" i="1"/>
  <c r="D5308" i="1"/>
  <c r="D5309" i="1"/>
  <c r="D5310" i="1" s="1"/>
  <c r="D5312" i="1"/>
  <c r="D5314" i="1"/>
  <c r="D5317" i="1"/>
  <c r="D5318" i="1" s="1"/>
  <c r="D5319" i="1" s="1"/>
  <c r="D5321" i="1"/>
  <c r="D5322" i="1"/>
  <c r="D5324" i="1"/>
  <c r="D5325" i="1" s="1"/>
  <c r="D5330" i="1"/>
  <c r="D5332" i="1"/>
  <c r="D5334" i="1"/>
  <c r="D5336" i="1"/>
  <c r="D5337" i="1" s="1"/>
  <c r="D5341" i="1"/>
  <c r="D5342" i="1" s="1"/>
  <c r="D5343" i="1" s="1"/>
  <c r="D5346" i="1"/>
  <c r="D5347" i="1"/>
  <c r="D5349" i="1"/>
  <c r="D5350" i="1" s="1"/>
  <c r="D5351" i="1" s="1"/>
  <c r="D5353" i="1"/>
  <c r="D5354" i="1"/>
  <c r="D5356" i="1"/>
  <c r="D5357" i="1"/>
  <c r="D5358" i="1"/>
  <c r="D5360" i="1"/>
  <c r="D5361" i="1" s="1"/>
  <c r="D5362" i="1" s="1"/>
  <c r="D5365" i="1"/>
  <c r="D5366" i="1"/>
  <c r="D5369" i="1"/>
  <c r="D5371" i="1"/>
  <c r="D5372" i="1" s="1"/>
  <c r="D5377" i="1"/>
  <c r="D5378" i="1" s="1"/>
  <c r="D5379" i="1" s="1"/>
  <c r="D5381" i="1"/>
  <c r="D5382" i="1" s="1"/>
  <c r="D5384" i="1"/>
  <c r="D5385" i="1" s="1"/>
  <c r="D5386" i="1"/>
  <c r="D5387" i="1" s="1"/>
  <c r="D5388" i="1" s="1"/>
  <c r="D5390" i="1"/>
  <c r="D5391" i="1"/>
  <c r="D5394" i="1"/>
  <c r="D5395" i="1" s="1"/>
  <c r="D5397" i="1"/>
  <c r="D5400" i="1"/>
  <c r="D5402" i="1"/>
  <c r="D5404" i="1"/>
  <c r="D5406" i="1"/>
  <c r="D5411" i="1"/>
  <c r="D5412" i="1" s="1"/>
  <c r="D5414" i="1"/>
  <c r="D5415" i="1"/>
  <c r="D5416" i="1"/>
  <c r="D5418" i="1"/>
  <c r="D5419" i="1" s="1"/>
  <c r="D5421" i="1"/>
  <c r="D5422" i="1" s="1"/>
  <c r="D5424" i="1"/>
  <c r="D5427" i="1"/>
  <c r="D5428" i="1" s="1"/>
  <c r="D5429" i="1"/>
  <c r="D5431" i="1"/>
  <c r="D5435" i="1"/>
  <c r="D5436" i="1" s="1"/>
  <c r="D5437" i="1" s="1"/>
  <c r="D5440" i="1"/>
  <c r="D5441" i="1" s="1"/>
  <c r="D5442" i="1" s="1"/>
  <c r="D5443" i="1" s="1"/>
  <c r="D5444" i="1" s="1"/>
  <c r="D5445" i="1" s="1"/>
  <c r="D5449" i="1"/>
  <c r="D5450" i="1"/>
  <c r="D5451" i="1"/>
  <c r="D5452" i="1"/>
  <c r="D5453" i="1"/>
  <c r="D5454" i="1" s="1"/>
  <c r="D5455" i="1" s="1"/>
  <c r="D5456" i="1" s="1"/>
  <c r="D5459" i="1"/>
  <c r="D5460" i="1" s="1"/>
  <c r="D5462" i="1"/>
  <c r="D5466" i="1"/>
  <c r="D5468" i="1"/>
  <c r="D5469" i="1"/>
  <c r="D5470" i="1"/>
  <c r="D5472" i="1"/>
  <c r="D5473" i="1"/>
  <c r="D5474" i="1" s="1"/>
  <c r="D5475" i="1" s="1"/>
  <c r="D5476" i="1" s="1"/>
  <c r="D5478" i="1"/>
  <c r="D5479" i="1" s="1"/>
  <c r="D5482" i="1"/>
  <c r="D5483" i="1" s="1"/>
  <c r="D5484" i="1" s="1"/>
  <c r="D5487" i="1"/>
  <c r="D5488" i="1" s="1"/>
  <c r="D5489" i="1" s="1"/>
  <c r="D5490" i="1" s="1"/>
  <c r="D5491" i="1" s="1"/>
  <c r="D5492" i="1" s="1"/>
  <c r="D5494" i="1"/>
  <c r="D5495" i="1" s="1"/>
  <c r="D5496" i="1" s="1"/>
  <c r="D5498" i="1"/>
  <c r="D5500" i="1"/>
  <c r="D5502" i="1"/>
  <c r="D5505" i="1"/>
  <c r="D5506" i="1" s="1"/>
  <c r="D5508" i="1"/>
  <c r="D5511" i="1"/>
  <c r="D5516" i="1"/>
  <c r="D5520" i="1"/>
  <c r="D5521" i="1" s="1"/>
  <c r="D5522" i="1" s="1"/>
  <c r="D5523" i="1" s="1"/>
  <c r="D5526" i="1"/>
  <c r="D5527" i="1" s="1"/>
  <c r="D5528" i="1" s="1"/>
  <c r="D5529" i="1" s="1"/>
  <c r="D5530" i="1" s="1"/>
  <c r="D5531" i="1" s="1"/>
  <c r="D5534" i="1"/>
  <c r="D5535" i="1"/>
  <c r="D5536" i="1"/>
  <c r="C6" i="1"/>
  <c r="C7" i="1"/>
  <c r="C9" i="1"/>
  <c r="C10" i="1" s="1"/>
  <c r="C11" i="1" s="1"/>
  <c r="C13" i="1"/>
  <c r="C14" i="1"/>
  <c r="C15" i="1"/>
  <c r="C16" i="1"/>
  <c r="C17" i="1"/>
  <c r="C18" i="1" s="1"/>
  <c r="C19" i="1" s="1"/>
  <c r="C20" i="1" s="1"/>
  <c r="C21" i="1" s="1"/>
  <c r="C24" i="1"/>
  <c r="C25" i="1" s="1"/>
  <c r="C26" i="1" s="1"/>
  <c r="C27" i="1"/>
  <c r="C28" i="1" s="1"/>
  <c r="C30" i="1"/>
  <c r="C31" i="1" s="1"/>
  <c r="C32" i="1" s="1"/>
  <c r="C33" i="1" s="1"/>
  <c r="C34" i="1" s="1"/>
  <c r="C36" i="1"/>
  <c r="C37" i="1"/>
  <c r="C38" i="1" s="1"/>
  <c r="C39" i="1" s="1"/>
  <c r="C41" i="1"/>
  <c r="C42" i="1"/>
  <c r="C43" i="1"/>
  <c r="C44" i="1"/>
  <c r="C45" i="1" s="1"/>
  <c r="C46" i="1" s="1"/>
  <c r="C48" i="1"/>
  <c r="C50" i="1"/>
  <c r="C52" i="1"/>
  <c r="C53" i="1"/>
  <c r="C54" i="1" s="1"/>
  <c r="C55" i="1" s="1"/>
  <c r="C56" i="1" s="1"/>
  <c r="C57" i="1" s="1"/>
  <c r="C59" i="1"/>
  <c r="C61" i="1"/>
  <c r="C62" i="1"/>
  <c r="C65" i="1"/>
  <c r="C66" i="1"/>
  <c r="C67" i="1" s="1"/>
  <c r="C68" i="1" s="1"/>
  <c r="C70" i="1"/>
  <c r="C71" i="1" s="1"/>
  <c r="C72" i="1" s="1"/>
  <c r="C74" i="1"/>
  <c r="C75" i="1"/>
  <c r="C76" i="1"/>
  <c r="C77" i="1"/>
  <c r="C78" i="1" s="1"/>
  <c r="C79" i="1" s="1"/>
  <c r="C80" i="1" s="1"/>
  <c r="C81" i="1" s="1"/>
  <c r="C84" i="1"/>
  <c r="C85" i="1"/>
  <c r="C86" i="1" s="1"/>
  <c r="C87" i="1" s="1"/>
  <c r="C88" i="1" s="1"/>
  <c r="C89" i="1" s="1"/>
  <c r="C90" i="1" s="1"/>
  <c r="C92" i="1"/>
  <c r="C93" i="1"/>
  <c r="C94" i="1"/>
  <c r="C97" i="1"/>
  <c r="C98" i="1"/>
  <c r="C99" i="1" s="1"/>
  <c r="C102" i="1"/>
  <c r="C103" i="1" s="1"/>
  <c r="C105" i="1"/>
  <c r="C106" i="1"/>
  <c r="C108" i="1"/>
  <c r="C110" i="1"/>
  <c r="C111" i="1" s="1"/>
  <c r="C112" i="1" s="1"/>
  <c r="C114" i="1"/>
  <c r="C115" i="1"/>
  <c r="C119" i="1"/>
  <c r="C120" i="1" s="1"/>
  <c r="C121" i="1" s="1"/>
  <c r="C122" i="1" s="1"/>
  <c r="C123" i="1" s="1"/>
  <c r="C124" i="1" s="1"/>
  <c r="C125" i="1"/>
  <c r="C126" i="1" s="1"/>
  <c r="C127" i="1" s="1"/>
  <c r="C128" i="1" s="1"/>
  <c r="C129" i="1" s="1"/>
  <c r="C131" i="1"/>
  <c r="C132" i="1" s="1"/>
  <c r="C133" i="1" s="1"/>
  <c r="C134" i="1" s="1"/>
  <c r="C135" i="1" s="1"/>
  <c r="C136" i="1" s="1"/>
  <c r="C137" i="1" s="1"/>
  <c r="C138" i="1" s="1"/>
  <c r="C139" i="1" s="1"/>
  <c r="C141" i="1"/>
  <c r="C142" i="1"/>
  <c r="C143" i="1"/>
  <c r="C144" i="1" s="1"/>
  <c r="C145" i="1" s="1"/>
  <c r="C146" i="1" s="1"/>
  <c r="C147" i="1" s="1"/>
  <c r="C148" i="1" s="1"/>
  <c r="C149" i="1" s="1"/>
  <c r="C150" i="1" s="1"/>
  <c r="C151" i="1" s="1"/>
  <c r="C152" i="1" s="1"/>
  <c r="C153" i="1"/>
  <c r="C154" i="1"/>
  <c r="C155" i="1"/>
  <c r="C156" i="1" s="1"/>
  <c r="C157" i="1" s="1"/>
  <c r="C158" i="1" s="1"/>
  <c r="C161" i="1"/>
  <c r="C162" i="1" s="1"/>
  <c r="C165" i="1"/>
  <c r="C167" i="1"/>
  <c r="C168" i="1"/>
  <c r="C172" i="1"/>
  <c r="C173" i="1"/>
  <c r="C174" i="1" s="1"/>
  <c r="C175" i="1" s="1"/>
  <c r="C176" i="1" s="1"/>
  <c r="C178" i="1"/>
  <c r="C179" i="1" s="1"/>
  <c r="C182" i="1"/>
  <c r="C183" i="1" s="1"/>
  <c r="C184" i="1" s="1"/>
  <c r="C185" i="1" s="1"/>
  <c r="C186" i="1"/>
  <c r="C188" i="1"/>
  <c r="C189" i="1"/>
  <c r="C190" i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4" i="1"/>
  <c r="C205" i="1" s="1"/>
  <c r="C206" i="1" s="1"/>
  <c r="C207" i="1" s="1"/>
  <c r="C208" i="1" s="1"/>
  <c r="C209" i="1" s="1"/>
  <c r="C211" i="1"/>
  <c r="C212" i="1" s="1"/>
  <c r="C213" i="1" s="1"/>
  <c r="C214" i="1"/>
  <c r="C215" i="1"/>
  <c r="C216" i="1"/>
  <c r="C217" i="1" s="1"/>
  <c r="C218" i="1" s="1"/>
  <c r="C219" i="1" s="1"/>
  <c r="C220" i="1" s="1"/>
  <c r="C221" i="1" s="1"/>
  <c r="C223" i="1"/>
  <c r="C224" i="1" s="1"/>
  <c r="C225" i="1" s="1"/>
  <c r="C226" i="1" s="1"/>
  <c r="C227" i="1" s="1"/>
  <c r="C228" i="1" s="1"/>
  <c r="C229" i="1" s="1"/>
  <c r="C230" i="1" s="1"/>
  <c r="C231" i="1" s="1"/>
  <c r="C232" i="1"/>
  <c r="C233" i="1" s="1"/>
  <c r="C234" i="1" s="1"/>
  <c r="C235" i="1" s="1"/>
  <c r="C236" i="1" s="1"/>
  <c r="C238" i="1"/>
  <c r="C239" i="1" s="1"/>
  <c r="C240" i="1" s="1"/>
  <c r="C241" i="1" s="1"/>
  <c r="C242" i="1" s="1"/>
  <c r="C243" i="1" s="1"/>
  <c r="C245" i="1"/>
  <c r="C246" i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8" i="1"/>
  <c r="C259" i="1" s="1"/>
  <c r="C260" i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80" i="1"/>
  <c r="C282" i="1"/>
  <c r="C284" i="1"/>
  <c r="C286" i="1"/>
  <c r="C287" i="1"/>
  <c r="C288" i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6" i="1"/>
  <c r="C307" i="1"/>
  <c r="C309" i="1"/>
  <c r="C311" i="1"/>
  <c r="C312" i="1" s="1"/>
  <c r="C313" i="1" s="1"/>
  <c r="C314" i="1" s="1"/>
  <c r="C317" i="1"/>
  <c r="C318" i="1" s="1"/>
  <c r="C319" i="1" s="1"/>
  <c r="C320" i="1" s="1"/>
  <c r="C321" i="1" s="1"/>
  <c r="C322" i="1" s="1"/>
  <c r="C323" i="1"/>
  <c r="C324" i="1"/>
  <c r="C326" i="1"/>
  <c r="C327" i="1" s="1"/>
  <c r="C328" i="1"/>
  <c r="C329" i="1" s="1"/>
  <c r="C330" i="1" s="1"/>
  <c r="C331" i="1" s="1"/>
  <c r="C332" i="1" s="1"/>
  <c r="C333" i="1" s="1"/>
  <c r="C334" i="1" s="1"/>
  <c r="C336" i="1"/>
  <c r="C337" i="1"/>
  <c r="C338" i="1" s="1"/>
  <c r="C339" i="1" s="1"/>
  <c r="C340" i="1" s="1"/>
  <c r="C342" i="1"/>
  <c r="C343" i="1"/>
  <c r="C344" i="1" s="1"/>
  <c r="C345" i="1" s="1"/>
  <c r="C346" i="1" s="1"/>
  <c r="C347" i="1" s="1"/>
  <c r="C348" i="1" s="1"/>
  <c r="C349" i="1" s="1"/>
  <c r="C350" i="1"/>
  <c r="C351" i="1"/>
  <c r="C352" i="1" s="1"/>
  <c r="C353" i="1" s="1"/>
  <c r="C354" i="1" s="1"/>
  <c r="C355" i="1" s="1"/>
  <c r="C356" i="1" s="1"/>
  <c r="C357" i="1" s="1"/>
  <c r="C358" i="1" s="1"/>
  <c r="C359" i="1" s="1"/>
  <c r="C361" i="1"/>
  <c r="C362" i="1" s="1"/>
  <c r="C363" i="1" s="1"/>
  <c r="C364" i="1" s="1"/>
  <c r="C367" i="1"/>
  <c r="C368" i="1"/>
  <c r="C372" i="1"/>
  <c r="C373" i="1"/>
  <c r="C375" i="1"/>
  <c r="C376" i="1" s="1"/>
  <c r="C377" i="1" s="1"/>
  <c r="C380" i="1"/>
  <c r="C381" i="1" s="1"/>
  <c r="C382" i="1" s="1"/>
  <c r="C383" i="1" s="1"/>
  <c r="C384" i="1"/>
  <c r="C385" i="1" s="1"/>
  <c r="C386" i="1" s="1"/>
  <c r="C388" i="1"/>
  <c r="C389" i="1"/>
  <c r="C390" i="1"/>
  <c r="C391" i="1" s="1"/>
  <c r="C393" i="1"/>
  <c r="C396" i="1"/>
  <c r="C397" i="1" s="1"/>
  <c r="C399" i="1"/>
  <c r="C401" i="1"/>
  <c r="C402" i="1"/>
  <c r="C407" i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9" i="1"/>
  <c r="C423" i="1"/>
  <c r="C424" i="1" s="1"/>
  <c r="C426" i="1"/>
  <c r="C427" i="1" s="1"/>
  <c r="C428" i="1" s="1"/>
  <c r="C430" i="1"/>
  <c r="C432" i="1"/>
  <c r="C433" i="1" s="1"/>
  <c r="C434" i="1" s="1"/>
  <c r="C438" i="1"/>
  <c r="C439" i="1"/>
  <c r="C441" i="1"/>
  <c r="C442" i="1"/>
  <c r="C443" i="1"/>
  <c r="C444" i="1" s="1"/>
  <c r="C445" i="1" s="1"/>
  <c r="C447" i="1"/>
  <c r="C449" i="1"/>
  <c r="C450" i="1"/>
  <c r="C451" i="1" s="1"/>
  <c r="C453" i="1"/>
  <c r="C455" i="1"/>
  <c r="C456" i="1"/>
  <c r="C457" i="1"/>
  <c r="C458" i="1" s="1"/>
  <c r="C459" i="1" s="1"/>
  <c r="C461" i="1"/>
  <c r="C462" i="1"/>
  <c r="C463" i="1"/>
  <c r="C464" i="1" s="1"/>
  <c r="C465" i="1" s="1"/>
  <c r="C466" i="1" s="1"/>
  <c r="C467" i="1" s="1"/>
  <c r="C468" i="1" s="1"/>
  <c r="C470" i="1"/>
  <c r="C472" i="1"/>
  <c r="C475" i="1"/>
  <c r="C476" i="1"/>
  <c r="C477" i="1" s="1"/>
  <c r="C478" i="1" s="1"/>
  <c r="C479" i="1" s="1"/>
  <c r="C482" i="1"/>
  <c r="C483" i="1"/>
  <c r="C484" i="1" s="1"/>
  <c r="C486" i="1"/>
  <c r="C487" i="1" s="1"/>
  <c r="C488" i="1" s="1"/>
  <c r="C490" i="1"/>
  <c r="C491" i="1"/>
  <c r="C492" i="1" s="1"/>
  <c r="C493" i="1"/>
  <c r="C497" i="1"/>
  <c r="C499" i="1"/>
  <c r="C502" i="1"/>
  <c r="C503" i="1"/>
  <c r="C504" i="1" s="1"/>
  <c r="C506" i="1"/>
  <c r="C507" i="1" s="1"/>
  <c r="C508" i="1"/>
  <c r="C509" i="1"/>
  <c r="C511" i="1"/>
  <c r="C513" i="1"/>
  <c r="C515" i="1"/>
  <c r="C516" i="1" s="1"/>
  <c r="C518" i="1"/>
  <c r="C520" i="1"/>
  <c r="C521" i="1"/>
  <c r="C523" i="1"/>
  <c r="C524" i="1" s="1"/>
  <c r="C526" i="1"/>
  <c r="C527" i="1"/>
  <c r="C528" i="1"/>
  <c r="C529" i="1"/>
  <c r="C530" i="1" s="1"/>
  <c r="C531" i="1" s="1"/>
  <c r="C532" i="1" s="1"/>
  <c r="C533" i="1" s="1"/>
  <c r="C534" i="1" s="1"/>
  <c r="C535" i="1" s="1"/>
  <c r="C536" i="1" s="1"/>
  <c r="C538" i="1"/>
  <c r="C540" i="1"/>
  <c r="C541" i="1"/>
  <c r="C542" i="1" s="1"/>
  <c r="C544" i="1"/>
  <c r="C545" i="1" s="1"/>
  <c r="C546" i="1" s="1"/>
  <c r="C548" i="1"/>
  <c r="C550" i="1"/>
  <c r="C551" i="1" s="1"/>
  <c r="C553" i="1"/>
  <c r="C554" i="1" s="1"/>
  <c r="C555" i="1" s="1"/>
  <c r="C556" i="1" s="1"/>
  <c r="C557" i="1" s="1"/>
  <c r="C558" i="1" s="1"/>
  <c r="C559" i="1"/>
  <c r="C560" i="1" s="1"/>
  <c r="C562" i="1"/>
  <c r="C563" i="1" s="1"/>
  <c r="C565" i="1"/>
  <c r="C566" i="1" s="1"/>
  <c r="C567" i="1" s="1"/>
  <c r="C568" i="1" s="1"/>
  <c r="C570" i="1"/>
  <c r="C571" i="1" s="1"/>
  <c r="C572" i="1"/>
  <c r="C573" i="1"/>
  <c r="C574" i="1" s="1"/>
  <c r="C575" i="1" s="1"/>
  <c r="C576" i="1" s="1"/>
  <c r="C578" i="1"/>
  <c r="C580" i="1"/>
  <c r="C581" i="1" s="1"/>
  <c r="C582" i="1" s="1"/>
  <c r="C584" i="1"/>
  <c r="C589" i="1"/>
  <c r="C590" i="1" s="1"/>
  <c r="C591" i="1" s="1"/>
  <c r="C592" i="1" s="1"/>
  <c r="C595" i="1"/>
  <c r="C597" i="1"/>
  <c r="C598" i="1"/>
  <c r="C599" i="1"/>
  <c r="C601" i="1"/>
  <c r="C602" i="1" s="1"/>
  <c r="C603" i="1" s="1"/>
  <c r="C604" i="1" s="1"/>
  <c r="C605" i="1" s="1"/>
  <c r="C607" i="1"/>
  <c r="C608" i="1"/>
  <c r="C609" i="1"/>
  <c r="C610" i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/>
  <c r="C622" i="1" s="1"/>
  <c r="C623" i="1" s="1"/>
  <c r="C624" i="1" s="1"/>
  <c r="C625" i="1" s="1"/>
  <c r="C626" i="1" s="1"/>
  <c r="C627" i="1" s="1"/>
  <c r="C628" i="1" s="1"/>
  <c r="C629" i="1" s="1"/>
  <c r="C630" i="1" s="1"/>
  <c r="C635" i="1"/>
  <c r="C636" i="1"/>
  <c r="C637" i="1" s="1"/>
  <c r="C638" i="1" s="1"/>
  <c r="C639" i="1" s="1"/>
  <c r="C640" i="1" s="1"/>
  <c r="C641" i="1" s="1"/>
  <c r="C643" i="1"/>
  <c r="C644" i="1" s="1"/>
  <c r="C646" i="1"/>
  <c r="C647" i="1" s="1"/>
  <c r="C648" i="1" s="1"/>
  <c r="C649" i="1" s="1"/>
  <c r="C650" i="1"/>
  <c r="C651" i="1" s="1"/>
  <c r="C652" i="1" s="1"/>
  <c r="C653" i="1" s="1"/>
  <c r="C654" i="1" s="1"/>
  <c r="C655" i="1" s="1"/>
  <c r="C656" i="1" s="1"/>
  <c r="C657" i="1" s="1"/>
  <c r="C659" i="1"/>
  <c r="C660" i="1" s="1"/>
  <c r="C661" i="1" s="1"/>
  <c r="C662" i="1" s="1"/>
  <c r="C663" i="1"/>
  <c r="C665" i="1"/>
  <c r="C666" i="1"/>
  <c r="C667" i="1"/>
  <c r="C668" i="1" s="1"/>
  <c r="C671" i="1"/>
  <c r="C672" i="1"/>
  <c r="C673" i="1" s="1"/>
  <c r="C674" i="1" s="1"/>
  <c r="C675" i="1" s="1"/>
  <c r="C676" i="1" s="1"/>
  <c r="C677" i="1" s="1"/>
  <c r="C678" i="1"/>
  <c r="C679" i="1" s="1"/>
  <c r="C680" i="1" s="1"/>
  <c r="C681" i="1" s="1"/>
  <c r="C682" i="1" s="1"/>
  <c r="C683" i="1" s="1"/>
  <c r="C684" i="1"/>
  <c r="C685" i="1" s="1"/>
  <c r="C686" i="1" s="1"/>
  <c r="C687" i="1" s="1"/>
  <c r="C688" i="1" s="1"/>
  <c r="C689" i="1" s="1"/>
  <c r="C690" i="1" s="1"/>
  <c r="C691" i="1" s="1"/>
  <c r="C693" i="1"/>
  <c r="C694" i="1" s="1"/>
  <c r="C695" i="1"/>
  <c r="C696" i="1" s="1"/>
  <c r="C697" i="1" s="1"/>
  <c r="C698" i="1" s="1"/>
  <c r="C699" i="1" s="1"/>
  <c r="C700" i="1" s="1"/>
  <c r="C701" i="1" s="1"/>
  <c r="C703" i="1"/>
  <c r="C704" i="1"/>
  <c r="C705" i="1" s="1"/>
  <c r="C706" i="1" s="1"/>
  <c r="C707" i="1"/>
  <c r="C708" i="1"/>
  <c r="C709" i="1" s="1"/>
  <c r="C710" i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9" i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/>
  <c r="C758" i="1"/>
  <c r="C759" i="1" s="1"/>
  <c r="C760" i="1" s="1"/>
  <c r="C761" i="1" s="1"/>
  <c r="C762" i="1" s="1"/>
  <c r="C763" i="1" s="1"/>
  <c r="C764" i="1" s="1"/>
  <c r="C765" i="1" s="1"/>
  <c r="C766" i="1" s="1"/>
  <c r="C767" i="1" s="1"/>
  <c r="C768" i="1"/>
  <c r="C769" i="1" s="1"/>
  <c r="C770" i="1" s="1"/>
  <c r="C771" i="1" s="1"/>
  <c r="C772" i="1" s="1"/>
  <c r="C773" i="1" s="1"/>
  <c r="C774" i="1" s="1"/>
  <c r="C775" i="1" s="1"/>
  <c r="C776" i="1" s="1"/>
  <c r="C778" i="1"/>
  <c r="C779" i="1"/>
  <c r="C780" i="1"/>
  <c r="C781" i="1" s="1"/>
  <c r="C783" i="1"/>
  <c r="C784" i="1"/>
  <c r="C785" i="1" s="1"/>
  <c r="C786" i="1" s="1"/>
  <c r="C787" i="1" s="1"/>
  <c r="C790" i="1"/>
  <c r="C792" i="1"/>
  <c r="C793" i="1" s="1"/>
  <c r="C794" i="1"/>
  <c r="C795" i="1"/>
  <c r="C796" i="1"/>
  <c r="C799" i="1"/>
  <c r="C801" i="1"/>
  <c r="C802" i="1" s="1"/>
  <c r="C803" i="1"/>
  <c r="C804" i="1" s="1"/>
  <c r="C805" i="1" s="1"/>
  <c r="C806" i="1" s="1"/>
  <c r="C809" i="1"/>
  <c r="C811" i="1"/>
  <c r="C812" i="1"/>
  <c r="C813" i="1"/>
  <c r="C814" i="1"/>
  <c r="C816" i="1"/>
  <c r="C817" i="1"/>
  <c r="C818" i="1"/>
  <c r="C819" i="1" s="1"/>
  <c r="C820" i="1" s="1"/>
  <c r="C821" i="1" s="1"/>
  <c r="C822" i="1" s="1"/>
  <c r="C824" i="1"/>
  <c r="C825" i="1" s="1"/>
  <c r="C826" i="1" s="1"/>
  <c r="C828" i="1"/>
  <c r="C829" i="1" s="1"/>
  <c r="C830" i="1" s="1"/>
  <c r="C831" i="1" s="1"/>
  <c r="C832" i="1" s="1"/>
  <c r="C833" i="1"/>
  <c r="C835" i="1"/>
  <c r="C836" i="1" s="1"/>
  <c r="C837" i="1" s="1"/>
  <c r="C838" i="1" s="1"/>
  <c r="C839" i="1" s="1"/>
  <c r="C840" i="1"/>
  <c r="C841" i="1" s="1"/>
  <c r="C842" i="1" s="1"/>
  <c r="C843" i="1" s="1"/>
  <c r="C844" i="1" s="1"/>
  <c r="C845" i="1" s="1"/>
  <c r="C846" i="1" s="1"/>
  <c r="C847" i="1" s="1"/>
  <c r="C848" i="1" s="1"/>
  <c r="C849" i="1" s="1"/>
  <c r="C851" i="1"/>
  <c r="C853" i="1"/>
  <c r="C854" i="1"/>
  <c r="C855" i="1"/>
  <c r="C859" i="1"/>
  <c r="C860" i="1"/>
  <c r="C861" i="1" s="1"/>
  <c r="C862" i="1" s="1"/>
  <c r="C863" i="1" s="1"/>
  <c r="C864" i="1" s="1"/>
  <c r="C865" i="1" s="1"/>
  <c r="C866" i="1" s="1"/>
  <c r="C867" i="1" s="1"/>
  <c r="C868" i="1" s="1"/>
  <c r="C869" i="1" s="1"/>
  <c r="C870" i="1"/>
  <c r="C871" i="1" s="1"/>
  <c r="C872" i="1" s="1"/>
  <c r="C873" i="1" s="1"/>
  <c r="C874" i="1" s="1"/>
  <c r="C875" i="1"/>
  <c r="C877" i="1"/>
  <c r="C879" i="1"/>
  <c r="C881" i="1"/>
  <c r="C884" i="1"/>
  <c r="C885" i="1" s="1"/>
  <c r="C886" i="1"/>
  <c r="C887" i="1" s="1"/>
  <c r="C888" i="1"/>
  <c r="C890" i="1"/>
  <c r="C891" i="1"/>
  <c r="C892" i="1" s="1"/>
  <c r="C893" i="1" s="1"/>
  <c r="C894" i="1" s="1"/>
  <c r="C895" i="1" s="1"/>
  <c r="C896" i="1" s="1"/>
  <c r="C897" i="1" s="1"/>
  <c r="C898" i="1" s="1"/>
  <c r="C899" i="1" s="1"/>
  <c r="C900" i="1" s="1"/>
  <c r="C902" i="1"/>
  <c r="C903" i="1"/>
  <c r="C904" i="1" s="1"/>
  <c r="C905" i="1"/>
  <c r="C906" i="1" s="1"/>
  <c r="C907" i="1" s="1"/>
  <c r="C908" i="1" s="1"/>
  <c r="C910" i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7" i="1"/>
  <c r="C928" i="1"/>
  <c r="C929" i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/>
  <c r="C943" i="1" s="1"/>
  <c r="C944" i="1" s="1"/>
  <c r="C945" i="1" s="1"/>
  <c r="C946" i="1" s="1"/>
  <c r="C947" i="1" s="1"/>
  <c r="C948" i="1" s="1"/>
  <c r="C950" i="1"/>
  <c r="C951" i="1"/>
  <c r="C952" i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/>
  <c r="C964" i="1" s="1"/>
  <c r="C965" i="1"/>
  <c r="C966" i="1" s="1"/>
  <c r="C967" i="1" s="1"/>
  <c r="C968" i="1" s="1"/>
  <c r="C969" i="1" s="1"/>
  <c r="C970" i="1" s="1"/>
  <c r="C972" i="1"/>
  <c r="C973" i="1" s="1"/>
  <c r="C974" i="1" s="1"/>
  <c r="C975" i="1" s="1"/>
  <c r="C976" i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8" i="1"/>
  <c r="C989" i="1"/>
  <c r="C990" i="1"/>
  <c r="C991" i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/>
  <c r="C1002" i="1" s="1"/>
  <c r="C1003" i="1" s="1"/>
  <c r="C1004" i="1" s="1"/>
  <c r="C1005" i="1" s="1"/>
  <c r="C1006" i="1" s="1"/>
  <c r="C1007" i="1" s="1"/>
  <c r="C1008" i="1" s="1"/>
  <c r="C1009" i="1" s="1"/>
  <c r="C1011" i="1"/>
  <c r="C1012" i="1" s="1"/>
  <c r="C1013" i="1" s="1"/>
  <c r="C1014" i="1" s="1"/>
  <c r="C1015" i="1" s="1"/>
  <c r="C1016" i="1" s="1"/>
  <c r="C1017" i="1" s="1"/>
  <c r="C1018" i="1" s="1"/>
  <c r="C1019" i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7" i="1"/>
  <c r="C1048" i="1" s="1"/>
  <c r="C1049" i="1" s="1"/>
  <c r="C1052" i="1"/>
  <c r="C1053" i="1" s="1"/>
  <c r="C1054" i="1"/>
  <c r="C1055" i="1" s="1"/>
  <c r="C1056" i="1" s="1"/>
  <c r="C1057" i="1" s="1"/>
  <c r="C1058" i="1" s="1"/>
  <c r="C1060" i="1"/>
  <c r="C1061" i="1"/>
  <c r="C1062" i="1" s="1"/>
  <c r="C1063" i="1" s="1"/>
  <c r="C1064" i="1" s="1"/>
  <c r="C1065" i="1" s="1"/>
  <c r="C1066" i="1" s="1"/>
  <c r="C1067" i="1"/>
  <c r="C1068" i="1" s="1"/>
  <c r="C1069" i="1" s="1"/>
  <c r="C1070" i="1" s="1"/>
  <c r="C1071" i="1" s="1"/>
  <c r="C1075" i="1"/>
  <c r="C1078" i="1"/>
  <c r="C1080" i="1"/>
  <c r="C1082" i="1"/>
  <c r="C1084" i="1"/>
  <c r="C1085" i="1" s="1"/>
  <c r="C1087" i="1"/>
  <c r="C1089" i="1"/>
  <c r="C1090" i="1"/>
  <c r="C1091" i="1"/>
  <c r="C1092" i="1" s="1"/>
  <c r="C1094" i="1"/>
  <c r="C1096" i="1"/>
  <c r="C1098" i="1"/>
  <c r="C1099" i="1" s="1"/>
  <c r="C1100" i="1" s="1"/>
  <c r="C1101" i="1" s="1"/>
  <c r="C1102" i="1" s="1"/>
  <c r="C1104" i="1"/>
  <c r="C1107" i="1"/>
  <c r="C1108" i="1" s="1"/>
  <c r="C1110" i="1"/>
  <c r="C1111" i="1"/>
  <c r="C1112" i="1" s="1"/>
  <c r="C1113" i="1" s="1"/>
  <c r="C1115" i="1"/>
  <c r="C1116" i="1" s="1"/>
  <c r="C1117" i="1"/>
  <c r="C1118" i="1" s="1"/>
  <c r="C1119" i="1" s="1"/>
  <c r="C1120" i="1" s="1"/>
  <c r="C1124" i="1"/>
  <c r="C1126" i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/>
  <c r="C1141" i="1" s="1"/>
  <c r="C1143" i="1"/>
  <c r="C1144" i="1"/>
  <c r="C1145" i="1" s="1"/>
  <c r="C1146" i="1" s="1"/>
  <c r="C1147" i="1" s="1"/>
  <c r="C1149" i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3" i="1"/>
  <c r="C1164" i="1"/>
  <c r="C1165" i="1"/>
  <c r="C1166" i="1"/>
  <c r="C1167" i="1" s="1"/>
  <c r="C1168" i="1"/>
  <c r="C1169" i="1" s="1"/>
  <c r="C1170" i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9" i="1"/>
  <c r="C1200" i="1"/>
  <c r="C1201" i="1" s="1"/>
  <c r="C1202" i="1" s="1"/>
  <c r="C1203" i="1" s="1"/>
  <c r="C1207" i="1"/>
  <c r="C1208" i="1" s="1"/>
  <c r="C1209" i="1" s="1"/>
  <c r="C1211" i="1"/>
  <c r="C1212" i="1" s="1"/>
  <c r="C1213" i="1" s="1"/>
  <c r="C1214" i="1" s="1"/>
  <c r="C1216" i="1"/>
  <c r="C1217" i="1"/>
  <c r="C1219" i="1"/>
  <c r="C1221" i="1"/>
  <c r="C1222" i="1"/>
  <c r="C1223" i="1"/>
  <c r="C1224" i="1"/>
  <c r="C1225" i="1" s="1"/>
  <c r="C1227" i="1"/>
  <c r="C1228" i="1" s="1"/>
  <c r="C1230" i="1"/>
  <c r="C1231" i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8" i="1"/>
  <c r="C1250" i="1"/>
  <c r="C1251" i="1"/>
  <c r="C1252" i="1"/>
  <c r="C1253" i="1"/>
  <c r="C1255" i="1"/>
  <c r="C1256" i="1" s="1"/>
  <c r="C1257" i="1" s="1"/>
  <c r="C1258" i="1" s="1"/>
  <c r="C1259" i="1" s="1"/>
  <c r="C1260" i="1" s="1"/>
  <c r="C1263" i="1"/>
  <c r="C1264" i="1" s="1"/>
  <c r="C1265" i="1" s="1"/>
  <c r="C1267" i="1"/>
  <c r="C1268" i="1"/>
  <c r="C1269" i="1"/>
  <c r="C1270" i="1"/>
  <c r="C1271" i="1" s="1"/>
  <c r="C1272" i="1" s="1"/>
  <c r="C1273" i="1" s="1"/>
  <c r="C1274" i="1" s="1"/>
  <c r="C1275" i="1" s="1"/>
  <c r="C1276" i="1" s="1"/>
  <c r="C1277" i="1" s="1"/>
  <c r="C1278" i="1" s="1"/>
  <c r="C1279" i="1"/>
  <c r="C1280" i="1" s="1"/>
  <c r="C1281" i="1" s="1"/>
  <c r="C1282" i="1" s="1"/>
  <c r="C1285" i="1"/>
  <c r="C1286" i="1"/>
  <c r="C1287" i="1" s="1"/>
  <c r="C1288" i="1"/>
  <c r="C1289" i="1" s="1"/>
  <c r="C1290" i="1" s="1"/>
  <c r="C1292" i="1"/>
  <c r="C1293" i="1" s="1"/>
  <c r="C1294" i="1"/>
  <c r="C1295" i="1"/>
  <c r="C1296" i="1"/>
  <c r="C1297" i="1" s="1"/>
  <c r="C1298" i="1" s="1"/>
  <c r="C1300" i="1"/>
  <c r="C1301" i="1"/>
  <c r="C1302" i="1"/>
  <c r="C1303" i="1" s="1"/>
  <c r="C1306" i="1"/>
  <c r="C1307" i="1" s="1"/>
  <c r="C1308" i="1" s="1"/>
  <c r="C1309" i="1" s="1"/>
  <c r="C1310" i="1" s="1"/>
  <c r="C1311" i="1"/>
  <c r="C1312" i="1" s="1"/>
  <c r="C1313" i="1"/>
  <c r="C1314" i="1" s="1"/>
  <c r="C1315" i="1" s="1"/>
  <c r="C1316" i="1" s="1"/>
  <c r="C1318" i="1"/>
  <c r="C1319" i="1" s="1"/>
  <c r="C1320" i="1" s="1"/>
  <c r="C1321" i="1" s="1"/>
  <c r="C1323" i="1"/>
  <c r="C1324" i="1" s="1"/>
  <c r="C1325" i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40" i="1"/>
  <c r="C1341" i="1" s="1"/>
  <c r="C1342" i="1"/>
  <c r="C1343" i="1" s="1"/>
  <c r="C1344" i="1"/>
  <c r="C1345" i="1" s="1"/>
  <c r="C1346" i="1" s="1"/>
  <c r="C1347" i="1" s="1"/>
  <c r="C1348" i="1"/>
  <c r="C1349" i="1"/>
  <c r="C1350" i="1" s="1"/>
  <c r="C1351" i="1" s="1"/>
  <c r="C1352" i="1" s="1"/>
  <c r="C1353" i="1" s="1"/>
  <c r="C1354" i="1"/>
  <c r="C1355" i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6" i="1"/>
  <c r="C1367" i="1"/>
  <c r="C1369" i="1"/>
  <c r="C1370" i="1"/>
  <c r="C1371" i="1" s="1"/>
  <c r="C1372" i="1" s="1"/>
  <c r="C1373" i="1" s="1"/>
  <c r="C1375" i="1"/>
  <c r="C1376" i="1"/>
  <c r="C1377" i="1" s="1"/>
  <c r="C1378" i="1" s="1"/>
  <c r="C1379" i="1" s="1"/>
  <c r="C1380" i="1" s="1"/>
  <c r="C1382" i="1"/>
  <c r="C1385" i="1"/>
  <c r="C1386" i="1" s="1"/>
  <c r="C1387" i="1" s="1"/>
  <c r="C1388" i="1" s="1"/>
  <c r="C1389" i="1" s="1"/>
  <c r="C1390" i="1" s="1"/>
  <c r="C1392" i="1"/>
  <c r="C1393" i="1"/>
  <c r="C1395" i="1"/>
  <c r="C1397" i="1"/>
  <c r="C1398" i="1" s="1"/>
  <c r="C1400" i="1"/>
  <c r="C1401" i="1" s="1"/>
  <c r="C1404" i="1"/>
  <c r="C1405" i="1" s="1"/>
  <c r="C1406" i="1" s="1"/>
  <c r="C1407" i="1" s="1"/>
  <c r="C1409" i="1"/>
  <c r="C1411" i="1"/>
  <c r="C1412" i="1" s="1"/>
  <c r="C1413" i="1" s="1"/>
  <c r="C1414" i="1" s="1"/>
  <c r="C1416" i="1"/>
  <c r="C1417" i="1"/>
  <c r="C1420" i="1"/>
  <c r="C1421" i="1"/>
  <c r="C1423" i="1"/>
  <c r="C1425" i="1"/>
  <c r="C1426" i="1" s="1"/>
  <c r="C1427" i="1"/>
  <c r="C1429" i="1"/>
  <c r="C1432" i="1"/>
  <c r="C1434" i="1"/>
  <c r="C1435" i="1"/>
  <c r="C1436" i="1" s="1"/>
  <c r="C1437" i="1" s="1"/>
  <c r="C1438" i="1" s="1"/>
  <c r="C1440" i="1"/>
  <c r="C1441" i="1" s="1"/>
  <c r="C1442" i="1" s="1"/>
  <c r="C1443" i="1" s="1"/>
  <c r="C1444" i="1"/>
  <c r="C1446" i="1"/>
  <c r="C1448" i="1"/>
  <c r="C1449" i="1"/>
  <c r="C1452" i="1"/>
  <c r="C1453" i="1" s="1"/>
  <c r="C1454" i="1" s="1"/>
  <c r="C1455" i="1" s="1"/>
  <c r="C1457" i="1"/>
  <c r="C1458" i="1" s="1"/>
  <c r="C1459" i="1" s="1"/>
  <c r="C1460" i="1" s="1"/>
  <c r="C1461" i="1"/>
  <c r="C1462" i="1"/>
  <c r="C1463" i="1"/>
  <c r="C1465" i="1"/>
  <c r="C1467" i="1"/>
  <c r="C1468" i="1" s="1"/>
  <c r="C1471" i="1"/>
  <c r="C1473" i="1"/>
  <c r="C1474" i="1"/>
  <c r="C1476" i="1"/>
  <c r="C1478" i="1"/>
  <c r="C1481" i="1"/>
  <c r="C1482" i="1"/>
  <c r="C1483" i="1"/>
  <c r="C1485" i="1"/>
  <c r="C1487" i="1"/>
  <c r="C1489" i="1"/>
  <c r="C1490" i="1" s="1"/>
  <c r="C1491" i="1" s="1"/>
  <c r="C1493" i="1"/>
  <c r="C1494" i="1" s="1"/>
  <c r="C1495" i="1" s="1"/>
  <c r="C1496" i="1" s="1"/>
  <c r="C1497" i="1" s="1"/>
  <c r="C1498" i="1" s="1"/>
  <c r="C1499" i="1" s="1"/>
  <c r="C1500" i="1" s="1"/>
  <c r="C1501" i="1" s="1"/>
  <c r="C1503" i="1"/>
  <c r="C1504" i="1" s="1"/>
  <c r="C1505" i="1" s="1"/>
  <c r="C1506" i="1"/>
  <c r="C1508" i="1"/>
  <c r="C1509" i="1" s="1"/>
  <c r="C1510" i="1" s="1"/>
  <c r="C1511" i="1" s="1"/>
  <c r="C1512" i="1"/>
  <c r="C1513" i="1" s="1"/>
  <c r="C1514" i="1" s="1"/>
  <c r="C1515" i="1" s="1"/>
  <c r="C1517" i="1"/>
  <c r="C1518" i="1" s="1"/>
  <c r="C1519" i="1" s="1"/>
  <c r="C1521" i="1"/>
  <c r="C1522" i="1"/>
  <c r="C1523" i="1" s="1"/>
  <c r="C1524" i="1" s="1"/>
  <c r="C1526" i="1"/>
  <c r="C1527" i="1"/>
  <c r="C1528" i="1" s="1"/>
  <c r="C1529" i="1" s="1"/>
  <c r="C1530" i="1"/>
  <c r="C1531" i="1" s="1"/>
  <c r="C1532" i="1" s="1"/>
  <c r="C1533" i="1" s="1"/>
  <c r="C1534" i="1" s="1"/>
  <c r="C1535" i="1" s="1"/>
  <c r="C1536" i="1" s="1"/>
  <c r="C1537" i="1" s="1"/>
  <c r="C1538" i="1" s="1"/>
  <c r="C1540" i="1"/>
  <c r="C1541" i="1" s="1"/>
  <c r="C1543" i="1"/>
  <c r="C1548" i="1"/>
  <c r="C1549" i="1"/>
  <c r="C1550" i="1" s="1"/>
  <c r="C1551" i="1" s="1"/>
  <c r="C1554" i="1"/>
  <c r="C1555" i="1" s="1"/>
  <c r="C1556" i="1" s="1"/>
  <c r="C1557" i="1" s="1"/>
  <c r="C1558" i="1"/>
  <c r="C1559" i="1"/>
  <c r="C1560" i="1" s="1"/>
  <c r="C1562" i="1"/>
  <c r="C1563" i="1"/>
  <c r="C1564" i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7" i="1"/>
  <c r="C1578" i="1"/>
  <c r="C1580" i="1"/>
  <c r="C1581" i="1"/>
  <c r="C1582" i="1" s="1"/>
  <c r="C1583" i="1" s="1"/>
  <c r="C1584" i="1"/>
  <c r="C1585" i="1"/>
  <c r="C1587" i="1"/>
  <c r="C1588" i="1" s="1"/>
  <c r="C1589" i="1" s="1"/>
  <c r="C1590" i="1"/>
  <c r="C1591" i="1" s="1"/>
  <c r="C1592" i="1" s="1"/>
  <c r="C1594" i="1"/>
  <c r="C1596" i="1"/>
  <c r="C1597" i="1" s="1"/>
  <c r="C1599" i="1"/>
  <c r="C1602" i="1"/>
  <c r="C1604" i="1"/>
  <c r="C1605" i="1"/>
  <c r="C1606" i="1"/>
  <c r="C1607" i="1" s="1"/>
  <c r="C1608" i="1" s="1"/>
  <c r="C1609" i="1" s="1"/>
  <c r="C1610" i="1" s="1"/>
  <c r="C1611" i="1" s="1"/>
  <c r="C1612" i="1" s="1"/>
  <c r="C1614" i="1"/>
  <c r="C1616" i="1"/>
  <c r="C1617" i="1"/>
  <c r="C1619" i="1"/>
  <c r="C1621" i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8" i="1"/>
  <c r="C1639" i="1"/>
  <c r="C1640" i="1"/>
  <c r="C1643" i="1"/>
  <c r="C1644" i="1" s="1"/>
  <c r="C1645" i="1" s="1"/>
  <c r="C1646" i="1" s="1"/>
  <c r="C1647" i="1" s="1"/>
  <c r="C1649" i="1"/>
  <c r="C1650" i="1" s="1"/>
  <c r="C1651" i="1" s="1"/>
  <c r="C1652" i="1" s="1"/>
  <c r="C1653" i="1" s="1"/>
  <c r="C1654" i="1" s="1"/>
  <c r="C1655" i="1" s="1"/>
  <c r="C1656" i="1" s="1"/>
  <c r="C1657" i="1" s="1"/>
  <c r="C1658" i="1"/>
  <c r="C1659" i="1" s="1"/>
  <c r="C1660" i="1" s="1"/>
  <c r="C1661" i="1"/>
  <c r="C1662" i="1" s="1"/>
  <c r="C1663" i="1" s="1"/>
  <c r="C1664" i="1" s="1"/>
  <c r="C1665" i="1" s="1"/>
  <c r="C1666" i="1" s="1"/>
  <c r="C1668" i="1"/>
  <c r="C1669" i="1" s="1"/>
  <c r="C1671" i="1"/>
  <c r="C1674" i="1"/>
  <c r="C1675" i="1" s="1"/>
  <c r="C1676" i="1" s="1"/>
  <c r="C1679" i="1"/>
  <c r="C1682" i="1"/>
  <c r="C1683" i="1"/>
  <c r="C1684" i="1"/>
  <c r="C1686" i="1"/>
  <c r="C1687" i="1"/>
  <c r="C1688" i="1"/>
  <c r="C1689" i="1" s="1"/>
  <c r="C1691" i="1"/>
  <c r="C1692" i="1"/>
  <c r="C1693" i="1" s="1"/>
  <c r="C1695" i="1"/>
  <c r="C1696" i="1"/>
  <c r="C1697" i="1"/>
  <c r="C1698" i="1" s="1"/>
  <c r="C1699" i="1"/>
  <c r="C1700" i="1" s="1"/>
  <c r="C1701" i="1"/>
  <c r="C1702" i="1"/>
  <c r="C1706" i="1"/>
  <c r="C1708" i="1"/>
  <c r="C1709" i="1"/>
  <c r="C1713" i="1"/>
  <c r="C1714" i="1"/>
  <c r="C1717" i="1"/>
  <c r="C1718" i="1" s="1"/>
  <c r="C1720" i="1"/>
  <c r="C1721" i="1" s="1"/>
  <c r="C1722" i="1" s="1"/>
  <c r="C1724" i="1"/>
  <c r="C1725" i="1" s="1"/>
  <c r="C1726" i="1" s="1"/>
  <c r="C1728" i="1"/>
  <c r="C1729" i="1"/>
  <c r="C1730" i="1" s="1"/>
  <c r="C1731" i="1" s="1"/>
  <c r="C1732" i="1" s="1"/>
  <c r="C1733" i="1" s="1"/>
  <c r="C1734" i="1" s="1"/>
  <c r="C1735" i="1"/>
  <c r="C1736" i="1" s="1"/>
  <c r="C1737" i="1" s="1"/>
  <c r="C1738" i="1" s="1"/>
  <c r="C1739" i="1" s="1"/>
  <c r="C1740" i="1" s="1"/>
  <c r="C1742" i="1"/>
  <c r="C1744" i="1"/>
  <c r="C1745" i="1"/>
  <c r="C1746" i="1"/>
  <c r="C1747" i="1" s="1"/>
  <c r="C1748" i="1" s="1"/>
  <c r="C1749" i="1" s="1"/>
  <c r="C1750" i="1" s="1"/>
  <c r="C1752" i="1"/>
  <c r="C1754" i="1"/>
  <c r="C1755" i="1" s="1"/>
  <c r="C1756" i="1" s="1"/>
  <c r="C1757" i="1"/>
  <c r="C1758" i="1" s="1"/>
  <c r="C1759" i="1" s="1"/>
  <c r="C1760" i="1" s="1"/>
  <c r="C1761" i="1"/>
  <c r="C1766" i="1"/>
  <c r="C1767" i="1"/>
  <c r="C1768" i="1" s="1"/>
  <c r="C1769" i="1"/>
  <c r="C1770" i="1"/>
  <c r="C1771" i="1" s="1"/>
  <c r="C1772" i="1" s="1"/>
  <c r="C1773" i="1" s="1"/>
  <c r="C1774" i="1" s="1"/>
  <c r="C1775" i="1" s="1"/>
  <c r="C1776" i="1" s="1"/>
  <c r="C1779" i="1"/>
  <c r="C1780" i="1" s="1"/>
  <c r="C1781" i="1"/>
  <c r="C1782" i="1" s="1"/>
  <c r="C1784" i="1"/>
  <c r="C1786" i="1"/>
  <c r="C1787" i="1" s="1"/>
  <c r="C1788" i="1" s="1"/>
  <c r="C1789" i="1" s="1"/>
  <c r="C1790" i="1" s="1"/>
  <c r="C1791" i="1" s="1"/>
  <c r="C1793" i="1"/>
  <c r="C1796" i="1"/>
  <c r="C1798" i="1"/>
  <c r="C1799" i="1"/>
  <c r="C1801" i="1"/>
  <c r="C1802" i="1"/>
  <c r="C1803" i="1" s="1"/>
  <c r="C1804" i="1"/>
  <c r="C1805" i="1" s="1"/>
  <c r="C1806" i="1"/>
  <c r="C1807" i="1" s="1"/>
  <c r="C1809" i="1"/>
  <c r="C1810" i="1"/>
  <c r="C1811" i="1" s="1"/>
  <c r="C1812" i="1" s="1"/>
  <c r="C1813" i="1" s="1"/>
  <c r="C1814" i="1" s="1"/>
  <c r="C1815" i="1" s="1"/>
  <c r="C1819" i="1"/>
  <c r="C1820" i="1" s="1"/>
  <c r="C1821" i="1" s="1"/>
  <c r="C1823" i="1"/>
  <c r="C1825" i="1"/>
  <c r="C1828" i="1"/>
  <c r="C1829" i="1"/>
  <c r="C1830" i="1"/>
  <c r="C1831" i="1" s="1"/>
  <c r="C1834" i="1"/>
  <c r="C1835" i="1" s="1"/>
  <c r="C1838" i="1"/>
  <c r="C1839" i="1"/>
  <c r="C1842" i="1"/>
  <c r="C1843" i="1"/>
  <c r="C1844" i="1" s="1"/>
  <c r="C1845" i="1" s="1"/>
  <c r="C1847" i="1"/>
  <c r="C1848" i="1"/>
  <c r="C1849" i="1"/>
  <c r="C1851" i="1"/>
  <c r="C1852" i="1"/>
  <c r="C1854" i="1"/>
  <c r="C1856" i="1"/>
  <c r="C1857" i="1" s="1"/>
  <c r="C1860" i="1"/>
  <c r="C1862" i="1"/>
  <c r="C1863" i="1"/>
  <c r="C1864" i="1" s="1"/>
  <c r="C1865" i="1" s="1"/>
  <c r="C1866" i="1" s="1"/>
  <c r="C1867" i="1"/>
  <c r="C1868" i="1"/>
  <c r="C1871" i="1"/>
  <c r="C1874" i="1"/>
  <c r="C1875" i="1"/>
  <c r="C1876" i="1"/>
  <c r="C1877" i="1"/>
  <c r="C1878" i="1" s="1"/>
  <c r="C1879" i="1"/>
  <c r="C1880" i="1" s="1"/>
  <c r="C1882" i="1"/>
  <c r="C1883" i="1"/>
  <c r="C1885" i="1"/>
  <c r="C1886" i="1"/>
  <c r="C1888" i="1"/>
  <c r="C1889" i="1"/>
  <c r="C1890" i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2" i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8" i="1"/>
  <c r="C1919" i="1"/>
  <c r="C1920" i="1"/>
  <c r="C1922" i="1"/>
  <c r="C1923" i="1"/>
  <c r="C1924" i="1"/>
  <c r="C1926" i="1"/>
  <c r="C1927" i="1"/>
  <c r="C1928" i="1" s="1"/>
  <c r="C1929" i="1" s="1"/>
  <c r="C1930" i="1" s="1"/>
  <c r="C1932" i="1"/>
  <c r="C1933" i="1"/>
  <c r="C1934" i="1"/>
  <c r="C1936" i="1"/>
  <c r="C1937" i="1" s="1"/>
  <c r="C1938" i="1" s="1"/>
  <c r="C1939" i="1"/>
  <c r="C1940" i="1"/>
  <c r="C1941" i="1"/>
  <c r="C1945" i="1"/>
  <c r="C1946" i="1"/>
  <c r="C1947" i="1" s="1"/>
  <c r="C1948" i="1"/>
  <c r="C1949" i="1" s="1"/>
  <c r="C1951" i="1"/>
  <c r="C1953" i="1"/>
  <c r="C1956" i="1"/>
  <c r="C1958" i="1"/>
  <c r="C1960" i="1"/>
  <c r="C1961" i="1"/>
  <c r="C1963" i="1"/>
  <c r="C1964" i="1" s="1"/>
  <c r="C1965" i="1"/>
  <c r="C1966" i="1" s="1"/>
  <c r="C1970" i="1"/>
  <c r="C1972" i="1"/>
  <c r="C1974" i="1"/>
  <c r="C1976" i="1"/>
  <c r="C1977" i="1" s="1"/>
  <c r="C1978" i="1" s="1"/>
  <c r="C1980" i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/>
  <c r="C1997" i="1" s="1"/>
  <c r="C1998" i="1" s="1"/>
  <c r="C1999" i="1" s="1"/>
  <c r="C2000" i="1" s="1"/>
  <c r="C2001" i="1" s="1"/>
  <c r="C2002" i="1" s="1"/>
  <c r="C2003" i="1" s="1"/>
  <c r="C2004" i="1" s="1"/>
  <c r="C2006" i="1"/>
  <c r="C2007" i="1"/>
  <c r="C2008" i="1" s="1"/>
  <c r="C2009" i="1" s="1"/>
  <c r="C2010" i="1" s="1"/>
  <c r="C2011" i="1" s="1"/>
  <c r="C2013" i="1"/>
  <c r="C2014" i="1"/>
  <c r="C2015" i="1" s="1"/>
  <c r="C2016" i="1" s="1"/>
  <c r="C2017" i="1" s="1"/>
  <c r="C2018" i="1"/>
  <c r="C2019" i="1" s="1"/>
  <c r="C2020" i="1"/>
  <c r="C2021" i="1" s="1"/>
  <c r="C2022" i="1" s="1"/>
  <c r="C2023" i="1" s="1"/>
  <c r="C2024" i="1" s="1"/>
  <c r="C2025" i="1" s="1"/>
  <c r="C2026" i="1"/>
  <c r="C2027" i="1"/>
  <c r="C2028" i="1" s="1"/>
  <c r="C2029" i="1" s="1"/>
  <c r="C2030" i="1" s="1"/>
  <c r="C2031" i="1" s="1"/>
  <c r="C2032" i="1" s="1"/>
  <c r="C2033" i="1" s="1"/>
  <c r="C2034" i="1" s="1"/>
  <c r="C2035" i="1" s="1"/>
  <c r="C2036" i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8" i="1"/>
  <c r="C2049" i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/>
  <c r="C2084" i="1"/>
  <c r="C2085" i="1"/>
  <c r="C2086" i="1" s="1"/>
  <c r="C2087" i="1" s="1"/>
  <c r="C2088" i="1" s="1"/>
  <c r="C2089" i="1" s="1"/>
  <c r="C2090" i="1" s="1"/>
  <c r="C2091" i="1" s="1"/>
  <c r="C2092" i="1" s="1"/>
  <c r="C2096" i="1"/>
  <c r="C2097" i="1" s="1"/>
  <c r="C2098" i="1" s="1"/>
  <c r="C2100" i="1"/>
  <c r="C2103" i="1"/>
  <c r="C2104" i="1"/>
  <c r="C2105" i="1"/>
  <c r="C2106" i="1"/>
  <c r="C2107" i="1" s="1"/>
  <c r="C2109" i="1"/>
  <c r="C2110" i="1"/>
  <c r="C2111" i="1"/>
  <c r="C2112" i="1" s="1"/>
  <c r="C2113" i="1" s="1"/>
  <c r="C2114" i="1" s="1"/>
  <c r="C2115" i="1"/>
  <c r="C2116" i="1" s="1"/>
  <c r="C2117" i="1" s="1"/>
  <c r="C2118" i="1" s="1"/>
  <c r="C2119" i="1" s="1"/>
  <c r="C2120" i="1" s="1"/>
  <c r="C2121" i="1" s="1"/>
  <c r="C2123" i="1"/>
  <c r="C2125" i="1"/>
  <c r="C2126" i="1" s="1"/>
  <c r="C2127" i="1"/>
  <c r="C2129" i="1"/>
  <c r="C2130" i="1"/>
  <c r="C2131" i="1" s="1"/>
  <c r="C2132" i="1"/>
  <c r="C2133" i="1" s="1"/>
  <c r="C2134" i="1"/>
  <c r="C2136" i="1"/>
  <c r="C2137" i="1" s="1"/>
  <c r="C2138" i="1"/>
  <c r="C2139" i="1"/>
  <c r="C2140" i="1" s="1"/>
  <c r="C2141" i="1" s="1"/>
  <c r="C2142" i="1" s="1"/>
  <c r="C2144" i="1"/>
  <c r="C2145" i="1"/>
  <c r="C2146" i="1" s="1"/>
  <c r="C2147" i="1" s="1"/>
  <c r="C2149" i="1"/>
  <c r="C2150" i="1" s="1"/>
  <c r="C2151" i="1" s="1"/>
  <c r="C2152" i="1"/>
  <c r="C2153" i="1" s="1"/>
  <c r="C2154" i="1"/>
  <c r="C2155" i="1"/>
  <c r="C2157" i="1"/>
  <c r="C2158" i="1" s="1"/>
  <c r="C2162" i="1"/>
  <c r="C2163" i="1" s="1"/>
  <c r="C2164" i="1" s="1"/>
  <c r="C2165" i="1" s="1"/>
  <c r="C2166" i="1" s="1"/>
  <c r="C2168" i="1"/>
  <c r="C2169" i="1"/>
  <c r="C2171" i="1"/>
  <c r="C2172" i="1"/>
  <c r="C2173" i="1" s="1"/>
  <c r="C2174" i="1" s="1"/>
  <c r="C2175" i="1" s="1"/>
  <c r="C2176" i="1" s="1"/>
  <c r="C2177" i="1" s="1"/>
  <c r="C2178" i="1" s="1"/>
  <c r="C2180" i="1"/>
  <c r="C2181" i="1" s="1"/>
  <c r="C2182" i="1" s="1"/>
  <c r="C2183" i="1" s="1"/>
  <c r="C2184" i="1"/>
  <c r="C2185" i="1"/>
  <c r="C2186" i="1" s="1"/>
  <c r="C2187" i="1" s="1"/>
  <c r="C2188" i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/>
  <c r="C2201" i="1" s="1"/>
  <c r="C2202" i="1" s="1"/>
  <c r="C2203" i="1" s="1"/>
  <c r="C2204" i="1" s="1"/>
  <c r="C2205" i="1" s="1"/>
  <c r="C2206" i="1" s="1"/>
  <c r="C2207" i="1" s="1"/>
  <c r="C2208" i="1" s="1"/>
  <c r="C2210" i="1"/>
  <c r="C2211" i="1"/>
  <c r="C2212" i="1" s="1"/>
  <c r="C2213" i="1" s="1"/>
  <c r="C2214" i="1" s="1"/>
  <c r="C2215" i="1" s="1"/>
  <c r="C2216" i="1"/>
  <c r="C2217" i="1"/>
  <c r="C2218" i="1" s="1"/>
  <c r="C2219" i="1" s="1"/>
  <c r="C2220" i="1" s="1"/>
  <c r="C2221" i="1" s="1"/>
  <c r="C2222" i="1" s="1"/>
  <c r="C2223" i="1" s="1"/>
  <c r="C2225" i="1"/>
  <c r="C2226" i="1"/>
  <c r="C2227" i="1" s="1"/>
  <c r="C2228" i="1" s="1"/>
  <c r="C2229" i="1" s="1"/>
  <c r="C2231" i="1"/>
  <c r="C2232" i="1" s="1"/>
  <c r="C2233" i="1" s="1"/>
  <c r="C2234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/>
  <c r="C2249" i="1" s="1"/>
  <c r="C2251" i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/>
  <c r="C2262" i="1"/>
  <c r="C2263" i="1" s="1"/>
  <c r="C2264" i="1" s="1"/>
  <c r="C2265" i="1"/>
  <c r="C2266" i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1" i="1"/>
  <c r="C2284" i="1"/>
  <c r="C2285" i="1" s="1"/>
  <c r="C2286" i="1"/>
  <c r="C2288" i="1"/>
  <c r="C2289" i="1"/>
  <c r="C2290" i="1" s="1"/>
  <c r="C2291" i="1"/>
  <c r="C2292" i="1"/>
  <c r="C2296" i="1"/>
  <c r="C2297" i="1"/>
  <c r="C2298" i="1" s="1"/>
  <c r="C2299" i="1" s="1"/>
  <c r="C2300" i="1" s="1"/>
  <c r="C2301" i="1" s="1"/>
  <c r="C2305" i="1"/>
  <c r="C2308" i="1"/>
  <c r="C2309" i="1"/>
  <c r="C2310" i="1" s="1"/>
  <c r="C2311" i="1"/>
  <c r="C2312" i="1" s="1"/>
  <c r="C2313" i="1" s="1"/>
  <c r="C2315" i="1"/>
  <c r="C2316" i="1"/>
  <c r="C2317" i="1"/>
  <c r="C2318" i="1" s="1"/>
  <c r="C2320" i="1"/>
  <c r="C2321" i="1"/>
  <c r="C2322" i="1" s="1"/>
  <c r="C2323" i="1" s="1"/>
  <c r="C2324" i="1" s="1"/>
  <c r="C2325" i="1" s="1"/>
  <c r="C2327" i="1"/>
  <c r="C2330" i="1"/>
  <c r="C2331" i="1"/>
  <c r="C2332" i="1"/>
  <c r="C2333" i="1" s="1"/>
  <c r="C2334" i="1" s="1"/>
  <c r="C2335" i="1" s="1"/>
  <c r="C2337" i="1"/>
  <c r="C2338" i="1"/>
  <c r="C2339" i="1" s="1"/>
  <c r="C2340" i="1" s="1"/>
  <c r="C2342" i="1"/>
  <c r="C2343" i="1"/>
  <c r="C2344" i="1" s="1"/>
  <c r="C2345" i="1" s="1"/>
  <c r="C2346" i="1" s="1"/>
  <c r="C2347" i="1" s="1"/>
  <c r="C2348" i="1" s="1"/>
  <c r="C2351" i="1"/>
  <c r="C2352" i="1"/>
  <c r="C2353" i="1"/>
  <c r="C2355" i="1"/>
  <c r="C2357" i="1"/>
  <c r="C2358" i="1" s="1"/>
  <c r="C2360" i="1"/>
  <c r="C2361" i="1"/>
  <c r="C2362" i="1" s="1"/>
  <c r="C2363" i="1" s="1"/>
  <c r="C2367" i="1"/>
  <c r="C2368" i="1" s="1"/>
  <c r="C2369" i="1" s="1"/>
  <c r="C2370" i="1"/>
  <c r="C2371" i="1"/>
  <c r="C2372" i="1" s="1"/>
  <c r="C2373" i="1" s="1"/>
  <c r="C2375" i="1"/>
  <c r="C2376" i="1"/>
  <c r="C2377" i="1"/>
  <c r="C2378" i="1" s="1"/>
  <c r="C2380" i="1"/>
  <c r="C2381" i="1" s="1"/>
  <c r="C2382" i="1" s="1"/>
  <c r="C2383" i="1" s="1"/>
  <c r="C2384" i="1" s="1"/>
  <c r="C2385" i="1" s="1"/>
  <c r="C2386" i="1" s="1"/>
  <c r="C2387" i="1" s="1"/>
  <c r="C2388" i="1" s="1"/>
  <c r="C2389" i="1" s="1"/>
  <c r="C2390" i="1" s="1"/>
  <c r="C2392" i="1"/>
  <c r="C2394" i="1"/>
  <c r="C2396" i="1"/>
  <c r="C2397" i="1" s="1"/>
  <c r="C2400" i="1"/>
  <c r="C2402" i="1"/>
  <c r="C2403" i="1"/>
  <c r="C2405" i="1"/>
  <c r="C2406" i="1"/>
  <c r="C2407" i="1" s="1"/>
  <c r="C2408" i="1"/>
  <c r="C2409" i="1"/>
  <c r="C2410" i="1" s="1"/>
  <c r="C2411" i="1" s="1"/>
  <c r="C2413" i="1"/>
  <c r="C2416" i="1"/>
  <c r="C2417" i="1" s="1"/>
  <c r="C2420" i="1"/>
  <c r="C2421" i="1" s="1"/>
  <c r="C2422" i="1"/>
  <c r="C2424" i="1"/>
  <c r="C2425" i="1"/>
  <c r="C2426" i="1" s="1"/>
  <c r="C2427" i="1" s="1"/>
  <c r="C2428" i="1" s="1"/>
  <c r="C2429" i="1" s="1"/>
  <c r="C2431" i="1"/>
  <c r="C2432" i="1" s="1"/>
  <c r="C2433" i="1" s="1"/>
  <c r="C2434" i="1" s="1"/>
  <c r="C2435" i="1" s="1"/>
  <c r="C2436" i="1" s="1"/>
  <c r="C2438" i="1"/>
  <c r="C2439" i="1"/>
  <c r="C2440" i="1"/>
  <c r="C2441" i="1"/>
  <c r="C2443" i="1"/>
  <c r="C2444" i="1" s="1"/>
  <c r="C2445" i="1" s="1"/>
  <c r="C2446" i="1" s="1"/>
  <c r="C2447" i="1" s="1"/>
  <c r="C2448" i="1" s="1"/>
  <c r="C2449" i="1" s="1"/>
  <c r="C2450" i="1" s="1"/>
  <c r="C2451" i="1" s="1"/>
  <c r="C2452" i="1" s="1"/>
  <c r="C2453" i="1" s="1"/>
  <c r="C2454" i="1" s="1"/>
  <c r="C2455" i="1" s="1"/>
  <c r="C2456" i="1" s="1"/>
  <c r="C2457" i="1" s="1"/>
  <c r="C2458" i="1" s="1"/>
  <c r="C2459" i="1" s="1"/>
  <c r="C2460" i="1" s="1"/>
  <c r="C2461" i="1" s="1"/>
  <c r="C2462" i="1" s="1"/>
  <c r="C2463" i="1" s="1"/>
  <c r="C2464" i="1" s="1"/>
  <c r="C2465" i="1" s="1"/>
  <c r="C2466" i="1" s="1"/>
  <c r="C2467" i="1" s="1"/>
  <c r="C2469" i="1"/>
  <c r="C2470" i="1" s="1"/>
  <c r="C2471" i="1" s="1"/>
  <c r="C2472" i="1" s="1"/>
  <c r="C2473" i="1" s="1"/>
  <c r="C2475" i="1"/>
  <c r="C2476" i="1"/>
  <c r="C2477" i="1"/>
  <c r="C2478" i="1"/>
  <c r="C2479" i="1" s="1"/>
  <c r="C2480" i="1" s="1"/>
  <c r="C2481" i="1" s="1"/>
  <c r="C2482" i="1" s="1"/>
  <c r="C2484" i="1"/>
  <c r="C2485" i="1" s="1"/>
  <c r="C2486" i="1" s="1"/>
  <c r="C2487" i="1"/>
  <c r="C2488" i="1" s="1"/>
  <c r="C2489" i="1" s="1"/>
  <c r="C2490" i="1" s="1"/>
  <c r="C2491" i="1"/>
  <c r="C2492" i="1"/>
  <c r="C2493" i="1" s="1"/>
  <c r="C2494" i="1" s="1"/>
  <c r="C2495" i="1" s="1"/>
  <c r="C2496" i="1" s="1"/>
  <c r="C2497" i="1" s="1"/>
  <c r="C2498" i="1" s="1"/>
  <c r="C2501" i="1"/>
  <c r="C2502" i="1"/>
  <c r="C2503" i="1"/>
  <c r="C2504" i="1"/>
  <c r="C2506" i="1"/>
  <c r="C2509" i="1"/>
  <c r="C2510" i="1"/>
  <c r="C2511" i="1"/>
  <c r="C2513" i="1"/>
  <c r="C2514" i="1"/>
  <c r="C2515" i="1" s="1"/>
  <c r="C2516" i="1"/>
  <c r="C2519" i="1"/>
  <c r="C2521" i="1"/>
  <c r="C2522" i="1" s="1"/>
  <c r="C2524" i="1"/>
  <c r="C2525" i="1"/>
  <c r="C2526" i="1" s="1"/>
  <c r="C2527" i="1" s="1"/>
  <c r="C2528" i="1"/>
  <c r="C2529" i="1" s="1"/>
  <c r="C2531" i="1"/>
  <c r="C2533" i="1"/>
  <c r="C2535" i="1"/>
  <c r="C2537" i="1"/>
  <c r="C2538" i="1"/>
  <c r="C2539" i="1"/>
  <c r="C2540" i="1" s="1"/>
  <c r="C2542" i="1"/>
  <c r="C2543" i="1" s="1"/>
  <c r="C2544" i="1" s="1"/>
  <c r="C2545" i="1"/>
  <c r="C2546" i="1"/>
  <c r="C2547" i="1"/>
  <c r="C2548" i="1" s="1"/>
  <c r="C2549" i="1" s="1"/>
  <c r="C2550" i="1" s="1"/>
  <c r="C2551" i="1" s="1"/>
  <c r="C2552" i="1" s="1"/>
  <c r="C2553" i="1" s="1"/>
  <c r="C2554" i="1"/>
  <c r="C2555" i="1" s="1"/>
  <c r="C2556" i="1" s="1"/>
  <c r="C2557" i="1" s="1"/>
  <c r="C2558" i="1" s="1"/>
  <c r="C2559" i="1" s="1"/>
  <c r="C2560" i="1" s="1"/>
  <c r="C2561" i="1" s="1"/>
  <c r="C2562" i="1" s="1"/>
  <c r="C2563" i="1" s="1"/>
  <c r="C2564" i="1"/>
  <c r="C2566" i="1"/>
  <c r="C2568" i="1"/>
  <c r="C2571" i="1"/>
  <c r="C2573" i="1"/>
  <c r="C2574" i="1" s="1"/>
  <c r="C2575" i="1" s="1"/>
  <c r="C2577" i="1"/>
  <c r="C2578" i="1" s="1"/>
  <c r="C2582" i="1"/>
  <c r="C2583" i="1" s="1"/>
  <c r="C2584" i="1"/>
  <c r="C2585" i="1" s="1"/>
  <c r="C2587" i="1"/>
  <c r="C2588" i="1"/>
  <c r="C2591" i="1"/>
  <c r="C2595" i="1"/>
  <c r="C2596" i="1"/>
  <c r="C2598" i="1"/>
  <c r="C2599" i="1"/>
  <c r="C2600" i="1" s="1"/>
  <c r="C2601" i="1"/>
  <c r="C2602" i="1" s="1"/>
  <c r="C2604" i="1"/>
  <c r="C2605" i="1" s="1"/>
  <c r="C2606" i="1" s="1"/>
  <c r="C2607" i="1" s="1"/>
  <c r="C2608" i="1" s="1"/>
  <c r="C2609" i="1" s="1"/>
  <c r="C2610" i="1" s="1"/>
  <c r="C2611" i="1" s="1"/>
  <c r="C2614" i="1"/>
  <c r="C2616" i="1"/>
  <c r="C2617" i="1"/>
  <c r="C2619" i="1"/>
  <c r="C2621" i="1"/>
  <c r="C2622" i="1" s="1"/>
  <c r="C2623" i="1"/>
  <c r="C2625" i="1"/>
  <c r="C2626" i="1" s="1"/>
  <c r="C2627" i="1" s="1"/>
  <c r="C2628" i="1" s="1"/>
  <c r="C2629" i="1"/>
  <c r="C2630" i="1" s="1"/>
  <c r="C2631" i="1" s="1"/>
  <c r="C2632" i="1" s="1"/>
  <c r="C2634" i="1"/>
  <c r="C2635" i="1"/>
  <c r="C2636" i="1" s="1"/>
  <c r="C2637" i="1" s="1"/>
  <c r="C2638" i="1" s="1"/>
  <c r="C2639" i="1" s="1"/>
  <c r="C2640" i="1" s="1"/>
  <c r="C2641" i="1" s="1"/>
  <c r="C2642" i="1" s="1"/>
  <c r="C2643" i="1" s="1"/>
  <c r="C2644" i="1" s="1"/>
  <c r="C2645" i="1" s="1"/>
  <c r="C2646" i="1" s="1"/>
  <c r="C2647" i="1"/>
  <c r="C2648" i="1" s="1"/>
  <c r="C2649" i="1" s="1"/>
  <c r="C2650" i="1" s="1"/>
  <c r="C2651" i="1" s="1"/>
  <c r="C2652" i="1"/>
  <c r="C2653" i="1" s="1"/>
  <c r="C2654" i="1" s="1"/>
  <c r="C2655" i="1"/>
  <c r="C2657" i="1"/>
  <c r="C2660" i="1"/>
  <c r="C2661" i="1" s="1"/>
  <c r="C2663" i="1"/>
  <c r="C2666" i="1"/>
  <c r="C2667" i="1"/>
  <c r="C2668" i="1"/>
  <c r="C2669" i="1" s="1"/>
  <c r="C2670" i="1" s="1"/>
  <c r="C2672" i="1"/>
  <c r="C2673" i="1"/>
  <c r="C2674" i="1" s="1"/>
  <c r="C2675" i="1" s="1"/>
  <c r="C2676" i="1" s="1"/>
  <c r="C2677" i="1" s="1"/>
  <c r="C2678" i="1" s="1"/>
  <c r="C2679" i="1" s="1"/>
  <c r="C2680" i="1"/>
  <c r="C2681" i="1" s="1"/>
  <c r="C2682" i="1" s="1"/>
  <c r="C2683" i="1" s="1"/>
  <c r="C2684" i="1" s="1"/>
  <c r="C2685" i="1" s="1"/>
  <c r="C2686" i="1" s="1"/>
  <c r="C2687" i="1" s="1"/>
  <c r="C2688" i="1" s="1"/>
  <c r="C2689" i="1" s="1"/>
  <c r="C2690" i="1"/>
  <c r="C2691" i="1"/>
  <c r="C2692" i="1"/>
  <c r="C2693" i="1"/>
  <c r="C2694" i="1"/>
  <c r="C2695" i="1" s="1"/>
  <c r="C2696" i="1" s="1"/>
  <c r="C2697" i="1" s="1"/>
  <c r="C2698" i="1" s="1"/>
  <c r="C2699" i="1" s="1"/>
  <c r="C2700" i="1" s="1"/>
  <c r="C2701" i="1" s="1"/>
  <c r="C2702" i="1" s="1"/>
  <c r="C2703" i="1" s="1"/>
  <c r="C2704" i="1" s="1"/>
  <c r="C2705" i="1" s="1"/>
  <c r="C2706" i="1" s="1"/>
  <c r="C2707" i="1" s="1"/>
  <c r="C2709" i="1"/>
  <c r="C2710" i="1" s="1"/>
  <c r="C2711" i="1" s="1"/>
  <c r="C2712" i="1" s="1"/>
  <c r="C2713" i="1" s="1"/>
  <c r="C2714" i="1" s="1"/>
  <c r="C2715" i="1" s="1"/>
  <c r="C2716" i="1" s="1"/>
  <c r="C2717" i="1" s="1"/>
  <c r="C2718" i="1" s="1"/>
  <c r="C2719" i="1" s="1"/>
  <c r="C2720" i="1" s="1"/>
  <c r="C2721" i="1" s="1"/>
  <c r="C2722" i="1" s="1"/>
  <c r="C2723" i="1" s="1"/>
  <c r="C2724" i="1" s="1"/>
  <c r="C2725" i="1" s="1"/>
  <c r="C2726" i="1" s="1"/>
  <c r="C2727" i="1" s="1"/>
  <c r="C2729" i="1"/>
  <c r="C2730" i="1" s="1"/>
  <c r="C2731" i="1" s="1"/>
  <c r="C2732" i="1" s="1"/>
  <c r="C2733" i="1" s="1"/>
  <c r="C2734" i="1" s="1"/>
  <c r="C2735" i="1" s="1"/>
  <c r="C2736" i="1" s="1"/>
  <c r="C2737" i="1" s="1"/>
  <c r="C2738" i="1" s="1"/>
  <c r="C2739" i="1" s="1"/>
  <c r="C2740" i="1" s="1"/>
  <c r="C2741" i="1"/>
  <c r="C2742" i="1" s="1"/>
  <c r="C2743" i="1" s="1"/>
  <c r="C2744" i="1" s="1"/>
  <c r="C2745" i="1" s="1"/>
  <c r="C2746" i="1"/>
  <c r="C2747" i="1" s="1"/>
  <c r="C2748" i="1" s="1"/>
  <c r="C2749" i="1" s="1"/>
  <c r="C2750" i="1"/>
  <c r="C2751" i="1" s="1"/>
  <c r="C2752" i="1"/>
  <c r="C2753" i="1" s="1"/>
  <c r="C2754" i="1" s="1"/>
  <c r="C2755" i="1" s="1"/>
  <c r="C2756" i="1" s="1"/>
  <c r="C2757" i="1"/>
  <c r="C2758" i="1" s="1"/>
  <c r="C2759" i="1" s="1"/>
  <c r="C2760" i="1"/>
  <c r="C2761" i="1" s="1"/>
  <c r="C2762" i="1" s="1"/>
  <c r="C2763" i="1" s="1"/>
  <c r="C2764" i="1" s="1"/>
  <c r="C2765" i="1" s="1"/>
  <c r="C2767" i="1"/>
  <c r="C2768" i="1" s="1"/>
  <c r="C2769" i="1" s="1"/>
  <c r="C2770" i="1" s="1"/>
  <c r="C2771" i="1" s="1"/>
  <c r="C2772" i="1" s="1"/>
  <c r="C2773" i="1" s="1"/>
  <c r="C2774" i="1" s="1"/>
  <c r="C2775" i="1" s="1"/>
  <c r="C2776" i="1" s="1"/>
  <c r="C2777" i="1" s="1"/>
  <c r="C2778" i="1" s="1"/>
  <c r="C2779" i="1"/>
  <c r="C2780" i="1"/>
  <c r="C2781" i="1"/>
  <c r="C2782" i="1"/>
  <c r="C2783" i="1"/>
  <c r="C2784" i="1"/>
  <c r="C2785" i="1" s="1"/>
  <c r="C2786" i="1" s="1"/>
  <c r="C2787" i="1" s="1"/>
  <c r="C2788" i="1" s="1"/>
  <c r="C2789" i="1" s="1"/>
  <c r="C2790" i="1" s="1"/>
  <c r="C2791" i="1" s="1"/>
  <c r="C2792" i="1" s="1"/>
  <c r="C2793" i="1" s="1"/>
  <c r="C2794" i="1" s="1"/>
  <c r="C2795" i="1" s="1"/>
  <c r="C2796" i="1"/>
  <c r="C2797" i="1" s="1"/>
  <c r="C2798" i="1" s="1"/>
  <c r="C2799" i="1" s="1"/>
  <c r="C2800" i="1" s="1"/>
  <c r="C2801" i="1" s="1"/>
  <c r="C2802" i="1" s="1"/>
  <c r="C2803" i="1" s="1"/>
  <c r="C2804" i="1"/>
  <c r="C2805" i="1"/>
  <c r="C2806" i="1"/>
  <c r="C2807" i="1" s="1"/>
  <c r="C2808" i="1" s="1"/>
  <c r="C2809" i="1" s="1"/>
  <c r="C2810" i="1" s="1"/>
  <c r="C2811" i="1" s="1"/>
  <c r="C2813" i="1"/>
  <c r="C2814" i="1"/>
  <c r="C2815" i="1" s="1"/>
  <c r="C2816" i="1" s="1"/>
  <c r="C2817" i="1" s="1"/>
  <c r="C2818" i="1" s="1"/>
  <c r="C2819" i="1" s="1"/>
  <c r="C2820" i="1" s="1"/>
  <c r="C2822" i="1"/>
  <c r="C2823" i="1" s="1"/>
  <c r="C2825" i="1"/>
  <c r="C2826" i="1"/>
  <c r="C2827" i="1"/>
  <c r="C2828" i="1"/>
  <c r="C2829" i="1" s="1"/>
  <c r="C2830" i="1" s="1"/>
  <c r="C2831" i="1" s="1"/>
  <c r="C2832" i="1" s="1"/>
  <c r="C2834" i="1"/>
  <c r="C2835" i="1"/>
  <c r="C2836" i="1" s="1"/>
  <c r="C2837" i="1" s="1"/>
  <c r="C2838" i="1" s="1"/>
  <c r="C2839" i="1"/>
  <c r="C2840" i="1"/>
  <c r="C2841" i="1" s="1"/>
  <c r="C2842" i="1" s="1"/>
  <c r="C2843" i="1" s="1"/>
  <c r="C2844" i="1" s="1"/>
  <c r="C2845" i="1" s="1"/>
  <c r="C2846" i="1" s="1"/>
  <c r="C2847" i="1" s="1"/>
  <c r="C2848" i="1" s="1"/>
  <c r="C2850" i="1"/>
  <c r="C2854" i="1"/>
  <c r="C2855" i="1"/>
  <c r="C2856" i="1"/>
  <c r="C2857" i="1" s="1"/>
  <c r="C2859" i="1"/>
  <c r="C2860" i="1"/>
  <c r="C2862" i="1"/>
  <c r="C2863" i="1"/>
  <c r="C2867" i="1"/>
  <c r="C2868" i="1" s="1"/>
  <c r="C2869" i="1" s="1"/>
  <c r="C2872" i="1"/>
  <c r="C2874" i="1"/>
  <c r="C2876" i="1"/>
  <c r="C2878" i="1"/>
  <c r="C2880" i="1"/>
  <c r="C2881" i="1"/>
  <c r="C2882" i="1" s="1"/>
  <c r="C2883" i="1"/>
  <c r="C2884" i="1"/>
  <c r="C2886" i="1"/>
  <c r="C2887" i="1" s="1"/>
  <c r="C2890" i="1"/>
  <c r="C2891" i="1" s="1"/>
  <c r="C2892" i="1" s="1"/>
  <c r="C2894" i="1"/>
  <c r="C2895" i="1" s="1"/>
  <c r="C2896" i="1" s="1"/>
  <c r="C2901" i="1"/>
  <c r="C2904" i="1"/>
  <c r="C2905" i="1"/>
  <c r="C2909" i="1"/>
  <c r="C2911" i="1"/>
  <c r="C2912" i="1"/>
  <c r="C2916" i="1"/>
  <c r="C2917" i="1" s="1"/>
  <c r="C2919" i="1"/>
  <c r="C2920" i="1"/>
  <c r="C2921" i="1"/>
  <c r="C2923" i="1"/>
  <c r="C2924" i="1" s="1"/>
  <c r="C2925" i="1" s="1"/>
  <c r="C2926" i="1" s="1"/>
  <c r="C2927" i="1" s="1"/>
  <c r="C2928" i="1"/>
  <c r="C2929" i="1" s="1"/>
  <c r="C2930" i="1" s="1"/>
  <c r="C2931" i="1" s="1"/>
  <c r="C2934" i="1"/>
  <c r="C2936" i="1"/>
  <c r="C2938" i="1"/>
  <c r="C2939" i="1"/>
  <c r="C2940" i="1"/>
  <c r="C2941" i="1"/>
  <c r="C2942" i="1" s="1"/>
  <c r="C2944" i="1"/>
  <c r="C2945" i="1"/>
  <c r="C2946" i="1" s="1"/>
  <c r="C2947" i="1" s="1"/>
  <c r="C2948" i="1" s="1"/>
  <c r="C2949" i="1" s="1"/>
  <c r="C2950" i="1" s="1"/>
  <c r="C2952" i="1"/>
  <c r="C2954" i="1"/>
  <c r="C2955" i="1"/>
  <c r="C2956" i="1"/>
  <c r="C2957" i="1"/>
  <c r="C2958" i="1"/>
  <c r="C2959" i="1" s="1"/>
  <c r="C2960" i="1" s="1"/>
  <c r="C2963" i="1"/>
  <c r="C2964" i="1" s="1"/>
  <c r="C2965" i="1" s="1"/>
  <c r="C2967" i="1"/>
  <c r="C2968" i="1" s="1"/>
  <c r="C2970" i="1"/>
  <c r="C2971" i="1" s="1"/>
  <c r="C2972" i="1" s="1"/>
  <c r="C2973" i="1" s="1"/>
  <c r="C2974" i="1" s="1"/>
  <c r="C2975" i="1" s="1"/>
  <c r="C2976" i="1" s="1"/>
  <c r="C2977" i="1"/>
  <c r="C2978" i="1" s="1"/>
  <c r="C2979" i="1" s="1"/>
  <c r="C2980" i="1" s="1"/>
  <c r="C2981" i="1" s="1"/>
  <c r="C2982" i="1" s="1"/>
  <c r="C2983" i="1" s="1"/>
  <c r="C2985" i="1"/>
  <c r="C2986" i="1" s="1"/>
  <c r="C2987" i="1" s="1"/>
  <c r="C2988" i="1" s="1"/>
  <c r="C2990" i="1"/>
  <c r="C2992" i="1"/>
  <c r="C2993" i="1" s="1"/>
  <c r="C2994" i="1" s="1"/>
  <c r="C2995" i="1"/>
  <c r="C2997" i="1"/>
  <c r="C2998" i="1"/>
  <c r="C3000" i="1"/>
  <c r="C3001" i="1" s="1"/>
  <c r="C3002" i="1" s="1"/>
  <c r="C3004" i="1"/>
  <c r="C3005" i="1" s="1"/>
  <c r="C3007" i="1"/>
  <c r="C3008" i="1"/>
  <c r="C3009" i="1" s="1"/>
  <c r="C3010" i="1" s="1"/>
  <c r="C3011" i="1"/>
  <c r="C3012" i="1"/>
  <c r="C3014" i="1"/>
  <c r="C3015" i="1"/>
  <c r="C3016" i="1"/>
  <c r="C3017" i="1"/>
  <c r="C3018" i="1" s="1"/>
  <c r="C3019" i="1" s="1"/>
  <c r="C3020" i="1" s="1"/>
  <c r="C3021" i="1" s="1"/>
  <c r="C3022" i="1" s="1"/>
  <c r="C3023" i="1" s="1"/>
  <c r="C3026" i="1"/>
  <c r="C3027" i="1"/>
  <c r="C3028" i="1"/>
  <c r="C3030" i="1"/>
  <c r="C3031" i="1" s="1"/>
  <c r="C3032" i="1" s="1"/>
  <c r="C3033" i="1" s="1"/>
  <c r="C3034" i="1" s="1"/>
  <c r="C3035" i="1" s="1"/>
  <c r="C3038" i="1"/>
  <c r="C3039" i="1" s="1"/>
  <c r="C3040" i="1" s="1"/>
  <c r="C3041" i="1" s="1"/>
  <c r="C3042" i="1" s="1"/>
  <c r="C3043" i="1" s="1"/>
  <c r="C3044" i="1" s="1"/>
  <c r="C3045" i="1" s="1"/>
  <c r="C3046" i="1" s="1"/>
  <c r="C3047" i="1" s="1"/>
  <c r="C3049" i="1"/>
  <c r="C3050" i="1"/>
  <c r="C3051" i="1"/>
  <c r="C3052" i="1" s="1"/>
  <c r="C3053" i="1" s="1"/>
  <c r="C3054" i="1" s="1"/>
  <c r="C3055" i="1"/>
  <c r="C3056" i="1"/>
  <c r="C3057" i="1" s="1"/>
  <c r="C3058" i="1" s="1"/>
  <c r="C3059" i="1" s="1"/>
  <c r="C3060" i="1"/>
  <c r="C3061" i="1"/>
  <c r="C3062" i="1" s="1"/>
  <c r="C3063" i="1" s="1"/>
  <c r="C3064" i="1" s="1"/>
  <c r="C3065" i="1" s="1"/>
  <c r="C3066" i="1" s="1"/>
  <c r="C3067" i="1" s="1"/>
  <c r="C3068" i="1" s="1"/>
  <c r="C3069" i="1" s="1"/>
  <c r="C3073" i="1"/>
  <c r="C3074" i="1" s="1"/>
  <c r="C3075" i="1" s="1"/>
  <c r="C3076" i="1" s="1"/>
  <c r="C3077" i="1" s="1"/>
  <c r="C3079" i="1"/>
  <c r="C3082" i="1"/>
  <c r="C3083" i="1" s="1"/>
  <c r="C3084" i="1"/>
  <c r="C3085" i="1"/>
  <c r="C3087" i="1"/>
  <c r="C3088" i="1"/>
  <c r="C3090" i="1"/>
  <c r="C3093" i="1"/>
  <c r="C3094" i="1" s="1"/>
  <c r="C3095" i="1" s="1"/>
  <c r="C3097" i="1"/>
  <c r="C3098" i="1"/>
  <c r="C3099" i="1" s="1"/>
  <c r="C3101" i="1"/>
  <c r="C3102" i="1"/>
  <c r="C3103" i="1"/>
  <c r="C3104" i="1" s="1"/>
  <c r="C3105" i="1" s="1"/>
  <c r="C3106" i="1"/>
  <c r="C3107" i="1"/>
  <c r="C3108" i="1"/>
  <c r="C3109" i="1" s="1"/>
  <c r="C3111" i="1"/>
  <c r="C3112" i="1"/>
  <c r="C3113" i="1" s="1"/>
  <c r="C3114" i="1" s="1"/>
  <c r="C3115" i="1"/>
  <c r="C3116" i="1"/>
  <c r="C3117" i="1" s="1"/>
  <c r="C3118" i="1" s="1"/>
  <c r="C3119" i="1" s="1"/>
  <c r="C3120" i="1"/>
  <c r="C3121" i="1" s="1"/>
  <c r="C3122" i="1" s="1"/>
  <c r="C3123" i="1" s="1"/>
  <c r="C3124" i="1" s="1"/>
  <c r="C3125" i="1" s="1"/>
  <c r="C3127" i="1"/>
  <c r="C3128" i="1"/>
  <c r="C3130" i="1"/>
  <c r="C3131" i="1" s="1"/>
  <c r="C3132" i="1"/>
  <c r="C3133" i="1"/>
  <c r="C3134" i="1" s="1"/>
  <c r="C3136" i="1"/>
  <c r="C3137" i="1" s="1"/>
  <c r="C3138" i="1" s="1"/>
  <c r="C3139" i="1"/>
  <c r="C3140" i="1" s="1"/>
  <c r="C3141" i="1" s="1"/>
  <c r="C3142" i="1" s="1"/>
  <c r="C3143" i="1" s="1"/>
  <c r="C3145" i="1"/>
  <c r="C3146" i="1"/>
  <c r="C3147" i="1"/>
  <c r="C3149" i="1"/>
  <c r="C3151" i="1"/>
  <c r="C3154" i="1"/>
  <c r="C3156" i="1"/>
  <c r="C3160" i="1"/>
  <c r="C3161" i="1" s="1"/>
  <c r="C3162" i="1" s="1"/>
  <c r="C3164" i="1"/>
  <c r="C3165" i="1" s="1"/>
  <c r="C3166" i="1" s="1"/>
  <c r="C3167" i="1" s="1"/>
  <c r="C3168" i="1" s="1"/>
  <c r="C3171" i="1"/>
  <c r="C3173" i="1"/>
  <c r="C3174" i="1" s="1"/>
  <c r="C3177" i="1"/>
  <c r="C3179" i="1"/>
  <c r="C3180" i="1" s="1"/>
  <c r="C3181" i="1" s="1"/>
  <c r="C3182" i="1" s="1"/>
  <c r="C3183" i="1" s="1"/>
  <c r="C3184" i="1"/>
  <c r="C3185" i="1"/>
  <c r="C3186" i="1" s="1"/>
  <c r="C3187" i="1" s="1"/>
  <c r="C3188" i="1" s="1"/>
  <c r="C3191" i="1"/>
  <c r="C3192" i="1"/>
  <c r="C3193" i="1"/>
  <c r="C3194" i="1" s="1"/>
  <c r="C3195" i="1" s="1"/>
  <c r="C3197" i="1"/>
  <c r="C3198" i="1" s="1"/>
  <c r="C3199" i="1" s="1"/>
  <c r="C3201" i="1"/>
  <c r="C3203" i="1"/>
  <c r="C3205" i="1"/>
  <c r="C3206" i="1" s="1"/>
  <c r="C3207" i="1" s="1"/>
  <c r="C3208" i="1" s="1"/>
  <c r="C3209" i="1" s="1"/>
  <c r="C3211" i="1"/>
  <c r="C3212" i="1" s="1"/>
  <c r="C3213" i="1"/>
  <c r="C3215" i="1"/>
  <c r="C3217" i="1"/>
  <c r="C3218" i="1"/>
  <c r="C3219" i="1"/>
  <c r="C3220" i="1" s="1"/>
  <c r="C3224" i="1"/>
  <c r="C3225" i="1" s="1"/>
  <c r="C3226" i="1" s="1"/>
  <c r="C3227" i="1" s="1"/>
  <c r="C3228" i="1" s="1"/>
  <c r="C3229" i="1" s="1"/>
  <c r="C3233" i="1"/>
  <c r="C3234" i="1"/>
  <c r="C3235" i="1" s="1"/>
  <c r="C3236" i="1" s="1"/>
  <c r="C3237" i="1" s="1"/>
  <c r="C3239" i="1"/>
  <c r="C3241" i="1"/>
  <c r="C3245" i="1"/>
  <c r="C3247" i="1"/>
  <c r="C3249" i="1"/>
  <c r="C3250" i="1" s="1"/>
  <c r="C3252" i="1"/>
  <c r="C3253" i="1"/>
  <c r="C3254" i="1"/>
  <c r="C3255" i="1" s="1"/>
  <c r="C3259" i="1"/>
  <c r="C3260" i="1" s="1"/>
  <c r="C3262" i="1"/>
  <c r="C3263" i="1" s="1"/>
  <c r="C3264" i="1" s="1"/>
  <c r="C3265" i="1" s="1"/>
  <c r="C3266" i="1"/>
  <c r="C3267" i="1" s="1"/>
  <c r="C3268" i="1" s="1"/>
  <c r="C3269" i="1" s="1"/>
  <c r="C3270" i="1" s="1"/>
  <c r="C3271" i="1" s="1"/>
  <c r="C3272" i="1"/>
  <c r="C3273" i="1"/>
  <c r="C3274" i="1"/>
  <c r="C3275" i="1"/>
  <c r="C3276" i="1"/>
  <c r="C3277" i="1" s="1"/>
  <c r="C3279" i="1"/>
  <c r="C3280" i="1" s="1"/>
  <c r="C3281" i="1" s="1"/>
  <c r="C3283" i="1"/>
  <c r="C3284" i="1"/>
  <c r="C3285" i="1" s="1"/>
  <c r="C3287" i="1"/>
  <c r="C3289" i="1"/>
  <c r="C3292" i="1"/>
  <c r="C3293" i="1"/>
  <c r="C3294" i="1"/>
  <c r="C3295" i="1"/>
  <c r="C3296" i="1"/>
  <c r="C3298" i="1"/>
  <c r="C3299" i="1" s="1"/>
  <c r="C3300" i="1" s="1"/>
  <c r="C3301" i="1" s="1"/>
  <c r="C3302" i="1"/>
  <c r="C3303" i="1" s="1"/>
  <c r="C3304" i="1" s="1"/>
  <c r="C3305" i="1" s="1"/>
  <c r="C3306" i="1" s="1"/>
  <c r="C3307" i="1" s="1"/>
  <c r="C3308" i="1" s="1"/>
  <c r="C3309" i="1" s="1"/>
  <c r="C3310" i="1" s="1"/>
  <c r="C3311" i="1" s="1"/>
  <c r="C3312" i="1"/>
  <c r="C3313" i="1" s="1"/>
  <c r="C3314" i="1" s="1"/>
  <c r="C3315" i="1"/>
  <c r="C3316" i="1"/>
  <c r="C3317" i="1" s="1"/>
  <c r="C3318" i="1" s="1"/>
  <c r="C3319" i="1" s="1"/>
  <c r="C3320" i="1" s="1"/>
  <c r="C3321" i="1" s="1"/>
  <c r="C3322" i="1" s="1"/>
  <c r="C3323" i="1" s="1"/>
  <c r="C3324" i="1"/>
  <c r="C3325" i="1"/>
  <c r="C3326" i="1" s="1"/>
  <c r="C3327" i="1" s="1"/>
  <c r="C3328" i="1" s="1"/>
  <c r="C3329" i="1" s="1"/>
  <c r="C3330" i="1" s="1"/>
  <c r="C3331" i="1" s="1"/>
  <c r="C3332" i="1" s="1"/>
  <c r="C3333" i="1" s="1"/>
  <c r="C3334" i="1" s="1"/>
  <c r="C3335" i="1" s="1"/>
  <c r="C3336" i="1" s="1"/>
  <c r="C3337" i="1" s="1"/>
  <c r="C3338" i="1" s="1"/>
  <c r="C3340" i="1"/>
  <c r="C3341" i="1"/>
  <c r="C3342" i="1"/>
  <c r="C3343" i="1" s="1"/>
  <c r="C3344" i="1"/>
  <c r="C3345" i="1" s="1"/>
  <c r="C3346" i="1" s="1"/>
  <c r="C3347" i="1" s="1"/>
  <c r="C3348" i="1"/>
  <c r="C3349" i="1"/>
  <c r="C3350" i="1" s="1"/>
  <c r="C3351" i="1" s="1"/>
  <c r="C3352" i="1" s="1"/>
  <c r="C3353" i="1"/>
  <c r="C3354" i="1" s="1"/>
  <c r="C3355" i="1" s="1"/>
  <c r="C3356" i="1" s="1"/>
  <c r="C3357" i="1" s="1"/>
  <c r="C3358" i="1" s="1"/>
  <c r="C3359" i="1" s="1"/>
  <c r="C3360" i="1"/>
  <c r="C3361" i="1" s="1"/>
  <c r="C3362" i="1"/>
  <c r="C3363" i="1" s="1"/>
  <c r="C3364" i="1" s="1"/>
  <c r="C3365" i="1" s="1"/>
  <c r="C3367" i="1"/>
  <c r="C3368" i="1" s="1"/>
  <c r="C3369" i="1" s="1"/>
  <c r="C3370" i="1" s="1"/>
  <c r="C3371" i="1" s="1"/>
  <c r="C3372" i="1" s="1"/>
  <c r="C3373" i="1" s="1"/>
  <c r="C3374" i="1" s="1"/>
  <c r="C3375" i="1"/>
  <c r="C3376" i="1" s="1"/>
  <c r="C3377" i="1" s="1"/>
  <c r="C3378" i="1" s="1"/>
  <c r="C3379" i="1"/>
  <c r="C3380" i="1"/>
  <c r="C3381" i="1"/>
  <c r="C3382" i="1" s="1"/>
  <c r="C3383" i="1" s="1"/>
  <c r="C3384" i="1" s="1"/>
  <c r="C3385" i="1"/>
  <c r="C3386" i="1"/>
  <c r="C3387" i="1"/>
  <c r="C3388" i="1" s="1"/>
  <c r="C3389" i="1" s="1"/>
  <c r="C3390" i="1" s="1"/>
  <c r="C3391" i="1" s="1"/>
  <c r="C3392" i="1" s="1"/>
  <c r="C3393" i="1"/>
  <c r="C3394" i="1" s="1"/>
  <c r="C3395" i="1" s="1"/>
  <c r="C3396" i="1" s="1"/>
  <c r="C3397" i="1" s="1"/>
  <c r="C3398" i="1" s="1"/>
  <c r="C3399" i="1" s="1"/>
  <c r="C3400" i="1" s="1"/>
  <c r="C3401" i="1" s="1"/>
  <c r="C3403" i="1"/>
  <c r="C3404" i="1"/>
  <c r="C3405" i="1" s="1"/>
  <c r="C3406" i="1"/>
  <c r="C3407" i="1" s="1"/>
  <c r="C3408" i="1" s="1"/>
  <c r="C3409" i="1" s="1"/>
  <c r="C3410" i="1" s="1"/>
  <c r="C3411" i="1" s="1"/>
  <c r="C3412" i="1" s="1"/>
  <c r="C3413" i="1" s="1"/>
  <c r="C3414" i="1"/>
  <c r="C3415" i="1" s="1"/>
  <c r="C3416" i="1" s="1"/>
  <c r="C3417" i="1"/>
  <c r="C3418" i="1"/>
  <c r="C3419" i="1" s="1"/>
  <c r="C3420" i="1" s="1"/>
  <c r="C3421" i="1" s="1"/>
  <c r="C3422" i="1"/>
  <c r="C3423" i="1" s="1"/>
  <c r="C3424" i="1"/>
  <c r="C3425" i="1"/>
  <c r="C3426" i="1" s="1"/>
  <c r="C3427" i="1" s="1"/>
  <c r="C3428" i="1" s="1"/>
  <c r="C3429" i="1" s="1"/>
  <c r="C3430" i="1" s="1"/>
  <c r="C3431" i="1" s="1"/>
  <c r="C3432" i="1" s="1"/>
  <c r="C3433" i="1" s="1"/>
  <c r="C3434" i="1" s="1"/>
  <c r="C3435" i="1" s="1"/>
  <c r="C3436" i="1" s="1"/>
  <c r="C3437" i="1" s="1"/>
  <c r="C3438" i="1" s="1"/>
  <c r="C3439" i="1" s="1"/>
  <c r="C3440" i="1" s="1"/>
  <c r="C3441" i="1" s="1"/>
  <c r="C3442" i="1" s="1"/>
  <c r="C3443" i="1" s="1"/>
  <c r="C3444" i="1" s="1"/>
  <c r="C3445" i="1" s="1"/>
  <c r="C3446" i="1" s="1"/>
  <c r="C3447" i="1" s="1"/>
  <c r="C3449" i="1"/>
  <c r="C3450" i="1" s="1"/>
  <c r="C3451" i="1" s="1"/>
  <c r="C3452" i="1"/>
  <c r="C3453" i="1" s="1"/>
  <c r="C3454" i="1" s="1"/>
  <c r="C3455" i="1" s="1"/>
  <c r="C3456" i="1" s="1"/>
  <c r="C3457" i="1" s="1"/>
  <c r="C3458" i="1" s="1"/>
  <c r="C3459" i="1"/>
  <c r="C3461" i="1"/>
  <c r="C3462" i="1"/>
  <c r="C3463" i="1"/>
  <c r="C3464" i="1"/>
  <c r="C3465" i="1"/>
  <c r="C3467" i="1"/>
  <c r="C3468" i="1" s="1"/>
  <c r="C3469" i="1" s="1"/>
  <c r="C3470" i="1" s="1"/>
  <c r="C3471" i="1" s="1"/>
  <c r="C3472" i="1" s="1"/>
  <c r="C3473" i="1"/>
  <c r="C3474" i="1" s="1"/>
  <c r="C3475" i="1" s="1"/>
  <c r="C3476" i="1" s="1"/>
  <c r="C3477" i="1" s="1"/>
  <c r="C3479" i="1"/>
  <c r="C3480" i="1"/>
  <c r="C3481" i="1"/>
  <c r="C3482" i="1"/>
  <c r="C3483" i="1" s="1"/>
  <c r="C3484" i="1" s="1"/>
  <c r="C3485" i="1" s="1"/>
  <c r="C3486" i="1"/>
  <c r="C3487" i="1"/>
  <c r="C3488" i="1" s="1"/>
  <c r="C3489" i="1" s="1"/>
  <c r="C3490" i="1" s="1"/>
  <c r="C3491" i="1" s="1"/>
  <c r="C3492" i="1" s="1"/>
  <c r="C3493" i="1" s="1"/>
  <c r="C3494" i="1" s="1"/>
  <c r="C3495" i="1" s="1"/>
  <c r="C3496" i="1" s="1"/>
  <c r="C3497" i="1" s="1"/>
  <c r="C3498" i="1" s="1"/>
  <c r="C3499" i="1" s="1"/>
  <c r="C3500" i="1" s="1"/>
  <c r="C3501" i="1" s="1"/>
  <c r="C3502" i="1" s="1"/>
  <c r="C3503" i="1" s="1"/>
  <c r="C3505" i="1"/>
  <c r="C3507" i="1"/>
  <c r="C3508" i="1"/>
  <c r="C3509" i="1" s="1"/>
  <c r="C3510" i="1" s="1"/>
  <c r="C3511" i="1" s="1"/>
  <c r="C3512" i="1"/>
  <c r="C3515" i="1"/>
  <c r="C3517" i="1"/>
  <c r="C3526" i="1"/>
  <c r="C3528" i="1"/>
  <c r="C3529" i="1"/>
  <c r="C3530" i="1"/>
  <c r="C3531" i="1"/>
  <c r="C3532" i="1"/>
  <c r="C3533" i="1" s="1"/>
  <c r="C3535" i="1"/>
  <c r="C3536" i="1"/>
  <c r="C3537" i="1"/>
  <c r="C3538" i="1"/>
  <c r="C3539" i="1" s="1"/>
  <c r="C3540" i="1"/>
  <c r="C3545" i="1"/>
  <c r="C3546" i="1"/>
  <c r="C3548" i="1"/>
  <c r="C3550" i="1"/>
  <c r="C3551" i="1"/>
  <c r="C3552" i="1" s="1"/>
  <c r="C3553" i="1" s="1"/>
  <c r="C3554" i="1" s="1"/>
  <c r="C3555" i="1"/>
  <c r="C3556" i="1"/>
  <c r="C3558" i="1"/>
  <c r="C3559" i="1"/>
  <c r="C3560" i="1" s="1"/>
  <c r="C3562" i="1"/>
  <c r="C3563" i="1"/>
  <c r="C3564" i="1" s="1"/>
  <c r="C3565" i="1" s="1"/>
  <c r="C3566" i="1" s="1"/>
  <c r="C3567" i="1" s="1"/>
  <c r="C3568" i="1" s="1"/>
  <c r="C3569" i="1"/>
  <c r="C3570" i="1"/>
  <c r="C3571" i="1" s="1"/>
  <c r="C3573" i="1"/>
  <c r="C3574" i="1"/>
  <c r="C3575" i="1" s="1"/>
  <c r="C3576" i="1"/>
  <c r="C3577" i="1" s="1"/>
  <c r="C3578" i="1" s="1"/>
  <c r="C3581" i="1"/>
  <c r="C3582" i="1" s="1"/>
  <c r="C3583" i="1" s="1"/>
  <c r="C3584" i="1"/>
  <c r="C3585" i="1"/>
  <c r="C3586" i="1" s="1"/>
  <c r="C3588" i="1"/>
  <c r="C3589" i="1"/>
  <c r="C3590" i="1"/>
  <c r="C3591" i="1"/>
  <c r="C3592" i="1" s="1"/>
  <c r="C3593" i="1"/>
  <c r="C3594" i="1" s="1"/>
  <c r="C3595" i="1" s="1"/>
  <c r="C3596" i="1" s="1"/>
  <c r="C3598" i="1"/>
  <c r="C3600" i="1"/>
  <c r="C3601" i="1"/>
  <c r="C3603" i="1"/>
  <c r="C3604" i="1"/>
  <c r="C3607" i="1"/>
  <c r="C3608" i="1" s="1"/>
  <c r="C3609" i="1" s="1"/>
  <c r="C3610" i="1"/>
  <c r="C3611" i="1" s="1"/>
  <c r="C3612" i="1" s="1"/>
  <c r="C3613" i="1" s="1"/>
  <c r="C3614" i="1"/>
  <c r="C3615" i="1" s="1"/>
  <c r="C3616" i="1"/>
  <c r="C3617" i="1"/>
  <c r="C3618" i="1" s="1"/>
  <c r="C3619" i="1"/>
  <c r="C3621" i="1"/>
  <c r="C3622" i="1" s="1"/>
  <c r="C3623" i="1" s="1"/>
  <c r="C3624" i="1" s="1"/>
  <c r="C3626" i="1"/>
  <c r="C3627" i="1" s="1"/>
  <c r="C3628" i="1"/>
  <c r="C3629" i="1" s="1"/>
  <c r="C3631" i="1"/>
  <c r="C3632" i="1" s="1"/>
  <c r="C3633" i="1"/>
  <c r="C3634" i="1"/>
  <c r="C3637" i="1"/>
  <c r="C3638" i="1"/>
  <c r="C3640" i="1"/>
  <c r="C3641" i="1" s="1"/>
  <c r="C3642" i="1" s="1"/>
  <c r="C3643" i="1" s="1"/>
  <c r="C3644" i="1"/>
  <c r="C3645" i="1" s="1"/>
  <c r="C3646" i="1" s="1"/>
  <c r="C3647" i="1" s="1"/>
  <c r="C3648" i="1"/>
  <c r="C3652" i="1"/>
  <c r="C3653" i="1" s="1"/>
  <c r="C3655" i="1"/>
  <c r="C3657" i="1"/>
  <c r="C3658" i="1" s="1"/>
  <c r="C3659" i="1" s="1"/>
  <c r="C3660" i="1" s="1"/>
  <c r="C3661" i="1" s="1"/>
  <c r="C3662" i="1"/>
  <c r="C3663" i="1"/>
  <c r="C3664" i="1"/>
  <c r="C3667" i="1"/>
  <c r="C3668" i="1"/>
  <c r="C3669" i="1" s="1"/>
  <c r="C3670" i="1" s="1"/>
  <c r="C3671" i="1" s="1"/>
  <c r="C3672" i="1" s="1"/>
  <c r="C3673" i="1" s="1"/>
  <c r="C3674" i="1" s="1"/>
  <c r="C3675" i="1" s="1"/>
  <c r="C3678" i="1"/>
  <c r="C3680" i="1"/>
  <c r="C3682" i="1"/>
  <c r="C3683" i="1"/>
  <c r="C3684" i="1"/>
  <c r="C3688" i="1"/>
  <c r="C3689" i="1" s="1"/>
  <c r="C3690" i="1" s="1"/>
  <c r="C3693" i="1"/>
  <c r="C3694" i="1" s="1"/>
  <c r="C3697" i="1"/>
  <c r="C3699" i="1"/>
  <c r="C3701" i="1"/>
  <c r="C3702" i="1"/>
  <c r="C3704" i="1"/>
  <c r="C3705" i="1" s="1"/>
  <c r="C3706" i="1"/>
  <c r="C3707" i="1"/>
  <c r="C3708" i="1"/>
  <c r="C3710" i="1"/>
  <c r="C3713" i="1"/>
  <c r="C3714" i="1" s="1"/>
  <c r="C3715" i="1" s="1"/>
  <c r="C3716" i="1"/>
  <c r="C3718" i="1"/>
  <c r="C3719" i="1" s="1"/>
  <c r="C3720" i="1" s="1"/>
  <c r="C3721" i="1" s="1"/>
  <c r="C3722" i="1" s="1"/>
  <c r="C3723" i="1" s="1"/>
  <c r="C3724" i="1"/>
  <c r="C3726" i="1"/>
  <c r="C3727" i="1" s="1"/>
  <c r="C3729" i="1"/>
  <c r="C3730" i="1"/>
  <c r="C3731" i="1"/>
  <c r="C3732" i="1"/>
  <c r="C3733" i="1"/>
  <c r="C3734" i="1"/>
  <c r="C3735" i="1" s="1"/>
  <c r="C3736" i="1"/>
  <c r="C3737" i="1" s="1"/>
  <c r="C3738" i="1" s="1"/>
  <c r="C3739" i="1" s="1"/>
  <c r="C3740" i="1" s="1"/>
  <c r="C3741" i="1" s="1"/>
  <c r="C3742" i="1" s="1"/>
  <c r="C3743" i="1" s="1"/>
  <c r="C3744" i="1" s="1"/>
  <c r="C3745" i="1" s="1"/>
  <c r="C3746" i="1" s="1"/>
  <c r="C3747" i="1" s="1"/>
  <c r="C3748" i="1" s="1"/>
  <c r="C3750" i="1"/>
  <c r="C3751" i="1" s="1"/>
  <c r="C3752" i="1"/>
  <c r="C3753" i="1" s="1"/>
  <c r="C3755" i="1"/>
  <c r="C3756" i="1" s="1"/>
  <c r="C3757" i="1" s="1"/>
  <c r="C3758" i="1"/>
  <c r="C3761" i="1"/>
  <c r="C3762" i="1" s="1"/>
  <c r="C3763" i="1" s="1"/>
  <c r="C3764" i="1"/>
  <c r="C3765" i="1" s="1"/>
  <c r="C3766" i="1" s="1"/>
  <c r="C3768" i="1"/>
  <c r="C3769" i="1" s="1"/>
  <c r="C3770" i="1" s="1"/>
  <c r="C3771" i="1" s="1"/>
  <c r="C3772" i="1" s="1"/>
  <c r="C3773" i="1"/>
  <c r="C3774" i="1"/>
  <c r="C3775" i="1" s="1"/>
  <c r="C3776" i="1" s="1"/>
  <c r="C3779" i="1"/>
  <c r="C3781" i="1"/>
  <c r="C3782" i="1" s="1"/>
  <c r="C3783" i="1" s="1"/>
  <c r="C3784" i="1" s="1"/>
  <c r="C3785" i="1" s="1"/>
  <c r="C3786" i="1" s="1"/>
  <c r="C3787" i="1" s="1"/>
  <c r="C3790" i="1"/>
  <c r="C3791" i="1" s="1"/>
  <c r="C3792" i="1" s="1"/>
  <c r="C3793" i="1" s="1"/>
  <c r="C3796" i="1"/>
  <c r="C3798" i="1"/>
  <c r="C3799" i="1"/>
  <c r="C3800" i="1"/>
  <c r="C3801" i="1" s="1"/>
  <c r="C3802" i="1" s="1"/>
  <c r="C3803" i="1" s="1"/>
  <c r="C3804" i="1"/>
  <c r="C3805" i="1"/>
  <c r="C3807" i="1"/>
  <c r="C3810" i="1"/>
  <c r="C3811" i="1"/>
  <c r="C3812" i="1"/>
  <c r="C3813" i="1" s="1"/>
  <c r="C3815" i="1"/>
  <c r="C3816" i="1"/>
  <c r="C3817" i="1" s="1"/>
  <c r="C3819" i="1"/>
  <c r="C3820" i="1" s="1"/>
  <c r="C3821" i="1"/>
  <c r="C3822" i="1"/>
  <c r="C3823" i="1"/>
  <c r="C3824" i="1"/>
  <c r="C3825" i="1"/>
  <c r="C3826" i="1" s="1"/>
  <c r="C3827" i="1" s="1"/>
  <c r="C3828" i="1" s="1"/>
  <c r="C3829" i="1" s="1"/>
  <c r="C3830" i="1" s="1"/>
  <c r="C3831" i="1" s="1"/>
  <c r="C3832" i="1" s="1"/>
  <c r="C3833" i="1"/>
  <c r="C3834" i="1" s="1"/>
  <c r="C3835" i="1" s="1"/>
  <c r="C3836" i="1" s="1"/>
  <c r="C3837" i="1"/>
  <c r="C3838" i="1" s="1"/>
  <c r="C3839" i="1" s="1"/>
  <c r="C3840" i="1" s="1"/>
  <c r="C3841" i="1" s="1"/>
  <c r="C3842" i="1" s="1"/>
  <c r="C3843" i="1" s="1"/>
  <c r="C3844" i="1" s="1"/>
  <c r="C3845" i="1" s="1"/>
  <c r="C3846" i="1" s="1"/>
  <c r="C3847" i="1" s="1"/>
  <c r="C3848" i="1" s="1"/>
  <c r="C3849" i="1" s="1"/>
  <c r="C3850" i="1" s="1"/>
  <c r="C3851" i="1" s="1"/>
  <c r="C3853" i="1"/>
  <c r="C3854" i="1"/>
  <c r="C3855" i="1" s="1"/>
  <c r="C3856" i="1" s="1"/>
  <c r="C3857" i="1" s="1"/>
  <c r="C3858" i="1"/>
  <c r="C3859" i="1"/>
  <c r="C3860" i="1"/>
  <c r="C3861" i="1"/>
  <c r="C3862" i="1" s="1"/>
  <c r="C3864" i="1"/>
  <c r="C3865" i="1"/>
  <c r="C3866" i="1" s="1"/>
  <c r="C3867" i="1" s="1"/>
  <c r="C3868" i="1" s="1"/>
  <c r="C3869" i="1" s="1"/>
  <c r="C3870" i="1" s="1"/>
  <c r="C3871" i="1" s="1"/>
  <c r="C3872" i="1"/>
  <c r="C3873" i="1" s="1"/>
  <c r="C3874" i="1" s="1"/>
  <c r="C3875" i="1"/>
  <c r="C3876" i="1"/>
  <c r="C3877" i="1"/>
  <c r="C3878" i="1"/>
  <c r="C3879" i="1" s="1"/>
  <c r="C3880" i="1" s="1"/>
  <c r="C3881" i="1" s="1"/>
  <c r="C3882" i="1" s="1"/>
  <c r="C3883" i="1"/>
  <c r="C3884" i="1"/>
  <c r="C3885" i="1" s="1"/>
  <c r="C3886" i="1" s="1"/>
  <c r="C3887" i="1" s="1"/>
  <c r="C3888" i="1" s="1"/>
  <c r="C3889" i="1"/>
  <c r="C3890" i="1" s="1"/>
  <c r="C3891" i="1" s="1"/>
  <c r="C3892" i="1" s="1"/>
  <c r="C3894" i="1"/>
  <c r="C3895" i="1" s="1"/>
  <c r="C3896" i="1" s="1"/>
  <c r="C3897" i="1" s="1"/>
  <c r="C3898" i="1" s="1"/>
  <c r="C3899" i="1" s="1"/>
  <c r="C3900" i="1" s="1"/>
  <c r="C3901" i="1" s="1"/>
  <c r="C3902" i="1" s="1"/>
  <c r="C3903" i="1" s="1"/>
  <c r="C3904" i="1" s="1"/>
  <c r="C3905" i="1" s="1"/>
  <c r="C3906" i="1" s="1"/>
  <c r="C3907" i="1" s="1"/>
  <c r="C3908" i="1" s="1"/>
  <c r="C3909" i="1" s="1"/>
  <c r="C3910" i="1" s="1"/>
  <c r="C3911" i="1" s="1"/>
  <c r="C3912" i="1" s="1"/>
  <c r="C3913" i="1" s="1"/>
  <c r="C3914" i="1" s="1"/>
  <c r="C3915" i="1" s="1"/>
  <c r="C3916" i="1" s="1"/>
  <c r="C3917" i="1" s="1"/>
  <c r="C3918" i="1" s="1"/>
  <c r="C3919" i="1" s="1"/>
  <c r="C3920" i="1" s="1"/>
  <c r="C3921" i="1" s="1"/>
  <c r="C3922" i="1" s="1"/>
  <c r="C3923" i="1" s="1"/>
  <c r="C3924" i="1" s="1"/>
  <c r="C3925" i="1" s="1"/>
  <c r="C3926" i="1" s="1"/>
  <c r="C3927" i="1" s="1"/>
  <c r="C3928" i="1" s="1"/>
  <c r="C3929" i="1" s="1"/>
  <c r="C3930" i="1" s="1"/>
  <c r="C3931" i="1" s="1"/>
  <c r="C3932" i="1" s="1"/>
  <c r="C3933" i="1" s="1"/>
  <c r="C3934" i="1" s="1"/>
  <c r="C3935" i="1" s="1"/>
  <c r="C3936" i="1" s="1"/>
  <c r="C3937" i="1" s="1"/>
  <c r="C3938" i="1" s="1"/>
  <c r="C3940" i="1"/>
  <c r="C3941" i="1" s="1"/>
  <c r="C3942" i="1" s="1"/>
  <c r="C3943" i="1" s="1"/>
  <c r="C3946" i="1"/>
  <c r="C3947" i="1"/>
  <c r="C3948" i="1"/>
  <c r="C3949" i="1" s="1"/>
  <c r="C3950" i="1" s="1"/>
  <c r="C3951" i="1" s="1"/>
  <c r="C3953" i="1"/>
  <c r="C3954" i="1"/>
  <c r="C3955" i="1" s="1"/>
  <c r="C3956" i="1" s="1"/>
  <c r="C3957" i="1" s="1"/>
  <c r="C3958" i="1" s="1"/>
  <c r="C3959" i="1" s="1"/>
  <c r="C3960" i="1" s="1"/>
  <c r="C3961" i="1" s="1"/>
  <c r="C3962" i="1" s="1"/>
  <c r="C3963" i="1" s="1"/>
  <c r="C3964" i="1" s="1"/>
  <c r="C3965" i="1" s="1"/>
  <c r="C3966" i="1" s="1"/>
  <c r="C3967" i="1" s="1"/>
  <c r="C3968" i="1" s="1"/>
  <c r="C3969" i="1" s="1"/>
  <c r="C3970" i="1" s="1"/>
  <c r="C3971" i="1" s="1"/>
  <c r="C3972" i="1" s="1"/>
  <c r="C3973" i="1" s="1"/>
  <c r="C3974" i="1" s="1"/>
  <c r="C3975" i="1" s="1"/>
  <c r="C3976" i="1" s="1"/>
  <c r="C3977" i="1" s="1"/>
  <c r="C3980" i="1"/>
  <c r="C3982" i="1"/>
  <c r="C3984" i="1"/>
  <c r="C3985" i="1" s="1"/>
  <c r="C3986" i="1" s="1"/>
  <c r="C3987" i="1" s="1"/>
  <c r="C3988" i="1" s="1"/>
  <c r="C3989" i="1"/>
  <c r="C3990" i="1"/>
  <c r="C3991" i="1" s="1"/>
  <c r="C3995" i="1"/>
  <c r="C3996" i="1"/>
  <c r="C3997" i="1"/>
  <c r="C3998" i="1"/>
  <c r="C3999" i="1"/>
  <c r="C4000" i="1" s="1"/>
  <c r="C4001" i="1" s="1"/>
  <c r="C4002" i="1" s="1"/>
  <c r="C4004" i="1"/>
  <c r="C4006" i="1"/>
  <c r="C4007" i="1" s="1"/>
  <c r="C4008" i="1" s="1"/>
  <c r="C4009" i="1" s="1"/>
  <c r="C4010" i="1" s="1"/>
  <c r="C4012" i="1"/>
  <c r="C4013" i="1" s="1"/>
  <c r="C4014" i="1" s="1"/>
  <c r="C4015" i="1" s="1"/>
  <c r="C4016" i="1" s="1"/>
  <c r="C4017" i="1" s="1"/>
  <c r="C4019" i="1"/>
  <c r="C4020" i="1" s="1"/>
  <c r="C4022" i="1"/>
  <c r="C4023" i="1" s="1"/>
  <c r="C4024" i="1"/>
  <c r="C4029" i="1"/>
  <c r="C4030" i="1" s="1"/>
  <c r="C4032" i="1"/>
  <c r="C4033" i="1" s="1"/>
  <c r="C4035" i="1"/>
  <c r="C4036" i="1" s="1"/>
  <c r="C4038" i="1"/>
  <c r="C4041" i="1"/>
  <c r="C4045" i="1"/>
  <c r="C4046" i="1"/>
  <c r="C4047" i="1"/>
  <c r="C4048" i="1" s="1"/>
  <c r="C4050" i="1"/>
  <c r="C4051" i="1" s="1"/>
  <c r="C4053" i="1"/>
  <c r="C4054" i="1"/>
  <c r="C4055" i="1" s="1"/>
  <c r="C4056" i="1" s="1"/>
  <c r="C4057" i="1" s="1"/>
  <c r="C4058" i="1"/>
  <c r="C4059" i="1" s="1"/>
  <c r="C4060" i="1" s="1"/>
  <c r="C4061" i="1" s="1"/>
  <c r="C4062" i="1"/>
  <c r="C4064" i="1"/>
  <c r="C4065" i="1"/>
  <c r="C4066" i="1" s="1"/>
  <c r="C4067" i="1"/>
  <c r="C4068" i="1" s="1"/>
  <c r="C4069" i="1" s="1"/>
  <c r="C4071" i="1"/>
  <c r="C4072" i="1"/>
  <c r="C4073" i="1"/>
  <c r="C4074" i="1"/>
  <c r="C4075" i="1" s="1"/>
  <c r="C4076" i="1" s="1"/>
  <c r="C4077" i="1" s="1"/>
  <c r="C4079" i="1"/>
  <c r="C4080" i="1"/>
  <c r="C4081" i="1" s="1"/>
  <c r="C4082" i="1" s="1"/>
  <c r="C4083" i="1" s="1"/>
  <c r="C4084" i="1" s="1"/>
  <c r="C4085" i="1" s="1"/>
  <c r="C4086" i="1" s="1"/>
  <c r="C4087" i="1"/>
  <c r="C4088" i="1" s="1"/>
  <c r="C4089" i="1"/>
  <c r="C4090" i="1"/>
  <c r="C4092" i="1"/>
  <c r="C4093" i="1"/>
  <c r="C4094" i="1"/>
  <c r="C4095" i="1" s="1"/>
  <c r="C4097" i="1"/>
  <c r="C4099" i="1"/>
  <c r="C4100" i="1"/>
  <c r="C4101" i="1" s="1"/>
  <c r="C4105" i="1"/>
  <c r="C4106" i="1" s="1"/>
  <c r="C4107" i="1" s="1"/>
  <c r="C4108" i="1" s="1"/>
  <c r="C4111" i="1"/>
  <c r="C4112" i="1"/>
  <c r="C4113" i="1"/>
  <c r="C4114" i="1" s="1"/>
  <c r="C4116" i="1"/>
  <c r="C4117" i="1"/>
  <c r="C4118" i="1"/>
  <c r="C4119" i="1" s="1"/>
  <c r="C4120" i="1" s="1"/>
  <c r="C4121" i="1" s="1"/>
  <c r="C4123" i="1"/>
  <c r="C4124" i="1" s="1"/>
  <c r="C4125" i="1"/>
  <c r="C4126" i="1" s="1"/>
  <c r="C4129" i="1"/>
  <c r="C4130" i="1" s="1"/>
  <c r="C4131" i="1" s="1"/>
  <c r="C4133" i="1"/>
  <c r="C4134" i="1"/>
  <c r="C4135" i="1" s="1"/>
  <c r="C4136" i="1" s="1"/>
  <c r="C4137" i="1" s="1"/>
  <c r="C4138" i="1" s="1"/>
  <c r="C4139" i="1" s="1"/>
  <c r="C4142" i="1"/>
  <c r="C4143" i="1" s="1"/>
  <c r="C4145" i="1"/>
  <c r="C4147" i="1"/>
  <c r="C4148" i="1" s="1"/>
  <c r="C4149" i="1" s="1"/>
  <c r="C4153" i="1"/>
  <c r="C4154" i="1" s="1"/>
  <c r="C4155" i="1" s="1"/>
  <c r="C4156" i="1"/>
  <c r="C4157" i="1"/>
  <c r="C4158" i="1"/>
  <c r="C4159" i="1" s="1"/>
  <c r="C4160" i="1"/>
  <c r="C4161" i="1" s="1"/>
  <c r="C4163" i="1"/>
  <c r="C4164" i="1" s="1"/>
  <c r="C4167" i="1"/>
  <c r="C4168" i="1"/>
  <c r="C4169" i="1"/>
  <c r="C4170" i="1"/>
  <c r="C4171" i="1" s="1"/>
  <c r="C4172" i="1" s="1"/>
  <c r="C4174" i="1"/>
  <c r="C4175" i="1"/>
  <c r="C4177" i="1"/>
  <c r="C4178" i="1"/>
  <c r="C4179" i="1" s="1"/>
  <c r="C4183" i="1"/>
  <c r="C4184" i="1" s="1"/>
  <c r="C4186" i="1"/>
  <c r="C4187" i="1"/>
  <c r="C4189" i="1"/>
  <c r="C4190" i="1"/>
  <c r="C4191" i="1"/>
  <c r="C4192" i="1" s="1"/>
  <c r="C4193" i="1" s="1"/>
  <c r="C4194" i="1"/>
  <c r="C4196" i="1"/>
  <c r="C4198" i="1"/>
  <c r="C4199" i="1" s="1"/>
  <c r="C4200" i="1" s="1"/>
  <c r="C4201" i="1"/>
  <c r="C4202" i="1"/>
  <c r="C4203" i="1" s="1"/>
  <c r="C4204" i="1"/>
  <c r="C4205" i="1" s="1"/>
  <c r="C4206" i="1" s="1"/>
  <c r="C4208" i="1"/>
  <c r="C4209" i="1"/>
  <c r="C4210" i="1" s="1"/>
  <c r="C4211" i="1" s="1"/>
  <c r="C4212" i="1" s="1"/>
  <c r="C4213" i="1" s="1"/>
  <c r="C4214" i="1" s="1"/>
  <c r="C4215" i="1" s="1"/>
  <c r="C4216" i="1" s="1"/>
  <c r="C4217" i="1" s="1"/>
  <c r="C4218" i="1" s="1"/>
  <c r="C4219" i="1" s="1"/>
  <c r="C4220" i="1" s="1"/>
  <c r="C4221" i="1" s="1"/>
  <c r="C4222" i="1" s="1"/>
  <c r="C4224" i="1"/>
  <c r="C4225" i="1" s="1"/>
  <c r="C4226" i="1" s="1"/>
  <c r="C4227" i="1" s="1"/>
  <c r="C4228" i="1" s="1"/>
  <c r="C4229" i="1"/>
  <c r="C4230" i="1" s="1"/>
  <c r="C4231" i="1" s="1"/>
  <c r="C4232" i="1" s="1"/>
  <c r="C4233" i="1"/>
  <c r="C4234" i="1" s="1"/>
  <c r="C4235" i="1"/>
  <c r="C4236" i="1" s="1"/>
  <c r="C4237" i="1" s="1"/>
  <c r="C4238" i="1" s="1"/>
  <c r="C4239" i="1"/>
  <c r="C4240" i="1"/>
  <c r="C4241" i="1" s="1"/>
  <c r="C4242" i="1" s="1"/>
  <c r="C4243" i="1" s="1"/>
  <c r="C4244" i="1" s="1"/>
  <c r="C4245" i="1" s="1"/>
  <c r="C4246" i="1" s="1"/>
  <c r="C4247" i="1" s="1"/>
  <c r="C4248" i="1" s="1"/>
  <c r="C4249" i="1" s="1"/>
  <c r="C4250" i="1" s="1"/>
  <c r="C4253" i="1"/>
  <c r="C4254" i="1" s="1"/>
  <c r="C4255" i="1"/>
  <c r="C4256" i="1"/>
  <c r="C4258" i="1"/>
  <c r="C4259" i="1"/>
  <c r="C4260" i="1"/>
  <c r="C4262" i="1"/>
  <c r="C4263" i="1"/>
  <c r="C4264" i="1" s="1"/>
  <c r="C4265" i="1" s="1"/>
  <c r="C4267" i="1"/>
  <c r="C4268" i="1"/>
  <c r="C4269" i="1"/>
  <c r="C4270" i="1"/>
  <c r="C4271" i="1" s="1"/>
  <c r="C4272" i="1" s="1"/>
  <c r="C4274" i="1"/>
  <c r="C4275" i="1"/>
  <c r="C4276" i="1"/>
  <c r="C4278" i="1"/>
  <c r="C4279" i="1" s="1"/>
  <c r="C4280" i="1" s="1"/>
  <c r="C4281" i="1" s="1"/>
  <c r="C4283" i="1"/>
  <c r="C4284" i="1"/>
  <c r="C4285" i="1"/>
  <c r="C4286" i="1" s="1"/>
  <c r="C4287" i="1" s="1"/>
  <c r="C4288" i="1" s="1"/>
  <c r="C4289" i="1" s="1"/>
  <c r="C4290" i="1" s="1"/>
  <c r="C4291" i="1"/>
  <c r="C4292" i="1" s="1"/>
  <c r="C4293" i="1" s="1"/>
  <c r="C4294" i="1" s="1"/>
  <c r="C4295" i="1" s="1"/>
  <c r="C4296" i="1" s="1"/>
  <c r="C4297" i="1"/>
  <c r="C4298" i="1" s="1"/>
  <c r="C4299" i="1" s="1"/>
  <c r="C4300" i="1" s="1"/>
  <c r="C4301" i="1" s="1"/>
  <c r="C4305" i="1"/>
  <c r="C4307" i="1"/>
  <c r="C4309" i="1"/>
  <c r="C4310" i="1" s="1"/>
  <c r="C4311" i="1" s="1"/>
  <c r="C4312" i="1"/>
  <c r="C4313" i="1"/>
  <c r="C4314" i="1"/>
  <c r="C4316" i="1"/>
  <c r="C4318" i="1"/>
  <c r="C4321" i="1"/>
  <c r="C4322" i="1" s="1"/>
  <c r="C4323" i="1" s="1"/>
  <c r="C4324" i="1" s="1"/>
  <c r="C4327" i="1"/>
  <c r="C4329" i="1"/>
  <c r="C4330" i="1" s="1"/>
  <c r="C4332" i="1"/>
  <c r="C4333" i="1"/>
  <c r="C4334" i="1" s="1"/>
  <c r="C4335" i="1" s="1"/>
  <c r="C4336" i="1"/>
  <c r="C4337" i="1" s="1"/>
  <c r="C4338" i="1" s="1"/>
  <c r="C4339" i="1"/>
  <c r="C4340" i="1"/>
  <c r="C4341" i="1" s="1"/>
  <c r="C4342" i="1" s="1"/>
  <c r="C4343" i="1" s="1"/>
  <c r="C4344" i="1" s="1"/>
  <c r="C4345" i="1"/>
  <c r="C4346" i="1"/>
  <c r="C4349" i="1"/>
  <c r="C4350" i="1"/>
  <c r="C4351" i="1" s="1"/>
  <c r="C4353" i="1"/>
  <c r="C4354" i="1"/>
  <c r="C4355" i="1"/>
  <c r="C4356" i="1" s="1"/>
  <c r="C4357" i="1" s="1"/>
  <c r="C4358" i="1" s="1"/>
  <c r="C4359" i="1" s="1"/>
  <c r="C4360" i="1" s="1"/>
  <c r="C4363" i="1"/>
  <c r="C4364" i="1" s="1"/>
  <c r="C4365" i="1"/>
  <c r="C4366" i="1"/>
  <c r="C4367" i="1" s="1"/>
  <c r="C4370" i="1"/>
  <c r="C4371" i="1"/>
  <c r="C4373" i="1"/>
  <c r="C4374" i="1" s="1"/>
  <c r="C4375" i="1" s="1"/>
  <c r="C4376" i="1" s="1"/>
  <c r="C4377" i="1" s="1"/>
  <c r="C4378" i="1" s="1"/>
  <c r="C4380" i="1"/>
  <c r="C4381" i="1" s="1"/>
  <c r="C4382" i="1" s="1"/>
  <c r="C4383" i="1" s="1"/>
  <c r="C4386" i="1"/>
  <c r="C4388" i="1"/>
  <c r="C4389" i="1" s="1"/>
  <c r="C4390" i="1" s="1"/>
  <c r="C4391" i="1" s="1"/>
  <c r="C4393" i="1"/>
  <c r="C4395" i="1"/>
  <c r="C4397" i="1"/>
  <c r="C4399" i="1"/>
  <c r="C4406" i="1"/>
  <c r="C4407" i="1" s="1"/>
  <c r="C4408" i="1" s="1"/>
  <c r="C4409" i="1"/>
  <c r="C4410" i="1" s="1"/>
  <c r="C4411" i="1" s="1"/>
  <c r="C4412" i="1" s="1"/>
  <c r="C4413" i="1" s="1"/>
  <c r="C4414" i="1" s="1"/>
  <c r="C4416" i="1"/>
  <c r="C4417" i="1" s="1"/>
  <c r="C4418" i="1"/>
  <c r="C4419" i="1"/>
  <c r="C4420" i="1"/>
  <c r="C4421" i="1"/>
  <c r="C4422" i="1" s="1"/>
  <c r="C4423" i="1" s="1"/>
  <c r="C4425" i="1"/>
  <c r="C4426" i="1" s="1"/>
  <c r="C4427" i="1" s="1"/>
  <c r="C4429" i="1"/>
  <c r="C4430" i="1" s="1"/>
  <c r="C4431" i="1"/>
  <c r="C4432" i="1"/>
  <c r="C4433" i="1" s="1"/>
  <c r="C4434" i="1" s="1"/>
  <c r="C4435" i="1"/>
  <c r="C4436" i="1"/>
  <c r="C4437" i="1"/>
  <c r="C4438" i="1" s="1"/>
  <c r="C4439" i="1" s="1"/>
  <c r="C4440" i="1" s="1"/>
  <c r="C4441" i="1"/>
  <c r="C4443" i="1"/>
  <c r="C4444" i="1"/>
  <c r="C4445" i="1" s="1"/>
  <c r="C4446" i="1" s="1"/>
  <c r="C4447" i="1" s="1"/>
  <c r="C4449" i="1"/>
  <c r="C4451" i="1"/>
  <c r="C4452" i="1" s="1"/>
  <c r="C4453" i="1" s="1"/>
  <c r="C4455" i="1"/>
  <c r="C4458" i="1"/>
  <c r="C4459" i="1"/>
  <c r="C4460" i="1"/>
  <c r="C4461" i="1"/>
  <c r="C4463" i="1"/>
  <c r="C4465" i="1"/>
  <c r="C4466" i="1" s="1"/>
  <c r="C4467" i="1" s="1"/>
  <c r="C4468" i="1" s="1"/>
  <c r="C4469" i="1" s="1"/>
  <c r="C4470" i="1" s="1"/>
  <c r="C4472" i="1"/>
  <c r="C4473" i="1" s="1"/>
  <c r="C4474" i="1" s="1"/>
  <c r="C4475" i="1" s="1"/>
  <c r="C4476" i="1"/>
  <c r="C4477" i="1"/>
  <c r="C4478" i="1" s="1"/>
  <c r="C4479" i="1" s="1"/>
  <c r="C4480" i="1" s="1"/>
  <c r="C4481" i="1" s="1"/>
  <c r="C4482" i="1" s="1"/>
  <c r="C4483" i="1" s="1"/>
  <c r="C4484" i="1" s="1"/>
  <c r="C4485" i="1" s="1"/>
  <c r="C4486" i="1" s="1"/>
  <c r="C4487" i="1" s="1"/>
  <c r="C4488" i="1" s="1"/>
  <c r="C4489" i="1" s="1"/>
  <c r="C4490" i="1" s="1"/>
  <c r="C4491" i="1" s="1"/>
  <c r="C4492" i="1" s="1"/>
  <c r="C4493" i="1" s="1"/>
  <c r="C4494" i="1" s="1"/>
  <c r="C4496" i="1"/>
  <c r="C4497" i="1" s="1"/>
  <c r="C4498" i="1" s="1"/>
  <c r="C4499" i="1" s="1"/>
  <c r="C4500" i="1"/>
  <c r="C4502" i="1"/>
  <c r="C4504" i="1"/>
  <c r="C4505" i="1" s="1"/>
  <c r="C4506" i="1" s="1"/>
  <c r="C4507" i="1" s="1"/>
  <c r="C4508" i="1" s="1"/>
  <c r="C4509" i="1" s="1"/>
  <c r="C4510" i="1" s="1"/>
  <c r="C4511" i="1" s="1"/>
  <c r="C4512" i="1" s="1"/>
  <c r="C4513" i="1" s="1"/>
  <c r="C4514" i="1" s="1"/>
  <c r="C4515" i="1" s="1"/>
  <c r="C4516" i="1" s="1"/>
  <c r="C4517" i="1" s="1"/>
  <c r="C4518" i="1" s="1"/>
  <c r="C4519" i="1" s="1"/>
  <c r="C4520" i="1" s="1"/>
  <c r="C4522" i="1"/>
  <c r="C4523" i="1" s="1"/>
  <c r="C4525" i="1"/>
  <c r="C4526" i="1" s="1"/>
  <c r="C4527" i="1"/>
  <c r="C4528" i="1" s="1"/>
  <c r="C4529" i="1" s="1"/>
  <c r="C4530" i="1"/>
  <c r="C4531" i="1"/>
  <c r="C4532" i="1" s="1"/>
  <c r="C4533" i="1" s="1"/>
  <c r="C4534" i="1" s="1"/>
  <c r="C4535" i="1" s="1"/>
  <c r="C4536" i="1" s="1"/>
  <c r="C4537" i="1" s="1"/>
  <c r="C4539" i="1"/>
  <c r="C4540" i="1"/>
  <c r="C4541" i="1" s="1"/>
  <c r="C4542" i="1" s="1"/>
  <c r="C4543" i="1"/>
  <c r="C4544" i="1" s="1"/>
  <c r="C4545" i="1" s="1"/>
  <c r="C4546" i="1"/>
  <c r="C4547" i="1" s="1"/>
  <c r="C4548" i="1"/>
  <c r="C4549" i="1" s="1"/>
  <c r="C4550" i="1" s="1"/>
  <c r="C4551" i="1" s="1"/>
  <c r="C4552" i="1"/>
  <c r="C4553" i="1"/>
  <c r="C4554" i="1"/>
  <c r="C4555" i="1"/>
  <c r="C4556" i="1" s="1"/>
  <c r="C4557" i="1" s="1"/>
  <c r="C4558" i="1" s="1"/>
  <c r="C4559" i="1" s="1"/>
  <c r="C4560" i="1" s="1"/>
  <c r="C4561" i="1" s="1"/>
  <c r="C4562" i="1" s="1"/>
  <c r="C4563" i="1" s="1"/>
  <c r="C4564" i="1" s="1"/>
  <c r="C4565" i="1" s="1"/>
  <c r="C4566" i="1" s="1"/>
  <c r="C4567" i="1" s="1"/>
  <c r="C4568" i="1" s="1"/>
  <c r="C4569" i="1" s="1"/>
  <c r="C4570" i="1" s="1"/>
  <c r="C4571" i="1" s="1"/>
  <c r="C4572" i="1" s="1"/>
  <c r="C4573" i="1" s="1"/>
  <c r="C4575" i="1"/>
  <c r="C4576" i="1" s="1"/>
  <c r="C4577" i="1"/>
  <c r="C4578" i="1" s="1"/>
  <c r="C4579" i="1" s="1"/>
  <c r="C4580" i="1"/>
  <c r="C4581" i="1"/>
  <c r="C4582" i="1"/>
  <c r="C4583" i="1" s="1"/>
  <c r="C4584" i="1" s="1"/>
  <c r="C4585" i="1" s="1"/>
  <c r="C4586" i="1" s="1"/>
  <c r="C4587" i="1" s="1"/>
  <c r="C4588" i="1" s="1"/>
  <c r="C4589" i="1" s="1"/>
  <c r="C4590" i="1" s="1"/>
  <c r="C4591" i="1" s="1"/>
  <c r="C4592" i="1" s="1"/>
  <c r="C4593" i="1" s="1"/>
  <c r="C4594" i="1" s="1"/>
  <c r="C4595" i="1" s="1"/>
  <c r="C4596" i="1" s="1"/>
  <c r="C4597" i="1" s="1"/>
  <c r="C4598" i="1" s="1"/>
  <c r="C4599" i="1" s="1"/>
  <c r="C4600" i="1" s="1"/>
  <c r="C4601" i="1" s="1"/>
  <c r="C4602" i="1" s="1"/>
  <c r="C4603" i="1" s="1"/>
  <c r="C4604" i="1" s="1"/>
  <c r="C4605" i="1" s="1"/>
  <c r="C4606" i="1" s="1"/>
  <c r="C4607" i="1" s="1"/>
  <c r="C4608" i="1" s="1"/>
  <c r="C4610" i="1"/>
  <c r="C4611" i="1" s="1"/>
  <c r="C4612" i="1" s="1"/>
  <c r="C4613" i="1" s="1"/>
  <c r="C4614" i="1"/>
  <c r="C4615" i="1"/>
  <c r="C4616" i="1"/>
  <c r="C4617" i="1"/>
  <c r="C4618" i="1"/>
  <c r="C4619" i="1"/>
  <c r="C4620" i="1" s="1"/>
  <c r="C4621" i="1" s="1"/>
  <c r="C4622" i="1" s="1"/>
  <c r="C4623" i="1" s="1"/>
  <c r="C4624" i="1" s="1"/>
  <c r="C4625" i="1" s="1"/>
  <c r="C4626" i="1"/>
  <c r="C4627" i="1" s="1"/>
  <c r="C4628" i="1" s="1"/>
  <c r="C4629" i="1"/>
  <c r="C4630" i="1"/>
  <c r="C4631" i="1"/>
  <c r="C4632" i="1"/>
  <c r="C4633" i="1"/>
  <c r="C4635" i="1"/>
  <c r="C4636" i="1" s="1"/>
  <c r="C4637" i="1" s="1"/>
  <c r="C4638" i="1" s="1"/>
  <c r="C4639" i="1" s="1"/>
  <c r="C4640" i="1" s="1"/>
  <c r="C4641" i="1" s="1"/>
  <c r="C4642" i="1"/>
  <c r="C4643" i="1" s="1"/>
  <c r="C4644" i="1" s="1"/>
  <c r="C4645" i="1"/>
  <c r="C4646" i="1"/>
  <c r="C4647" i="1"/>
  <c r="C4648" i="1" s="1"/>
  <c r="C4649" i="1" s="1"/>
  <c r="C4650" i="1" s="1"/>
  <c r="C4651" i="1"/>
  <c r="C4652" i="1"/>
  <c r="C4653" i="1"/>
  <c r="C4654" i="1" s="1"/>
  <c r="C4655" i="1" s="1"/>
  <c r="C4656" i="1" s="1"/>
  <c r="C4657" i="1"/>
  <c r="C4658" i="1" s="1"/>
  <c r="C4659" i="1" s="1"/>
  <c r="C4660" i="1" s="1"/>
  <c r="C4661" i="1" s="1"/>
  <c r="C4662" i="1" s="1"/>
  <c r="C4663" i="1"/>
  <c r="C4664" i="1"/>
  <c r="C4665" i="1"/>
  <c r="C4666" i="1" s="1"/>
  <c r="C4667" i="1" s="1"/>
  <c r="C4668" i="1" s="1"/>
  <c r="C4669" i="1" s="1"/>
  <c r="C4670" i="1" s="1"/>
  <c r="C4671" i="1" s="1"/>
  <c r="C4673" i="1"/>
  <c r="C4674" i="1" s="1"/>
  <c r="C4675" i="1" s="1"/>
  <c r="C4676" i="1" s="1"/>
  <c r="C4677" i="1" s="1"/>
  <c r="C4678" i="1"/>
  <c r="C4679" i="1"/>
  <c r="C4680" i="1"/>
  <c r="C4681" i="1"/>
  <c r="C4682" i="1"/>
  <c r="C4683" i="1"/>
  <c r="C4684" i="1" s="1"/>
  <c r="C4685" i="1" s="1"/>
  <c r="C4686" i="1" s="1"/>
  <c r="C4687" i="1" s="1"/>
  <c r="C4688" i="1" s="1"/>
  <c r="C4689" i="1" s="1"/>
  <c r="C4690" i="1"/>
  <c r="C4691" i="1" s="1"/>
  <c r="C4692" i="1" s="1"/>
  <c r="C4693" i="1"/>
  <c r="C4694" i="1" s="1"/>
  <c r="C4695" i="1" s="1"/>
  <c r="C4696" i="1" s="1"/>
  <c r="C4697" i="1" s="1"/>
  <c r="C4698" i="1" s="1"/>
  <c r="C4699" i="1" s="1"/>
  <c r="C4700" i="1" s="1"/>
  <c r="C4701" i="1" s="1"/>
  <c r="C4702" i="1" s="1"/>
  <c r="C4703" i="1" s="1"/>
  <c r="C4704" i="1" s="1"/>
  <c r="C4705" i="1" s="1"/>
  <c r="C4706" i="1" s="1"/>
  <c r="C4707" i="1" s="1"/>
  <c r="C4708" i="1" s="1"/>
  <c r="C4709" i="1" s="1"/>
  <c r="C4710" i="1" s="1"/>
  <c r="C4711" i="1" s="1"/>
  <c r="C4712" i="1" s="1"/>
  <c r="C4713" i="1" s="1"/>
  <c r="C4714" i="1" s="1"/>
  <c r="C4715" i="1" s="1"/>
  <c r="C4716" i="1" s="1"/>
  <c r="C4718" i="1"/>
  <c r="C4719" i="1" s="1"/>
  <c r="C4721" i="1"/>
  <c r="C4722" i="1"/>
  <c r="C4723" i="1" s="1"/>
  <c r="C4724" i="1" s="1"/>
  <c r="C4725" i="1" s="1"/>
  <c r="C4726" i="1" s="1"/>
  <c r="C4727" i="1" s="1"/>
  <c r="C4729" i="1"/>
  <c r="C4730" i="1"/>
  <c r="C4731" i="1"/>
  <c r="C4733" i="1"/>
  <c r="C4734" i="1"/>
  <c r="C4735" i="1"/>
  <c r="C4736" i="1" s="1"/>
  <c r="C4737" i="1" s="1"/>
  <c r="C4738" i="1" s="1"/>
  <c r="C4739" i="1" s="1"/>
  <c r="C4740" i="1" s="1"/>
  <c r="C4741" i="1" s="1"/>
  <c r="C4742" i="1"/>
  <c r="C4743" i="1" s="1"/>
  <c r="C4744" i="1" s="1"/>
  <c r="C4745" i="1"/>
  <c r="C4746" i="1"/>
  <c r="C4747" i="1" s="1"/>
  <c r="C4750" i="1"/>
  <c r="C4751" i="1" s="1"/>
  <c r="C4752" i="1" s="1"/>
  <c r="C4755" i="1"/>
  <c r="C4756" i="1"/>
  <c r="C4757" i="1" s="1"/>
  <c r="C4759" i="1"/>
  <c r="C4761" i="1"/>
  <c r="C4762" i="1"/>
  <c r="C4763" i="1" s="1"/>
  <c r="C4764" i="1" s="1"/>
  <c r="C4765" i="1"/>
  <c r="C4767" i="1"/>
  <c r="C4770" i="1"/>
  <c r="C4771" i="1" s="1"/>
  <c r="C4773" i="1"/>
  <c r="C4775" i="1"/>
  <c r="C4776" i="1" s="1"/>
  <c r="C4777" i="1" s="1"/>
  <c r="C4778" i="1" s="1"/>
  <c r="C4779" i="1" s="1"/>
  <c r="C4780" i="1" s="1"/>
  <c r="C4781" i="1" s="1"/>
  <c r="C4783" i="1"/>
  <c r="C4786" i="1"/>
  <c r="C4787" i="1" s="1"/>
  <c r="C4788" i="1" s="1"/>
  <c r="C4790" i="1"/>
  <c r="C4792" i="1"/>
  <c r="C4793" i="1"/>
  <c r="C4796" i="1"/>
  <c r="C4799" i="1"/>
  <c r="C4800" i="1" s="1"/>
  <c r="C4801" i="1" s="1"/>
  <c r="C4802" i="1"/>
  <c r="C4803" i="1"/>
  <c r="C4806" i="1"/>
  <c r="C4807" i="1" s="1"/>
  <c r="C4809" i="1"/>
  <c r="C4810" i="1" s="1"/>
  <c r="C4811" i="1"/>
  <c r="C4812" i="1"/>
  <c r="C4813" i="1"/>
  <c r="C4814" i="1"/>
  <c r="C4815" i="1"/>
  <c r="C4816" i="1"/>
  <c r="C4817" i="1" s="1"/>
  <c r="C4818" i="1" s="1"/>
  <c r="C4819" i="1"/>
  <c r="C4820" i="1" s="1"/>
  <c r="C4821" i="1" s="1"/>
  <c r="C4822" i="1" s="1"/>
  <c r="C4823" i="1"/>
  <c r="C4824" i="1" s="1"/>
  <c r="C4825" i="1" s="1"/>
  <c r="C4826" i="1"/>
  <c r="C4827" i="1"/>
  <c r="C4828" i="1"/>
  <c r="C4829" i="1" s="1"/>
  <c r="C4830" i="1" s="1"/>
  <c r="C4831" i="1" s="1"/>
  <c r="C4832" i="1" s="1"/>
  <c r="C4833" i="1" s="1"/>
  <c r="C4834" i="1" s="1"/>
  <c r="C4835" i="1" s="1"/>
  <c r="C4837" i="1"/>
  <c r="C4838" i="1"/>
  <c r="C4839" i="1"/>
  <c r="C4840" i="1" s="1"/>
  <c r="C4841" i="1" s="1"/>
  <c r="C4842" i="1"/>
  <c r="C4843" i="1"/>
  <c r="C4844" i="1"/>
  <c r="C4845" i="1" s="1"/>
  <c r="C4846" i="1" s="1"/>
  <c r="C4847" i="1" s="1"/>
  <c r="C4848" i="1"/>
  <c r="C4849" i="1"/>
  <c r="C4850" i="1"/>
  <c r="C4851" i="1" s="1"/>
  <c r="C4852" i="1" s="1"/>
  <c r="C4853" i="1" s="1"/>
  <c r="C4854" i="1" s="1"/>
  <c r="C4856" i="1"/>
  <c r="C4857" i="1"/>
  <c r="C4858" i="1" s="1"/>
  <c r="C4859" i="1" s="1"/>
  <c r="C4860" i="1" s="1"/>
  <c r="C4861" i="1"/>
  <c r="C4862" i="1"/>
  <c r="C4863" i="1"/>
  <c r="C4864" i="1"/>
  <c r="C4865" i="1"/>
  <c r="C4866" i="1"/>
  <c r="C4867" i="1" s="1"/>
  <c r="C4868" i="1" s="1"/>
  <c r="C4869" i="1"/>
  <c r="C4870" i="1" s="1"/>
  <c r="C4871" i="1" s="1"/>
  <c r="C4872" i="1" s="1"/>
  <c r="C4873" i="1"/>
  <c r="C4874" i="1" s="1"/>
  <c r="C4875" i="1" s="1"/>
  <c r="C4876" i="1" s="1"/>
  <c r="C4877" i="1" s="1"/>
  <c r="C4878" i="1" s="1"/>
  <c r="C4879" i="1" s="1"/>
  <c r="C4880" i="1" s="1"/>
  <c r="C4881" i="1" s="1"/>
  <c r="C4882" i="1" s="1"/>
  <c r="C4883" i="1" s="1"/>
  <c r="C4884" i="1" s="1"/>
  <c r="C4885" i="1" s="1"/>
  <c r="C4886" i="1" s="1"/>
  <c r="C4888" i="1"/>
  <c r="C4889" i="1"/>
  <c r="C4890" i="1" s="1"/>
  <c r="C4891" i="1" s="1"/>
  <c r="C4892" i="1"/>
  <c r="C4893" i="1"/>
  <c r="C4894" i="1"/>
  <c r="C4895" i="1" s="1"/>
  <c r="C4896" i="1" s="1"/>
  <c r="C4897" i="1" s="1"/>
  <c r="C4898" i="1"/>
  <c r="C4899" i="1" s="1"/>
  <c r="C4900" i="1" s="1"/>
  <c r="C4901" i="1" s="1"/>
  <c r="C4902" i="1" s="1"/>
  <c r="C4903" i="1" s="1"/>
  <c r="C4904" i="1" s="1"/>
  <c r="C4905" i="1" s="1"/>
  <c r="C4906" i="1" s="1"/>
  <c r="C4907" i="1" s="1"/>
  <c r="C4908" i="1" s="1"/>
  <c r="C4909" i="1" s="1"/>
  <c r="C4910" i="1" s="1"/>
  <c r="C4911" i="1" s="1"/>
  <c r="C4912" i="1" s="1"/>
  <c r="C4913" i="1" s="1"/>
  <c r="C4914" i="1" s="1"/>
  <c r="C4915" i="1" s="1"/>
  <c r="C4916" i="1" s="1"/>
  <c r="C4917" i="1" s="1"/>
  <c r="C4918" i="1" s="1"/>
  <c r="C4919" i="1" s="1"/>
  <c r="C4920" i="1" s="1"/>
  <c r="C4921" i="1" s="1"/>
  <c r="C4922" i="1" s="1"/>
  <c r="C4923" i="1" s="1"/>
  <c r="C4924" i="1" s="1"/>
  <c r="C4925" i="1" s="1"/>
  <c r="C4926" i="1" s="1"/>
  <c r="C4927" i="1" s="1"/>
  <c r="C4928" i="1" s="1"/>
  <c r="C4929" i="1" s="1"/>
  <c r="C4930" i="1" s="1"/>
  <c r="C4932" i="1"/>
  <c r="C4933" i="1" s="1"/>
  <c r="C4935" i="1"/>
  <c r="C4937" i="1"/>
  <c r="C4938" i="1"/>
  <c r="C4940" i="1"/>
  <c r="C4941" i="1"/>
  <c r="C4942" i="1"/>
  <c r="C4943" i="1"/>
  <c r="C4944" i="1"/>
  <c r="C4945" i="1"/>
  <c r="C4947" i="1"/>
  <c r="C4949" i="1"/>
  <c r="C4950" i="1" s="1"/>
  <c r="C4952" i="1"/>
  <c r="C4953" i="1"/>
  <c r="C4954" i="1"/>
  <c r="C4956" i="1"/>
  <c r="C4957" i="1" s="1"/>
  <c r="C4959" i="1"/>
  <c r="C4960" i="1"/>
  <c r="C4961" i="1" s="1"/>
  <c r="C4962" i="1" s="1"/>
  <c r="C4963" i="1" s="1"/>
  <c r="C4964" i="1" s="1"/>
  <c r="C4966" i="1"/>
  <c r="C4967" i="1" s="1"/>
  <c r="C4968" i="1"/>
  <c r="C4969" i="1" s="1"/>
  <c r="C4970" i="1" s="1"/>
  <c r="C4971" i="1"/>
  <c r="C4972" i="1"/>
  <c r="C4973" i="1" s="1"/>
  <c r="C4975" i="1"/>
  <c r="C4976" i="1"/>
  <c r="C4977" i="1"/>
  <c r="C4979" i="1"/>
  <c r="C4980" i="1" s="1"/>
  <c r="C4981" i="1" s="1"/>
  <c r="C4983" i="1"/>
  <c r="C4984" i="1" s="1"/>
  <c r="C4987" i="1"/>
  <c r="C4990" i="1"/>
  <c r="C4992" i="1"/>
  <c r="C4994" i="1"/>
  <c r="C4997" i="1"/>
  <c r="C4998" i="1" s="1"/>
  <c r="C4999" i="1" s="1"/>
  <c r="C5000" i="1" s="1"/>
  <c r="C5001" i="1" s="1"/>
  <c r="C5002" i="1" s="1"/>
  <c r="C5003" i="1"/>
  <c r="C5004" i="1"/>
  <c r="C5005" i="1"/>
  <c r="C5006" i="1"/>
  <c r="C5007" i="1"/>
  <c r="C5008" i="1"/>
  <c r="C5009" i="1" s="1"/>
  <c r="C5010" i="1" s="1"/>
  <c r="C5011" i="1" s="1"/>
  <c r="C5012" i="1" s="1"/>
  <c r="C5013" i="1" s="1"/>
  <c r="C5015" i="1"/>
  <c r="C5016" i="1"/>
  <c r="C5017" i="1"/>
  <c r="C5019" i="1"/>
  <c r="C5020" i="1"/>
  <c r="C5021" i="1"/>
  <c r="C5022" i="1"/>
  <c r="C5023" i="1"/>
  <c r="C5024" i="1"/>
  <c r="C5025" i="1" s="1"/>
  <c r="C5026" i="1" s="1"/>
  <c r="C5027" i="1" s="1"/>
  <c r="C5028" i="1" s="1"/>
  <c r="C5029" i="1" s="1"/>
  <c r="C5030" i="1"/>
  <c r="C5031" i="1"/>
  <c r="C5032" i="1" s="1"/>
  <c r="C5033" i="1" s="1"/>
  <c r="C5034" i="1" s="1"/>
  <c r="C5035" i="1" s="1"/>
  <c r="C5036" i="1" s="1"/>
  <c r="C5037" i="1" s="1"/>
  <c r="C5038" i="1" s="1"/>
  <c r="C5039" i="1" s="1"/>
  <c r="C5041" i="1"/>
  <c r="C5042" i="1"/>
  <c r="C5043" i="1" s="1"/>
  <c r="C5044" i="1" s="1"/>
  <c r="C5045" i="1"/>
  <c r="C5046" i="1"/>
  <c r="C5047" i="1" s="1"/>
  <c r="C5048" i="1" s="1"/>
  <c r="C5049" i="1"/>
  <c r="C5050" i="1"/>
  <c r="C5051" i="1" s="1"/>
  <c r="C5052" i="1" s="1"/>
  <c r="C5053" i="1" s="1"/>
  <c r="C5054" i="1"/>
  <c r="C5055" i="1"/>
  <c r="C5056" i="1" s="1"/>
  <c r="C5057" i="1" s="1"/>
  <c r="C5058" i="1" s="1"/>
  <c r="C5059" i="1" s="1"/>
  <c r="C5060" i="1" s="1"/>
  <c r="C5061" i="1" s="1"/>
  <c r="C5062" i="1" s="1"/>
  <c r="C5063" i="1" s="1"/>
  <c r="C5064" i="1" s="1"/>
  <c r="C5065" i="1" s="1"/>
  <c r="C5066" i="1" s="1"/>
  <c r="C5067" i="1" s="1"/>
  <c r="C5068" i="1" s="1"/>
  <c r="C5069" i="1" s="1"/>
  <c r="C5070" i="1" s="1"/>
  <c r="C5071" i="1" s="1"/>
  <c r="C5072" i="1" s="1"/>
  <c r="C5073" i="1" s="1"/>
  <c r="C5074" i="1" s="1"/>
  <c r="C5075" i="1" s="1"/>
  <c r="C5076" i="1" s="1"/>
  <c r="C5077" i="1" s="1"/>
  <c r="C5080" i="1"/>
  <c r="C5083" i="1"/>
  <c r="C5084" i="1"/>
  <c r="C5086" i="1"/>
  <c r="C5088" i="1"/>
  <c r="C5089" i="1"/>
  <c r="C5090" i="1" s="1"/>
  <c r="C5091" i="1" s="1"/>
  <c r="C5093" i="1"/>
  <c r="C5094" i="1"/>
  <c r="C5096" i="1"/>
  <c r="C5099" i="1"/>
  <c r="C5100" i="1"/>
  <c r="C5101" i="1"/>
  <c r="C5103" i="1"/>
  <c r="C5104" i="1"/>
  <c r="C5105" i="1"/>
  <c r="C5106" i="1"/>
  <c r="C5107" i="1" s="1"/>
  <c r="C5110" i="1"/>
  <c r="C5111" i="1"/>
  <c r="C5112" i="1"/>
  <c r="C5114" i="1"/>
  <c r="C5115" i="1"/>
  <c r="C5116" i="1"/>
  <c r="C5117" i="1"/>
  <c r="C5118" i="1"/>
  <c r="C5119" i="1" s="1"/>
  <c r="C5120" i="1" s="1"/>
  <c r="C5121" i="1" s="1"/>
  <c r="C5122" i="1" s="1"/>
  <c r="C5124" i="1"/>
  <c r="C5125" i="1"/>
  <c r="C5126" i="1"/>
  <c r="C5128" i="1"/>
  <c r="C5130" i="1"/>
  <c r="C5131" i="1"/>
  <c r="C5133" i="1"/>
  <c r="C5134" i="1"/>
  <c r="C5135" i="1"/>
  <c r="C5136" i="1" s="1"/>
  <c r="C5137" i="1" s="1"/>
  <c r="C5139" i="1"/>
  <c r="C5140" i="1" s="1"/>
  <c r="C5141" i="1"/>
  <c r="C5142" i="1"/>
  <c r="C5143" i="1" s="1"/>
  <c r="C5144" i="1" s="1"/>
  <c r="C5145" i="1"/>
  <c r="C5146" i="1"/>
  <c r="C5147" i="1"/>
  <c r="C5148" i="1"/>
  <c r="C5149" i="1"/>
  <c r="C5150" i="1"/>
  <c r="C5151" i="1" s="1"/>
  <c r="C5153" i="1"/>
  <c r="C5156" i="1"/>
  <c r="C5157" i="1"/>
  <c r="C5159" i="1"/>
  <c r="C5160" i="1"/>
  <c r="C5161" i="1"/>
  <c r="C5162" i="1"/>
  <c r="C5163" i="1"/>
  <c r="C5166" i="1"/>
  <c r="C5167" i="1"/>
  <c r="C5168" i="1"/>
  <c r="C5169" i="1" s="1"/>
  <c r="C5171" i="1"/>
  <c r="C5173" i="1"/>
  <c r="C5175" i="1"/>
  <c r="C5178" i="1"/>
  <c r="C5179" i="1"/>
  <c r="C5182" i="1"/>
  <c r="C5183" i="1"/>
  <c r="C5184" i="1"/>
  <c r="C5185" i="1"/>
  <c r="C5190" i="1"/>
  <c r="C5191" i="1"/>
  <c r="C5193" i="1"/>
  <c r="C5194" i="1" s="1"/>
  <c r="C5195" i="1"/>
  <c r="C5196" i="1"/>
  <c r="C5197" i="1" s="1"/>
  <c r="C5198" i="1" s="1"/>
  <c r="C5199" i="1" s="1"/>
  <c r="C5202" i="1"/>
  <c r="C5203" i="1"/>
  <c r="C5204" i="1"/>
  <c r="C5205" i="1"/>
  <c r="C5206" i="1"/>
  <c r="C5209" i="1"/>
  <c r="C5210" i="1" s="1"/>
  <c r="C5211" i="1"/>
  <c r="C5213" i="1"/>
  <c r="C5214" i="1" s="1"/>
  <c r="C5215" i="1" s="1"/>
  <c r="C5216" i="1"/>
  <c r="C5217" i="1"/>
  <c r="C5218" i="1"/>
  <c r="C5219" i="1" s="1"/>
  <c r="C5220" i="1" s="1"/>
  <c r="C5221" i="1" s="1"/>
  <c r="C5222" i="1" s="1"/>
  <c r="C5224" i="1"/>
  <c r="C5225" i="1"/>
  <c r="C5226" i="1"/>
  <c r="C5229" i="1"/>
  <c r="C5230" i="1"/>
  <c r="C5231" i="1"/>
  <c r="C5232" i="1"/>
  <c r="C5233" i="1"/>
  <c r="C5234" i="1"/>
  <c r="C5235" i="1" s="1"/>
  <c r="C5236" i="1" s="1"/>
  <c r="C5237" i="1" s="1"/>
  <c r="C5239" i="1"/>
  <c r="C5240" i="1"/>
  <c r="C5241" i="1"/>
  <c r="C5242" i="1" s="1"/>
  <c r="C5243" i="1" s="1"/>
  <c r="C5244" i="1"/>
  <c r="C5245" i="1"/>
  <c r="C5246" i="1"/>
  <c r="C5247" i="1"/>
  <c r="C5248" i="1"/>
  <c r="C5250" i="1"/>
  <c r="C5251" i="1" s="1"/>
  <c r="C5252" i="1" s="1"/>
  <c r="C5253" i="1"/>
  <c r="C5254" i="1" s="1"/>
  <c r="C5255" i="1" s="1"/>
  <c r="C5256" i="1" s="1"/>
  <c r="C5257" i="1" s="1"/>
  <c r="C5259" i="1"/>
  <c r="C5260" i="1"/>
  <c r="C5261" i="1"/>
  <c r="C5262" i="1"/>
  <c r="C5263" i="1"/>
  <c r="C5265" i="1"/>
  <c r="C5266" i="1" s="1"/>
  <c r="C5267" i="1"/>
  <c r="C5268" i="1"/>
  <c r="C5269" i="1" s="1"/>
  <c r="C5270" i="1" s="1"/>
  <c r="C5271" i="1"/>
  <c r="C5272" i="1"/>
  <c r="C5276" i="1"/>
  <c r="C5277" i="1"/>
  <c r="C5278" i="1"/>
  <c r="C5279" i="1"/>
  <c r="C5280" i="1" s="1"/>
  <c r="C5281" i="1" s="1"/>
  <c r="C5282" i="1"/>
  <c r="C5283" i="1"/>
  <c r="C5284" i="1" s="1"/>
  <c r="C5285" i="1" s="1"/>
  <c r="C5286" i="1"/>
  <c r="C5287" i="1"/>
  <c r="C5291" i="1"/>
  <c r="C5292" i="1"/>
  <c r="C5293" i="1"/>
  <c r="C5294" i="1"/>
  <c r="C5295" i="1" s="1"/>
  <c r="C5297" i="1"/>
  <c r="C5298" i="1"/>
  <c r="C5299" i="1"/>
  <c r="C5300" i="1" s="1"/>
  <c r="C5301" i="1" s="1"/>
  <c r="C5302" i="1"/>
  <c r="C5303" i="1"/>
  <c r="C5304" i="1"/>
  <c r="C5305" i="1"/>
  <c r="C5306" i="1"/>
  <c r="C5307" i="1"/>
  <c r="C5308" i="1" s="1"/>
  <c r="C5309" i="1" s="1"/>
  <c r="C5310" i="1"/>
  <c r="C5312" i="1"/>
  <c r="C5314" i="1"/>
  <c r="C5317" i="1"/>
  <c r="C5318" i="1"/>
  <c r="C5319" i="1"/>
  <c r="C5321" i="1"/>
  <c r="C5322" i="1"/>
  <c r="C5324" i="1"/>
  <c r="C5325" i="1"/>
  <c r="C5327" i="1"/>
  <c r="C5330" i="1"/>
  <c r="C5332" i="1"/>
  <c r="C5333" i="1"/>
  <c r="C5334" i="1" s="1"/>
  <c r="C5336" i="1"/>
  <c r="C5337" i="1"/>
  <c r="C5339" i="1"/>
  <c r="C5341" i="1"/>
  <c r="C5342" i="1"/>
  <c r="C5343" i="1"/>
  <c r="C5345" i="1"/>
  <c r="C5346" i="1" s="1"/>
  <c r="C5347" i="1" s="1"/>
  <c r="C5349" i="1"/>
  <c r="C5350" i="1"/>
  <c r="C5351" i="1" s="1"/>
  <c r="C5353" i="1"/>
  <c r="C5354" i="1"/>
  <c r="C5355" i="1"/>
  <c r="C5356" i="1"/>
  <c r="C5357" i="1" s="1"/>
  <c r="C5358" i="1" s="1"/>
  <c r="C5359" i="1" s="1"/>
  <c r="C5360" i="1" s="1"/>
  <c r="C5361" i="1" s="1"/>
  <c r="C5362" i="1" s="1"/>
  <c r="C5365" i="1"/>
  <c r="C5366" i="1" s="1"/>
  <c r="C5369" i="1"/>
  <c r="C5371" i="1"/>
  <c r="C5372" i="1"/>
  <c r="C5377" i="1"/>
  <c r="C5378" i="1"/>
  <c r="C5379" i="1"/>
  <c r="C5381" i="1"/>
  <c r="C5382" i="1" s="1"/>
  <c r="C5384" i="1"/>
  <c r="C5385" i="1"/>
  <c r="C5386" i="1"/>
  <c r="C5387" i="1" s="1"/>
  <c r="C5388" i="1" s="1"/>
  <c r="C5390" i="1"/>
  <c r="C5391" i="1"/>
  <c r="C5393" i="1"/>
  <c r="C5394" i="1"/>
  <c r="C5395" i="1"/>
  <c r="C5396" i="1"/>
  <c r="C5397" i="1" s="1"/>
  <c r="C5400" i="1"/>
  <c r="C5401" i="1"/>
  <c r="C5402" i="1"/>
  <c r="C5404" i="1"/>
  <c r="C5406" i="1"/>
  <c r="C5407" i="1"/>
  <c r="C5408" i="1"/>
  <c r="C5411" i="1"/>
  <c r="C5412" i="1"/>
  <c r="C5414" i="1"/>
  <c r="C5415" i="1"/>
  <c r="C5416" i="1" s="1"/>
  <c r="C5418" i="1"/>
  <c r="C5419" i="1"/>
  <c r="C5421" i="1"/>
  <c r="C5422" i="1" s="1"/>
  <c r="C5424" i="1"/>
  <c r="C5427" i="1"/>
  <c r="C5428" i="1"/>
  <c r="C5429" i="1"/>
  <c r="C5431" i="1"/>
  <c r="C5432" i="1"/>
  <c r="C5434" i="1"/>
  <c r="C5435" i="1" s="1"/>
  <c r="C5436" i="1" s="1"/>
  <c r="C5437" i="1"/>
  <c r="C5440" i="1"/>
  <c r="C5441" i="1" s="1"/>
  <c r="C5442" i="1" s="1"/>
  <c r="C5443" i="1"/>
  <c r="C5444" i="1"/>
  <c r="C5445" i="1"/>
  <c r="C5449" i="1"/>
  <c r="C5450" i="1" s="1"/>
  <c r="C5451" i="1" s="1"/>
  <c r="C5452" i="1" s="1"/>
  <c r="C5453" i="1" s="1"/>
  <c r="C5454" i="1" s="1"/>
  <c r="C5455" i="1" s="1"/>
  <c r="C5456" i="1" s="1"/>
  <c r="C5459" i="1"/>
  <c r="C5460" i="1"/>
  <c r="C5461" i="1"/>
  <c r="C5462" i="1"/>
  <c r="C5466" i="1"/>
  <c r="C5468" i="1"/>
  <c r="C5469" i="1"/>
  <c r="C5470" i="1" s="1"/>
  <c r="C5472" i="1"/>
  <c r="C5473" i="1"/>
  <c r="C5474" i="1"/>
  <c r="C5475" i="1" s="1"/>
  <c r="C5476" i="1" s="1"/>
  <c r="C5477" i="1"/>
  <c r="C5478" i="1"/>
  <c r="C5479" i="1"/>
  <c r="C5482" i="1"/>
  <c r="C5483" i="1"/>
  <c r="C5484" i="1"/>
  <c r="C5485" i="1" s="1"/>
  <c r="C5487" i="1"/>
  <c r="C5488" i="1"/>
  <c r="C5489" i="1"/>
  <c r="C5490" i="1" s="1"/>
  <c r="C5491" i="1" s="1"/>
  <c r="C5492" i="1"/>
  <c r="C5493" i="1" s="1"/>
  <c r="C5494" i="1" s="1"/>
  <c r="C5495" i="1" s="1"/>
  <c r="C5496" i="1" s="1"/>
  <c r="C5497" i="1" s="1"/>
  <c r="C5498" i="1" s="1"/>
  <c r="C5500" i="1"/>
  <c r="C5501" i="1"/>
  <c r="C5502" i="1"/>
  <c r="C5503" i="1" s="1"/>
  <c r="C5505" i="1"/>
  <c r="C5506" i="1"/>
  <c r="C5508" i="1"/>
  <c r="C5511" i="1"/>
  <c r="C5513" i="1"/>
  <c r="C5514" i="1"/>
  <c r="C5516" i="1"/>
  <c r="C5520" i="1"/>
  <c r="C5521" i="1" s="1"/>
  <c r="C5522" i="1"/>
  <c r="C5523" i="1"/>
  <c r="C5524" i="1" s="1"/>
  <c r="C5526" i="1"/>
  <c r="C5527" i="1"/>
  <c r="C5528" i="1"/>
  <c r="C5529" i="1"/>
  <c r="C5530" i="1"/>
  <c r="C5531" i="1"/>
  <c r="C5532" i="1" s="1"/>
  <c r="C5534" i="1"/>
  <c r="C5535" i="1" s="1"/>
  <c r="C5536" i="1"/>
  <c r="C5539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3" i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6" i="1"/>
  <c r="B37" i="1" s="1"/>
  <c r="B38" i="1" s="1"/>
  <c r="B39" i="1" s="1"/>
  <c r="B40" i="1" s="1"/>
  <c r="B41" i="1" s="1"/>
  <c r="B42" i="1" s="1"/>
  <c r="B43" i="1" s="1"/>
  <c r="B44" i="1"/>
  <c r="B45" i="1" s="1"/>
  <c r="B46" i="1" s="1"/>
  <c r="B48" i="1"/>
  <c r="B49" i="1"/>
  <c r="B50" i="1" s="1"/>
  <c r="B52" i="1"/>
  <c r="B53" i="1" s="1"/>
  <c r="B54" i="1" s="1"/>
  <c r="B55" i="1" s="1"/>
  <c r="B56" i="1" s="1"/>
  <c r="B57" i="1" s="1"/>
  <c r="B59" i="1"/>
  <c r="B61" i="1"/>
  <c r="B62" i="1" s="1"/>
  <c r="B63" i="1" s="1"/>
  <c r="B64" i="1"/>
  <c r="B65" i="1" s="1"/>
  <c r="B66" i="1" s="1"/>
  <c r="B67" i="1" s="1"/>
  <c r="B68" i="1" s="1"/>
  <c r="B70" i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/>
  <c r="B83" i="1" s="1"/>
  <c r="B84" i="1" s="1"/>
  <c r="B85" i="1" s="1"/>
  <c r="B86" i="1" s="1"/>
  <c r="B87" i="1" s="1"/>
  <c r="B88" i="1" s="1"/>
  <c r="B89" i="1" s="1"/>
  <c r="B90" i="1" s="1"/>
  <c r="B92" i="1"/>
  <c r="B93" i="1" s="1"/>
  <c r="B94" i="1" s="1"/>
  <c r="B96" i="1"/>
  <c r="B97" i="1" s="1"/>
  <c r="B98" i="1" s="1"/>
  <c r="B99" i="1" s="1"/>
  <c r="B102" i="1"/>
  <c r="B103" i="1" s="1"/>
  <c r="B104" i="1" s="1"/>
  <c r="B105" i="1" s="1"/>
  <c r="B106" i="1" s="1"/>
  <c r="B108" i="1"/>
  <c r="B109" i="1" s="1"/>
  <c r="B110" i="1" s="1"/>
  <c r="B111" i="1" s="1"/>
  <c r="B112" i="1" s="1"/>
  <c r="B113" i="1" s="1"/>
  <c r="B114" i="1" s="1"/>
  <c r="B115" i="1" s="1"/>
  <c r="B117" i="1"/>
  <c r="B119" i="1"/>
  <c r="B120" i="1"/>
  <c r="B121" i="1" s="1"/>
  <c r="B122" i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61" i="1"/>
  <c r="B162" i="1" s="1"/>
  <c r="B164" i="1"/>
  <c r="B165" i="1" s="1"/>
  <c r="B166" i="1" s="1"/>
  <c r="B167" i="1"/>
  <c r="B168" i="1" s="1"/>
  <c r="B170" i="1"/>
  <c r="B171" i="1" s="1"/>
  <c r="B172" i="1" s="1"/>
  <c r="B173" i="1" s="1"/>
  <c r="B174" i="1" s="1"/>
  <c r="B175" i="1"/>
  <c r="B176" i="1" s="1"/>
  <c r="B178" i="1"/>
  <c r="B179" i="1" s="1"/>
  <c r="B180" i="1" s="1"/>
  <c r="B181" i="1"/>
  <c r="B182" i="1" s="1"/>
  <c r="B183" i="1" s="1"/>
  <c r="B184" i="1" s="1"/>
  <c r="B185" i="1" s="1"/>
  <c r="B186" i="1" s="1"/>
  <c r="B187" i="1"/>
  <c r="B188" i="1" s="1"/>
  <c r="B189" i="1" s="1"/>
  <c r="B190" i="1" s="1"/>
  <c r="B191" i="1" s="1"/>
  <c r="B192" i="1" s="1"/>
  <c r="B193" i="1"/>
  <c r="B194" i="1" s="1"/>
  <c r="B195" i="1" s="1"/>
  <c r="B196" i="1" s="1"/>
  <c r="B197" i="1" s="1"/>
  <c r="B198" i="1" s="1"/>
  <c r="B199" i="1" s="1"/>
  <c r="B200" i="1" s="1"/>
  <c r="B201" i="1" s="1"/>
  <c r="B204" i="1"/>
  <c r="B205" i="1" s="1"/>
  <c r="B206" i="1" s="1"/>
  <c r="B207" i="1"/>
  <c r="B208" i="1" s="1"/>
  <c r="B209" i="1" s="1"/>
  <c r="B210" i="1" s="1"/>
  <c r="B211" i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3" i="1"/>
  <c r="B224" i="1"/>
  <c r="B225" i="1" s="1"/>
  <c r="B226" i="1"/>
  <c r="B227" i="1"/>
  <c r="B228" i="1" s="1"/>
  <c r="B229" i="1"/>
  <c r="B230" i="1" s="1"/>
  <c r="B231" i="1" s="1"/>
  <c r="B232" i="1"/>
  <c r="B233" i="1" s="1"/>
  <c r="B234" i="1" s="1"/>
  <c r="B235" i="1" s="1"/>
  <c r="B236" i="1" s="1"/>
  <c r="B237" i="1" s="1"/>
  <c r="B238" i="1" s="1"/>
  <c r="B239" i="1" s="1"/>
  <c r="B240" i="1" s="1"/>
  <c r="B241" i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80" i="1"/>
  <c r="B281" i="1"/>
  <c r="B282" i="1" s="1"/>
  <c r="B283" i="1" s="1"/>
  <c r="B284" i="1" s="1"/>
  <c r="B285" i="1"/>
  <c r="B286" i="1" s="1"/>
  <c r="B287" i="1" s="1"/>
  <c r="B288" i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/>
  <c r="B300" i="1"/>
  <c r="B301" i="1" s="1"/>
  <c r="B302" i="1" s="1"/>
  <c r="B303" i="1" s="1"/>
  <c r="B304" i="1" s="1"/>
  <c r="B306" i="1"/>
  <c r="B307" i="1" s="1"/>
  <c r="B308" i="1" s="1"/>
  <c r="B309" i="1" s="1"/>
  <c r="B311" i="1"/>
  <c r="B312" i="1" s="1"/>
  <c r="B313" i="1" s="1"/>
  <c r="B314" i="1"/>
  <c r="B315" i="1" s="1"/>
  <c r="B316" i="1" s="1"/>
  <c r="B317" i="1" s="1"/>
  <c r="B318" i="1" s="1"/>
  <c r="B319" i="1" s="1"/>
  <c r="B320" i="1" s="1"/>
  <c r="B321" i="1" s="1"/>
  <c r="B322" i="1" s="1"/>
  <c r="B323" i="1"/>
  <c r="B324" i="1" s="1"/>
  <c r="B326" i="1"/>
  <c r="B327" i="1"/>
  <c r="B328" i="1" s="1"/>
  <c r="B329" i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1" i="1"/>
  <c r="B362" i="1" s="1"/>
  <c r="B363" i="1" s="1"/>
  <c r="B364" i="1" s="1"/>
  <c r="B367" i="1"/>
  <c r="B368" i="1"/>
  <c r="B371" i="1"/>
  <c r="B372" i="1" s="1"/>
  <c r="B373" i="1"/>
  <c r="B375" i="1"/>
  <c r="B376" i="1"/>
  <c r="B377" i="1" s="1"/>
  <c r="B378" i="1"/>
  <c r="B380" i="1"/>
  <c r="B381" i="1"/>
  <c r="B382" i="1" s="1"/>
  <c r="B383" i="1" s="1"/>
  <c r="B384" i="1" s="1"/>
  <c r="B385" i="1" s="1"/>
  <c r="B386" i="1" s="1"/>
  <c r="B388" i="1"/>
  <c r="B389" i="1" s="1"/>
  <c r="B390" i="1" s="1"/>
  <c r="B391" i="1" s="1"/>
  <c r="B393" i="1"/>
  <c r="B394" i="1" s="1"/>
  <c r="B396" i="1"/>
  <c r="B397" i="1"/>
  <c r="B398" i="1" s="1"/>
  <c r="B399" i="1"/>
  <c r="B401" i="1"/>
  <c r="B402" i="1" s="1"/>
  <c r="B405" i="1"/>
  <c r="B406" i="1" s="1"/>
  <c r="B407" i="1"/>
  <c r="B408" i="1" s="1"/>
  <c r="B409" i="1"/>
  <c r="B410" i="1" s="1"/>
  <c r="B411" i="1" s="1"/>
  <c r="B412" i="1" s="1"/>
  <c r="B413" i="1" s="1"/>
  <c r="B414" i="1" s="1"/>
  <c r="B415" i="1" s="1"/>
  <c r="B416" i="1" s="1"/>
  <c r="B417" i="1" s="1"/>
  <c r="B419" i="1"/>
  <c r="B420" i="1"/>
  <c r="B422" i="1"/>
  <c r="B423" i="1"/>
  <c r="B424" i="1" s="1"/>
  <c r="B426" i="1"/>
  <c r="B427" i="1"/>
  <c r="B428" i="1" s="1"/>
  <c r="B429" i="1"/>
  <c r="B430" i="1" s="1"/>
  <c r="B432" i="1"/>
  <c r="B433" i="1"/>
  <c r="B434" i="1" s="1"/>
  <c r="B435" i="1" s="1"/>
  <c r="B437" i="1"/>
  <c r="B438" i="1"/>
  <c r="B439" i="1" s="1"/>
  <c r="B440" i="1" s="1"/>
  <c r="B441" i="1" s="1"/>
  <c r="B442" i="1" s="1"/>
  <c r="B443" i="1"/>
  <c r="B444" i="1"/>
  <c r="B445" i="1" s="1"/>
  <c r="B447" i="1"/>
  <c r="B448" i="1" s="1"/>
  <c r="B449" i="1" s="1"/>
  <c r="B450" i="1" s="1"/>
  <c r="B451" i="1" s="1"/>
  <c r="B453" i="1"/>
  <c r="B455" i="1"/>
  <c r="B456" i="1" s="1"/>
  <c r="B457" i="1" s="1"/>
  <c r="B458" i="1" s="1"/>
  <c r="B459" i="1"/>
  <c r="B460" i="1" s="1"/>
  <c r="B461" i="1" s="1"/>
  <c r="B462" i="1" s="1"/>
  <c r="B463" i="1"/>
  <c r="B464" i="1" s="1"/>
  <c r="B465" i="1"/>
  <c r="B466" i="1" s="1"/>
  <c r="B467" i="1"/>
  <c r="B468" i="1" s="1"/>
  <c r="B470" i="1"/>
  <c r="B472" i="1"/>
  <c r="B473" i="1"/>
  <c r="B474" i="1" s="1"/>
  <c r="B475" i="1"/>
  <c r="B476" i="1" s="1"/>
  <c r="B477" i="1" s="1"/>
  <c r="B478" i="1" s="1"/>
  <c r="B479" i="1" s="1"/>
  <c r="B481" i="1"/>
  <c r="B482" i="1"/>
  <c r="B483" i="1" s="1"/>
  <c r="B484" i="1" s="1"/>
  <c r="B486" i="1"/>
  <c r="B487" i="1"/>
  <c r="B488" i="1" s="1"/>
  <c r="B490" i="1"/>
  <c r="B491" i="1" s="1"/>
  <c r="B492" i="1"/>
  <c r="B493" i="1" s="1"/>
  <c r="B494" i="1" s="1"/>
  <c r="B495" i="1" s="1"/>
  <c r="B497" i="1"/>
  <c r="B498" i="1"/>
  <c r="B499" i="1" s="1"/>
  <c r="B501" i="1"/>
  <c r="B502" i="1" s="1"/>
  <c r="B503" i="1" s="1"/>
  <c r="B504" i="1"/>
  <c r="B505" i="1" s="1"/>
  <c r="B506" i="1" s="1"/>
  <c r="B507" i="1" s="1"/>
  <c r="B508" i="1"/>
  <c r="B509" i="1" s="1"/>
  <c r="B511" i="1"/>
  <c r="B513" i="1"/>
  <c r="B515" i="1"/>
  <c r="B516" i="1"/>
  <c r="B518" i="1"/>
  <c r="B519" i="1" s="1"/>
  <c r="B520" i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8" i="1"/>
  <c r="B540" i="1"/>
  <c r="B541" i="1"/>
  <c r="B542" i="1" s="1"/>
  <c r="B544" i="1"/>
  <c r="B545" i="1" s="1"/>
  <c r="B546" i="1" s="1"/>
  <c r="B547" i="1" s="1"/>
  <c r="B548" i="1" s="1"/>
  <c r="B550" i="1"/>
  <c r="B551" i="1" s="1"/>
  <c r="B553" i="1"/>
  <c r="B554" i="1" s="1"/>
  <c r="B555" i="1"/>
  <c r="B556" i="1"/>
  <c r="B557" i="1" s="1"/>
  <c r="B558" i="1" s="1"/>
  <c r="B559" i="1" s="1"/>
  <c r="B560" i="1" s="1"/>
  <c r="B562" i="1"/>
  <c r="B563" i="1" s="1"/>
  <c r="B565" i="1"/>
  <c r="B566" i="1" s="1"/>
  <c r="B567" i="1"/>
  <c r="B568" i="1" s="1"/>
  <c r="B569" i="1" s="1"/>
  <c r="B570" i="1" s="1"/>
  <c r="B571" i="1" s="1"/>
  <c r="B572" i="1" s="1"/>
  <c r="B573" i="1" s="1"/>
  <c r="B574" i="1" s="1"/>
  <c r="B575" i="1"/>
  <c r="B576" i="1" s="1"/>
  <c r="B578" i="1"/>
  <c r="B579" i="1" s="1"/>
  <c r="B580" i="1" s="1"/>
  <c r="B581" i="1" s="1"/>
  <c r="B582" i="1" s="1"/>
  <c r="B584" i="1"/>
  <c r="B588" i="1"/>
  <c r="B589" i="1"/>
  <c r="B590" i="1"/>
  <c r="B591" i="1" s="1"/>
  <c r="B592" i="1"/>
  <c r="B595" i="1"/>
  <c r="B596" i="1"/>
  <c r="B597" i="1" s="1"/>
  <c r="B598" i="1"/>
  <c r="B599" i="1" s="1"/>
  <c r="B600" i="1" s="1"/>
  <c r="B601" i="1" s="1"/>
  <c r="B602" i="1" s="1"/>
  <c r="B603" i="1" s="1"/>
  <c r="B604" i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2" i="1"/>
  <c r="B634" i="1"/>
  <c r="B635" i="1" s="1"/>
  <c r="B636" i="1" s="1"/>
  <c r="B637" i="1" s="1"/>
  <c r="B638" i="1" s="1"/>
  <c r="B639" i="1" s="1"/>
  <c r="B640" i="1" s="1"/>
  <c r="B641" i="1"/>
  <c r="B643" i="1"/>
  <c r="B644" i="1" s="1"/>
  <c r="B645" i="1" s="1"/>
  <c r="B646" i="1" s="1"/>
  <c r="B647" i="1" s="1"/>
  <c r="B648" i="1" s="1"/>
  <c r="B649" i="1"/>
  <c r="B650" i="1" s="1"/>
  <c r="B651" i="1" s="1"/>
  <c r="B652" i="1" s="1"/>
  <c r="B653" i="1" s="1"/>
  <c r="B654" i="1" s="1"/>
  <c r="B655" i="1" s="1"/>
  <c r="B656" i="1" s="1"/>
  <c r="B657" i="1" s="1"/>
  <c r="B659" i="1"/>
  <c r="B660" i="1"/>
  <c r="B661" i="1" s="1"/>
  <c r="B662" i="1" s="1"/>
  <c r="B663" i="1" s="1"/>
  <c r="B664" i="1" s="1"/>
  <c r="B665" i="1" s="1"/>
  <c r="B666" i="1" s="1"/>
  <c r="B667" i="1" s="1"/>
  <c r="B668" i="1" s="1"/>
  <c r="B671" i="1"/>
  <c r="B672" i="1"/>
  <c r="B673" i="1" s="1"/>
  <c r="B674" i="1" s="1"/>
  <c r="B675" i="1" s="1"/>
  <c r="B676" i="1"/>
  <c r="B677" i="1" s="1"/>
  <c r="B678" i="1" s="1"/>
  <c r="B679" i="1" s="1"/>
  <c r="B680" i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/>
  <c r="B694" i="1" s="1"/>
  <c r="B695" i="1" s="1"/>
  <c r="B696" i="1" s="1"/>
  <c r="B697" i="1" s="1"/>
  <c r="B698" i="1" s="1"/>
  <c r="B699" i="1" s="1"/>
  <c r="B700" i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8" i="1"/>
  <c r="B779" i="1" s="1"/>
  <c r="B780" i="1" s="1"/>
  <c r="B781" i="1" s="1"/>
  <c r="B782" i="1"/>
  <c r="B783" i="1"/>
  <c r="B784" i="1" s="1"/>
  <c r="B785" i="1"/>
  <c r="B786" i="1" s="1"/>
  <c r="B787" i="1" s="1"/>
  <c r="B789" i="1"/>
  <c r="B790" i="1"/>
  <c r="B792" i="1"/>
  <c r="B793" i="1"/>
  <c r="B794" i="1" s="1"/>
  <c r="B795" i="1" s="1"/>
  <c r="B796" i="1" s="1"/>
  <c r="B797" i="1" s="1"/>
  <c r="B798" i="1" s="1"/>
  <c r="B799" i="1"/>
  <c r="B800" i="1" s="1"/>
  <c r="B801" i="1"/>
  <c r="B802" i="1" s="1"/>
  <c r="B803" i="1" s="1"/>
  <c r="B804" i="1" s="1"/>
  <c r="B805" i="1" s="1"/>
  <c r="B806" i="1" s="1"/>
  <c r="B809" i="1"/>
  <c r="B810" i="1" s="1"/>
  <c r="B811" i="1"/>
  <c r="B812" i="1" s="1"/>
  <c r="B813" i="1" s="1"/>
  <c r="B814" i="1" s="1"/>
  <c r="B816" i="1"/>
  <c r="B817" i="1" s="1"/>
  <c r="B818" i="1" s="1"/>
  <c r="B819" i="1" s="1"/>
  <c r="B820" i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1" i="1"/>
  <c r="B853" i="1"/>
  <c r="B854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7" i="1"/>
  <c r="B879" i="1"/>
  <c r="B881" i="1"/>
  <c r="B882" i="1" s="1"/>
  <c r="B884" i="1"/>
  <c r="B885" i="1"/>
  <c r="B886" i="1" s="1"/>
  <c r="B887" i="1" s="1"/>
  <c r="B888" i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2" i="1"/>
  <c r="B903" i="1"/>
  <c r="B904" i="1" s="1"/>
  <c r="B905" i="1" s="1"/>
  <c r="B906" i="1" s="1"/>
  <c r="B907" i="1" s="1"/>
  <c r="B908" i="1" s="1"/>
  <c r="B909" i="1" s="1"/>
  <c r="B910" i="1" s="1"/>
  <c r="B911" i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50" i="1"/>
  <c r="B951" i="1"/>
  <c r="B952" i="1" s="1"/>
  <c r="B953" i="1" s="1"/>
  <c r="B954" i="1" s="1"/>
  <c r="B955" i="1" s="1"/>
  <c r="B956" i="1" s="1"/>
  <c r="B957" i="1" s="1"/>
  <c r="B958" i="1" s="1"/>
  <c r="B959" i="1" s="1"/>
  <c r="B960" i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7" i="1"/>
  <c r="B1048" i="1"/>
  <c r="B1049" i="1" s="1"/>
  <c r="B1050" i="1"/>
  <c r="B1051" i="1" s="1"/>
  <c r="B1052" i="1"/>
  <c r="B1053" i="1" s="1"/>
  <c r="B1054" i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/>
  <c r="B1068" i="1" s="1"/>
  <c r="B1069" i="1" s="1"/>
  <c r="B1070" i="1" s="1"/>
  <c r="B1071" i="1" s="1"/>
  <c r="B1075" i="1"/>
  <c r="B1077" i="1"/>
  <c r="B1078" i="1" s="1"/>
  <c r="B1080" i="1"/>
  <c r="B1082" i="1"/>
  <c r="B1083" i="1" s="1"/>
  <c r="B1084" i="1" s="1"/>
  <c r="B1085" i="1" s="1"/>
  <c r="B1086" i="1"/>
  <c r="B1087" i="1"/>
  <c r="B1089" i="1"/>
  <c r="B1090" i="1" s="1"/>
  <c r="B1091" i="1" s="1"/>
  <c r="B1092" i="1"/>
  <c r="B1093" i="1" s="1"/>
  <c r="B1094" i="1" s="1"/>
  <c r="B1096" i="1"/>
  <c r="B1097" i="1" s="1"/>
  <c r="B1098" i="1" s="1"/>
  <c r="B1099" i="1" s="1"/>
  <c r="B1100" i="1" s="1"/>
  <c r="B1101" i="1" s="1"/>
  <c r="B1102" i="1" s="1"/>
  <c r="B1104" i="1"/>
  <c r="B1106" i="1"/>
  <c r="B1107" i="1"/>
  <c r="B1108" i="1"/>
  <c r="B1110" i="1"/>
  <c r="B1111" i="1"/>
  <c r="B1112" i="1" s="1"/>
  <c r="B1113" i="1"/>
  <c r="B1114" i="1"/>
  <c r="B1115" i="1" s="1"/>
  <c r="B1116" i="1" s="1"/>
  <c r="B1117" i="1" s="1"/>
  <c r="B1118" i="1" s="1"/>
  <c r="B1119" i="1" s="1"/>
  <c r="B1120" i="1" s="1"/>
  <c r="B1121" i="1" s="1"/>
  <c r="B1123" i="1"/>
  <c r="B1124" i="1"/>
  <c r="B1126" i="1"/>
  <c r="B1127" i="1"/>
  <c r="B1128" i="1"/>
  <c r="B1129" i="1" s="1"/>
  <c r="B1130" i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9" i="1"/>
  <c r="B1200" i="1" s="1"/>
  <c r="B1201" i="1"/>
  <c r="B1202" i="1" s="1"/>
  <c r="B1203" i="1" s="1"/>
  <c r="B1204" i="1" s="1"/>
  <c r="B1207" i="1"/>
  <c r="B1208" i="1" s="1"/>
  <c r="B1209" i="1" s="1"/>
  <c r="B1211" i="1"/>
  <c r="B1212" i="1" s="1"/>
  <c r="B1213" i="1" s="1"/>
  <c r="B1214" i="1" s="1"/>
  <c r="B1216" i="1"/>
  <c r="B1217" i="1" s="1"/>
  <c r="B1218" i="1" s="1"/>
  <c r="B1219" i="1"/>
  <c r="B1221" i="1"/>
  <c r="B1222" i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7" i="1"/>
  <c r="B1248" i="1"/>
  <c r="B1250" i="1"/>
  <c r="B1251" i="1" s="1"/>
  <c r="B1252" i="1" s="1"/>
  <c r="B1253" i="1" s="1"/>
  <c r="B1255" i="1"/>
  <c r="B1256" i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4" i="1"/>
  <c r="B1285" i="1"/>
  <c r="B1286" i="1" s="1"/>
  <c r="B1287" i="1" s="1"/>
  <c r="B1288" i="1" s="1"/>
  <c r="B1289" i="1" s="1"/>
  <c r="B1290" i="1" s="1"/>
  <c r="B1291" i="1" s="1"/>
  <c r="B1292" i="1"/>
  <c r="B1293" i="1" s="1"/>
  <c r="B1294" i="1" s="1"/>
  <c r="B1295" i="1" s="1"/>
  <c r="B1296" i="1" s="1"/>
  <c r="B1297" i="1" s="1"/>
  <c r="B1298" i="1" s="1"/>
  <c r="B1300" i="1"/>
  <c r="B1301" i="1" s="1"/>
  <c r="B1302" i="1" s="1"/>
  <c r="B1303" i="1" s="1"/>
  <c r="B1304" i="1" s="1"/>
  <c r="B1306" i="1"/>
  <c r="B1307" i="1" s="1"/>
  <c r="B1308" i="1" s="1"/>
  <c r="B1309" i="1" s="1"/>
  <c r="B1310" i="1" s="1"/>
  <c r="B1311" i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6" i="1"/>
  <c r="B1367" i="1"/>
  <c r="B1368" i="1"/>
  <c r="B1369" i="1" s="1"/>
  <c r="B1370" i="1" s="1"/>
  <c r="B1371" i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2" i="1"/>
  <c r="B1383" i="1" s="1"/>
  <c r="B1385" i="1"/>
  <c r="B1386" i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7" i="1"/>
  <c r="B1398" i="1"/>
  <c r="B1400" i="1"/>
  <c r="B1401" i="1"/>
  <c r="B1402" i="1"/>
  <c r="B1403" i="1" s="1"/>
  <c r="B1404" i="1" s="1"/>
  <c r="B1405" i="1"/>
  <c r="B1406" i="1"/>
  <c r="B1407" i="1" s="1"/>
  <c r="B1409" i="1"/>
  <c r="B1410" i="1" s="1"/>
  <c r="B1411" i="1" s="1"/>
  <c r="B1412" i="1"/>
  <c r="B1413" i="1"/>
  <c r="B1414" i="1"/>
  <c r="B1416" i="1"/>
  <c r="B1417" i="1" s="1"/>
  <c r="B1418" i="1" s="1"/>
  <c r="B1420" i="1"/>
  <c r="B1421" i="1"/>
  <c r="B1423" i="1"/>
  <c r="B1424" i="1" s="1"/>
  <c r="B1425" i="1" s="1"/>
  <c r="B1426" i="1" s="1"/>
  <c r="B1427" i="1" s="1"/>
  <c r="B1429" i="1"/>
  <c r="B1430" i="1" s="1"/>
  <c r="B1432" i="1"/>
  <c r="B1434" i="1"/>
  <c r="B1435" i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6" i="1"/>
  <c r="B1448" i="1"/>
  <c r="B1449" i="1"/>
  <c r="B1450" i="1" s="1"/>
  <c r="B1451" i="1" s="1"/>
  <c r="B1452" i="1" s="1"/>
  <c r="B1453" i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5" i="1"/>
  <c r="B1467" i="1"/>
  <c r="B1468" i="1" s="1"/>
  <c r="B1471" i="1"/>
  <c r="B1472" i="1"/>
  <c r="B1473" i="1" s="1"/>
  <c r="B1474" i="1"/>
  <c r="B1476" i="1"/>
  <c r="B1478" i="1"/>
  <c r="B1479" i="1" s="1"/>
  <c r="B1481" i="1"/>
  <c r="B1482" i="1"/>
  <c r="B1483" i="1"/>
  <c r="B1485" i="1"/>
  <c r="B1486" i="1" s="1"/>
  <c r="B1487" i="1" s="1"/>
  <c r="B1489" i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/>
  <c r="B1504" i="1" s="1"/>
  <c r="B1505" i="1"/>
  <c r="B1506" i="1" s="1"/>
  <c r="B1508" i="1"/>
  <c r="B1509" i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40" i="1"/>
  <c r="B1541" i="1" s="1"/>
  <c r="B1542" i="1" s="1"/>
  <c r="B1543" i="1" s="1"/>
  <c r="B1545" i="1"/>
  <c r="B1546" i="1"/>
  <c r="B1548" i="1"/>
  <c r="B1549" i="1"/>
  <c r="B1550" i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/>
  <c r="B1571" i="1" s="1"/>
  <c r="B1572" i="1" s="1"/>
  <c r="B1573" i="1" s="1"/>
  <c r="B1574" i="1" s="1"/>
  <c r="B1575" i="1" s="1"/>
  <c r="B1577" i="1"/>
  <c r="B1578" i="1"/>
  <c r="B1579" i="1"/>
  <c r="B1580" i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4" i="1"/>
  <c r="B1595" i="1"/>
  <c r="B1596" i="1"/>
  <c r="B1597" i="1" s="1"/>
  <c r="B1598" i="1" s="1"/>
  <c r="B1599" i="1" s="1"/>
  <c r="B1601" i="1"/>
  <c r="B1602" i="1" s="1"/>
  <c r="B1603" i="1" s="1"/>
  <c r="B1604" i="1" s="1"/>
  <c r="B1605" i="1"/>
  <c r="B1606" i="1"/>
  <c r="B1607" i="1" s="1"/>
  <c r="B1608" i="1" s="1"/>
  <c r="B1609" i="1" s="1"/>
  <c r="B1610" i="1" s="1"/>
  <c r="B1611" i="1" s="1"/>
  <c r="B1612" i="1" s="1"/>
  <c r="B1614" i="1"/>
  <c r="B1615" i="1" s="1"/>
  <c r="B1616" i="1" s="1"/>
  <c r="B1617" i="1"/>
  <c r="B1618" i="1"/>
  <c r="B1619" i="1" s="1"/>
  <c r="B1620" i="1"/>
  <c r="B1621" i="1" s="1"/>
  <c r="B1622" i="1"/>
  <c r="B1623" i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6" i="1"/>
  <c r="B1638" i="1"/>
  <c r="B1639" i="1" s="1"/>
  <c r="B1640" i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/>
  <c r="B1651" i="1"/>
  <c r="B1652" i="1" s="1"/>
  <c r="B1653" i="1" s="1"/>
  <c r="B1654" i="1" s="1"/>
  <c r="B1655" i="1" s="1"/>
  <c r="B1656" i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8" i="1"/>
  <c r="B1669" i="1"/>
  <c r="B1670" i="1" s="1"/>
  <c r="B1671" i="1" s="1"/>
  <c r="B1672" i="1" s="1"/>
  <c r="B1673" i="1" s="1"/>
  <c r="B1674" i="1" s="1"/>
  <c r="B1675" i="1" s="1"/>
  <c r="B1676" i="1" s="1"/>
  <c r="B1678" i="1"/>
  <c r="B1679" i="1" s="1"/>
  <c r="B1680" i="1" s="1"/>
  <c r="B1681" i="1" s="1"/>
  <c r="B1682" i="1" s="1"/>
  <c r="B1683" i="1" s="1"/>
  <c r="B1684" i="1" s="1"/>
  <c r="B1686" i="1"/>
  <c r="B1687" i="1" s="1"/>
  <c r="B1688" i="1" s="1"/>
  <c r="B1689" i="1"/>
  <c r="B1690" i="1" s="1"/>
  <c r="B1691" i="1"/>
  <c r="B1692" i="1" s="1"/>
  <c r="B1693" i="1" s="1"/>
  <c r="B1694" i="1" s="1"/>
  <c r="B1695" i="1"/>
  <c r="B1696" i="1" s="1"/>
  <c r="B1697" i="1" s="1"/>
  <c r="B1698" i="1" s="1"/>
  <c r="B1699" i="1" s="1"/>
  <c r="B1700" i="1" s="1"/>
  <c r="B1701" i="1" s="1"/>
  <c r="B1702" i="1" s="1"/>
  <c r="B1704" i="1"/>
  <c r="B1706" i="1"/>
  <c r="B1708" i="1"/>
  <c r="B1709" i="1" s="1"/>
  <c r="B1710" i="1"/>
  <c r="B1711" i="1" s="1"/>
  <c r="B1713" i="1"/>
  <c r="B1714" i="1" s="1"/>
  <c r="B1715" i="1" s="1"/>
  <c r="B1717" i="1"/>
  <c r="B1718" i="1" s="1"/>
  <c r="B1720" i="1"/>
  <c r="B1721" i="1"/>
  <c r="B1722" i="1" s="1"/>
  <c r="B1723" i="1" s="1"/>
  <c r="B1724" i="1" s="1"/>
  <c r="B1725" i="1" s="1"/>
  <c r="B1726" i="1" s="1"/>
  <c r="B1728" i="1"/>
  <c r="B1729" i="1"/>
  <c r="B1730" i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2" i="1"/>
  <c r="B1744" i="1"/>
  <c r="B1745" i="1" s="1"/>
  <c r="B1746" i="1" s="1"/>
  <c r="B1747" i="1" s="1"/>
  <c r="B1748" i="1" s="1"/>
  <c r="B1749" i="1" s="1"/>
  <c r="B1750" i="1" s="1"/>
  <c r="B1751" i="1" s="1"/>
  <c r="B1752" i="1"/>
  <c r="B1753" i="1"/>
  <c r="B1754" i="1"/>
  <c r="B1755" i="1" s="1"/>
  <c r="B1756" i="1" s="1"/>
  <c r="B1757" i="1" s="1"/>
  <c r="B1758" i="1" s="1"/>
  <c r="B1759" i="1" s="1"/>
  <c r="B1760" i="1" s="1"/>
  <c r="B1761" i="1" s="1"/>
  <c r="B1766" i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/>
  <c r="B1778" i="1"/>
  <c r="B1779" i="1" s="1"/>
  <c r="B1780" i="1" s="1"/>
  <c r="B1781" i="1" s="1"/>
  <c r="B1782" i="1" s="1"/>
  <c r="B1784" i="1"/>
  <c r="B1786" i="1"/>
  <c r="B1787" i="1"/>
  <c r="B1788" i="1"/>
  <c r="B1789" i="1"/>
  <c r="B1790" i="1" s="1"/>
  <c r="B1791" i="1"/>
  <c r="B1793" i="1"/>
  <c r="B1795" i="1"/>
  <c r="B1796" i="1" s="1"/>
  <c r="B1798" i="1"/>
  <c r="B1799" i="1" s="1"/>
  <c r="B1800" i="1" s="1"/>
  <c r="B1801" i="1"/>
  <c r="B1802" i="1" s="1"/>
  <c r="B1803" i="1" s="1"/>
  <c r="B1804" i="1" s="1"/>
  <c r="B1805" i="1" s="1"/>
  <c r="B1806" i="1" s="1"/>
  <c r="B1807" i="1" s="1"/>
  <c r="B1809" i="1"/>
  <c r="B1810" i="1" s="1"/>
  <c r="B1811" i="1"/>
  <c r="B1812" i="1"/>
  <c r="B1813" i="1" s="1"/>
  <c r="B1814" i="1" s="1"/>
  <c r="B1815" i="1" s="1"/>
  <c r="B1817" i="1"/>
  <c r="B1819" i="1"/>
  <c r="B1820" i="1" s="1"/>
  <c r="B1821" i="1" s="1"/>
  <c r="B1823" i="1"/>
  <c r="B1825" i="1"/>
  <c r="B1826" i="1" s="1"/>
  <c r="B1828" i="1"/>
  <c r="B1829" i="1" s="1"/>
  <c r="B1830" i="1" s="1"/>
  <c r="B1831" i="1" s="1"/>
  <c r="B1834" i="1"/>
  <c r="B1835" i="1" s="1"/>
  <c r="B1836" i="1" s="1"/>
  <c r="B1838" i="1"/>
  <c r="B1839" i="1"/>
  <c r="B1841" i="1"/>
  <c r="B1842" i="1"/>
  <c r="B1843" i="1" s="1"/>
  <c r="B1844" i="1" s="1"/>
  <c r="B1845" i="1" s="1"/>
  <c r="B1846" i="1" s="1"/>
  <c r="B1847" i="1" s="1"/>
  <c r="B1848" i="1" s="1"/>
  <c r="B1849" i="1" s="1"/>
  <c r="B1851" i="1"/>
  <c r="B1852" i="1" s="1"/>
  <c r="B1853" i="1"/>
  <c r="B1854" i="1" s="1"/>
  <c r="B1856" i="1"/>
  <c r="B1857" i="1" s="1"/>
  <c r="B1858" i="1"/>
  <c r="B1859" i="1" s="1"/>
  <c r="B1860" i="1" s="1"/>
  <c r="B1862" i="1"/>
  <c r="B1863" i="1" s="1"/>
  <c r="B1864" i="1" s="1"/>
  <c r="B1865" i="1"/>
  <c r="B1866" i="1" s="1"/>
  <c r="B1867" i="1" s="1"/>
  <c r="B1868" i="1" s="1"/>
  <c r="B1870" i="1"/>
  <c r="B1871" i="1" s="1"/>
  <c r="B1873" i="1"/>
  <c r="B1874" i="1"/>
  <c r="B1875" i="1"/>
  <c r="B1876" i="1"/>
  <c r="B1877" i="1" s="1"/>
  <c r="B1878" i="1" s="1"/>
  <c r="B1879" i="1" s="1"/>
  <c r="B1880" i="1" s="1"/>
  <c r="B1882" i="1"/>
  <c r="B1883" i="1"/>
  <c r="B1884" i="1"/>
  <c r="B1885" i="1" s="1"/>
  <c r="B1886" i="1" s="1"/>
  <c r="B1887" i="1" s="1"/>
  <c r="B1888" i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8" i="1"/>
  <c r="B1919" i="1" s="1"/>
  <c r="B1920" i="1" s="1"/>
  <c r="B1922" i="1"/>
  <c r="B1923" i="1" s="1"/>
  <c r="B1924" i="1" s="1"/>
  <c r="B1926" i="1"/>
  <c r="B1927" i="1"/>
  <c r="B1928" i="1"/>
  <c r="B1929" i="1"/>
  <c r="B1930" i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3" i="1"/>
  <c r="B1945" i="1"/>
  <c r="B1946" i="1" s="1"/>
  <c r="B1947" i="1" s="1"/>
  <c r="B1948" i="1" s="1"/>
  <c r="B1949" i="1" s="1"/>
  <c r="B1951" i="1"/>
  <c r="B1952" i="1" s="1"/>
  <c r="B1953" i="1" s="1"/>
  <c r="B1955" i="1"/>
  <c r="B1956" i="1"/>
  <c r="B1958" i="1"/>
  <c r="B1959" i="1" s="1"/>
  <c r="B1960" i="1" s="1"/>
  <c r="B1961" i="1" s="1"/>
  <c r="B1962" i="1" s="1"/>
  <c r="B1963" i="1" s="1"/>
  <c r="B1964" i="1" s="1"/>
  <c r="B1965" i="1" s="1"/>
  <c r="B1966" i="1" s="1"/>
  <c r="B1969" i="1"/>
  <c r="B1970" i="1"/>
  <c r="B1972" i="1"/>
  <c r="B1973" i="1" s="1"/>
  <c r="B1974" i="1" s="1"/>
  <c r="B1976" i="1"/>
  <c r="B1977" i="1"/>
  <c r="B1978" i="1"/>
  <c r="B1980" i="1"/>
  <c r="B1981" i="1"/>
  <c r="B1982" i="1"/>
  <c r="B1983" i="1" s="1"/>
  <c r="B1984" i="1" s="1"/>
  <c r="B1985" i="1"/>
  <c r="B1986" i="1" s="1"/>
  <c r="B1987" i="1" s="1"/>
  <c r="B1988" i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4" i="1"/>
  <c r="B2095" i="1"/>
  <c r="B2096" i="1"/>
  <c r="B2097" i="1"/>
  <c r="B2098" i="1"/>
  <c r="B2100" i="1"/>
  <c r="B2101" i="1"/>
  <c r="B2102" i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3" i="1"/>
  <c r="B2125" i="1"/>
  <c r="B2126" i="1"/>
  <c r="B2127" i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4" i="1"/>
  <c r="B2145" i="1" s="1"/>
  <c r="B2146" i="1"/>
  <c r="B2147" i="1"/>
  <c r="B2148" i="1" s="1"/>
  <c r="B2149" i="1" s="1"/>
  <c r="B2150" i="1" s="1"/>
  <c r="B2151" i="1"/>
  <c r="B2152" i="1" s="1"/>
  <c r="B2153" i="1" s="1"/>
  <c r="B2154" i="1" s="1"/>
  <c r="B2155" i="1" s="1"/>
  <c r="B2156" i="1" s="1"/>
  <c r="B2157" i="1" s="1"/>
  <c r="B2158" i="1" s="1"/>
  <c r="B2161" i="1"/>
  <c r="B2162" i="1" s="1"/>
  <c r="B2163" i="1" s="1"/>
  <c r="B2164" i="1" s="1"/>
  <c r="B2165" i="1" s="1"/>
  <c r="B2166" i="1"/>
  <c r="B2168" i="1"/>
  <c r="B2169" i="1" s="1"/>
  <c r="B2170" i="1" s="1"/>
  <c r="B2171" i="1" s="1"/>
  <c r="B2172" i="1" s="1"/>
  <c r="B2173" i="1" s="1"/>
  <c r="B2174" i="1"/>
  <c r="B2175" i="1"/>
  <c r="B2176" i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10" i="1"/>
  <c r="B2211" i="1"/>
  <c r="B2212" i="1"/>
  <c r="B2213" i="1"/>
  <c r="B2214" i="1" s="1"/>
  <c r="B2215" i="1" s="1"/>
  <c r="B2216" i="1" s="1"/>
  <c r="B2217" i="1"/>
  <c r="B2218" i="1" s="1"/>
  <c r="B2219" i="1" s="1"/>
  <c r="B2220" i="1" s="1"/>
  <c r="B2221" i="1" s="1"/>
  <c r="B2222" i="1" s="1"/>
  <c r="B2223" i="1" s="1"/>
  <c r="B2224" i="1"/>
  <c r="B2225" i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1" i="1"/>
  <c r="B2284" i="1"/>
  <c r="B2285" i="1"/>
  <c r="B2286" i="1" s="1"/>
  <c r="B2287" i="1" s="1"/>
  <c r="B2288" i="1" s="1"/>
  <c r="B2289" i="1" s="1"/>
  <c r="B2290" i="1" s="1"/>
  <c r="B2291" i="1" s="1"/>
  <c r="B2292" i="1" s="1"/>
  <c r="B2294" i="1"/>
  <c r="B2295" i="1" s="1"/>
  <c r="B2296" i="1" s="1"/>
  <c r="B2297" i="1" s="1"/>
  <c r="B2298" i="1" s="1"/>
  <c r="B2299" i="1" s="1"/>
  <c r="B2300" i="1" s="1"/>
  <c r="B2301" i="1"/>
  <c r="B2305" i="1"/>
  <c r="B2307" i="1"/>
  <c r="B2308" i="1"/>
  <c r="B2309" i="1"/>
  <c r="B2310" i="1"/>
  <c r="B2311" i="1" s="1"/>
  <c r="B2312" i="1" s="1"/>
  <c r="B2313" i="1"/>
  <c r="B2315" i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7" i="1"/>
  <c r="B2330" i="1"/>
  <c r="B2331" i="1"/>
  <c r="B2332" i="1" s="1"/>
  <c r="B2333" i="1" s="1"/>
  <c r="B2334" i="1" s="1"/>
  <c r="B2335" i="1" s="1"/>
  <c r="B2336" i="1" s="1"/>
  <c r="B2337" i="1" s="1"/>
  <c r="B2338" i="1" s="1"/>
  <c r="B2339" i="1"/>
  <c r="B2340" i="1" s="1"/>
  <c r="B2341" i="1" s="1"/>
  <c r="B2342" i="1" s="1"/>
  <c r="B2343" i="1" s="1"/>
  <c r="B2344" i="1" s="1"/>
  <c r="B2345" i="1"/>
  <c r="B2346" i="1" s="1"/>
  <c r="B2347" i="1" s="1"/>
  <c r="B2348" i="1" s="1"/>
  <c r="B2350" i="1"/>
  <c r="B2351" i="1"/>
  <c r="B2352" i="1"/>
  <c r="B2353" i="1" s="1"/>
  <c r="B2355" i="1"/>
  <c r="B2357" i="1"/>
  <c r="B2358" i="1"/>
  <c r="B2359" i="1"/>
  <c r="B2360" i="1" s="1"/>
  <c r="B2361" i="1" s="1"/>
  <c r="B2362" i="1" s="1"/>
  <c r="B2363" i="1" s="1"/>
  <c r="B2364" i="1" s="1"/>
  <c r="B2367" i="1"/>
  <c r="B2368" i="1" s="1"/>
  <c r="B2369" i="1" s="1"/>
  <c r="B2370" i="1"/>
  <c r="B2371" i="1"/>
  <c r="B2372" i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/>
  <c r="B2385" i="1" s="1"/>
  <c r="B2386" i="1" s="1"/>
  <c r="B2387" i="1" s="1"/>
  <c r="B2388" i="1" s="1"/>
  <c r="B2389" i="1" s="1"/>
  <c r="B2390" i="1" s="1"/>
  <c r="B2392" i="1"/>
  <c r="B2393" i="1"/>
  <c r="B2394" i="1" s="1"/>
  <c r="B2396" i="1"/>
  <c r="B2397" i="1" s="1"/>
  <c r="B2400" i="1"/>
  <c r="B2401" i="1"/>
  <c r="B2402" i="1" s="1"/>
  <c r="B2403" i="1" s="1"/>
  <c r="B2405" i="1"/>
  <c r="B2406" i="1" s="1"/>
  <c r="B2407" i="1"/>
  <c r="B2408" i="1" s="1"/>
  <c r="B2409" i="1" s="1"/>
  <c r="B2410" i="1" s="1"/>
  <c r="B2411" i="1" s="1"/>
  <c r="B2412" i="1"/>
  <c r="B2413" i="1" s="1"/>
  <c r="B2414" i="1" s="1"/>
  <c r="B2415" i="1" s="1"/>
  <c r="B2416" i="1" s="1"/>
  <c r="B2417" i="1" s="1"/>
  <c r="B2419" i="1"/>
  <c r="B2420" i="1"/>
  <c r="B2421" i="1"/>
  <c r="B2422" i="1" s="1"/>
  <c r="B2423" i="1" s="1"/>
  <c r="B2424" i="1" s="1"/>
  <c r="B2425" i="1" s="1"/>
  <c r="B2426" i="1" s="1"/>
  <c r="B2427" i="1" s="1"/>
  <c r="B2428" i="1" s="1"/>
  <c r="B2429" i="1" s="1"/>
  <c r="B2431" i="1"/>
  <c r="B2432" i="1" s="1"/>
  <c r="B2433" i="1"/>
  <c r="B2434" i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9" i="1"/>
  <c r="B2470" i="1"/>
  <c r="B2471" i="1"/>
  <c r="B2472" i="1"/>
  <c r="B2473" i="1" s="1"/>
  <c r="B2474" i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500" i="1"/>
  <c r="B2501" i="1" s="1"/>
  <c r="B2502" i="1"/>
  <c r="B2503" i="1" s="1"/>
  <c r="B2504" i="1" s="1"/>
  <c r="B2505" i="1" s="1"/>
  <c r="B2506" i="1" s="1"/>
  <c r="B2508" i="1"/>
  <c r="B2509" i="1"/>
  <c r="B2510" i="1" s="1"/>
  <c r="B2511" i="1" s="1"/>
  <c r="B2512" i="1" s="1"/>
  <c r="B2513" i="1" s="1"/>
  <c r="B2514" i="1" s="1"/>
  <c r="B2515" i="1" s="1"/>
  <c r="B2516" i="1" s="1"/>
  <c r="B2518" i="1"/>
  <c r="B2519" i="1"/>
  <c r="B2521" i="1"/>
  <c r="B2522" i="1"/>
  <c r="B2523" i="1"/>
  <c r="B2524" i="1"/>
  <c r="B2525" i="1"/>
  <c r="B2526" i="1" s="1"/>
  <c r="B2527" i="1" s="1"/>
  <c r="B2528" i="1" s="1"/>
  <c r="B2529" i="1" s="1"/>
  <c r="B2531" i="1"/>
  <c r="B2533" i="1"/>
  <c r="B2534" i="1"/>
  <c r="B2535" i="1" s="1"/>
  <c r="B2536" i="1" s="1"/>
  <c r="B2537" i="1" s="1"/>
  <c r="B2538" i="1" s="1"/>
  <c r="B2539" i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6" i="1"/>
  <c r="B2567" i="1"/>
  <c r="B2568" i="1" s="1"/>
  <c r="B2571" i="1"/>
  <c r="B2572" i="1" s="1"/>
  <c r="B2573" i="1" s="1"/>
  <c r="B2574" i="1" s="1"/>
  <c r="B2575" i="1" s="1"/>
  <c r="B2577" i="1"/>
  <c r="B2578" i="1" s="1"/>
  <c r="B2580" i="1"/>
  <c r="B2582" i="1"/>
  <c r="B2583" i="1" s="1"/>
  <c r="B2584" i="1" s="1"/>
  <c r="B2585" i="1"/>
  <c r="B2587" i="1"/>
  <c r="B2588" i="1" s="1"/>
  <c r="B2590" i="1"/>
  <c r="B2591" i="1" s="1"/>
  <c r="B2595" i="1"/>
  <c r="B2596" i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/>
  <c r="B2608" i="1"/>
  <c r="B2609" i="1" s="1"/>
  <c r="B2610" i="1" s="1"/>
  <c r="B2611" i="1" s="1"/>
  <c r="B2614" i="1"/>
  <c r="B2616" i="1"/>
  <c r="B2617" i="1" s="1"/>
  <c r="B2619" i="1"/>
  <c r="B2620" i="1" s="1"/>
  <c r="B2621" i="1" s="1"/>
  <c r="B2622" i="1" s="1"/>
  <c r="B2623" i="1"/>
  <c r="B2624" i="1" s="1"/>
  <c r="B2625" i="1" s="1"/>
  <c r="B2626" i="1"/>
  <c r="B2627" i="1"/>
  <c r="B2628" i="1" s="1"/>
  <c r="B2629" i="1" s="1"/>
  <c r="B2630" i="1" s="1"/>
  <c r="B2631" i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7" i="1"/>
  <c r="B2658" i="1"/>
  <c r="B2660" i="1"/>
  <c r="B2661" i="1"/>
  <c r="B2663" i="1"/>
  <c r="B2664" i="1"/>
  <c r="B2665" i="1"/>
  <c r="B2666" i="1" s="1"/>
  <c r="B2667" i="1" s="1"/>
  <c r="B2668" i="1"/>
  <c r="B2669" i="1"/>
  <c r="B2670" i="1" s="1"/>
  <c r="B2672" i="1"/>
  <c r="B2673" i="1"/>
  <c r="B2674" i="1" s="1"/>
  <c r="B2675" i="1" s="1"/>
  <c r="B2676" i="1" s="1"/>
  <c r="B2677" i="1" s="1"/>
  <c r="B2678" i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/>
  <c r="B2690" i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3" i="1"/>
  <c r="B2814" i="1" s="1"/>
  <c r="B2815" i="1" s="1"/>
  <c r="B2816" i="1" s="1"/>
  <c r="B2817" i="1"/>
  <c r="B2818" i="1" s="1"/>
  <c r="B2819" i="1"/>
  <c r="B2820" i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50" i="1"/>
  <c r="B2851" i="1"/>
  <c r="B2852" i="1" s="1"/>
  <c r="B2854" i="1"/>
  <c r="B2855" i="1"/>
  <c r="B2856" i="1" s="1"/>
  <c r="B2857" i="1" s="1"/>
  <c r="B2858" i="1"/>
  <c r="B2859" i="1" s="1"/>
  <c r="B2860" i="1" s="1"/>
  <c r="B2861" i="1" s="1"/>
  <c r="B2862" i="1" s="1"/>
  <c r="B2863" i="1"/>
  <c r="B2865" i="1"/>
  <c r="B2866" i="1" s="1"/>
  <c r="B2867" i="1" s="1"/>
  <c r="B2868" i="1" s="1"/>
  <c r="B2869" i="1" s="1"/>
  <c r="B2871" i="1"/>
  <c r="B2872" i="1"/>
  <c r="B2873" i="1"/>
  <c r="B2874" i="1" s="1"/>
  <c r="B2876" i="1"/>
  <c r="B2877" i="1"/>
  <c r="B2878" i="1" s="1"/>
  <c r="B2879" i="1" s="1"/>
  <c r="B2880" i="1"/>
  <c r="B2881" i="1" s="1"/>
  <c r="B2882" i="1" s="1"/>
  <c r="B2883" i="1" s="1"/>
  <c r="B2884" i="1" s="1"/>
  <c r="B2886" i="1"/>
  <c r="B2887" i="1" s="1"/>
  <c r="B2889" i="1"/>
  <c r="B2890" i="1" s="1"/>
  <c r="B2891" i="1"/>
  <c r="B2892" i="1"/>
  <c r="B2893" i="1" s="1"/>
  <c r="B2894" i="1" s="1"/>
  <c r="B2895" i="1" s="1"/>
  <c r="B2896" i="1" s="1"/>
  <c r="B2899" i="1"/>
  <c r="B2901" i="1"/>
  <c r="B2902" i="1"/>
  <c r="B2904" i="1"/>
  <c r="B2905" i="1" s="1"/>
  <c r="B2906" i="1" s="1"/>
  <c r="B2909" i="1"/>
  <c r="B2910" i="1"/>
  <c r="B2911" i="1" s="1"/>
  <c r="B2912" i="1" s="1"/>
  <c r="B2913" i="1" s="1"/>
  <c r="B2915" i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/>
  <c r="B2926" i="1"/>
  <c r="B2927" i="1" s="1"/>
  <c r="B2928" i="1" s="1"/>
  <c r="B2929" i="1" s="1"/>
  <c r="B2930" i="1" s="1"/>
  <c r="B2931" i="1" s="1"/>
  <c r="B2934" i="1"/>
  <c r="B2936" i="1"/>
  <c r="B2938" i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2" i="1"/>
  <c r="B2954" i="1"/>
  <c r="B2955" i="1" s="1"/>
  <c r="B2956" i="1" s="1"/>
  <c r="B2957" i="1" s="1"/>
  <c r="B2958" i="1"/>
  <c r="B2959" i="1"/>
  <c r="B2960" i="1" s="1"/>
  <c r="B2963" i="1"/>
  <c r="B2964" i="1" s="1"/>
  <c r="B2965" i="1" s="1"/>
  <c r="B2966" i="1"/>
  <c r="B2967" i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5" i="1"/>
  <c r="B2986" i="1" s="1"/>
  <c r="B2987" i="1" s="1"/>
  <c r="B2988" i="1" s="1"/>
  <c r="B2990" i="1"/>
  <c r="B2991" i="1" s="1"/>
  <c r="B2992" i="1"/>
  <c r="B2993" i="1" s="1"/>
  <c r="B2994" i="1" s="1"/>
  <c r="B2995" i="1" s="1"/>
  <c r="B2996" i="1" s="1"/>
  <c r="B2997" i="1" s="1"/>
  <c r="B2998" i="1" s="1"/>
  <c r="B3000" i="1"/>
  <c r="B3001" i="1" s="1"/>
  <c r="B3002" i="1" s="1"/>
  <c r="B3004" i="1"/>
  <c r="B3005" i="1" s="1"/>
  <c r="B3006" i="1"/>
  <c r="B3007" i="1" s="1"/>
  <c r="B3008" i="1" s="1"/>
  <c r="B3009" i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5" i="1"/>
  <c r="B3026" i="1" s="1"/>
  <c r="B3027" i="1" s="1"/>
  <c r="B3028" i="1" s="1"/>
  <c r="B3030" i="1"/>
  <c r="B3031" i="1" s="1"/>
  <c r="B3032" i="1" s="1"/>
  <c r="B3033" i="1" s="1"/>
  <c r="B3034" i="1" s="1"/>
  <c r="B3035" i="1"/>
  <c r="B3036" i="1"/>
  <c r="B3037" i="1" s="1"/>
  <c r="B3038" i="1"/>
  <c r="B3039" i="1"/>
  <c r="B3040" i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/>
  <c r="B3051" i="1"/>
  <c r="B3052" i="1" s="1"/>
  <c r="B3053" i="1" s="1"/>
  <c r="B3054" i="1" s="1"/>
  <c r="B3055" i="1" s="1"/>
  <c r="B3056" i="1" s="1"/>
  <c r="B3057" i="1" s="1"/>
  <c r="B3058" i="1" s="1"/>
  <c r="B3059" i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1" i="1"/>
  <c r="B3072" i="1" s="1"/>
  <c r="B3073" i="1" s="1"/>
  <c r="B3074" i="1"/>
  <c r="B3075" i="1" s="1"/>
  <c r="B3076" i="1" s="1"/>
  <c r="B3077" i="1" s="1"/>
  <c r="B3079" i="1"/>
  <c r="B3080" i="1" s="1"/>
  <c r="B3081" i="1" s="1"/>
  <c r="B3082" i="1" s="1"/>
  <c r="B3083" i="1" s="1"/>
  <c r="B3084" i="1" s="1"/>
  <c r="B3085" i="1"/>
  <c r="B3087" i="1"/>
  <c r="B3088" i="1" s="1"/>
  <c r="B3089" i="1" s="1"/>
  <c r="B3090" i="1"/>
  <c r="B3091" i="1" s="1"/>
  <c r="B3093" i="1"/>
  <c r="B3094" i="1" s="1"/>
  <c r="B3095" i="1" s="1"/>
  <c r="B3096" i="1"/>
  <c r="B3097" i="1"/>
  <c r="B3098" i="1"/>
  <c r="B3099" i="1"/>
  <c r="B3100" i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7" i="1"/>
  <c r="B3128" i="1" s="1"/>
  <c r="B3129" i="1" s="1"/>
  <c r="B3130" i="1" s="1"/>
  <c r="B3131" i="1" s="1"/>
  <c r="B3132" i="1" s="1"/>
  <c r="B3133" i="1"/>
  <c r="B3134" i="1" s="1"/>
  <c r="B3135" i="1" s="1"/>
  <c r="B3136" i="1" s="1"/>
  <c r="B3137" i="1" s="1"/>
  <c r="B3138" i="1" s="1"/>
  <c r="B3139" i="1" s="1"/>
  <c r="B3140" i="1"/>
  <c r="B3141" i="1" s="1"/>
  <c r="B3142" i="1" s="1"/>
  <c r="B3143" i="1" s="1"/>
  <c r="B3145" i="1"/>
  <c r="B3146" i="1"/>
  <c r="B3147" i="1"/>
  <c r="B3148" i="1" s="1"/>
  <c r="B3149" i="1" s="1"/>
  <c r="B3151" i="1"/>
  <c r="B3153" i="1"/>
  <c r="B3154" i="1" s="1"/>
  <c r="B3155" i="1" s="1"/>
  <c r="B3156" i="1" s="1"/>
  <c r="B3160" i="1"/>
  <c r="B3161" i="1" s="1"/>
  <c r="B3162" i="1" s="1"/>
  <c r="B3163" i="1"/>
  <c r="B3164" i="1" s="1"/>
  <c r="B3165" i="1"/>
  <c r="B3166" i="1"/>
  <c r="B3167" i="1" s="1"/>
  <c r="B3168" i="1" s="1"/>
  <c r="B3170" i="1"/>
  <c r="B3171" i="1" s="1"/>
  <c r="B3173" i="1"/>
  <c r="B3174" i="1"/>
  <c r="B3175" i="1" s="1"/>
  <c r="B3176" i="1" s="1"/>
  <c r="B3177" i="1"/>
  <c r="B3178" i="1"/>
  <c r="B3179" i="1" s="1"/>
  <c r="B3180" i="1" s="1"/>
  <c r="B3181" i="1" s="1"/>
  <c r="B3182" i="1"/>
  <c r="B3183" i="1" s="1"/>
  <c r="B3184" i="1" s="1"/>
  <c r="B3185" i="1" s="1"/>
  <c r="B3186" i="1" s="1"/>
  <c r="B3187" i="1" s="1"/>
  <c r="B3188" i="1" s="1"/>
  <c r="B3191" i="1"/>
  <c r="B3192" i="1"/>
  <c r="B3193" i="1"/>
  <c r="B3194" i="1" s="1"/>
  <c r="B3195" i="1" s="1"/>
  <c r="B3196" i="1"/>
  <c r="B3197" i="1"/>
  <c r="B3198" i="1" s="1"/>
  <c r="B3199" i="1" s="1"/>
  <c r="B3201" i="1"/>
  <c r="B3203" i="1"/>
  <c r="B3204" i="1" s="1"/>
  <c r="B3205" i="1" s="1"/>
  <c r="B3206" i="1" s="1"/>
  <c r="B3207" i="1" s="1"/>
  <c r="B3208" i="1"/>
  <c r="B3209" i="1" s="1"/>
  <c r="B3211" i="1"/>
  <c r="B3212" i="1"/>
  <c r="B3213" i="1"/>
  <c r="B3215" i="1"/>
  <c r="B3216" i="1" s="1"/>
  <c r="B3217" i="1" s="1"/>
  <c r="B3218" i="1" s="1"/>
  <c r="B3219" i="1" s="1"/>
  <c r="B3220" i="1"/>
  <c r="B3222" i="1"/>
  <c r="B3224" i="1"/>
  <c r="B3225" i="1"/>
  <c r="B3226" i="1"/>
  <c r="B3227" i="1"/>
  <c r="B3228" i="1"/>
  <c r="B3229" i="1" s="1"/>
  <c r="B3231" i="1"/>
  <c r="B3232" i="1" s="1"/>
  <c r="B3233" i="1" s="1"/>
  <c r="B3234" i="1" s="1"/>
  <c r="B3235" i="1" s="1"/>
  <c r="B3236" i="1" s="1"/>
  <c r="B3237" i="1" s="1"/>
  <c r="B3239" i="1"/>
  <c r="B3240" i="1" s="1"/>
  <c r="B3241" i="1" s="1"/>
  <c r="B3242" i="1"/>
  <c r="B3245" i="1"/>
  <c r="B3246" i="1"/>
  <c r="B3247" i="1" s="1"/>
  <c r="B3249" i="1"/>
  <c r="B3250" i="1"/>
  <c r="B3251" i="1"/>
  <c r="B3252" i="1" s="1"/>
  <c r="B3253" i="1" s="1"/>
  <c r="B3254" i="1"/>
  <c r="B3255" i="1" s="1"/>
  <c r="B3257" i="1"/>
  <c r="B3259" i="1"/>
  <c r="B3260" i="1"/>
  <c r="B3261" i="1"/>
  <c r="B3262" i="1" s="1"/>
  <c r="B3263" i="1" s="1"/>
  <c r="B3264" i="1" s="1"/>
  <c r="B3265" i="1" s="1"/>
  <c r="B3266" i="1"/>
  <c r="B3267" i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9" i="1"/>
  <c r="B3280" i="1" s="1"/>
  <c r="B3281" i="1"/>
  <c r="B3283" i="1"/>
  <c r="B3284" i="1" s="1"/>
  <c r="B3285" i="1" s="1"/>
  <c r="B3287" i="1"/>
  <c r="B3289" i="1"/>
  <c r="B3291" i="1"/>
  <c r="B3292" i="1" s="1"/>
  <c r="B3293" i="1"/>
  <c r="B3294" i="1"/>
  <c r="B3295" i="1" s="1"/>
  <c r="B3296" i="1" s="1"/>
  <c r="B3298" i="1"/>
  <c r="B3299" i="1"/>
  <c r="B3300" i="1" s="1"/>
  <c r="B3301" i="1" s="1"/>
  <c r="B3302" i="1" s="1"/>
  <c r="B3303" i="1"/>
  <c r="B3304" i="1" s="1"/>
  <c r="B3305" i="1" s="1"/>
  <c r="B3306" i="1" s="1"/>
  <c r="B3307" i="1" s="1"/>
  <c r="B3308" i="1" s="1"/>
  <c r="B3309" i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9" i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5" i="1"/>
  <c r="B3506" i="1"/>
  <c r="B3507" i="1"/>
  <c r="B3508" i="1" s="1"/>
  <c r="B3509" i="1" s="1"/>
  <c r="B3510" i="1" s="1"/>
  <c r="B3511" i="1" s="1"/>
  <c r="B3512" i="1" s="1"/>
  <c r="B3514" i="1"/>
  <c r="B3515" i="1"/>
  <c r="B3517" i="1"/>
  <c r="B3518" i="1" s="1"/>
  <c r="B3522" i="1"/>
  <c r="B3524" i="1"/>
  <c r="B3526" i="1"/>
  <c r="B3527" i="1" s="1"/>
  <c r="B3528" i="1" s="1"/>
  <c r="B3529" i="1" s="1"/>
  <c r="B3530" i="1" s="1"/>
  <c r="B3531" i="1"/>
  <c r="B3532" i="1"/>
  <c r="B3533" i="1"/>
  <c r="B3534" i="1" s="1"/>
  <c r="B3535" i="1" s="1"/>
  <c r="B3536" i="1"/>
  <c r="B3537" i="1"/>
  <c r="B3538" i="1" s="1"/>
  <c r="B3539" i="1" s="1"/>
  <c r="B3540" i="1" s="1"/>
  <c r="B3542" i="1"/>
  <c r="B3544" i="1"/>
  <c r="B3545" i="1"/>
  <c r="B3546" i="1" s="1"/>
  <c r="B3548" i="1"/>
  <c r="B3550" i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/>
  <c r="B3566" i="1"/>
  <c r="B3567" i="1" s="1"/>
  <c r="B3568" i="1" s="1"/>
  <c r="B3569" i="1" s="1"/>
  <c r="B3570" i="1" s="1"/>
  <c r="B3571" i="1" s="1"/>
  <c r="B3573" i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8" i="1"/>
  <c r="B3599" i="1"/>
  <c r="B3600" i="1"/>
  <c r="B3601" i="1"/>
  <c r="B3603" i="1"/>
  <c r="B3604" i="1"/>
  <c r="B3605" i="1"/>
  <c r="B3606" i="1" s="1"/>
  <c r="B3607" i="1" s="1"/>
  <c r="B3608" i="1" s="1"/>
  <c r="B3609" i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1" i="1"/>
  <c r="B3622" i="1"/>
  <c r="B3623" i="1"/>
  <c r="B3624" i="1" s="1"/>
  <c r="B3626" i="1"/>
  <c r="B3627" i="1" s="1"/>
  <c r="B3628" i="1" s="1"/>
  <c r="B3629" i="1"/>
  <c r="B3631" i="1"/>
  <c r="B3632" i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51" i="1"/>
  <c r="B3652" i="1"/>
  <c r="B3653" i="1"/>
  <c r="B3654" i="1" s="1"/>
  <c r="B3655" i="1" s="1"/>
  <c r="B3657" i="1"/>
  <c r="B3658" i="1"/>
  <c r="B3659" i="1"/>
  <c r="B3660" i="1" s="1"/>
  <c r="B3661" i="1" s="1"/>
  <c r="B3662" i="1" s="1"/>
  <c r="B3663" i="1" s="1"/>
  <c r="B3664" i="1" s="1"/>
  <c r="B3667" i="1"/>
  <c r="B3668" i="1"/>
  <c r="B3669" i="1" s="1"/>
  <c r="B3670" i="1"/>
  <c r="B3671" i="1"/>
  <c r="B3672" i="1"/>
  <c r="B3673" i="1" s="1"/>
  <c r="B3674" i="1" s="1"/>
  <c r="B3675" i="1" s="1"/>
  <c r="B3678" i="1"/>
  <c r="B3680" i="1"/>
  <c r="B3681" i="1"/>
  <c r="B3682" i="1" s="1"/>
  <c r="B3683" i="1" s="1"/>
  <c r="B3684" i="1" s="1"/>
  <c r="B3686" i="1"/>
  <c r="B3688" i="1"/>
  <c r="B3689" i="1"/>
  <c r="B3690" i="1"/>
  <c r="B3691" i="1" s="1"/>
  <c r="B3692" i="1" s="1"/>
  <c r="B3693" i="1" s="1"/>
  <c r="B3694" i="1" s="1"/>
  <c r="B3697" i="1"/>
  <c r="B3698" i="1"/>
  <c r="B3699" i="1"/>
  <c r="B3701" i="1"/>
  <c r="B3702" i="1" s="1"/>
  <c r="B3704" i="1"/>
  <c r="B3705" i="1"/>
  <c r="B3706" i="1"/>
  <c r="B3707" i="1" s="1"/>
  <c r="B3708" i="1" s="1"/>
  <c r="B3710" i="1"/>
  <c r="B3711" i="1"/>
  <c r="B3712" i="1"/>
  <c r="B3713" i="1"/>
  <c r="B3714" i="1" s="1"/>
  <c r="B3715" i="1" s="1"/>
  <c r="B3716" i="1" s="1"/>
  <c r="B3718" i="1"/>
  <c r="B3719" i="1" s="1"/>
  <c r="B3720" i="1" s="1"/>
  <c r="B3721" i="1" s="1"/>
  <c r="B3722" i="1" s="1"/>
  <c r="B3723" i="1" s="1"/>
  <c r="B3724" i="1" s="1"/>
  <c r="B3725" i="1"/>
  <c r="B3726" i="1" s="1"/>
  <c r="B3727" i="1"/>
  <c r="B3728" i="1"/>
  <c r="B3729" i="1"/>
  <c r="B3730" i="1" s="1"/>
  <c r="B3731" i="1" s="1"/>
  <c r="B3732" i="1"/>
  <c r="B3733" i="1" s="1"/>
  <c r="B3734" i="1" s="1"/>
  <c r="B3735" i="1" s="1"/>
  <c r="B3736" i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50" i="1"/>
  <c r="B3751" i="1"/>
  <c r="B3752" i="1"/>
  <c r="B3753" i="1" s="1"/>
  <c r="B3755" i="1"/>
  <c r="B3756" i="1"/>
  <c r="B3757" i="1"/>
  <c r="B3758" i="1" s="1"/>
  <c r="B3760" i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8" i="1"/>
  <c r="B3779" i="1"/>
  <c r="B3781" i="1"/>
  <c r="B3782" i="1" s="1"/>
  <c r="B3783" i="1" s="1"/>
  <c r="B3784" i="1"/>
  <c r="B3785" i="1"/>
  <c r="B3786" i="1" s="1"/>
  <c r="B3787" i="1" s="1"/>
  <c r="B3790" i="1"/>
  <c r="B3791" i="1"/>
  <c r="B3792" i="1"/>
  <c r="B3793" i="1"/>
  <c r="B3794" i="1" s="1"/>
  <c r="B3795" i="1"/>
  <c r="B3796" i="1"/>
  <c r="B3797" i="1"/>
  <c r="B3798" i="1" s="1"/>
  <c r="B3799" i="1" s="1"/>
  <c r="B3800" i="1" s="1"/>
  <c r="B3801" i="1" s="1"/>
  <c r="B3802" i="1" s="1"/>
  <c r="B3803" i="1" s="1"/>
  <c r="B3804" i="1" s="1"/>
  <c r="B3805" i="1" s="1"/>
  <c r="B3807" i="1"/>
  <c r="B3808" i="1"/>
  <c r="B3809" i="1"/>
  <c r="B3810" i="1" s="1"/>
  <c r="B3811" i="1"/>
  <c r="B3812" i="1"/>
  <c r="B3813" i="1" s="1"/>
  <c r="B3815" i="1"/>
  <c r="B3816" i="1"/>
  <c r="B3817" i="1"/>
  <c r="B3819" i="1"/>
  <c r="B3820" i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40" i="1"/>
  <c r="B3941" i="1"/>
  <c r="B3942" i="1"/>
  <c r="B3943" i="1"/>
  <c r="B3944" i="1" s="1"/>
  <c r="B3945" i="1" s="1"/>
  <c r="B3946" i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80" i="1"/>
  <c r="B3982" i="1"/>
  <c r="B3983" i="1"/>
  <c r="B3984" i="1" s="1"/>
  <c r="B3985" i="1" s="1"/>
  <c r="B3986" i="1" s="1"/>
  <c r="B3987" i="1" s="1"/>
  <c r="B3988" i="1" s="1"/>
  <c r="B3989" i="1" s="1"/>
  <c r="B3990" i="1"/>
  <c r="B3991" i="1" s="1"/>
  <c r="B3993" i="1"/>
  <c r="B3994" i="1"/>
  <c r="B3995" i="1"/>
  <c r="B3996" i="1" s="1"/>
  <c r="B3997" i="1" s="1"/>
  <c r="B3998" i="1"/>
  <c r="B3999" i="1"/>
  <c r="B4000" i="1" s="1"/>
  <c r="B4001" i="1" s="1"/>
  <c r="B4002" i="1" s="1"/>
  <c r="B4004" i="1"/>
  <c r="B4005" i="1" s="1"/>
  <c r="B4006" i="1" s="1"/>
  <c r="B4007" i="1"/>
  <c r="B4008" i="1" s="1"/>
  <c r="B4009" i="1"/>
  <c r="B4010" i="1"/>
  <c r="B4012" i="1"/>
  <c r="B4013" i="1" s="1"/>
  <c r="B4014" i="1" s="1"/>
  <c r="B4015" i="1" s="1"/>
  <c r="B4016" i="1" s="1"/>
  <c r="B4017" i="1" s="1"/>
  <c r="B4019" i="1"/>
  <c r="B4020" i="1"/>
  <c r="B4021" i="1" s="1"/>
  <c r="B4022" i="1" s="1"/>
  <c r="B4023" i="1" s="1"/>
  <c r="B4024" i="1"/>
  <c r="B4026" i="1"/>
  <c r="B4027" i="1"/>
  <c r="B4028" i="1" s="1"/>
  <c r="B4029" i="1" s="1"/>
  <c r="B4030" i="1" s="1"/>
  <c r="B4032" i="1"/>
  <c r="B4033" i="1"/>
  <c r="B4035" i="1"/>
  <c r="B4036" i="1"/>
  <c r="B4037" i="1"/>
  <c r="B4038" i="1"/>
  <c r="B4041" i="1"/>
  <c r="B4042" i="1" s="1"/>
  <c r="B4045" i="1"/>
  <c r="B4046" i="1" s="1"/>
  <c r="B4047" i="1" s="1"/>
  <c r="B4048" i="1" s="1"/>
  <c r="B4049" i="1"/>
  <c r="B4050" i="1" s="1"/>
  <c r="B4051" i="1"/>
  <c r="B4052" i="1"/>
  <c r="B4053" i="1"/>
  <c r="B4054" i="1" s="1"/>
  <c r="B4055" i="1" s="1"/>
  <c r="B4056" i="1"/>
  <c r="B4057" i="1"/>
  <c r="B4058" i="1" s="1"/>
  <c r="B4059" i="1" s="1"/>
  <c r="B4060" i="1" s="1"/>
  <c r="B4061" i="1" s="1"/>
  <c r="B4062" i="1" s="1"/>
  <c r="B4064" i="1"/>
  <c r="B4065" i="1"/>
  <c r="B4066" i="1" s="1"/>
  <c r="B4067" i="1"/>
  <c r="B4068" i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2" i="1"/>
  <c r="B4093" i="1" s="1"/>
  <c r="B4094" i="1" s="1"/>
  <c r="B4095" i="1" s="1"/>
  <c r="B4096" i="1" s="1"/>
  <c r="B4097" i="1" s="1"/>
  <c r="B4099" i="1"/>
  <c r="B4100" i="1"/>
  <c r="B4101" i="1"/>
  <c r="B4102" i="1" s="1"/>
  <c r="B4103" i="1" s="1"/>
  <c r="B4105" i="1"/>
  <c r="B4106" i="1"/>
  <c r="B4107" i="1"/>
  <c r="B4108" i="1"/>
  <c r="B4109" i="1" s="1"/>
  <c r="B4110" i="1" s="1"/>
  <c r="B4111" i="1" s="1"/>
  <c r="B4112" i="1" s="1"/>
  <c r="B4113" i="1" s="1"/>
  <c r="B4114" i="1" s="1"/>
  <c r="B4115" i="1"/>
  <c r="B4116" i="1" s="1"/>
  <c r="B4117" i="1" s="1"/>
  <c r="B4118" i="1" s="1"/>
  <c r="B4119" i="1" s="1"/>
  <c r="B4120" i="1" s="1"/>
  <c r="B4121" i="1" s="1"/>
  <c r="B4123" i="1"/>
  <c r="B4124" i="1" s="1"/>
  <c r="B4125" i="1" s="1"/>
  <c r="B4126" i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1" i="1"/>
  <c r="B4142" i="1"/>
  <c r="B4143" i="1" s="1"/>
  <c r="B4145" i="1"/>
  <c r="B4147" i="1"/>
  <c r="B4148" i="1"/>
  <c r="B4149" i="1" s="1"/>
  <c r="B4150" i="1" s="1"/>
  <c r="B4153" i="1"/>
  <c r="B4154" i="1"/>
  <c r="B4155" i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6" i="1"/>
  <c r="B4167" i="1"/>
  <c r="B4168" i="1"/>
  <c r="B4169" i="1"/>
  <c r="B4170" i="1" s="1"/>
  <c r="B4171" i="1" s="1"/>
  <c r="B4172" i="1"/>
  <c r="B4174" i="1"/>
  <c r="B4175" i="1" s="1"/>
  <c r="B4176" i="1" s="1"/>
  <c r="B4177" i="1" s="1"/>
  <c r="B4178" i="1" s="1"/>
  <c r="B4179" i="1" s="1"/>
  <c r="B4182" i="1"/>
  <c r="B4183" i="1" s="1"/>
  <c r="B4184" i="1"/>
  <c r="B4186" i="1"/>
  <c r="B4187" i="1" s="1"/>
  <c r="B4189" i="1"/>
  <c r="B4190" i="1"/>
  <c r="B4191" i="1"/>
  <c r="B4192" i="1"/>
  <c r="B4193" i="1" s="1"/>
  <c r="B4194" i="1" s="1"/>
  <c r="B4196" i="1"/>
  <c r="B4198" i="1"/>
  <c r="B4199" i="1"/>
  <c r="B4200" i="1" s="1"/>
  <c r="B4201" i="1" s="1"/>
  <c r="B4202" i="1" s="1"/>
  <c r="B4203" i="1" s="1"/>
  <c r="B4204" i="1" s="1"/>
  <c r="B4205" i="1" s="1"/>
  <c r="B4206" i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3" i="1"/>
  <c r="B4254" i="1" s="1"/>
  <c r="B4255" i="1" s="1"/>
  <c r="B4256" i="1" s="1"/>
  <c r="B4257" i="1"/>
  <c r="B4258" i="1" s="1"/>
  <c r="B4259" i="1" s="1"/>
  <c r="B4260" i="1" s="1"/>
  <c r="B4261" i="1" s="1"/>
  <c r="B4262" i="1" s="1"/>
  <c r="B4263" i="1" s="1"/>
  <c r="B4264" i="1" s="1"/>
  <c r="B4265" i="1" s="1"/>
  <c r="B4267" i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5" i="1"/>
  <c r="B4306" i="1"/>
  <c r="B4307" i="1"/>
  <c r="B4308" i="1" s="1"/>
  <c r="B4309" i="1" s="1"/>
  <c r="B4310" i="1" s="1"/>
  <c r="B4311" i="1" s="1"/>
  <c r="B4312" i="1" s="1"/>
  <c r="B4313" i="1" s="1"/>
  <c r="B4314" i="1" s="1"/>
  <c r="B4316" i="1"/>
  <c r="B4317" i="1" s="1"/>
  <c r="B4318" i="1" s="1"/>
  <c r="B4321" i="1"/>
  <c r="B4322" i="1"/>
  <c r="B4323" i="1" s="1"/>
  <c r="B4324" i="1" s="1"/>
  <c r="B4327" i="1"/>
  <c r="B4328" i="1"/>
  <c r="B4329" i="1"/>
  <c r="B4330" i="1"/>
  <c r="B4331" i="1"/>
  <c r="B4332" i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8" i="1"/>
  <c r="B4349" i="1"/>
  <c r="B4350" i="1" s="1"/>
  <c r="B4351" i="1" s="1"/>
  <c r="B4352" i="1" s="1"/>
  <c r="B4353" i="1"/>
  <c r="B4354" i="1" s="1"/>
  <c r="B4355" i="1" s="1"/>
  <c r="B4356" i="1" s="1"/>
  <c r="B4357" i="1" s="1"/>
  <c r="B4358" i="1" s="1"/>
  <c r="B4359" i="1" s="1"/>
  <c r="B4360" i="1" s="1"/>
  <c r="B4362" i="1"/>
  <c r="B4363" i="1" s="1"/>
  <c r="B4364" i="1" s="1"/>
  <c r="B4365" i="1" s="1"/>
  <c r="B4366" i="1" s="1"/>
  <c r="B4367" i="1" s="1"/>
  <c r="B4370" i="1"/>
  <c r="B4371" i="1"/>
  <c r="B4372" i="1"/>
  <c r="B4373" i="1" s="1"/>
  <c r="B4374" i="1" s="1"/>
  <c r="B4375" i="1"/>
  <c r="B4376" i="1"/>
  <c r="B4377" i="1" s="1"/>
  <c r="B4378" i="1" s="1"/>
  <c r="B4380" i="1"/>
  <c r="B4381" i="1"/>
  <c r="B4382" i="1"/>
  <c r="B4383" i="1"/>
  <c r="B4385" i="1"/>
  <c r="B4386" i="1" s="1"/>
  <c r="B4387" i="1" s="1"/>
  <c r="B4388" i="1" s="1"/>
  <c r="B4389" i="1" s="1"/>
  <c r="B4390" i="1" s="1"/>
  <c r="B4391" i="1" s="1"/>
  <c r="B4392" i="1" s="1"/>
  <c r="B4393" i="1" s="1"/>
  <c r="B4395" i="1"/>
  <c r="B4397" i="1"/>
  <c r="B4398" i="1" s="1"/>
  <c r="B4399" i="1" s="1"/>
  <c r="B4400" i="1" s="1"/>
  <c r="B4402" i="1"/>
  <c r="B4405" i="1"/>
  <c r="B4406" i="1"/>
  <c r="B4407" i="1"/>
  <c r="B4408" i="1" s="1"/>
  <c r="B4409" i="1" s="1"/>
  <c r="B4410" i="1" s="1"/>
  <c r="B4411" i="1" s="1"/>
  <c r="B4412" i="1" s="1"/>
  <c r="B4413" i="1" s="1"/>
  <c r="B4414" i="1" s="1"/>
  <c r="B4416" i="1"/>
  <c r="B4417" i="1" s="1"/>
  <c r="B4418" i="1" s="1"/>
  <c r="B4419" i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3" i="1"/>
  <c r="B4444" i="1"/>
  <c r="B4445" i="1"/>
  <c r="B4446" i="1" s="1"/>
  <c r="B4447" i="1" s="1"/>
  <c r="B4449" i="1"/>
  <c r="B4450" i="1"/>
  <c r="B4451" i="1" s="1"/>
  <c r="B4452" i="1" s="1"/>
  <c r="B4453" i="1" s="1"/>
  <c r="B4455" i="1"/>
  <c r="B4456" i="1" s="1"/>
  <c r="B4458" i="1"/>
  <c r="B4459" i="1"/>
  <c r="B4460" i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6" i="1"/>
  <c r="B4497" i="1"/>
  <c r="B4498" i="1" s="1"/>
  <c r="B4499" i="1" s="1"/>
  <c r="B4500" i="1" s="1"/>
  <c r="B4502" i="1"/>
  <c r="B4504" i="1"/>
  <c r="B4505" i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5" i="1"/>
  <c r="B4576" i="1"/>
  <c r="B4577" i="1" s="1"/>
  <c r="B4578" i="1" s="1"/>
  <c r="B4579" i="1" s="1"/>
  <c r="B4580" i="1" s="1"/>
  <c r="B4581" i="1" s="1"/>
  <c r="B4582" i="1" s="1"/>
  <c r="B4583" i="1"/>
  <c r="B4584" i="1"/>
  <c r="B4585" i="1" s="1"/>
  <c r="B4586" i="1" s="1"/>
  <c r="B4587" i="1" s="1"/>
  <c r="B4588" i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8" i="1"/>
  <c r="B4719" i="1" s="1"/>
  <c r="B4721" i="1"/>
  <c r="B4722" i="1"/>
  <c r="B4723" i="1"/>
  <c r="B4724" i="1"/>
  <c r="B4725" i="1"/>
  <c r="B4726" i="1"/>
  <c r="B4727" i="1" s="1"/>
  <c r="B4728" i="1" s="1"/>
  <c r="B4729" i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50" i="1"/>
  <c r="B4751" i="1"/>
  <c r="B4752" i="1" s="1"/>
  <c r="B4755" i="1"/>
  <c r="B4756" i="1"/>
  <c r="B4757" i="1"/>
  <c r="B4758" i="1"/>
  <c r="B4759" i="1" s="1"/>
  <c r="B4760" i="1" s="1"/>
  <c r="B4761" i="1" s="1"/>
  <c r="B4762" i="1" s="1"/>
  <c r="B4763" i="1" s="1"/>
  <c r="B4764" i="1" s="1"/>
  <c r="B4765" i="1" s="1"/>
  <c r="B4767" i="1"/>
  <c r="B4769" i="1"/>
  <c r="B4770" i="1"/>
  <c r="B4771" i="1"/>
  <c r="B4772" i="1" s="1"/>
  <c r="B4773" i="1" s="1"/>
  <c r="B4774" i="1" s="1"/>
  <c r="B4775" i="1" s="1"/>
  <c r="B4776" i="1" s="1"/>
  <c r="B4777" i="1" s="1"/>
  <c r="B4778" i="1"/>
  <c r="B4779" i="1" s="1"/>
  <c r="B4780" i="1" s="1"/>
  <c r="B4781" i="1" s="1"/>
  <c r="B4783" i="1"/>
  <c r="B4784" i="1"/>
  <c r="B4785" i="1"/>
  <c r="B4786" i="1" s="1"/>
  <c r="B4787" i="1" s="1"/>
  <c r="B4788" i="1" s="1"/>
  <c r="B4790" i="1"/>
  <c r="B4791" i="1"/>
  <c r="B4792" i="1"/>
  <c r="B4793" i="1" s="1"/>
  <c r="B4794" i="1" s="1"/>
  <c r="B4796" i="1"/>
  <c r="B4799" i="1"/>
  <c r="B4800" i="1" s="1"/>
  <c r="B4801" i="1" s="1"/>
  <c r="B4802" i="1" s="1"/>
  <c r="B4803" i="1" s="1"/>
  <c r="B4804" i="1" s="1"/>
  <c r="B4805" i="1" s="1"/>
  <c r="B4806" i="1" s="1"/>
  <c r="B4807" i="1"/>
  <c r="B4809" i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2" i="1"/>
  <c r="B4933" i="1" s="1"/>
  <c r="B4935" i="1"/>
  <c r="B4937" i="1"/>
  <c r="B4938" i="1" s="1"/>
  <c r="B4940" i="1"/>
  <c r="B4941" i="1"/>
  <c r="B4942" i="1"/>
  <c r="B4943" i="1"/>
  <c r="B4944" i="1" s="1"/>
  <c r="B4945" i="1" s="1"/>
  <c r="B4947" i="1"/>
  <c r="B4948" i="1"/>
  <c r="B4949" i="1"/>
  <c r="B4950" i="1" s="1"/>
  <c r="B4951" i="1" s="1"/>
  <c r="B4952" i="1" s="1"/>
  <c r="B4953" i="1" s="1"/>
  <c r="B4954" i="1" s="1"/>
  <c r="B4956" i="1"/>
  <c r="B4957" i="1"/>
  <c r="B4958" i="1"/>
  <c r="B4959" i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5" i="1"/>
  <c r="B4976" i="1"/>
  <c r="B4977" i="1"/>
  <c r="B4979" i="1"/>
  <c r="B4980" i="1" s="1"/>
  <c r="B4981" i="1" s="1"/>
  <c r="B4982" i="1" s="1"/>
  <c r="B4983" i="1" s="1"/>
  <c r="B4984" i="1" s="1"/>
  <c r="B4986" i="1"/>
  <c r="B4987" i="1"/>
  <c r="B4989" i="1"/>
  <c r="B4990" i="1"/>
  <c r="B4991" i="1"/>
  <c r="B4992" i="1"/>
  <c r="B4993" i="1" s="1"/>
  <c r="B4994" i="1" s="1"/>
  <c r="B4997" i="1"/>
  <c r="B4998" i="1"/>
  <c r="B4999" i="1" s="1"/>
  <c r="B5000" i="1" s="1"/>
  <c r="B5001" i="1" s="1"/>
  <c r="B5002" i="1"/>
  <c r="B5003" i="1" s="1"/>
  <c r="B5004" i="1" s="1"/>
  <c r="B5005" i="1" s="1"/>
  <c r="B5006" i="1" s="1"/>
  <c r="B5007" i="1" s="1"/>
  <c r="B5008" i="1" s="1"/>
  <c r="B5009" i="1" s="1"/>
  <c r="B5010" i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9" i="1"/>
  <c r="B5080" i="1" s="1"/>
  <c r="B5082" i="1"/>
  <c r="B5083" i="1"/>
  <c r="B5084" i="1"/>
  <c r="B5085" i="1"/>
  <c r="B5086" i="1"/>
  <c r="B5088" i="1"/>
  <c r="B5089" i="1"/>
  <c r="B5090" i="1"/>
  <c r="B5091" i="1"/>
  <c r="B5092" i="1" s="1"/>
  <c r="B5093" i="1" s="1"/>
  <c r="B5094" i="1" s="1"/>
  <c r="B5096" i="1"/>
  <c r="B5098" i="1"/>
  <c r="B5099" i="1"/>
  <c r="B5100" i="1" s="1"/>
  <c r="B5101" i="1" s="1"/>
  <c r="B5103" i="1"/>
  <c r="B5104" i="1"/>
  <c r="B5105" i="1"/>
  <c r="B5106" i="1"/>
  <c r="B5107" i="1" s="1"/>
  <c r="B5109" i="1"/>
  <c r="B5110" i="1" s="1"/>
  <c r="B5111" i="1" s="1"/>
  <c r="B5112" i="1" s="1"/>
  <c r="B5113" i="1" s="1"/>
  <c r="B5114" i="1" s="1"/>
  <c r="B5115" i="1" s="1"/>
  <c r="B5116" i="1"/>
  <c r="B5117" i="1" s="1"/>
  <c r="B5118" i="1" s="1"/>
  <c r="B5119" i="1" s="1"/>
  <c r="B5120" i="1" s="1"/>
  <c r="B5121" i="1"/>
  <c r="B5122" i="1" s="1"/>
  <c r="B5124" i="1"/>
  <c r="B5125" i="1"/>
  <c r="B5126" i="1"/>
  <c r="B5128" i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3" i="1"/>
  <c r="B5154" i="1"/>
  <c r="B5156" i="1"/>
  <c r="B5157" i="1"/>
  <c r="B5159" i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1" i="1"/>
  <c r="B5173" i="1"/>
  <c r="B5175" i="1"/>
  <c r="B5176" i="1" s="1"/>
  <c r="B5178" i="1"/>
  <c r="B5179" i="1" s="1"/>
  <c r="B5181" i="1"/>
  <c r="B5182" i="1"/>
  <c r="B5183" i="1"/>
  <c r="B5184" i="1"/>
  <c r="B5185" i="1"/>
  <c r="B5186" i="1" s="1"/>
  <c r="B5188" i="1"/>
  <c r="B5189" i="1"/>
  <c r="B5190" i="1"/>
  <c r="B5191" i="1"/>
  <c r="B5193" i="1"/>
  <c r="B5194" i="1" s="1"/>
  <c r="B5195" i="1" s="1"/>
  <c r="B5196" i="1" s="1"/>
  <c r="B5197" i="1" s="1"/>
  <c r="B5198" i="1" s="1"/>
  <c r="B5199" i="1" s="1"/>
  <c r="B5202" i="1"/>
  <c r="B5203" i="1"/>
  <c r="B5204" i="1"/>
  <c r="B5205" i="1" s="1"/>
  <c r="B5206" i="1" s="1"/>
  <c r="B5207" i="1" s="1"/>
  <c r="B5208" i="1" s="1"/>
  <c r="B5209" i="1" s="1"/>
  <c r="B5210" i="1" s="1"/>
  <c r="B5211" i="1" s="1"/>
  <c r="B5212" i="1"/>
  <c r="B5213" i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4" i="1"/>
  <c r="B5225" i="1"/>
  <c r="B5226" i="1"/>
  <c r="B5228" i="1"/>
  <c r="B5229" i="1"/>
  <c r="B5230" i="1"/>
  <c r="B5231" i="1" s="1"/>
  <c r="B5232" i="1" s="1"/>
  <c r="B5233" i="1" s="1"/>
  <c r="B5234" i="1" s="1"/>
  <c r="B5235" i="1" s="1"/>
  <c r="B5236" i="1" s="1"/>
  <c r="B5237" i="1" s="1"/>
  <c r="B5239" i="1"/>
  <c r="B5240" i="1"/>
  <c r="B5241" i="1"/>
  <c r="B5242" i="1"/>
  <c r="B5243" i="1"/>
  <c r="B5244" i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5" i="1"/>
  <c r="B5266" i="1"/>
  <c r="B5267" i="1"/>
  <c r="B5268" i="1" s="1"/>
  <c r="B5269" i="1" s="1"/>
  <c r="B5270" i="1" s="1"/>
  <c r="B5271" i="1" s="1"/>
  <c r="B5272" i="1" s="1"/>
  <c r="B5273" i="1" s="1"/>
  <c r="B5274" i="1"/>
  <c r="B5275" i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9" i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2" i="1"/>
  <c r="B5314" i="1"/>
  <c r="B5316" i="1"/>
  <c r="B5317" i="1"/>
  <c r="B5318" i="1"/>
  <c r="B5319" i="1"/>
  <c r="B5321" i="1"/>
  <c r="B5322" i="1" s="1"/>
  <c r="B5324" i="1"/>
  <c r="B5325" i="1"/>
  <c r="B5326" i="1" s="1"/>
  <c r="B5327" i="1" s="1"/>
  <c r="B5330" i="1"/>
  <c r="B5331" i="1" s="1"/>
  <c r="B5332" i="1" s="1"/>
  <c r="B5333" i="1"/>
  <c r="B5334" i="1" s="1"/>
  <c r="B5336" i="1"/>
  <c r="B5337" i="1"/>
  <c r="B5338" i="1"/>
  <c r="B5339" i="1"/>
  <c r="B5341" i="1"/>
  <c r="B5342" i="1" s="1"/>
  <c r="B5343" i="1" s="1"/>
  <c r="B5344" i="1"/>
  <c r="B5345" i="1"/>
  <c r="B5346" i="1" s="1"/>
  <c r="B5347" i="1" s="1"/>
  <c r="B5349" i="1"/>
  <c r="B5350" i="1"/>
  <c r="B5351" i="1" s="1"/>
  <c r="B5352" i="1" s="1"/>
  <c r="B5353" i="1" s="1"/>
  <c r="B5354" i="1" s="1"/>
  <c r="B5355" i="1"/>
  <c r="B5356" i="1"/>
  <c r="B5357" i="1"/>
  <c r="B5358" i="1" s="1"/>
  <c r="B5359" i="1" s="1"/>
  <c r="B5360" i="1" s="1"/>
  <c r="B5361" i="1" s="1"/>
  <c r="B5362" i="1" s="1"/>
  <c r="B5364" i="1"/>
  <c r="B5365" i="1"/>
  <c r="B5366" i="1"/>
  <c r="B5368" i="1"/>
  <c r="B5369" i="1"/>
  <c r="B5370" i="1" s="1"/>
  <c r="B5371" i="1" s="1"/>
  <c r="B5372" i="1" s="1"/>
  <c r="B5374" i="1"/>
  <c r="B5376" i="1"/>
  <c r="B5377" i="1"/>
  <c r="B5378" i="1"/>
  <c r="B5379" i="1" s="1"/>
  <c r="B5381" i="1"/>
  <c r="B5382" i="1"/>
  <c r="B5383" i="1"/>
  <c r="B5384" i="1"/>
  <c r="B5385" i="1"/>
  <c r="B5386" i="1" s="1"/>
  <c r="B5387" i="1" s="1"/>
  <c r="B5388" i="1" s="1"/>
  <c r="B5390" i="1"/>
  <c r="B5391" i="1"/>
  <c r="B5392" i="1"/>
  <c r="B5393" i="1" s="1"/>
  <c r="B5394" i="1" s="1"/>
  <c r="B5395" i="1" s="1"/>
  <c r="B5396" i="1" s="1"/>
  <c r="B5397" i="1" s="1"/>
  <c r="B5400" i="1"/>
  <c r="B5401" i="1"/>
  <c r="B5402" i="1"/>
  <c r="B5403" i="1" s="1"/>
  <c r="B5404" i="1" s="1"/>
  <c r="B5405" i="1" s="1"/>
  <c r="B5406" i="1" s="1"/>
  <c r="B5407" i="1" s="1"/>
  <c r="B5408" i="1" s="1"/>
  <c r="B5411" i="1"/>
  <c r="B5412" i="1"/>
  <c r="B5414" i="1"/>
  <c r="B5415" i="1" s="1"/>
  <c r="B5416" i="1" s="1"/>
  <c r="B5417" i="1" s="1"/>
  <c r="B5418" i="1" s="1"/>
  <c r="B5419" i="1" s="1"/>
  <c r="B5420" i="1" s="1"/>
  <c r="B5421" i="1" s="1"/>
  <c r="B5422" i="1" s="1"/>
  <c r="B5424" i="1"/>
  <c r="B5426" i="1"/>
  <c r="B5427" i="1"/>
  <c r="B5428" i="1"/>
  <c r="B5429" i="1" s="1"/>
  <c r="B5431" i="1"/>
  <c r="B5432" i="1"/>
  <c r="B5434" i="1"/>
  <c r="B5435" i="1"/>
  <c r="B5436" i="1" s="1"/>
  <c r="B5437" i="1"/>
  <c r="B5439" i="1"/>
  <c r="B5440" i="1" s="1"/>
  <c r="B5441" i="1" s="1"/>
  <c r="B5442" i="1" s="1"/>
  <c r="B5443" i="1"/>
  <c r="B5444" i="1" s="1"/>
  <c r="B5445" i="1" s="1"/>
  <c r="B5447" i="1"/>
  <c r="B5448" i="1" s="1"/>
  <c r="B5449" i="1" s="1"/>
  <c r="B5450" i="1" s="1"/>
  <c r="B5451" i="1"/>
  <c r="B5452" i="1" s="1"/>
  <c r="B5453" i="1" s="1"/>
  <c r="B5454" i="1" s="1"/>
  <c r="B5455" i="1" s="1"/>
  <c r="B5456" i="1" s="1"/>
  <c r="B5458" i="1"/>
  <c r="B5459" i="1"/>
  <c r="B5460" i="1" s="1"/>
  <c r="B5461" i="1" s="1"/>
  <c r="B5462" i="1" s="1"/>
  <c r="B5465" i="1"/>
  <c r="B5466" i="1"/>
  <c r="B5467" i="1" s="1"/>
  <c r="B5468" i="1" s="1"/>
  <c r="B5469" i="1" s="1"/>
  <c r="B5470" i="1" s="1"/>
  <c r="B5472" i="1"/>
  <c r="B5473" i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500" i="1"/>
  <c r="B5501" i="1" s="1"/>
  <c r="B5502" i="1" s="1"/>
  <c r="B5503" i="1" s="1"/>
  <c r="B5505" i="1"/>
  <c r="B5506" i="1" s="1"/>
  <c r="B5508" i="1"/>
  <c r="B5509" i="1"/>
  <c r="B5511" i="1"/>
  <c r="B5512" i="1"/>
  <c r="B5513" i="1"/>
  <c r="B5514" i="1"/>
  <c r="B5516" i="1"/>
  <c r="B5517" i="1" s="1"/>
  <c r="B5518" i="1" s="1"/>
  <c r="B5520" i="1"/>
  <c r="B5521" i="1"/>
  <c r="B5522" i="1" s="1"/>
  <c r="B5523" i="1" s="1"/>
  <c r="B5524" i="1" s="1"/>
  <c r="B5525" i="1" s="1"/>
  <c r="B5526" i="1"/>
  <c r="B5527" i="1"/>
  <c r="B5528" i="1" s="1"/>
  <c r="B5529" i="1" s="1"/>
  <c r="B5530" i="1" s="1"/>
  <c r="B5531" i="1" s="1"/>
  <c r="B5532" i="1" s="1"/>
  <c r="B5534" i="1"/>
  <c r="B5535" i="1" s="1"/>
  <c r="B5536" i="1" s="1"/>
  <c r="B5539" i="1"/>
  <c r="B5540" i="1"/>
  <c r="B5541" i="1"/>
  <c r="I5542" i="1"/>
  <c r="H5542" i="1"/>
  <c r="F5542" i="1"/>
</calcChain>
</file>

<file path=xl/sharedStrings.xml><?xml version="1.0" encoding="utf-8"?>
<sst xmlns="http://schemas.openxmlformats.org/spreadsheetml/2006/main" count="17714" uniqueCount="584">
  <si>
    <t>Country</t>
  </si>
  <si>
    <t>City</t>
  </si>
  <si>
    <t>Ship Mode</t>
  </si>
  <si>
    <t>Segment</t>
  </si>
  <si>
    <t>Sub-Category</t>
  </si>
  <si>
    <t>United States</t>
  </si>
  <si>
    <t>Aberdeen</t>
  </si>
  <si>
    <t>Second Class</t>
  </si>
  <si>
    <t>Consumer</t>
  </si>
  <si>
    <t>Supplies</t>
  </si>
  <si>
    <t>Abilene</t>
  </si>
  <si>
    <t>First Class</t>
  </si>
  <si>
    <t>Appliances</t>
  </si>
  <si>
    <t>Akron</t>
  </si>
  <si>
    <t>Storage</t>
  </si>
  <si>
    <t>Corporate</t>
  </si>
  <si>
    <t>Paper</t>
  </si>
  <si>
    <t>Home Office</t>
  </si>
  <si>
    <t>Fasteners</t>
  </si>
  <si>
    <t>Art</t>
  </si>
  <si>
    <t>Binders</t>
  </si>
  <si>
    <t>Furnishings</t>
  </si>
  <si>
    <t>Standard Class</t>
  </si>
  <si>
    <t>Accessories</t>
  </si>
  <si>
    <t>Phones</t>
  </si>
  <si>
    <t>Tables</t>
  </si>
  <si>
    <t>Albuquerque</t>
  </si>
  <si>
    <t>Same Day</t>
  </si>
  <si>
    <t>Alexandria</t>
  </si>
  <si>
    <t>Allen</t>
  </si>
  <si>
    <t>Allentown</t>
  </si>
  <si>
    <t>Altoona</t>
  </si>
  <si>
    <t>Amarillo</t>
  </si>
  <si>
    <t>Chairs</t>
  </si>
  <si>
    <t>Bookcases</t>
  </si>
  <si>
    <t>Anaheim</t>
  </si>
  <si>
    <t>Andover</t>
  </si>
  <si>
    <t>Ann Arbor</t>
  </si>
  <si>
    <t>Envelopes</t>
  </si>
  <si>
    <t>Antioch</t>
  </si>
  <si>
    <t>Apopka</t>
  </si>
  <si>
    <t>Apple Valley</t>
  </si>
  <si>
    <t>Appleton</t>
  </si>
  <si>
    <t>Labels</t>
  </si>
  <si>
    <t>Arlington</t>
  </si>
  <si>
    <t>Copiers</t>
  </si>
  <si>
    <t>Machines</t>
  </si>
  <si>
    <t>Arlington Heights</t>
  </si>
  <si>
    <t>Arvada</t>
  </si>
  <si>
    <t>Asheville</t>
  </si>
  <si>
    <t>Athens</t>
  </si>
  <si>
    <t>Atlanta</t>
  </si>
  <si>
    <t>Atlantic City</t>
  </si>
  <si>
    <t>Auburn</t>
  </si>
  <si>
    <t>Aurora</t>
  </si>
  <si>
    <t>Austin</t>
  </si>
  <si>
    <t>Avondale</t>
  </si>
  <si>
    <t>Bakersfield</t>
  </si>
  <si>
    <t>Baltimore</t>
  </si>
  <si>
    <t>Bangor</t>
  </si>
  <si>
    <t>Bartlett</t>
  </si>
  <si>
    <t>Bayonne</t>
  </si>
  <si>
    <t>Baytown</t>
  </si>
  <si>
    <t>Beaumont</t>
  </si>
  <si>
    <t>Bedford</t>
  </si>
  <si>
    <t>Belleville</t>
  </si>
  <si>
    <t>Bellevue</t>
  </si>
  <si>
    <t>Bellingham</t>
  </si>
  <si>
    <t>Bethlehem</t>
  </si>
  <si>
    <t>Beverly</t>
  </si>
  <si>
    <t>Billings</t>
  </si>
  <si>
    <t>Bloomington</t>
  </si>
  <si>
    <t>Boca Raton</t>
  </si>
  <si>
    <t>Boise</t>
  </si>
  <si>
    <t>Bolingbrook</t>
  </si>
  <si>
    <t>Bossier City</t>
  </si>
  <si>
    <t>Bowling Green</t>
  </si>
  <si>
    <t>Boynton Beach</t>
  </si>
  <si>
    <t>Bozeman</t>
  </si>
  <si>
    <t>Brentwood</t>
  </si>
  <si>
    <t>Bridgeton</t>
  </si>
  <si>
    <t>Bristol</t>
  </si>
  <si>
    <t>Broken Arrow</t>
  </si>
  <si>
    <t>Broomfield</t>
  </si>
  <si>
    <t>Brownsville</t>
  </si>
  <si>
    <t>Bryan</t>
  </si>
  <si>
    <t>Buffalo</t>
  </si>
  <si>
    <t>Buffalo Grove</t>
  </si>
  <si>
    <t>Bullhead City</t>
  </si>
  <si>
    <t>Burbank</t>
  </si>
  <si>
    <t>Burlington</t>
  </si>
  <si>
    <t>Caldwell</t>
  </si>
  <si>
    <t>Camarillo</t>
  </si>
  <si>
    <t>Cambridge</t>
  </si>
  <si>
    <t>Canton</t>
  </si>
  <si>
    <t>Carlsbad</t>
  </si>
  <si>
    <t>Carol Stream</t>
  </si>
  <si>
    <t>Carrollton</t>
  </si>
  <si>
    <t>Cary</t>
  </si>
  <si>
    <t>Cedar Hill</t>
  </si>
  <si>
    <t>Cedar Rapids</t>
  </si>
  <si>
    <t>Champaign</t>
  </si>
  <si>
    <t>Chandler</t>
  </si>
  <si>
    <t>Chapel Hill</t>
  </si>
  <si>
    <t>Charlotte</t>
  </si>
  <si>
    <t>Charlottesville</t>
  </si>
  <si>
    <t>Chattanooga</t>
  </si>
  <si>
    <t>Chesapeake</t>
  </si>
  <si>
    <t>Chester</t>
  </si>
  <si>
    <t>Cheyenne</t>
  </si>
  <si>
    <t>Chicago</t>
  </si>
  <si>
    <t>Chico</t>
  </si>
  <si>
    <t>Chula Vista</t>
  </si>
  <si>
    <t>Cincinnati</t>
  </si>
  <si>
    <t>Citrus Heights</t>
  </si>
  <si>
    <t>Clarksville</t>
  </si>
  <si>
    <t>Cleveland</t>
  </si>
  <si>
    <t>Clifton</t>
  </si>
  <si>
    <t>Clinton</t>
  </si>
  <si>
    <t>Clovis</t>
  </si>
  <si>
    <t>Coachella</t>
  </si>
  <si>
    <t>College Station</t>
  </si>
  <si>
    <t>Colorado Springs</t>
  </si>
  <si>
    <t>Columbia</t>
  </si>
  <si>
    <t>Columbus</t>
  </si>
  <si>
    <t>Commerce City</t>
  </si>
  <si>
    <t>Concord</t>
  </si>
  <si>
    <t>Conroe</t>
  </si>
  <si>
    <t>Conway</t>
  </si>
  <si>
    <t>Coon Rapids</t>
  </si>
  <si>
    <t>Coppell</t>
  </si>
  <si>
    <t>Coral Gables</t>
  </si>
  <si>
    <t>Coral Springs</t>
  </si>
  <si>
    <t>Corpus Christi</t>
  </si>
  <si>
    <t>Costa Mesa</t>
  </si>
  <si>
    <t>Cottage Grove</t>
  </si>
  <si>
    <t>Covington</t>
  </si>
  <si>
    <t>Cranston</t>
  </si>
  <si>
    <t>Cuyahoga Falls</t>
  </si>
  <si>
    <t>Dallas</t>
  </si>
  <si>
    <t>Danbury</t>
  </si>
  <si>
    <t>Danville</t>
  </si>
  <si>
    <t>Davis</t>
  </si>
  <si>
    <t>Daytona Beach</t>
  </si>
  <si>
    <t>Dearborn</t>
  </si>
  <si>
    <t>Dearborn Heights</t>
  </si>
  <si>
    <t>Decatur</t>
  </si>
  <si>
    <t>Deer Park</t>
  </si>
  <si>
    <t>Delray Beach</t>
  </si>
  <si>
    <t>Deltona</t>
  </si>
  <si>
    <t>Denver</t>
  </si>
  <si>
    <t>Des Moines</t>
  </si>
  <si>
    <t>Des Plaines</t>
  </si>
  <si>
    <t>Detroit</t>
  </si>
  <si>
    <t>Dover</t>
  </si>
  <si>
    <t>Draper</t>
  </si>
  <si>
    <t>Dublin</t>
  </si>
  <si>
    <t>Dubuque</t>
  </si>
  <si>
    <t>Durham</t>
  </si>
  <si>
    <t>Eagan</t>
  </si>
  <si>
    <t>East Orange</t>
  </si>
  <si>
    <t>East Point</t>
  </si>
  <si>
    <t>Eau Claire</t>
  </si>
  <si>
    <t>Edinburg</t>
  </si>
  <si>
    <t>Edmond</t>
  </si>
  <si>
    <t>Edmonds</t>
  </si>
  <si>
    <t>El Cajon</t>
  </si>
  <si>
    <t>El Paso</t>
  </si>
  <si>
    <t>Elkhart</t>
  </si>
  <si>
    <t>Elmhurst</t>
  </si>
  <si>
    <t>Elyria</t>
  </si>
  <si>
    <t>Encinitas</t>
  </si>
  <si>
    <t>Englewood</t>
  </si>
  <si>
    <t>Escondido</t>
  </si>
  <si>
    <t>Eugene</t>
  </si>
  <si>
    <t>Evanston</t>
  </si>
  <si>
    <t>Everett</t>
  </si>
  <si>
    <t>Fairfield</t>
  </si>
  <si>
    <t>Fargo</t>
  </si>
  <si>
    <t>Farmington</t>
  </si>
  <si>
    <t>Fayetteville</t>
  </si>
  <si>
    <t>Florence</t>
  </si>
  <si>
    <t>Fort Collins</t>
  </si>
  <si>
    <t>Fort Lauderdale</t>
  </si>
  <si>
    <t>Fort Worth</t>
  </si>
  <si>
    <t>Frankfort</t>
  </si>
  <si>
    <t>Franklin</t>
  </si>
  <si>
    <t>Freeport</t>
  </si>
  <si>
    <t>Fremont</t>
  </si>
  <si>
    <t>Fresno</t>
  </si>
  <si>
    <t>Frisco</t>
  </si>
  <si>
    <t>Gaithersburg</t>
  </si>
  <si>
    <t>Garden City</t>
  </si>
  <si>
    <t>Garland</t>
  </si>
  <si>
    <t>Gastonia</t>
  </si>
  <si>
    <t>Georgetown</t>
  </si>
  <si>
    <t>Gilbert</t>
  </si>
  <si>
    <t>Gladstone</t>
  </si>
  <si>
    <t>Glendale</t>
  </si>
  <si>
    <t>Glenview</t>
  </si>
  <si>
    <t>Goldsboro</t>
  </si>
  <si>
    <t>Grand Island</t>
  </si>
  <si>
    <t>Grand Prairie</t>
  </si>
  <si>
    <t>Grand Rapids</t>
  </si>
  <si>
    <t>Grapevine</t>
  </si>
  <si>
    <t>Great Falls</t>
  </si>
  <si>
    <t>Greeley</t>
  </si>
  <si>
    <t>Green Bay</t>
  </si>
  <si>
    <t>Greensboro</t>
  </si>
  <si>
    <t>Greenville</t>
  </si>
  <si>
    <t>Greenwood</t>
  </si>
  <si>
    <t>Gresham</t>
  </si>
  <si>
    <t>Grove City</t>
  </si>
  <si>
    <t>Gulfport</t>
  </si>
  <si>
    <t>Hackensack</t>
  </si>
  <si>
    <t>Hagerstown</t>
  </si>
  <si>
    <t>Haltom City</t>
  </si>
  <si>
    <t>Hamilton</t>
  </si>
  <si>
    <t>Hampton</t>
  </si>
  <si>
    <t>Harlingen</t>
  </si>
  <si>
    <t>Harrisonburg</t>
  </si>
  <si>
    <t>Hattiesburg</t>
  </si>
  <si>
    <t>Helena</t>
  </si>
  <si>
    <t>Hempstead</t>
  </si>
  <si>
    <t>Henderson</t>
  </si>
  <si>
    <t>Hendersonville</t>
  </si>
  <si>
    <t>Hesperia</t>
  </si>
  <si>
    <t>Hialeah</t>
  </si>
  <si>
    <t>Hickory</t>
  </si>
  <si>
    <t>Highland Park</t>
  </si>
  <si>
    <t>Hillsboro</t>
  </si>
  <si>
    <t>Holland</t>
  </si>
  <si>
    <t>Hollywood</t>
  </si>
  <si>
    <t>Holyoke</t>
  </si>
  <si>
    <t>Homestead</t>
  </si>
  <si>
    <t>Hoover</t>
  </si>
  <si>
    <t>Hot Springs</t>
  </si>
  <si>
    <t>Houston</t>
  </si>
  <si>
    <t>Huntington Beach</t>
  </si>
  <si>
    <t>Huntsville</t>
  </si>
  <si>
    <t>Independence</t>
  </si>
  <si>
    <t>Indianapolis</t>
  </si>
  <si>
    <t>Inglewood</t>
  </si>
  <si>
    <t>Iowa City</t>
  </si>
  <si>
    <t>Irving</t>
  </si>
  <si>
    <t>Jackson</t>
  </si>
  <si>
    <t>Jacksonville</t>
  </si>
  <si>
    <t>Jamestown</t>
  </si>
  <si>
    <t>Jefferson City</t>
  </si>
  <si>
    <t>Johnson City</t>
  </si>
  <si>
    <t>Jonesboro</t>
  </si>
  <si>
    <t>Jupiter</t>
  </si>
  <si>
    <t>Keller</t>
  </si>
  <si>
    <t>Kenner</t>
  </si>
  <si>
    <t>Kenosha</t>
  </si>
  <si>
    <t>Kent</t>
  </si>
  <si>
    <t>Kirkwood</t>
  </si>
  <si>
    <t>Kissimmee</t>
  </si>
  <si>
    <t>Knoxville</t>
  </si>
  <si>
    <t>La Crosse</t>
  </si>
  <si>
    <t>La Mesa</t>
  </si>
  <si>
    <t>La Porte</t>
  </si>
  <si>
    <t>La Quinta</t>
  </si>
  <si>
    <t>Lafayette</t>
  </si>
  <si>
    <t>Laguna Niguel</t>
  </si>
  <si>
    <t>Lake Charles</t>
  </si>
  <si>
    <t>Lake Elsinore</t>
  </si>
  <si>
    <t>Lake Forest</t>
  </si>
  <si>
    <t>Lakeland</t>
  </si>
  <si>
    <t>Lakeville</t>
  </si>
  <si>
    <t>Lakewood</t>
  </si>
  <si>
    <t>Lancaster</t>
  </si>
  <si>
    <t>Lansing</t>
  </si>
  <si>
    <t>Laredo</t>
  </si>
  <si>
    <t>Las Cruces</t>
  </si>
  <si>
    <t>Las Vegas</t>
  </si>
  <si>
    <t>Laurel</t>
  </si>
  <si>
    <t>Lawrence</t>
  </si>
  <si>
    <t>Lawton</t>
  </si>
  <si>
    <t>Layton</t>
  </si>
  <si>
    <t>League City</t>
  </si>
  <si>
    <t>Lebanon</t>
  </si>
  <si>
    <t>Lehi</t>
  </si>
  <si>
    <t>Leominster</t>
  </si>
  <si>
    <t>Lewiston</t>
  </si>
  <si>
    <t>Lincoln Park</t>
  </si>
  <si>
    <t>Linden</t>
  </si>
  <si>
    <t>Lindenhurst</t>
  </si>
  <si>
    <t>Little Rock</t>
  </si>
  <si>
    <t>Littleton</t>
  </si>
  <si>
    <t>Lodi</t>
  </si>
  <si>
    <t>Logan</t>
  </si>
  <si>
    <t>Long Beach</t>
  </si>
  <si>
    <t>Longmont</t>
  </si>
  <si>
    <t>Longview</t>
  </si>
  <si>
    <t>Lorain</t>
  </si>
  <si>
    <t>Los Angeles</t>
  </si>
  <si>
    <t>Louisville</t>
  </si>
  <si>
    <t>Loveland</t>
  </si>
  <si>
    <t>Lowell</t>
  </si>
  <si>
    <t>Lubbock</t>
  </si>
  <si>
    <t>Macon</t>
  </si>
  <si>
    <t>Madison</t>
  </si>
  <si>
    <t>Malden</t>
  </si>
  <si>
    <t>Manchester</t>
  </si>
  <si>
    <t>Manhattan</t>
  </si>
  <si>
    <t>Mansfield</t>
  </si>
  <si>
    <t>Manteca</t>
  </si>
  <si>
    <t>Maple Grove</t>
  </si>
  <si>
    <t>Margate</t>
  </si>
  <si>
    <t>Marietta</t>
  </si>
  <si>
    <t>Marion</t>
  </si>
  <si>
    <t>Marlborough</t>
  </si>
  <si>
    <t>Marysville</t>
  </si>
  <si>
    <t>Mason</t>
  </si>
  <si>
    <t>Mcallen</t>
  </si>
  <si>
    <t>Medford</t>
  </si>
  <si>
    <t>Medina</t>
  </si>
  <si>
    <t>Melbourne</t>
  </si>
  <si>
    <t>Memphis</t>
  </si>
  <si>
    <t>Mentor</t>
  </si>
  <si>
    <t>Meriden</t>
  </si>
  <si>
    <t>Meridian</t>
  </si>
  <si>
    <t>Mesa</t>
  </si>
  <si>
    <t>Mesquite</t>
  </si>
  <si>
    <t>Miami</t>
  </si>
  <si>
    <t>Middletown</t>
  </si>
  <si>
    <t>Midland</t>
  </si>
  <si>
    <t>Milford</t>
  </si>
  <si>
    <t>Milwaukee</t>
  </si>
  <si>
    <t>Minneapolis</t>
  </si>
  <si>
    <t>Miramar</t>
  </si>
  <si>
    <t>Mishawaka</t>
  </si>
  <si>
    <t>Mission Viejo</t>
  </si>
  <si>
    <t>Missoula</t>
  </si>
  <si>
    <t>Missouri City</t>
  </si>
  <si>
    <t>Mobile</t>
  </si>
  <si>
    <t>Modesto</t>
  </si>
  <si>
    <t>Monroe</t>
  </si>
  <si>
    <t>Montebello</t>
  </si>
  <si>
    <t>Montgomery</t>
  </si>
  <si>
    <t>Moorhead</t>
  </si>
  <si>
    <t>Moreno Valley</t>
  </si>
  <si>
    <t>Morgan Hill</t>
  </si>
  <si>
    <t>Morristown</t>
  </si>
  <si>
    <t>Mount Pleasant</t>
  </si>
  <si>
    <t>Mount Vernon</t>
  </si>
  <si>
    <t>Murfreesboro</t>
  </si>
  <si>
    <t>Murray</t>
  </si>
  <si>
    <t>Murrieta</t>
  </si>
  <si>
    <t>Muskogee</t>
  </si>
  <si>
    <t>Naperville</t>
  </si>
  <si>
    <t>Nashua</t>
  </si>
  <si>
    <t>Nashville</t>
  </si>
  <si>
    <t>New Albany</t>
  </si>
  <si>
    <t>New Bedford</t>
  </si>
  <si>
    <t>New Brunswick</t>
  </si>
  <si>
    <t>New Castle</t>
  </si>
  <si>
    <t>New Rochelle</t>
  </si>
  <si>
    <t>New York City</t>
  </si>
  <si>
    <t>Newark</t>
  </si>
  <si>
    <t>Newport News</t>
  </si>
  <si>
    <t>Niagara Falls</t>
  </si>
  <si>
    <t>Noblesville</t>
  </si>
  <si>
    <t>Norfolk</t>
  </si>
  <si>
    <t>Normal</t>
  </si>
  <si>
    <t>Norman</t>
  </si>
  <si>
    <t>North Charleston</t>
  </si>
  <si>
    <t>North Las Vegas</t>
  </si>
  <si>
    <t>North Miami</t>
  </si>
  <si>
    <t>Norwich</t>
  </si>
  <si>
    <t>Oak Park</t>
  </si>
  <si>
    <t>Oakland</t>
  </si>
  <si>
    <t>Oceanside</t>
  </si>
  <si>
    <t>Odessa</t>
  </si>
  <si>
    <t>Oklahoma City</t>
  </si>
  <si>
    <t>Olathe</t>
  </si>
  <si>
    <t>Olympia</t>
  </si>
  <si>
    <t>Omaha</t>
  </si>
  <si>
    <t>Ontario</t>
  </si>
  <si>
    <t>Orange</t>
  </si>
  <si>
    <t>Orem</t>
  </si>
  <si>
    <t>Orland Park</t>
  </si>
  <si>
    <t>Orlando</t>
  </si>
  <si>
    <t>Ormond Beach</t>
  </si>
  <si>
    <t>Oswego</t>
  </si>
  <si>
    <t>Overland Park</t>
  </si>
  <si>
    <t>Owensboro</t>
  </si>
  <si>
    <t>Oxnard</t>
  </si>
  <si>
    <t>Palatine</t>
  </si>
  <si>
    <t>Palm Coast</t>
  </si>
  <si>
    <t>Park Ridge</t>
  </si>
  <si>
    <t>Parker</t>
  </si>
  <si>
    <t>Parma</t>
  </si>
  <si>
    <t>Pasadena</t>
  </si>
  <si>
    <t>Pasco</t>
  </si>
  <si>
    <t>Passaic</t>
  </si>
  <si>
    <t>Paterson</t>
  </si>
  <si>
    <t>Pearland</t>
  </si>
  <si>
    <t>Pembroke Pines</t>
  </si>
  <si>
    <t>Pensacola</t>
  </si>
  <si>
    <t>Peoria</t>
  </si>
  <si>
    <t>Perth Amboy</t>
  </si>
  <si>
    <t>Pharr</t>
  </si>
  <si>
    <t>Philadelphia</t>
  </si>
  <si>
    <t>Phoenix</t>
  </si>
  <si>
    <t>Pico Rivera</t>
  </si>
  <si>
    <t>Pine Bluff</t>
  </si>
  <si>
    <t>Plainfield</t>
  </si>
  <si>
    <t>Plano</t>
  </si>
  <si>
    <t>Plantation</t>
  </si>
  <si>
    <t>Pleasant Grove</t>
  </si>
  <si>
    <t>Pocatello</t>
  </si>
  <si>
    <t>Pomona</t>
  </si>
  <si>
    <t>Pompano Beach</t>
  </si>
  <si>
    <t>Port Arthur</t>
  </si>
  <si>
    <t>Port Orange</t>
  </si>
  <si>
    <t>Port Saint Lucie</t>
  </si>
  <si>
    <t>Portage</t>
  </si>
  <si>
    <t>Portland</t>
  </si>
  <si>
    <t>Providence</t>
  </si>
  <si>
    <t>Provo</t>
  </si>
  <si>
    <t>Pueblo</t>
  </si>
  <si>
    <t>Quincy</t>
  </si>
  <si>
    <t>Raleigh</t>
  </si>
  <si>
    <t>Rancho Cucamonga</t>
  </si>
  <si>
    <t>Rapid City</t>
  </si>
  <si>
    <t>Reading</t>
  </si>
  <si>
    <t>Redding</t>
  </si>
  <si>
    <t>Redlands</t>
  </si>
  <si>
    <t>Redmond</t>
  </si>
  <si>
    <t>Redondo Beach</t>
  </si>
  <si>
    <t>Redwood City</t>
  </si>
  <si>
    <t>Reno</t>
  </si>
  <si>
    <t>Renton</t>
  </si>
  <si>
    <t>Revere</t>
  </si>
  <si>
    <t>Richardson</t>
  </si>
  <si>
    <t>Richmond</t>
  </si>
  <si>
    <t>Rio Rancho</t>
  </si>
  <si>
    <t>Riverside</t>
  </si>
  <si>
    <t>Rochester</t>
  </si>
  <si>
    <t>Rochester Hills</t>
  </si>
  <si>
    <t>Rock Hill</t>
  </si>
  <si>
    <t>Rockford</t>
  </si>
  <si>
    <t>Rockville</t>
  </si>
  <si>
    <t>Rogers</t>
  </si>
  <si>
    <t>Rome</t>
  </si>
  <si>
    <t>Romeoville</t>
  </si>
  <si>
    <t>Roseville</t>
  </si>
  <si>
    <t>Roswell</t>
  </si>
  <si>
    <t>Round Rock</t>
  </si>
  <si>
    <t>Royal Oak</t>
  </si>
  <si>
    <t>Sacramento</t>
  </si>
  <si>
    <t>Saginaw</t>
  </si>
  <si>
    <t>Saint Charles</t>
  </si>
  <si>
    <t>Saint Cloud</t>
  </si>
  <si>
    <t>Saint Louis</t>
  </si>
  <si>
    <t>Saint Paul</t>
  </si>
  <si>
    <t>Saint Peters</t>
  </si>
  <si>
    <t>Saint Petersburg</t>
  </si>
  <si>
    <t>Salem</t>
  </si>
  <si>
    <t>Salinas</t>
  </si>
  <si>
    <t>Salt Lake City</t>
  </si>
  <si>
    <t>San Angelo</t>
  </si>
  <si>
    <t>San Antonio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</si>
  <si>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</si>
  <si>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</si>
  <si>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</si>
  <si>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</si>
  <si>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</si>
  <si>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</si>
  <si>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</si>
  <si>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Marcos</t>
  </si>
  <si>
    <t>San Mateo</t>
  </si>
  <si>
    <t>Sandy Springs</t>
  </si>
  <si>
    <t>Sanford</t>
  </si>
  <si>
    <t>Santa Ana</t>
  </si>
  <si>
    <t>Santa Barbara</t>
  </si>
  <si>
    <t>Santa Clara</t>
  </si>
  <si>
    <t>Santa Fe</t>
  </si>
  <si>
    <t>Santa Maria</t>
  </si>
  <si>
    <t>Scottsdale</t>
  </si>
  <si>
    <t>Seattle</t>
  </si>
  <si>
    <t>Sheboygan</t>
  </si>
  <si>
    <t>Shelton</t>
  </si>
  <si>
    <t>Sierra Vista</t>
  </si>
  <si>
    <t>Sioux Falls</t>
  </si>
  <si>
    <t>Skokie</t>
  </si>
  <si>
    <t>Smyrna</t>
  </si>
  <si>
    <t>South Bend</t>
  </si>
  <si>
    <t>Southaven</t>
  </si>
  <si>
    <t>Sparks</t>
  </si>
  <si>
    <t>Spokane</t>
  </si>
  <si>
    <t>Springdale</t>
  </si>
  <si>
    <t>Springfield</t>
  </si>
  <si>
    <t>Sterling Heights</t>
  </si>
  <si>
    <t>Stockton</t>
  </si>
  <si>
    <t>Suffolk</t>
  </si>
  <si>
    <t>Summerville</t>
  </si>
  <si>
    <t>Sunnyvale</t>
  </si>
  <si>
    <t>Superior</t>
  </si>
  <si>
    <t>Tallahassee</t>
  </si>
  <si>
    <t>Tamarac</t>
  </si>
  <si>
    <t>Tampa</t>
  </si>
  <si>
    <t>Taylor</t>
  </si>
  <si>
    <t>Temecula</t>
  </si>
  <si>
    <t>Tempe</t>
  </si>
  <si>
    <t>Texarkana</t>
  </si>
  <si>
    <t>Texas City</t>
  </si>
  <si>
    <t>The Colony</t>
  </si>
  <si>
    <t>Thomasville</t>
  </si>
  <si>
    <t>Thornton</t>
  </si>
  <si>
    <t>Thousand Oaks</t>
  </si>
  <si>
    <t>Tigard</t>
  </si>
  <si>
    <t>Tinley Park</t>
  </si>
  <si>
    <t>Toledo</t>
  </si>
  <si>
    <t>Torrance</t>
  </si>
  <si>
    <t>Trenton</t>
  </si>
  <si>
    <t>Troy</t>
  </si>
  <si>
    <t>Tucson</t>
  </si>
  <si>
    <t>Tulsa</t>
  </si>
  <si>
    <t>Tuscaloosa</t>
  </si>
  <si>
    <t>Twin Falls</t>
  </si>
  <si>
    <t>Tyler</t>
  </si>
  <si>
    <t>Urbandale</t>
  </si>
  <si>
    <t>Utica</t>
  </si>
  <si>
    <t>Vacaville</t>
  </si>
  <si>
    <t>Vallejo</t>
  </si>
  <si>
    <t>Vancouver</t>
  </si>
  <si>
    <t>Vineland</t>
  </si>
  <si>
    <t>Virginia Beach</t>
  </si>
  <si>
    <t>Visalia</t>
  </si>
  <si>
    <t>Waco</t>
  </si>
  <si>
    <t>Warner Robins</t>
  </si>
  <si>
    <t>Warwick</t>
  </si>
  <si>
    <t>Washington</t>
  </si>
  <si>
    <t>Waterbury</t>
  </si>
  <si>
    <t>Waterloo</t>
  </si>
  <si>
    <t>Watertown</t>
  </si>
  <si>
    <t>Waukesha</t>
  </si>
  <si>
    <t>Wausau</t>
  </si>
  <si>
    <t>Waynesboro</t>
  </si>
  <si>
    <t>West Allis</t>
  </si>
  <si>
    <t>West Jordan</t>
  </si>
  <si>
    <t>West Palm Beach</t>
  </si>
  <si>
    <t>Westfield</t>
  </si>
  <si>
    <t>Westland</t>
  </si>
  <si>
    <t>Westminster</t>
  </si>
  <si>
    <t>Wheeling</t>
  </si>
  <si>
    <t>Whittier</t>
  </si>
  <si>
    <t>Wichita</t>
  </si>
  <si>
    <t>Wilmington</t>
  </si>
  <si>
    <t>Wilson</t>
  </si>
  <si>
    <t>Woodbury</t>
  </si>
  <si>
    <t>Woodland</t>
  </si>
  <si>
    <t>Woodstock</t>
  </si>
  <si>
    <t>Woonsocket</t>
  </si>
  <si>
    <t>Yonkers</t>
  </si>
  <si>
    <t>York</t>
  </si>
  <si>
    <t>Yucaipa</t>
  </si>
  <si>
    <t>Yuma</t>
  </si>
  <si>
    <t>Quantity</t>
  </si>
  <si>
    <t>Discount</t>
  </si>
  <si>
    <t>Profit</t>
  </si>
  <si>
    <t>Sales</t>
  </si>
  <si>
    <t>Total</t>
  </si>
  <si>
    <t>Orders Data</t>
  </si>
  <si>
    <t>Supplier No.</t>
  </si>
  <si>
    <t xml:space="preserve"> Supplier Name</t>
  </si>
  <si>
    <t>Transaction Amt. Rs.</t>
  </si>
  <si>
    <t>D.C. Power System</t>
  </si>
  <si>
    <t>ATMA Tele Power Limited</t>
  </si>
  <si>
    <t>ANZ Tele Power Ltd</t>
  </si>
  <si>
    <t>Agile Technologies</t>
  </si>
  <si>
    <t>K Jindal.</t>
  </si>
  <si>
    <t>M/s. D.P. Tron Pvt Ltd.</t>
  </si>
  <si>
    <t>KK MONDAL</t>
  </si>
  <si>
    <t>ABC CORPORATE</t>
  </si>
  <si>
    <t>BBK Inc</t>
  </si>
  <si>
    <t>SAM TELECOM</t>
  </si>
  <si>
    <t>Row Labels</t>
  </si>
  <si>
    <t>Grand Total</t>
  </si>
  <si>
    <t>Sum of Sales</t>
  </si>
  <si>
    <t>Sum of Transaction Amt. 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</si>
</sst>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5">
    <xf numFmtId="0" fontId="0" fillId="0" borderId="0" xfId="0"/>
    <xf numFmtId="0" fontId="4" fillId="2" borderId="0" xfId="3" applyFont="1"/>
    <xf numFmtId="1" fontId="0" fillId="0" borderId="0" xfId="0" applyNumberFormat="1"/>
    <xf numFmtId="0" fontId="5" fillId="0" borderId="2" xfId="0" applyFont="1" applyBorder="1"/>
    <xf numFmtId="1" fontId="5" fillId="0" borderId="2" xfId="0" applyNumberFormat="1" applyFont="1" applyBorder="1"/>
    <xf numFmtId="0" fontId="6" fillId="3" borderId="0" xfId="0" applyFont="1" applyFill="1" applyAlignment="1">
      <alignment horizontal="left"/>
    </xf>
    <xf numFmtId="0" fontId="6" fillId="3" borderId="0" xfId="1" applyNumberFormat="1" applyFont="1" applyFill="1" applyAlignment="1">
      <alignment horizontal="left"/>
    </xf>
    <xf numFmtId="164" fontId="6" fillId="3" borderId="0" xfId="1" applyNumberFormat="1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1" applyNumberFormat="1" applyFont="1" applyAlignment="1">
      <alignment horizontal="left"/>
    </xf>
    <xf numFmtId="164" fontId="8" fillId="0" borderId="0" xfId="1" applyNumberFormat="1" applyFont="1" applyAlignment="1">
      <alignment horizontal="left"/>
    </xf>
    <xf numFmtId="0" fontId="7" fillId="0" borderId="1" xfId="2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">
    <cellStyle name="Accent1" xfId="3" builtinId="29"/>
    <cellStyle name="Comma" xfId="1" builtinId="3"/>
    <cellStyle name="Heading 1" xfId="2" builtinId="16"/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Analysis_4.xlsx]Formatted Orders Data!PivotTable5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'Formatted Orders Data'!$L$3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'Formatted Orders Data'!$K$4:$K$9</c:f>
              <c:strCache>
                <c:ptCount val="5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</c:strCache>
            </c:strRef>
          </c:cat>
          <c:val>
            <c:numRef>
              <c:f>'Formatted Orders Data'!$L$4:$L$9</c:f>
              <c:numCache>
                <c:formatCode>0</c:formatCode>
                <c:ptCount val="5"/>
                <c:pt idx="0">
                  <c:v>256368.16100000011</c:v>
                </c:pt>
                <c:pt idx="1">
                  <c:v>175851.34099999996</c:v>
                </c:pt>
                <c:pt idx="2">
                  <c:v>119540.74200000006</c:v>
                </c:pt>
                <c:pt idx="3">
                  <c:v>112669.092</c:v>
                </c:pt>
                <c:pt idx="4">
                  <c:v>109077.01299999999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85-4E59-894A-0520E2C25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124047"/>
        <c:axId val="563893647"/>
      </c:barChart>
      <c:catAx>
        <c:axId val="196412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93647"/>
        <c:crosses val="autoZero"/>
        <c:auto val="1"/>
        <c:lblAlgn val="ctr"/>
        <c:lblOffset val="100"/>
        <c:noMultiLvlLbl val="0"/>
      </c:catAx>
      <c:valAx>
        <c:axId val="56389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12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 Analysis_4.xlsx]Homework Solution!PivotTable3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'Homework Solution'!$J$3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'Homework Solution'!$I$4:$I$7</c:f>
              <c:strCache>
                <c:ptCount val="3"/>
                <c:pt idx="0">
                  <c:v>M/s. D.P. Tron Pvt Ltd.</c:v>
                </c:pt>
                <c:pt idx="1">
                  <c:v>ABC CORPORATE</c:v>
                </c:pt>
                <c:pt idx="2">
                  <c:v>KK MONDAL</c:v>
                </c:pt>
              </c:strCache>
            </c:strRef>
          </c:cat>
          <c:val>
            <c:numRef>
              <c:f>'Homework Solution'!$J$4:$J$7</c:f>
              <c:numCache>
                <c:formatCode>General</c:formatCode>
                <c:ptCount val="3"/>
                <c:pt idx="0">
                  <c:v>648125</c:v>
                </c:pt>
                <c:pt idx="1">
                  <c:v>586199</c:v>
                </c:pt>
                <c:pt idx="2">
                  <c:v>486853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9-46A2-82F1-AAD83290F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432335"/>
        <c:axId val="423441455"/>
      </c:barChart>
      <c:catAx>
        <c:axId val="423432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41455"/>
        <c:crosses val="autoZero"/>
        <c:auto val="1"/>
        <c:lblAlgn val="ctr"/>
        <c:lblOffset val="100"/>
        <c:noMultiLvlLbl val="0"/>
      </c:catAx>
      <c:valAx>
        <c:axId val="42344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43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257299</xdr:colOff>
      <xdr:row>10</xdr:row>
      <xdr:rowOff>8906</xdr:rowOff>
    </xdr:from>
    <xdr:to>
      <xdr:col>15</xdr:col>
      <xdr:colOff>445325</xdr:colOff>
      <xdr:row>25</xdr:row>
      <xdr:rowOff>80158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540E54-7C22-41C5-C9E9-A4E38333A1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115010</xdr:colOff>
      <xdr:row>0</xdr:row>
      <xdr:rowOff>115484</xdr:rowOff>
    </xdr:from>
    <xdr:to>
      <xdr:col>16</xdr:col>
      <xdr:colOff>288948</xdr:colOff>
      <xdr:row>13</xdr:row>
      <xdr:rowOff>127675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C8CA82-61D7-414A-B6F2-0BC67FB55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8649410" y="115484"/>
          <a:ext cx="1393138" cy="2592105"/>
        </a:xfrm>
        <a:prstGeom prst="rect">
          <a:avLst/>
        </a:prstGeom>
      </xdr:spPr>
    </xdr:pic>
    <xdr:clientData/>
  </xdr:twoCellAnchor>
  <xdr:twoCellAnchor>
    <xdr:from>
      <xdr:col>9</xdr:col>
      <xdr:colOff>266700</xdr:colOff>
      <xdr:row>1</xdr:row>
      <xdr:rowOff>136308</xdr:rowOff>
    </xdr:from>
    <xdr:to>
      <xdr:col>14</xdr:col>
      <xdr:colOff>54665</xdr:colOff>
      <xdr:row>15</xdr:row>
      <xdr:rowOff>71195</xdr:rowOff>
    </xdr:to>
    <xdr:sp macro="" textlink="">
      <xdr:nvSpPr>
        <xdr:cNvPr id="4" name="Speech Bubble: Oval 3">
          <a:extLst>
            <a:ext uri="{FF2B5EF4-FFF2-40B4-BE49-F238E27FC236}">
              <a16:creationId xmlns:a16="http://schemas.microsoft.com/office/drawing/2014/main" id="{5C487A23-2F5C-44B3-B8FE-68B95A5DC246}"/>
            </a:ext>
          </a:extLst>
        </xdr:cNvPr>
        <xdr:cNvSpPr/>
      </xdr:nvSpPr>
      <xdr:spPr>
        <a:xfrm>
          <a:off x="5753100" y="473765"/>
          <a:ext cx="2835965" cy="2547459"/>
        </a:xfrm>
        <a:prstGeom prst="wedgeEllipseCallout">
          <a:avLst>
            <a:gd name="adj1" fmla="val 54038"/>
            <a:gd name="adj2" fmla="val -4111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Format the data and find Top 5 Cities based on sales</a:t>
          </a:r>
          <a:r>
            <a:rPr lang="en-US" sz="2000" b="1" baseline="0">
              <a:solidFill>
                <a:srgbClr val="FFFF00"/>
              </a:solidFill>
            </a:rPr>
            <a:t> :)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78687</xdr:colOff>
      <xdr:row>0</xdr:row>
      <xdr:rowOff>76201</xdr:rowOff>
    </xdr:from>
    <xdr:to>
      <xdr:col>13</xdr:col>
      <xdr:colOff>563218</xdr:colOff>
      <xdr:row>5</xdr:row>
      <xdr:rowOff>115957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A336706-CE3B-4E55-A45B-06DF278A3712}"/>
            </a:ext>
          </a:extLst>
        </xdr:cNvPr>
        <xdr:cNvSpPr/>
      </xdr:nvSpPr>
      <xdr:spPr>
        <a:xfrm>
          <a:off x="364437" y="76201"/>
          <a:ext cx="8971306" cy="992256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Top 3 Suppliers name</a:t>
          </a:r>
          <a:r>
            <a:rPr lang="en-US" sz="2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2400" b="1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0</xdr:row>
      <xdr:rowOff>49695</xdr:rowOff>
    </xdr:from>
    <xdr:to>
      <xdr:col>14</xdr:col>
      <xdr:colOff>47625</xdr:colOff>
      <xdr:row>5</xdr:row>
      <xdr:rowOff>157369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403338E-D11F-4B86-9DC3-CC39FC7498B9}"/>
            </a:ext>
          </a:extLst>
        </xdr:cNvPr>
        <xdr:cNvSpPr/>
      </xdr:nvSpPr>
      <xdr:spPr>
        <a:xfrm>
          <a:off x="285750" y="49695"/>
          <a:ext cx="11039475" cy="1060174"/>
        </a:xfrm>
        <a:custGeom>
          <a:avLst/>
          <a:gdLst>
            <a:gd name="connsiteX0" fmla="*/ 0 w 11039475"/>
            <a:gd name="connsiteY0" fmla="*/ 176699 h 1060174"/>
            <a:gd name="connsiteX1" fmla="*/ 176699 w 11039475"/>
            <a:gd name="connsiteY1" fmla="*/ 0 h 1060174"/>
            <a:gd name="connsiteX2" fmla="*/ 663509 w 11039475"/>
            <a:gd name="connsiteY2" fmla="*/ 0 h 1060174"/>
            <a:gd name="connsiteX3" fmla="*/ 1257180 w 11039475"/>
            <a:gd name="connsiteY3" fmla="*/ 0 h 1060174"/>
            <a:gd name="connsiteX4" fmla="*/ 1850851 w 11039475"/>
            <a:gd name="connsiteY4" fmla="*/ 0 h 1060174"/>
            <a:gd name="connsiteX5" fmla="*/ 2551383 w 11039475"/>
            <a:gd name="connsiteY5" fmla="*/ 0 h 1060174"/>
            <a:gd name="connsiteX6" fmla="*/ 3038193 w 11039475"/>
            <a:gd name="connsiteY6" fmla="*/ 0 h 1060174"/>
            <a:gd name="connsiteX7" fmla="*/ 3525003 w 11039475"/>
            <a:gd name="connsiteY7" fmla="*/ 0 h 1060174"/>
            <a:gd name="connsiteX8" fmla="*/ 3904953 w 11039475"/>
            <a:gd name="connsiteY8" fmla="*/ 0 h 1060174"/>
            <a:gd name="connsiteX9" fmla="*/ 4178041 w 11039475"/>
            <a:gd name="connsiteY9" fmla="*/ 0 h 1060174"/>
            <a:gd name="connsiteX10" fmla="*/ 4557991 w 11039475"/>
            <a:gd name="connsiteY10" fmla="*/ 0 h 1060174"/>
            <a:gd name="connsiteX11" fmla="*/ 4937940 w 11039475"/>
            <a:gd name="connsiteY11" fmla="*/ 0 h 1060174"/>
            <a:gd name="connsiteX12" fmla="*/ 5317889 w 11039475"/>
            <a:gd name="connsiteY12" fmla="*/ 0 h 1060174"/>
            <a:gd name="connsiteX13" fmla="*/ 5911560 w 11039475"/>
            <a:gd name="connsiteY13" fmla="*/ 0 h 1060174"/>
            <a:gd name="connsiteX14" fmla="*/ 6612092 w 11039475"/>
            <a:gd name="connsiteY14" fmla="*/ 0 h 1060174"/>
            <a:gd name="connsiteX15" fmla="*/ 6992041 w 11039475"/>
            <a:gd name="connsiteY15" fmla="*/ 0 h 1060174"/>
            <a:gd name="connsiteX16" fmla="*/ 7692573 w 11039475"/>
            <a:gd name="connsiteY16" fmla="*/ 0 h 1060174"/>
            <a:gd name="connsiteX17" fmla="*/ 7965662 w 11039475"/>
            <a:gd name="connsiteY17" fmla="*/ 0 h 1060174"/>
            <a:gd name="connsiteX18" fmla="*/ 8559333 w 11039475"/>
            <a:gd name="connsiteY18" fmla="*/ 0 h 1060174"/>
            <a:gd name="connsiteX19" fmla="*/ 9366725 w 11039475"/>
            <a:gd name="connsiteY19" fmla="*/ 0 h 1060174"/>
            <a:gd name="connsiteX20" fmla="*/ 9853535 w 11039475"/>
            <a:gd name="connsiteY20" fmla="*/ 0 h 1060174"/>
            <a:gd name="connsiteX21" fmla="*/ 10862776 w 11039475"/>
            <a:gd name="connsiteY21" fmla="*/ 0 h 1060174"/>
            <a:gd name="connsiteX22" fmla="*/ 11039475 w 11039475"/>
            <a:gd name="connsiteY22" fmla="*/ 176699 h 1060174"/>
            <a:gd name="connsiteX23" fmla="*/ 11039475 w 11039475"/>
            <a:gd name="connsiteY23" fmla="*/ 523019 h 1060174"/>
            <a:gd name="connsiteX24" fmla="*/ 11039475 w 11039475"/>
            <a:gd name="connsiteY24" fmla="*/ 883475 h 1060174"/>
            <a:gd name="connsiteX25" fmla="*/ 10862776 w 11039475"/>
            <a:gd name="connsiteY25" fmla="*/ 1060174 h 1060174"/>
            <a:gd name="connsiteX26" fmla="*/ 10375966 w 11039475"/>
            <a:gd name="connsiteY26" fmla="*/ 1060174 h 1060174"/>
            <a:gd name="connsiteX27" fmla="*/ 9996016 w 11039475"/>
            <a:gd name="connsiteY27" fmla="*/ 1060174 h 1060174"/>
            <a:gd name="connsiteX28" fmla="*/ 9509206 w 11039475"/>
            <a:gd name="connsiteY28" fmla="*/ 1060174 h 1060174"/>
            <a:gd name="connsiteX29" fmla="*/ 8915535 w 11039475"/>
            <a:gd name="connsiteY29" fmla="*/ 1060174 h 1060174"/>
            <a:gd name="connsiteX30" fmla="*/ 8642447 w 11039475"/>
            <a:gd name="connsiteY30" fmla="*/ 1060174 h 1060174"/>
            <a:gd name="connsiteX31" fmla="*/ 8155636 w 11039475"/>
            <a:gd name="connsiteY31" fmla="*/ 1060174 h 1060174"/>
            <a:gd name="connsiteX32" fmla="*/ 7775687 w 11039475"/>
            <a:gd name="connsiteY32" fmla="*/ 1060174 h 1060174"/>
            <a:gd name="connsiteX33" fmla="*/ 7288877 w 11039475"/>
            <a:gd name="connsiteY33" fmla="*/ 1060174 h 1060174"/>
            <a:gd name="connsiteX34" fmla="*/ 6695206 w 11039475"/>
            <a:gd name="connsiteY34" fmla="*/ 1060174 h 1060174"/>
            <a:gd name="connsiteX35" fmla="*/ 6101535 w 11039475"/>
            <a:gd name="connsiteY35" fmla="*/ 1060174 h 1060174"/>
            <a:gd name="connsiteX36" fmla="*/ 5828446 w 11039475"/>
            <a:gd name="connsiteY36" fmla="*/ 1060174 h 1060174"/>
            <a:gd name="connsiteX37" fmla="*/ 5127915 w 11039475"/>
            <a:gd name="connsiteY37" fmla="*/ 1060174 h 1060174"/>
            <a:gd name="connsiteX38" fmla="*/ 4320522 w 11039475"/>
            <a:gd name="connsiteY38" fmla="*/ 1060174 h 1060174"/>
            <a:gd name="connsiteX39" fmla="*/ 3833712 w 11039475"/>
            <a:gd name="connsiteY39" fmla="*/ 1060174 h 1060174"/>
            <a:gd name="connsiteX40" fmla="*/ 3560623 w 11039475"/>
            <a:gd name="connsiteY40" fmla="*/ 1060174 h 1060174"/>
            <a:gd name="connsiteX41" fmla="*/ 3073813 w 11039475"/>
            <a:gd name="connsiteY41" fmla="*/ 1060174 h 1060174"/>
            <a:gd name="connsiteX42" fmla="*/ 2693864 w 11039475"/>
            <a:gd name="connsiteY42" fmla="*/ 1060174 h 1060174"/>
            <a:gd name="connsiteX43" fmla="*/ 2100193 w 11039475"/>
            <a:gd name="connsiteY43" fmla="*/ 1060174 h 1060174"/>
            <a:gd name="connsiteX44" fmla="*/ 1613383 w 11039475"/>
            <a:gd name="connsiteY44" fmla="*/ 1060174 h 1060174"/>
            <a:gd name="connsiteX45" fmla="*/ 1340294 w 11039475"/>
            <a:gd name="connsiteY45" fmla="*/ 1060174 h 1060174"/>
            <a:gd name="connsiteX46" fmla="*/ 960345 w 11039475"/>
            <a:gd name="connsiteY46" fmla="*/ 1060174 h 1060174"/>
            <a:gd name="connsiteX47" fmla="*/ 176699 w 11039475"/>
            <a:gd name="connsiteY47" fmla="*/ 1060174 h 1060174"/>
            <a:gd name="connsiteX48" fmla="*/ 0 w 11039475"/>
            <a:gd name="connsiteY48" fmla="*/ 883475 h 1060174"/>
            <a:gd name="connsiteX49" fmla="*/ 0 w 11039475"/>
            <a:gd name="connsiteY49" fmla="*/ 544223 h 1060174"/>
            <a:gd name="connsiteX50" fmla="*/ 0 w 11039475"/>
            <a:gd name="connsiteY50" fmla="*/ 176699 h 10601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</a:cxnLst>
          <a:rect l="l" t="t" r="r" b="b"/>
          <a:pathLst>
            <a:path w="11039475" h="1060174" extrusionOk="0">
              <a:moveTo>
                <a:pt x="0" y="176699"/>
              </a:moveTo>
              <a:cubicBezTo>
                <a:pt x="-24520" y="63181"/>
                <a:pt x="91023" y="-7555"/>
                <a:pt x="176699" y="0"/>
              </a:cubicBezTo>
              <a:cubicBezTo>
                <a:pt x="378273" y="-11821"/>
                <a:pt x="468587" y="29536"/>
                <a:pt x="663509" y="0"/>
              </a:cubicBezTo>
              <a:cubicBezTo>
                <a:pt x="858431" y="-29536"/>
                <a:pt x="992687" y="21683"/>
                <a:pt x="1257180" y="0"/>
              </a:cubicBezTo>
              <a:cubicBezTo>
                <a:pt x="1521673" y="-21683"/>
                <a:pt x="1689679" y="15260"/>
                <a:pt x="1850851" y="0"/>
              </a:cubicBezTo>
              <a:cubicBezTo>
                <a:pt x="2012023" y="-15260"/>
                <a:pt x="2363216" y="59727"/>
                <a:pt x="2551383" y="0"/>
              </a:cubicBezTo>
              <a:cubicBezTo>
                <a:pt x="2739550" y="-59727"/>
                <a:pt x="2896634" y="23392"/>
                <a:pt x="3038193" y="0"/>
              </a:cubicBezTo>
              <a:cubicBezTo>
                <a:pt x="3179752" y="-23392"/>
                <a:pt x="3283997" y="47324"/>
                <a:pt x="3525003" y="0"/>
              </a:cubicBezTo>
              <a:cubicBezTo>
                <a:pt x="3766009" y="-47324"/>
                <a:pt x="3808921" y="27370"/>
                <a:pt x="3904953" y="0"/>
              </a:cubicBezTo>
              <a:cubicBezTo>
                <a:pt x="4000985" y="-27370"/>
                <a:pt x="4079144" y="14519"/>
                <a:pt x="4178041" y="0"/>
              </a:cubicBezTo>
              <a:cubicBezTo>
                <a:pt x="4276938" y="-14519"/>
                <a:pt x="4428835" y="21127"/>
                <a:pt x="4557991" y="0"/>
              </a:cubicBezTo>
              <a:cubicBezTo>
                <a:pt x="4687147" y="-21127"/>
                <a:pt x="4828300" y="17680"/>
                <a:pt x="4937940" y="0"/>
              </a:cubicBezTo>
              <a:cubicBezTo>
                <a:pt x="5047580" y="-17680"/>
                <a:pt x="5143418" y="22821"/>
                <a:pt x="5317889" y="0"/>
              </a:cubicBezTo>
              <a:cubicBezTo>
                <a:pt x="5492360" y="-22821"/>
                <a:pt x="5689031" y="48203"/>
                <a:pt x="5911560" y="0"/>
              </a:cubicBezTo>
              <a:cubicBezTo>
                <a:pt x="6134089" y="-48203"/>
                <a:pt x="6447842" y="64442"/>
                <a:pt x="6612092" y="0"/>
              </a:cubicBezTo>
              <a:cubicBezTo>
                <a:pt x="6776342" y="-64442"/>
                <a:pt x="6909110" y="21868"/>
                <a:pt x="6992041" y="0"/>
              </a:cubicBezTo>
              <a:cubicBezTo>
                <a:pt x="7074972" y="-21868"/>
                <a:pt x="7460104" y="28546"/>
                <a:pt x="7692573" y="0"/>
              </a:cubicBezTo>
              <a:cubicBezTo>
                <a:pt x="7925042" y="-28546"/>
                <a:pt x="7829997" y="916"/>
                <a:pt x="7965662" y="0"/>
              </a:cubicBezTo>
              <a:cubicBezTo>
                <a:pt x="8101327" y="-916"/>
                <a:pt x="8277216" y="45222"/>
                <a:pt x="8559333" y="0"/>
              </a:cubicBezTo>
              <a:cubicBezTo>
                <a:pt x="8841450" y="-45222"/>
                <a:pt x="9160043" y="39338"/>
                <a:pt x="9366725" y="0"/>
              </a:cubicBezTo>
              <a:cubicBezTo>
                <a:pt x="9573407" y="-39338"/>
                <a:pt x="9655770" y="47199"/>
                <a:pt x="9853535" y="0"/>
              </a:cubicBezTo>
              <a:cubicBezTo>
                <a:pt x="10051300" y="-47199"/>
                <a:pt x="10618558" y="94920"/>
                <a:pt x="10862776" y="0"/>
              </a:cubicBezTo>
              <a:cubicBezTo>
                <a:pt x="10956531" y="23176"/>
                <a:pt x="11032158" y="77603"/>
                <a:pt x="11039475" y="176699"/>
              </a:cubicBezTo>
              <a:cubicBezTo>
                <a:pt x="11052275" y="323037"/>
                <a:pt x="11012060" y="445085"/>
                <a:pt x="11039475" y="523019"/>
              </a:cubicBezTo>
              <a:cubicBezTo>
                <a:pt x="11066890" y="600953"/>
                <a:pt x="11009978" y="713622"/>
                <a:pt x="11039475" y="883475"/>
              </a:cubicBezTo>
              <a:cubicBezTo>
                <a:pt x="11040086" y="977762"/>
                <a:pt x="10937426" y="1057757"/>
                <a:pt x="10862776" y="1060174"/>
              </a:cubicBezTo>
              <a:cubicBezTo>
                <a:pt x="10712668" y="1078598"/>
                <a:pt x="10550510" y="1026052"/>
                <a:pt x="10375966" y="1060174"/>
              </a:cubicBezTo>
              <a:cubicBezTo>
                <a:pt x="10201422" y="1094296"/>
                <a:pt x="10100147" y="1025536"/>
                <a:pt x="9996016" y="1060174"/>
              </a:cubicBezTo>
              <a:cubicBezTo>
                <a:pt x="9891885" y="1094812"/>
                <a:pt x="9702017" y="1029806"/>
                <a:pt x="9509206" y="1060174"/>
              </a:cubicBezTo>
              <a:cubicBezTo>
                <a:pt x="9316395" y="1090542"/>
                <a:pt x="9038394" y="1054760"/>
                <a:pt x="8915535" y="1060174"/>
              </a:cubicBezTo>
              <a:cubicBezTo>
                <a:pt x="8792676" y="1065588"/>
                <a:pt x="8733950" y="1046830"/>
                <a:pt x="8642447" y="1060174"/>
              </a:cubicBezTo>
              <a:cubicBezTo>
                <a:pt x="8550944" y="1073518"/>
                <a:pt x="8342190" y="1050077"/>
                <a:pt x="8155636" y="1060174"/>
              </a:cubicBezTo>
              <a:cubicBezTo>
                <a:pt x="7969082" y="1070271"/>
                <a:pt x="7964480" y="1033928"/>
                <a:pt x="7775687" y="1060174"/>
              </a:cubicBezTo>
              <a:cubicBezTo>
                <a:pt x="7586894" y="1086420"/>
                <a:pt x="7419849" y="1010749"/>
                <a:pt x="7288877" y="1060174"/>
              </a:cubicBezTo>
              <a:cubicBezTo>
                <a:pt x="7157905" y="1109599"/>
                <a:pt x="6939054" y="1021007"/>
                <a:pt x="6695206" y="1060174"/>
              </a:cubicBezTo>
              <a:cubicBezTo>
                <a:pt x="6451358" y="1099341"/>
                <a:pt x="6355512" y="1023113"/>
                <a:pt x="6101535" y="1060174"/>
              </a:cubicBezTo>
              <a:cubicBezTo>
                <a:pt x="5847558" y="1097235"/>
                <a:pt x="5914592" y="1059309"/>
                <a:pt x="5828446" y="1060174"/>
              </a:cubicBezTo>
              <a:cubicBezTo>
                <a:pt x="5742300" y="1061039"/>
                <a:pt x="5340158" y="996113"/>
                <a:pt x="5127915" y="1060174"/>
              </a:cubicBezTo>
              <a:cubicBezTo>
                <a:pt x="4915672" y="1124235"/>
                <a:pt x="4506273" y="1002674"/>
                <a:pt x="4320522" y="1060174"/>
              </a:cubicBezTo>
              <a:cubicBezTo>
                <a:pt x="4134771" y="1117674"/>
                <a:pt x="3951055" y="1058772"/>
                <a:pt x="3833712" y="1060174"/>
              </a:cubicBezTo>
              <a:cubicBezTo>
                <a:pt x="3716369" y="1061576"/>
                <a:pt x="3661274" y="1059967"/>
                <a:pt x="3560623" y="1060174"/>
              </a:cubicBezTo>
              <a:cubicBezTo>
                <a:pt x="3459972" y="1060381"/>
                <a:pt x="3213532" y="1053985"/>
                <a:pt x="3073813" y="1060174"/>
              </a:cubicBezTo>
              <a:cubicBezTo>
                <a:pt x="2934094" y="1066363"/>
                <a:pt x="2797086" y="1039337"/>
                <a:pt x="2693864" y="1060174"/>
              </a:cubicBezTo>
              <a:cubicBezTo>
                <a:pt x="2590642" y="1081011"/>
                <a:pt x="2263592" y="1049327"/>
                <a:pt x="2100193" y="1060174"/>
              </a:cubicBezTo>
              <a:cubicBezTo>
                <a:pt x="1936794" y="1071021"/>
                <a:pt x="1723979" y="1058854"/>
                <a:pt x="1613383" y="1060174"/>
              </a:cubicBezTo>
              <a:cubicBezTo>
                <a:pt x="1502787" y="1061494"/>
                <a:pt x="1473552" y="1035965"/>
                <a:pt x="1340294" y="1060174"/>
              </a:cubicBezTo>
              <a:cubicBezTo>
                <a:pt x="1207036" y="1084383"/>
                <a:pt x="1041280" y="1018451"/>
                <a:pt x="960345" y="1060174"/>
              </a:cubicBezTo>
              <a:cubicBezTo>
                <a:pt x="879410" y="1101897"/>
                <a:pt x="482410" y="1045140"/>
                <a:pt x="176699" y="1060174"/>
              </a:cubicBezTo>
              <a:cubicBezTo>
                <a:pt x="69691" y="1067560"/>
                <a:pt x="13172" y="988503"/>
                <a:pt x="0" y="883475"/>
              </a:cubicBezTo>
              <a:cubicBezTo>
                <a:pt x="-29192" y="783605"/>
                <a:pt x="20558" y="656805"/>
                <a:pt x="0" y="544223"/>
              </a:cubicBezTo>
              <a:cubicBezTo>
                <a:pt x="-20558" y="431641"/>
                <a:pt x="8379" y="348480"/>
                <a:pt x="0" y="176699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467590</xdr:colOff>
      <xdr:row>7</xdr:row>
      <xdr:rowOff>178378</xdr:rowOff>
    </xdr:from>
    <xdr:to>
      <xdr:col>11</xdr:col>
      <xdr:colOff>121227</xdr:colOff>
      <xdr:row>18</xdr:row>
      <xdr:rowOff>64078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137191-CDBA-9F3F-C1F7-F6DC0F4C8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esh Shrestha" refreshedDate="46261.413950000002" createdVersion="8" refreshedVersion="8" minRefreshableVersion="3" recordCount="5539" xr:uid="{0D33CE97-2EC1-4653-9CE5-C9EDA1566304}">
  <cacheSource type="worksheet">
    <worksheetSource ref="A2:I5541" sheet="Formatted Orders Data"/>
  </cacheSource>
  <cacheFields count="9">
    <cacheField name="Country" numFmtId="0">
      <sharedItems/>
    </cacheField>
    <cacheField name="City" numFmtId="0">
      <sharedItems count="531">
        <s v="Aberdeen"/>
        <s v="Abilene"/>
        <s v="Akron"/>
        <s v="Albuquerque"/>
        <s v="Alexandria"/>
        <s v="Allen"/>
        <s v="Allentown"/>
        <s v="Altoona"/>
        <s v="Amarillo"/>
        <s v="Anaheim"/>
        <s v="Andover"/>
        <s v="Ann Arbor"/>
        <s v="Antioch"/>
        <s v="Apopka"/>
        <s v="Apple Valley"/>
        <s v="Appleton"/>
        <s v="Arlington"/>
        <s v="Arlington Heights"/>
        <s v="Arvada"/>
        <s v="Asheville"/>
        <s v="Athens"/>
        <s v="Atlanta"/>
        <s v="Atlantic City"/>
        <s v="Auburn"/>
        <s v="Aurora"/>
        <s v="Austin"/>
        <s v="Avondale"/>
        <s v="Bakersfield"/>
        <s v="Baltimore"/>
        <s v="Bangor"/>
        <s v="Bartlett"/>
        <s v="Bayonne"/>
        <s v="Baytown"/>
        <s v="Beaumont"/>
        <s v="Bedford"/>
        <s v="Belleville"/>
        <s v="Bellevue"/>
        <s v="Bellingham"/>
        <s v="Bethlehem"/>
        <s v="Beverly"/>
        <s v="Billings"/>
        <s v="Bloomington"/>
        <s v="Boca Raton"/>
        <s v="Boise"/>
        <s v="Bolingbrook"/>
        <s v="Bossier City"/>
        <s v="Bowling Green"/>
        <s v="Boynton Beach"/>
        <s v="Bozeman"/>
        <s v="Brentwood"/>
        <s v="Bridgeton"/>
        <s v="Bristol"/>
        <s v="Broken Arrow"/>
        <s v="Broomfield"/>
        <s v="Brownsville"/>
        <s v="Bryan"/>
        <s v="Buffalo"/>
        <s v="Buffalo Grove"/>
        <s v="Bullhead City"/>
        <s v="Burbank"/>
        <s v="Burlington"/>
        <s v="Caldwell"/>
        <s v="Camarillo"/>
        <s v="Cambridge"/>
        <s v="Canton"/>
        <s v="Carlsbad"/>
        <s v="Carol Stream"/>
        <s v="Carrollton"/>
        <s v="Cary"/>
        <s v="Cedar Hill"/>
        <s v="Cedar Rapids"/>
        <s v="Champaign"/>
        <s v="Chandler"/>
        <s v="Chapel Hill"/>
        <s v="Charlotte"/>
        <s v="Charlottesville"/>
        <s v="Chattanooga"/>
        <s v="Chesapeake"/>
        <s v="Chester"/>
        <s v="Cheyenne"/>
        <s v="Chicago"/>
        <s v="Chico"/>
        <s v="Chula Vista"/>
        <s v="Cincinnati"/>
        <s v="Citrus Heights"/>
        <s v="Clarksville"/>
        <s v="Cleveland"/>
        <s v="Clifton"/>
        <s v="Clinton"/>
        <s v="Clovis"/>
        <s v="Coachella"/>
        <s v="College Station"/>
        <s v="Colorado Springs"/>
        <s v="Columbia"/>
        <s v="Columbus"/>
        <s v="Commerce City"/>
        <s v="Concord"/>
        <s v="Conroe"/>
        <s v="Conway"/>
        <s v="Coon Rapids"/>
        <s v="Coppell"/>
        <s v="Coral Gables"/>
        <s v="Coral Springs"/>
        <s v="Corpus Christi"/>
        <s v="Costa Mesa"/>
        <s v="Cottage Grove"/>
        <s v="Covington"/>
        <s v="Cranston"/>
        <s v="Cuyahoga Falls"/>
        <s v="Dallas"/>
        <s v="Danbury"/>
        <s v="Danville"/>
        <s v="Davis"/>
        <s v="Daytona Beach"/>
        <s v="Dearborn"/>
        <s v="Dearborn Heights"/>
        <s v="Decatur"/>
        <s v="Deer Park"/>
        <s v="Delray Beach"/>
        <s v="Deltona"/>
        <s v="Denver"/>
        <s v="Des Moines"/>
        <s v="Des Plaines"/>
        <s v="Detroit"/>
        <s v="Dover"/>
        <s v="Draper"/>
        <s v="Dublin"/>
        <s v="Dubuque"/>
        <s v="Durham"/>
        <s v="Eagan"/>
        <s v="East Orange"/>
        <s v="East Point"/>
        <s v="Eau Claire"/>
        <s v="Edinburg"/>
        <s v="Edmond"/>
        <s v="Edmonds"/>
        <s v="El Cajon"/>
        <s v="El Paso"/>
        <s v="Elkhart"/>
        <s v="Elmhurst"/>
        <s v="Elyria"/>
        <s v="Encinitas"/>
        <s v="Englewood"/>
        <s v="Escondido"/>
        <s v="Eugene"/>
        <s v="Evanston"/>
        <s v="Everett"/>
        <s v="Fairfield"/>
        <s v="Fargo"/>
        <s v="Farmington"/>
        <s v="Fayetteville"/>
        <s v="Florence"/>
        <s v="Fort Collins"/>
        <s v="Fort Lauderdale"/>
        <s v="Fort Worth"/>
        <s v="Frankfort"/>
        <s v="Franklin"/>
        <s v="Freeport"/>
        <s v="Fremont"/>
        <s v="Fresno"/>
        <s v="Frisco"/>
        <s v="Gaithersburg"/>
        <s v="Garden City"/>
        <s v="Garland"/>
        <s v="Gastonia"/>
        <s v="Georgetown"/>
        <s v="Gilbert"/>
        <s v="Gladstone"/>
        <s v="Glendale"/>
        <s v="Glenview"/>
        <s v="Goldsboro"/>
        <s v="Grand Island"/>
        <s v="Grand Prairie"/>
        <s v="Grand Rapids"/>
        <s v="Grapevine"/>
        <s v="Great Falls"/>
        <s v="Greeley"/>
        <s v="Green Bay"/>
        <s v="Greensboro"/>
        <s v="Greenville"/>
        <s v="Greenwood"/>
        <s v="Gresham"/>
        <s v="Grove City"/>
        <s v="Gulfport"/>
        <s v="Hackensack"/>
        <s v="Hagerstown"/>
        <s v="Haltom City"/>
        <s v="Hamilton"/>
        <s v="Hampton"/>
        <s v="Harlingen"/>
        <s v="Harrisonburg"/>
        <s v="Hattiesburg"/>
        <s v="Helena"/>
        <s v="Hempstead"/>
        <s v="Henderson"/>
        <s v="Hendersonville"/>
        <s v="Hesperia"/>
        <s v="Hialeah"/>
        <s v="Hickory"/>
        <s v="Highland Park"/>
        <s v="Hillsboro"/>
        <s v="Holland"/>
        <s v="Hollywood"/>
        <s v="Holyoke"/>
        <s v="Homestead"/>
        <s v="Hoover"/>
        <s v="Hot Springs"/>
        <s v="Houston"/>
        <s v="Huntington Beach"/>
        <s v="Huntsville"/>
        <s v="Independence"/>
        <s v="Indianapolis"/>
        <s v="Inglewood"/>
        <s v="Iowa City"/>
        <s v="Irving"/>
        <s v="Jackson"/>
        <s v="Jacksonville"/>
        <s v="Jamestown"/>
        <s v="Jefferson City"/>
        <s v="Johnson City"/>
        <s v="Jonesboro"/>
        <s v="Jupiter"/>
        <s v="Keller"/>
        <s v="Kenner"/>
        <s v="Kenosha"/>
        <s v="Kent"/>
        <s v="Kirkwood"/>
        <s v="Kissimmee"/>
        <s v="Knoxville"/>
        <s v="La Crosse"/>
        <s v="La Mesa"/>
        <s v="La Porte"/>
        <s v="La Quinta"/>
        <s v="Lafayette"/>
        <s v="Laguna Niguel"/>
        <s v="Lake Charles"/>
        <s v="Lake Elsinore"/>
        <s v="Lake Forest"/>
        <s v="Lakeland"/>
        <s v="Lakeville"/>
        <s v="Lakewood"/>
        <s v="Lancaster"/>
        <s v="Lansing"/>
        <s v="Laredo"/>
        <s v="Las Cruces"/>
        <s v="Las Vegas"/>
        <s v="Laurel"/>
        <s v="Lawrence"/>
        <s v="Lawton"/>
        <s v="Layton"/>
        <s v="League City"/>
        <s v="Lebanon"/>
        <s v="Lehi"/>
        <s v="Leominster"/>
        <s v="Lewiston"/>
        <s v="Lincoln Park"/>
        <s v="Linden"/>
        <s v="Lindenhurst"/>
        <s v="Little Rock"/>
        <s v="Littleton"/>
        <s v="Lodi"/>
        <s v="Logan"/>
        <s v="Long Beach"/>
        <s v="Longmont"/>
        <s v="Longview"/>
        <s v="Lorain"/>
        <s v="Los Angeles"/>
        <s v="Louisville"/>
        <s v="Loveland"/>
        <s v="Lowell"/>
        <s v="Lubbock"/>
        <s v="Macon"/>
        <s v="Madison"/>
        <s v="Malden"/>
        <s v="Manchester"/>
        <s v="Manhattan"/>
        <s v="Mansfield"/>
        <s v="Manteca"/>
        <s v="Maple Grove"/>
        <s v="Margate"/>
        <s v="Marietta"/>
        <s v="Marion"/>
        <s v="Marlborough"/>
        <s v="Marysville"/>
        <s v="Mason"/>
        <s v="Mcallen"/>
        <s v="Medford"/>
        <s v="Medina"/>
        <s v="Melbourne"/>
        <s v="Memphis"/>
        <s v="Mentor"/>
        <s v="Meriden"/>
        <s v="Meridian"/>
        <s v="Mesa"/>
        <s v="Mesquite"/>
        <s v="Miami"/>
        <s v="Middletown"/>
        <s v="Midland"/>
        <s v="Milford"/>
        <s v="Milwaukee"/>
        <s v="Minneapolis"/>
        <s v="Miramar"/>
        <s v="Mishawaka"/>
        <s v="Mission Viejo"/>
        <s v="Missoula"/>
        <s v="Missouri City"/>
        <s v="Mobile"/>
        <s v="Modesto"/>
        <s v="Monroe"/>
        <s v="Montebello"/>
        <s v="Montgomery"/>
        <s v="Moorhead"/>
        <s v="Moreno Valley"/>
        <s v="Morgan Hill"/>
        <s v="Morristown"/>
        <s v="Mount Pleasant"/>
        <s v="Mount Vernon"/>
        <s v="Murfreesboro"/>
        <s v="Murray"/>
        <s v="Murrieta"/>
        <s v="Muskogee"/>
        <s v="Naperville"/>
        <s v="Nashua"/>
        <s v="Nashville"/>
        <s v="New Albany"/>
        <s v="New Bedford"/>
        <s v="New Brunswick"/>
        <s v="New Castle"/>
        <s v="New Rochelle"/>
        <s v="New York City"/>
        <s v="Newark"/>
        <s v="Newport News"/>
        <s v="Niagara Falls"/>
        <s v="Noblesville"/>
        <s v="Norfolk"/>
        <s v="Normal"/>
        <s v="Norman"/>
        <s v="North Charleston"/>
        <s v="North Las Vegas"/>
        <s v="North Miami"/>
        <s v="Norwich"/>
        <s v="Oak Park"/>
        <s v="Oakland"/>
        <s v="Oceanside"/>
        <s v="Odessa"/>
        <s v="Oklahoma City"/>
        <s v="Olathe"/>
        <s v="Olympia"/>
        <s v="Omaha"/>
        <s v="Ontario"/>
        <s v="Orange"/>
        <s v="Orem"/>
        <s v="Orland Park"/>
        <s v="Orlando"/>
        <s v="Ormond Beach"/>
        <s v="Oswego"/>
        <s v="Overland Park"/>
        <s v="Owensboro"/>
        <s v="Oxnard"/>
        <s v="Palatine"/>
        <s v="Palm Coast"/>
        <s v="Park Ridge"/>
        <s v="Parker"/>
        <s v="Parma"/>
        <s v="Pasadena"/>
        <s v="Pasco"/>
        <s v="Passaic"/>
        <s v="Paterson"/>
        <s v="Pearland"/>
        <s v="Pembroke Pines"/>
        <s v="Pensacola"/>
        <s v="Peoria"/>
        <s v="Perth Amboy"/>
        <s v="Pharr"/>
        <s v="Philadelphia"/>
        <s v="Phoenix"/>
        <s v="Pico Rivera"/>
        <s v="Pine Bluff"/>
        <s v="Plainfield"/>
        <s v="Plano"/>
        <s v="Plantation"/>
        <s v="Pleasant Grove"/>
        <s v="Pocatello"/>
        <s v="Pomona"/>
        <s v="Pompano Beach"/>
        <s v="Port Arthur"/>
        <s v="Port Orange"/>
        <s v="Port Saint Lucie"/>
        <s v="Portage"/>
        <s v="Portland"/>
        <s v="Providence"/>
        <s v="Provo"/>
        <s v="Pueblo"/>
        <s v="Quincy"/>
        <s v="Raleigh"/>
        <s v="Rancho Cucamonga"/>
        <s v="Rapid City"/>
        <s v="Reading"/>
        <s v="Redding"/>
        <s v="Redlands"/>
        <s v="Redmond"/>
        <s v="Redondo Beach"/>
        <s v="Redwood City"/>
        <s v="Reno"/>
        <s v="Renton"/>
        <s v="Revere"/>
        <s v="Richardson"/>
        <s v="Richmond"/>
        <s v="Rio Rancho"/>
        <s v="Riverside"/>
        <s v="Rochester"/>
        <s v="Rochester Hills"/>
        <s v="Rock Hill"/>
        <s v="Rockford"/>
        <s v="Rockville"/>
        <s v="Rogers"/>
        <s v="Rome"/>
        <s v="Romeoville"/>
        <s v="Roseville"/>
        <s v="Roswell"/>
        <s v="Round Rock"/>
        <s v="Royal Oak"/>
        <s v="Sacramento"/>
        <s v="Saginaw"/>
        <s v="Saint Charles"/>
        <s v="Saint Cloud"/>
        <s v="Saint Louis"/>
        <s v="Saint Paul"/>
        <s v="Saint Peters"/>
        <s v="Saint Petersburg"/>
        <s v="Salem"/>
        <s v="Salinas"/>
        <s v="Salt Lake City"/>
        <s v="San Angelo"/>
        <s v="San Antonio"/>
        <s v="San Bernardino"/>
        <s v="San Clemente"/>
        <s v="San Diego"/>
        <s v="San Francisco"/>
        <s v="San Gabriel"/>
        <s v="San Jose"/>
        <s v="San Luis Obispo"/>
        <s v="San Marcos"/>
        <s v="San Mateo"/>
        <s v="Sandy Springs"/>
        <s v="Sanford"/>
        <s v="Santa Ana"/>
        <s v="Santa Barbara"/>
        <s v="Santa Clara"/>
        <s v="Santa Fe"/>
        <s v="Santa Maria"/>
        <s v="Scottsdale"/>
        <s v="Seattle"/>
        <s v="Sheboygan"/>
        <s v="Shelton"/>
        <s v="Sierra Vista"/>
        <s v="Sioux Falls"/>
        <s v="Skokie"/>
        <s v="Smyrna"/>
        <s v="South Bend"/>
        <s v="Southaven"/>
        <s v="Sparks"/>
        <s v="Spokane"/>
        <s v="Springdale"/>
        <s v="Springfield"/>
        <s v="Sterling Heights"/>
        <s v="Stockton"/>
        <s v="Suffolk"/>
        <s v="Summerville"/>
        <s v="Sunnyvale"/>
        <s v="Superior"/>
        <s v="Tallahassee"/>
        <s v="Tamarac"/>
        <s v="Tampa"/>
        <s v="Taylor"/>
        <s v="Temecula"/>
        <s v="Tempe"/>
        <s v="Texarkana"/>
        <s v="Texas City"/>
        <s v="The Colony"/>
        <s v="Thomasville"/>
        <s v="Thornton"/>
        <s v="Thousand Oaks"/>
        <s v="Tigard"/>
        <s v="Tinley Park"/>
        <s v="Toledo"/>
        <s v="Torrance"/>
        <s v="Trenton"/>
        <s v="Troy"/>
        <s v="Tucson"/>
        <s v="Tulsa"/>
        <s v="Tuscaloosa"/>
        <s v="Twin Falls"/>
        <s v="Tyler"/>
        <s v="Urbandale"/>
        <s v="Utica"/>
        <s v="Vacaville"/>
        <s v="Vallejo"/>
        <s v="Vancouver"/>
        <s v="Vineland"/>
        <s v="Virginia Beach"/>
        <s v="Visalia"/>
        <s v="Waco"/>
        <s v="Warner Robins"/>
        <s v="Warwick"/>
        <s v="Washington"/>
        <s v="Waterbury"/>
        <s v="Waterloo"/>
        <s v="Watertown"/>
        <s v="Waukesha"/>
        <s v="Wausau"/>
        <s v="Waynesboro"/>
        <s v="West Allis"/>
        <s v="West Jordan"/>
        <s v="West Palm Beach"/>
        <s v="Westfield"/>
        <s v="Westland"/>
        <s v="Westminster"/>
        <s v="Wheeling"/>
        <s v="Whittier"/>
        <s v="Wichita"/>
        <s v="Wilmington"/>
        <s v="Wilson"/>
        <s v="Woodbury"/>
        <s v="Woodland"/>
        <s v="Woodstock"/>
        <s v="Woonsocket"/>
        <s v="Yonkers"/>
        <s v="York"/>
        <s v="Yucaipa"/>
        <s v="Yuma"/>
      </sharedItems>
    </cacheField>
    <cacheField name="Ship Mode" numFmtId="0">
      <sharedItems/>
    </cacheField>
    <cacheField name="Segment" numFmtId="0">
      <sharedItems/>
    </cacheField>
    <cacheField name="Sub-Category" numFmtId="0">
      <sharedItems/>
    </cacheField>
    <cacheField name="Quantity" numFmtId="0">
      <sharedItems containsSemiMixedTypes="0" containsString="0" containsNumber="1" containsInteger="1" minValue="1" maxValue="236"/>
    </cacheField>
    <cacheField name="Discount" numFmtId="0">
      <sharedItems containsSemiMixedTypes="0" containsString="0" containsNumber="1" minValue="0" maxValue="24.800000000000011"/>
    </cacheField>
    <cacheField name="Profit" numFmtId="1">
      <sharedItems containsSemiMixedTypes="0" containsString="0" containsNumber="1" minValue="-6599.978000000001" maxValue="8399.9759999999987"/>
    </cacheField>
    <cacheField name="Sales" numFmtId="1">
      <sharedItems containsSemiMixedTypes="0" containsString="0" containsNumber="1" minValue="0.55599999999999983" maxValue="23459.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nesh Shrestha" refreshedDate="46261.418195138889" createdVersion="8" refreshedVersion="8" minRefreshableVersion="3" recordCount="43" xr:uid="{622054CA-5A53-41AA-BDC6-60D9FBE86C11}">
  <cacheSource type="worksheet">
    <worksheetSource ref="C1:E44" sheet="Homework Solution"/>
  </cacheSource>
  <cacheFields count="3">
    <cacheField name="Supplier No." numFmtId="0">
      <sharedItems containsSemiMixedTypes="0" containsString="0" containsNumber="1" containsInteger="1" minValue="220976" maxValue="777826"/>
    </cacheField>
    <cacheField name=" Supplier Name" numFmtId="0">
      <sharedItems count="10">
        <s v="D.C. Power System"/>
        <s v="ATMA Tele Power Limited"/>
        <s v="ANZ Tele Power Ltd"/>
        <s v="Agile Technologies"/>
        <s v="K Jindal."/>
        <s v="M/s. D.P. Tron Pvt Ltd."/>
        <s v="KK MONDAL"/>
        <s v="ABC CORPORATE"/>
        <s v="BBK Inc"/>
        <s v="SAM TELECOM"/>
      </sharedItems>
    </cacheField>
    <cacheField name="Transaction Amt. Rs." numFmtId="164">
      <sharedItems containsSemiMixedTypes="0" containsString="0" containsNumber="1" containsInteger="1" minValue="14986" maxValue="1825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39">
  <r>
    <s v="United States"/>
    <x v="0"/>
    <s v="Second Class"/>
    <s v="Consumer"/>
    <s v="Supplies"/>
    <n v="3"/>
    <n v="0"/>
    <n v="6.63"/>
    <n v="25.5"/>
  </r>
  <r>
    <s v="United States"/>
    <x v="1"/>
    <s v="First Class"/>
    <s v="Consumer"/>
    <s v="Appliances"/>
    <n v="2"/>
    <n v="0.8"/>
    <n v="-3.7584000000000009"/>
    <n v="1.3919999999999997"/>
  </r>
  <r>
    <s v="United States"/>
    <x v="2"/>
    <s v="First Class"/>
    <s v="Consumer"/>
    <s v="Storage"/>
    <n v="2"/>
    <n v="0.2"/>
    <n v="-55.256"/>
    <n v="221.024"/>
  </r>
  <r>
    <s v="United States"/>
    <x v="2"/>
    <s v="First Class"/>
    <s v="Corporate"/>
    <s v="Paper"/>
    <n v="3"/>
    <n v="0.2"/>
    <n v="28.706399999999991"/>
    <n v="85.055999999999997"/>
  </r>
  <r>
    <s v="United States"/>
    <x v="2"/>
    <s v="First Class"/>
    <s v="Home Office"/>
    <s v="Fasteners"/>
    <n v="6"/>
    <n v="0.2"/>
    <n v="6.2291999999999996"/>
    <n v="17.184000000000001"/>
  </r>
  <r>
    <s v="United States"/>
    <x v="2"/>
    <s v="Second Class"/>
    <s v="Consumer"/>
    <s v="Art"/>
    <n v="4"/>
    <n v="0.2"/>
    <n v="0.61920000000000019"/>
    <n v="8.2560000000000002"/>
  </r>
  <r>
    <s v="United States"/>
    <x v="2"/>
    <s v="Second Class"/>
    <s v="Consumer"/>
    <s v="Binders"/>
    <n v="7"/>
    <n v="1.4"/>
    <n v="-23.505600000000001"/>
    <n v="29.928000000000004"/>
  </r>
  <r>
    <s v="United States"/>
    <x v="2"/>
    <s v="Second Class"/>
    <s v="Consumer"/>
    <s v="Furnishings"/>
    <n v="3"/>
    <n v="0.2"/>
    <n v="3.7308000000000021"/>
    <n v="149.232"/>
  </r>
  <r>
    <s v="United States"/>
    <x v="2"/>
    <s v="Second Class"/>
    <s v="Consumer"/>
    <s v="Paper"/>
    <n v="8"/>
    <n v="0.4"/>
    <n v="9.5208000000000013"/>
    <n v="27.456000000000003"/>
  </r>
  <r>
    <s v="United States"/>
    <x v="2"/>
    <s v="Standard Class"/>
    <s v="Consumer"/>
    <s v="Accessories"/>
    <n v="3"/>
    <n v="0.2"/>
    <n v="0.89969999999999573"/>
    <n v="71.975999999999999"/>
  </r>
  <r>
    <s v="United States"/>
    <x v="2"/>
    <s v="Standard Class"/>
    <s v="Consumer"/>
    <s v="Art"/>
    <n v="3"/>
    <n v="0.2"/>
    <n v="0.8969999999999998"/>
    <n v="14.352000000000002"/>
  </r>
  <r>
    <s v="United States"/>
    <x v="2"/>
    <s v="Standard Class"/>
    <s v="Consumer"/>
    <s v="Binders"/>
    <n v="4"/>
    <n v="1.4"/>
    <n v="-13.637999999999996"/>
    <n v="17.238000000000003"/>
  </r>
  <r>
    <s v="United States"/>
    <x v="2"/>
    <s v="Standard Class"/>
    <s v="Consumer"/>
    <s v="Paper"/>
    <n v="3"/>
    <n v="0.2"/>
    <n v="6.794999999999999"/>
    <n v="21.744000000000003"/>
  </r>
  <r>
    <s v="United States"/>
    <x v="2"/>
    <s v="Standard Class"/>
    <s v="Consumer"/>
    <s v="Phones"/>
    <n v="3"/>
    <n v="0.4"/>
    <n v="-80.995500000000021"/>
    <n v="323.98199999999997"/>
  </r>
  <r>
    <s v="United States"/>
    <x v="2"/>
    <s v="Standard Class"/>
    <s v="Corporate"/>
    <s v="Accessories"/>
    <n v="5"/>
    <n v="0.2"/>
    <n v="48.992999999999995"/>
    <n v="279.95999999999998"/>
  </r>
  <r>
    <s v="United States"/>
    <x v="2"/>
    <s v="Standard Class"/>
    <s v="Corporate"/>
    <s v="Phones"/>
    <n v="4"/>
    <n v="0.8"/>
    <n v="-105.7484"/>
    <n v="507.084"/>
  </r>
  <r>
    <s v="United States"/>
    <x v="2"/>
    <s v="Standard Class"/>
    <s v="Corporate"/>
    <s v="Storage"/>
    <n v="2"/>
    <n v="0.2"/>
    <n v="66.540799999999962"/>
    <n v="665.40800000000002"/>
  </r>
  <r>
    <s v="United States"/>
    <x v="2"/>
    <s v="Standard Class"/>
    <s v="Corporate"/>
    <s v="Tables"/>
    <n v="2"/>
    <n v="0.4"/>
    <n v="-75.830400000000054"/>
    <n v="284.36399999999998"/>
  </r>
  <r>
    <s v="United States"/>
    <x v="2"/>
    <s v="Standard Class"/>
    <s v="Home Office"/>
    <s v="Binders"/>
    <n v="3"/>
    <n v="0.7"/>
    <n v="-4.5935999999999986"/>
    <n v="5.7420000000000009"/>
  </r>
  <r>
    <s v="United States"/>
    <x v="3"/>
    <s v="Same Day"/>
    <s v="Corporate"/>
    <s v="Art"/>
    <n v="7"/>
    <n v="0"/>
    <n v="112.57400000000001"/>
    <n v="255.84999999999997"/>
  </r>
  <r>
    <s v="United States"/>
    <x v="3"/>
    <s v="Second Class"/>
    <s v="Consumer"/>
    <s v="Phones"/>
    <n v="3"/>
    <n v="0.2"/>
    <n v="-5.694300000000001"/>
    <n v="23.976000000000003"/>
  </r>
  <r>
    <s v="United States"/>
    <x v="3"/>
    <s v="Second Class"/>
    <s v="Consumer"/>
    <s v="Storage"/>
    <n v="1"/>
    <n v="0"/>
    <n v="7.9895999999999994"/>
    <n v="33.29"/>
  </r>
  <r>
    <s v="United States"/>
    <x v="3"/>
    <s v="Second Class"/>
    <s v="Home Office"/>
    <s v="Accessories"/>
    <n v="5"/>
    <n v="0"/>
    <n v="88.129500000000007"/>
    <n v="214.95000000000002"/>
  </r>
  <r>
    <s v="United States"/>
    <x v="3"/>
    <s v="Second Class"/>
    <s v="Home Office"/>
    <s v="Paper"/>
    <n v="13"/>
    <n v="0"/>
    <n v="160.12799999999999"/>
    <n v="333.6"/>
  </r>
  <r>
    <s v="United States"/>
    <x v="3"/>
    <s v="Second Class"/>
    <s v="Home Office"/>
    <s v="Phones"/>
    <n v="8"/>
    <n v="0.2"/>
    <n v="49.257599999999996"/>
    <n v="140.73599999999999"/>
  </r>
  <r>
    <s v="United States"/>
    <x v="3"/>
    <s v="Second Class"/>
    <s v="Home Office"/>
    <s v="Storage"/>
    <n v="8"/>
    <n v="0"/>
    <n v="25.424000000000007"/>
    <n v="90.8"/>
  </r>
  <r>
    <s v="United States"/>
    <x v="3"/>
    <s v="Standard Class"/>
    <s v="Consumer"/>
    <s v="Paper"/>
    <n v="1"/>
    <n v="0"/>
    <n v="1.9259999999999997"/>
    <n v="4.28"/>
  </r>
  <r>
    <s v="United States"/>
    <x v="3"/>
    <s v="Standard Class"/>
    <s v="Consumer"/>
    <s v="Storage"/>
    <n v="5"/>
    <n v="0"/>
    <n v="34.292499999999997"/>
    <n v="118.25"/>
  </r>
  <r>
    <s v="United States"/>
    <x v="3"/>
    <s v="Standard Class"/>
    <s v="Corporate"/>
    <s v="Accessories"/>
    <n v="5"/>
    <n v="0"/>
    <n v="95.200000000000031"/>
    <n v="595"/>
  </r>
  <r>
    <s v="United States"/>
    <x v="3"/>
    <s v="Standard Class"/>
    <s v="Corporate"/>
    <s v="Binders"/>
    <n v="3"/>
    <n v="0.2"/>
    <n v="29.951999999999998"/>
    <n v="79.872000000000014"/>
  </r>
  <r>
    <s v="United States"/>
    <x v="3"/>
    <s v="Standard Class"/>
    <s v="Corporate"/>
    <s v="Paper"/>
    <n v="3"/>
    <n v="0"/>
    <n v="12.231"/>
    <n v="27.18"/>
  </r>
  <r>
    <s v="United States"/>
    <x v="3"/>
    <s v="Standard Class"/>
    <s v="Home Office"/>
    <s v="Phones"/>
    <n v="3"/>
    <n v="0.2"/>
    <n v="22.678200000000018"/>
    <n v="302.37599999999998"/>
  </r>
  <r>
    <s v="United States"/>
    <x v="4"/>
    <s v="Second Class"/>
    <s v="Consumer"/>
    <s v="Storage"/>
    <n v="5"/>
    <n v="0"/>
    <n v="12.18"/>
    <n v="81.199999999999989"/>
  </r>
  <r>
    <s v="United States"/>
    <x v="4"/>
    <s v="Second Class"/>
    <s v="Corporate"/>
    <s v="Art"/>
    <n v="14"/>
    <n v="0"/>
    <n v="14.235199999999995"/>
    <n v="45.919999999999995"/>
  </r>
  <r>
    <s v="United States"/>
    <x v="4"/>
    <s v="Second Class"/>
    <s v="Corporate"/>
    <s v="Paper"/>
    <n v="2"/>
    <n v="0"/>
    <n v="6.3504000000000005"/>
    <n v="12.96"/>
  </r>
  <r>
    <s v="United States"/>
    <x v="4"/>
    <s v="Second Class"/>
    <s v="Corporate"/>
    <s v="Phones"/>
    <n v="1"/>
    <n v="0"/>
    <n v="8.4070999999999962"/>
    <n v="28.99"/>
  </r>
  <r>
    <s v="United States"/>
    <x v="4"/>
    <s v="Second Class"/>
    <s v="Corporate"/>
    <s v="Supplies"/>
    <n v="5"/>
    <n v="0"/>
    <n v="83.281000000000063"/>
    <n v="4164.0499999999993"/>
  </r>
  <r>
    <s v="United States"/>
    <x v="4"/>
    <s v="Standard Class"/>
    <s v="Consumer"/>
    <s v="Fasteners"/>
    <n v="7"/>
    <n v="0"/>
    <n v="12.530000000000001"/>
    <n v="25.060000000000002"/>
  </r>
  <r>
    <s v="United States"/>
    <x v="4"/>
    <s v="Standard Class"/>
    <s v="Consumer"/>
    <s v="Storage"/>
    <n v="2"/>
    <n v="0"/>
    <n v="6.8767999999999994"/>
    <n v="24.56"/>
  </r>
  <r>
    <s v="United States"/>
    <x v="4"/>
    <s v="Standard Class"/>
    <s v="Corporate"/>
    <s v="Furnishings"/>
    <n v="14"/>
    <n v="0"/>
    <n v="69.199200000000005"/>
    <n v="192.22"/>
  </r>
  <r>
    <s v="United States"/>
    <x v="4"/>
    <s v="Standard Class"/>
    <s v="Home Office"/>
    <s v="Furnishings"/>
    <n v="6"/>
    <n v="0"/>
    <n v="35.253"/>
    <n v="75.240000000000009"/>
  </r>
  <r>
    <s v="United States"/>
    <x v="4"/>
    <s v="Standard Class"/>
    <s v="Home Office"/>
    <s v="Paper"/>
    <n v="5"/>
    <n v="0"/>
    <n v="17.671199999999999"/>
    <n v="36.120000000000005"/>
  </r>
  <r>
    <s v="United States"/>
    <x v="4"/>
    <s v="Standard Class"/>
    <s v="Home Office"/>
    <s v="Phones"/>
    <n v="15"/>
    <n v="0"/>
    <n v="52.634399999999999"/>
    <n v="343.33"/>
  </r>
  <r>
    <s v="United States"/>
    <x v="4"/>
    <s v="Standard Class"/>
    <s v="Home Office"/>
    <s v="Storage"/>
    <n v="8"/>
    <n v="0"/>
    <n v="0"/>
    <n v="489.92"/>
  </r>
  <r>
    <s v="United States"/>
    <x v="5"/>
    <s v="First Class"/>
    <s v="Consumer"/>
    <s v="Accessories"/>
    <n v="3"/>
    <n v="0.2"/>
    <n v="-0.26850000000000307"/>
    <n v="21.48"/>
  </r>
  <r>
    <s v="United States"/>
    <x v="5"/>
    <s v="First Class"/>
    <s v="Consumer"/>
    <s v="Binders"/>
    <n v="4"/>
    <n v="0.8"/>
    <n v="-13.615200000000002"/>
    <n v="8.7839999999999989"/>
  </r>
  <r>
    <s v="United States"/>
    <x v="5"/>
    <s v="Standard Class"/>
    <s v="Consumer"/>
    <s v="Paper"/>
    <n v="4"/>
    <n v="0.2"/>
    <n v="5.378400000000001"/>
    <n v="15.936000000000002"/>
  </r>
  <r>
    <s v="United States"/>
    <x v="5"/>
    <s v="Standard Class"/>
    <s v="Consumer"/>
    <s v="Tables"/>
    <n v="2"/>
    <n v="0.3"/>
    <n v="-31.372200000000007"/>
    <n v="244.00599999999997"/>
  </r>
  <r>
    <s v="United States"/>
    <x v="6"/>
    <s v="Standard Class"/>
    <s v="Consumer"/>
    <s v="Art"/>
    <n v="2"/>
    <n v="0.2"/>
    <n v="0.36400000000000032"/>
    <n v="4.16"/>
  </r>
  <r>
    <s v="United States"/>
    <x v="6"/>
    <s v="Standard Class"/>
    <s v="Consumer"/>
    <s v="Furnishings"/>
    <n v="2"/>
    <n v="0.2"/>
    <n v="3.3488000000000011"/>
    <n v="11.648000000000001"/>
  </r>
  <r>
    <s v="United States"/>
    <x v="6"/>
    <s v="Standard Class"/>
    <s v="Home Office"/>
    <s v="Accessories"/>
    <n v="4"/>
    <n v="0.2"/>
    <n v="3.8024000000000004"/>
    <n v="21.728000000000002"/>
  </r>
  <r>
    <s v="United States"/>
    <x v="6"/>
    <s v="Standard Class"/>
    <s v="Home Office"/>
    <s v="Binders"/>
    <n v="2"/>
    <n v="0.7"/>
    <n v="-82.989999999999981"/>
    <n v="99.588000000000008"/>
  </r>
  <r>
    <s v="United States"/>
    <x v="6"/>
    <s v="Standard Class"/>
    <s v="Home Office"/>
    <s v="Paper"/>
    <n v="2"/>
    <n v="0.2"/>
    <n v="15.489999999999997"/>
    <n v="49.568000000000005"/>
  </r>
  <r>
    <s v="United States"/>
    <x v="6"/>
    <s v="Standard Class"/>
    <s v="Home Office"/>
    <s v="Storage"/>
    <n v="6"/>
    <n v="0.2"/>
    <n v="-165.768"/>
    <n v="663.072"/>
  </r>
  <r>
    <s v="United States"/>
    <x v="6"/>
    <s v="Standard Class"/>
    <s v="Home Office"/>
    <s v="Supplies"/>
    <n v="2"/>
    <n v="0.2"/>
    <n v="-0.69760000000000066"/>
    <n v="3.4880000000000004"/>
  </r>
  <r>
    <s v="United States"/>
    <x v="7"/>
    <s v="First Class"/>
    <s v="Corporate"/>
    <s v="Art"/>
    <n v="6"/>
    <n v="0.2"/>
    <n v="2.2043999999999979"/>
    <n v="16.032"/>
  </r>
  <r>
    <s v="United States"/>
    <x v="7"/>
    <s v="First Class"/>
    <s v="Corporate"/>
    <s v="Binders"/>
    <n v="3"/>
    <n v="0.7"/>
    <n v="-3.3879000000000001"/>
    <n v="4.4190000000000005"/>
  </r>
  <r>
    <s v="United States"/>
    <x v="8"/>
    <s v="Same Day"/>
    <s v="Consumer"/>
    <s v="Accessories"/>
    <n v="6"/>
    <n v="0.4"/>
    <n v="63.752400000000009"/>
    <n v="343.392"/>
  </r>
  <r>
    <s v="United States"/>
    <x v="8"/>
    <s v="Same Day"/>
    <s v="Consumer"/>
    <s v="Chairs"/>
    <n v="5"/>
    <n v="0.3"/>
    <n v="-350.4899999999999"/>
    <n v="2453.4299999999998"/>
  </r>
  <r>
    <s v="United States"/>
    <x v="8"/>
    <s v="Same Day"/>
    <s v="Consumer"/>
    <s v="Paper"/>
    <n v="1"/>
    <n v="0.2"/>
    <n v="9.568799999999996"/>
    <n v="28.352"/>
  </r>
  <r>
    <s v="United States"/>
    <x v="8"/>
    <s v="Second Class"/>
    <s v="Corporate"/>
    <s v="Paper"/>
    <n v="2"/>
    <n v="0.2"/>
    <n v="6.6311999999999989"/>
    <n v="19.648"/>
  </r>
  <r>
    <s v="United States"/>
    <x v="8"/>
    <s v="Standard Class"/>
    <s v="Consumer"/>
    <s v="Chairs"/>
    <n v="4"/>
    <n v="0.3"/>
    <n v="-110.02320000000003"/>
    <n v="366.74399999999997"/>
  </r>
  <r>
    <s v="United States"/>
    <x v="8"/>
    <s v="Standard Class"/>
    <s v="Consumer"/>
    <s v="Furnishings"/>
    <n v="3"/>
    <n v="0.6"/>
    <n v="-10.961100000000002"/>
    <n v="23.076000000000001"/>
  </r>
  <r>
    <s v="United States"/>
    <x v="8"/>
    <s v="Standard Class"/>
    <s v="Consumer"/>
    <s v="Paper"/>
    <n v="5"/>
    <n v="0.2"/>
    <n v="9.0719999999999992"/>
    <n v="25.920000000000005"/>
  </r>
  <r>
    <s v="United States"/>
    <x v="8"/>
    <s v="Standard Class"/>
    <s v="Consumer"/>
    <s v="Phones"/>
    <n v="4"/>
    <n v="0.2"/>
    <n v="30.716800000000006"/>
    <n v="307.16800000000001"/>
  </r>
  <r>
    <s v="United States"/>
    <x v="8"/>
    <s v="Standard Class"/>
    <s v="Corporate"/>
    <s v="Bookcases"/>
    <n v="2"/>
    <n v="0.32"/>
    <n v="-36.235200000000006"/>
    <n v="205.33279999999996"/>
  </r>
  <r>
    <s v="United States"/>
    <x v="9"/>
    <s v="First Class"/>
    <s v="Corporate"/>
    <s v="Binders"/>
    <n v="3"/>
    <n v="0.2"/>
    <n v="7.822499999999998"/>
    <n v="25.031999999999996"/>
  </r>
  <r>
    <s v="United States"/>
    <x v="9"/>
    <s v="First Class"/>
    <s v="Corporate"/>
    <s v="Chairs"/>
    <n v="3"/>
    <n v="0.2"/>
    <n v="71.77200000000002"/>
    <n v="717.72"/>
  </r>
  <r>
    <s v="United States"/>
    <x v="9"/>
    <s v="First Class"/>
    <s v="Corporate"/>
    <s v="Furnishings"/>
    <n v="15"/>
    <n v="0"/>
    <n v="92.332499999999996"/>
    <n v="383.90000000000003"/>
  </r>
  <r>
    <s v="United States"/>
    <x v="9"/>
    <s v="First Class"/>
    <s v="Corporate"/>
    <s v="Paper"/>
    <n v="2"/>
    <n v="0"/>
    <n v="100.65599999999999"/>
    <n v="209.7"/>
  </r>
  <r>
    <s v="United States"/>
    <x v="9"/>
    <s v="Same Day"/>
    <s v="Consumer"/>
    <s v="Accessories"/>
    <n v="4"/>
    <n v="0"/>
    <n v="25.191599999999994"/>
    <n v="119.96"/>
  </r>
  <r>
    <s v="United States"/>
    <x v="9"/>
    <s v="Same Day"/>
    <s v="Consumer"/>
    <s v="Appliances"/>
    <n v="2"/>
    <n v="0"/>
    <n v="24.191799999999994"/>
    <n v="83.42"/>
  </r>
  <r>
    <s v="United States"/>
    <x v="9"/>
    <s v="Same Day"/>
    <s v="Consumer"/>
    <s v="Art"/>
    <n v="2"/>
    <n v="0"/>
    <n v="6.0632000000000019"/>
    <n v="23.32"/>
  </r>
  <r>
    <s v="United States"/>
    <x v="9"/>
    <s v="Same Day"/>
    <s v="Consumer"/>
    <s v="Binders"/>
    <n v="19"/>
    <n v="0.8"/>
    <n v="121.31219999999998"/>
    <n v="373.96800000000002"/>
  </r>
  <r>
    <s v="United States"/>
    <x v="9"/>
    <s v="Same Day"/>
    <s v="Consumer"/>
    <s v="Chairs"/>
    <n v="5"/>
    <n v="0.2"/>
    <n v="-31.843000000000018"/>
    <n v="363.92"/>
  </r>
  <r>
    <s v="United States"/>
    <x v="9"/>
    <s v="Same Day"/>
    <s v="Consumer"/>
    <s v="Paper"/>
    <n v="1"/>
    <n v="0"/>
    <n v="13.940999999999999"/>
    <n v="30.98"/>
  </r>
  <r>
    <s v="United States"/>
    <x v="9"/>
    <s v="Same Day"/>
    <s v="Consumer"/>
    <s v="Storage"/>
    <n v="3"/>
    <n v="0"/>
    <n v="2.0087999999999973"/>
    <n v="50.22"/>
  </r>
  <r>
    <s v="United States"/>
    <x v="9"/>
    <s v="Same Day"/>
    <s v="Consumer"/>
    <s v="Tables"/>
    <n v="7"/>
    <n v="0.2"/>
    <n v="111.51699999999991"/>
    <n v="892.13600000000008"/>
  </r>
  <r>
    <s v="United States"/>
    <x v="9"/>
    <s v="Same Day"/>
    <s v="Corporate"/>
    <s v="Tables"/>
    <n v="7"/>
    <n v="0.2"/>
    <n v="80.843000000000075"/>
    <n v="1293.4879999999998"/>
  </r>
  <r>
    <s v="United States"/>
    <x v="9"/>
    <s v="Second Class"/>
    <s v="Corporate"/>
    <s v="Storage"/>
    <n v="2"/>
    <n v="0"/>
    <n v="310.98720000000003"/>
    <n v="1295.78"/>
  </r>
  <r>
    <s v="United States"/>
    <x v="9"/>
    <s v="Standard Class"/>
    <s v="Consumer"/>
    <s v="Art"/>
    <n v="2"/>
    <n v="0"/>
    <n v="0.87360000000000015"/>
    <n v="3.36"/>
  </r>
  <r>
    <s v="United States"/>
    <x v="9"/>
    <s v="Standard Class"/>
    <s v="Consumer"/>
    <s v="Binders"/>
    <n v="5"/>
    <n v="0.2"/>
    <n v="64.199999999999989"/>
    <n v="171.20000000000002"/>
  </r>
  <r>
    <s v="United States"/>
    <x v="9"/>
    <s v="Standard Class"/>
    <s v="Consumer"/>
    <s v="Phones"/>
    <n v="3"/>
    <n v="0.2"/>
    <n v="22.678200000000018"/>
    <n v="302.37599999999998"/>
  </r>
  <r>
    <s v="United States"/>
    <x v="9"/>
    <s v="Standard Class"/>
    <s v="Consumer"/>
    <s v="Storage"/>
    <n v="9"/>
    <n v="0"/>
    <n v="29.964600000000061"/>
    <n v="998.82"/>
  </r>
  <r>
    <s v="United States"/>
    <x v="9"/>
    <s v="Standard Class"/>
    <s v="Consumer"/>
    <s v="Supplies"/>
    <n v="5"/>
    <n v="0"/>
    <n v="13.299000000000003"/>
    <n v="51.150000000000006"/>
  </r>
  <r>
    <s v="United States"/>
    <x v="9"/>
    <s v="Standard Class"/>
    <s v="Corporate"/>
    <s v="Furnishings"/>
    <n v="8"/>
    <n v="0"/>
    <n v="37.414400000000001"/>
    <n v="101.12"/>
  </r>
  <r>
    <s v="United States"/>
    <x v="9"/>
    <s v="Standard Class"/>
    <s v="Corporate"/>
    <s v="Storage"/>
    <n v="4"/>
    <n v="0"/>
    <n v="125.14319999999998"/>
    <n v="481.32"/>
  </r>
  <r>
    <s v="United States"/>
    <x v="9"/>
    <s v="Standard Class"/>
    <s v="Corporate"/>
    <s v="Supplies"/>
    <n v="1"/>
    <n v="0"/>
    <n v="3.6348000000000003"/>
    <n v="13.98"/>
  </r>
  <r>
    <s v="United States"/>
    <x v="10"/>
    <s v="First Class"/>
    <s v="Consumer"/>
    <s v="Binders"/>
    <n v="4"/>
    <n v="0"/>
    <n v="23.309999999999995"/>
    <n v="51.8"/>
  </r>
  <r>
    <s v="United States"/>
    <x v="10"/>
    <s v="First Class"/>
    <s v="Consumer"/>
    <s v="Chairs"/>
    <n v="5"/>
    <n v="0"/>
    <n v="88.725000000000023"/>
    <n v="354.90000000000003"/>
  </r>
  <r>
    <s v="United States"/>
    <x v="10"/>
    <s v="First Class"/>
    <s v="Consumer"/>
    <s v="Paper"/>
    <n v="3"/>
    <n v="0"/>
    <n v="8.7906000000000013"/>
    <n v="17.940000000000001"/>
  </r>
  <r>
    <s v="United States"/>
    <x v="10"/>
    <s v="First Class"/>
    <s v="Consumer"/>
    <s v="Storage"/>
    <n v="1"/>
    <n v="0"/>
    <n v="3.3629999999999995"/>
    <n v="11.21"/>
  </r>
  <r>
    <s v="United States"/>
    <x v="11"/>
    <s v="First Class"/>
    <s v="Home Office"/>
    <s v="Binders"/>
    <n v="5"/>
    <n v="0"/>
    <n v="76.399999999999991"/>
    <n v="152.79999999999998"/>
  </r>
  <r>
    <s v="United States"/>
    <x v="11"/>
    <s v="Second Class"/>
    <s v="Corporate"/>
    <s v="Accessories"/>
    <n v="5"/>
    <n v="0"/>
    <n v="111.59099999999995"/>
    <n v="619.94999999999993"/>
  </r>
  <r>
    <s v="United States"/>
    <x v="11"/>
    <s v="Second Class"/>
    <s v="Corporate"/>
    <s v="Appliances"/>
    <n v="3"/>
    <n v="0.1"/>
    <n v="5.2272000000000007"/>
    <n v="29.402999999999999"/>
  </r>
  <r>
    <s v="United States"/>
    <x v="11"/>
    <s v="Second Class"/>
    <s v="Corporate"/>
    <s v="Envelopes"/>
    <n v="7"/>
    <n v="0"/>
    <n v="27.241199999999996"/>
    <n v="57.959999999999994"/>
  </r>
  <r>
    <s v="United States"/>
    <x v="11"/>
    <s v="Second Class"/>
    <s v="Corporate"/>
    <s v="Phones"/>
    <n v="3"/>
    <n v="0"/>
    <n v="8.4563999999999986"/>
    <n v="29.160000000000004"/>
  </r>
  <r>
    <s v="United States"/>
    <x v="12"/>
    <s v="First Class"/>
    <s v="Corporate"/>
    <s v="Paper"/>
    <n v="3"/>
    <n v="0"/>
    <n v="9.3312000000000008"/>
    <n v="19.440000000000001"/>
  </r>
  <r>
    <s v="United States"/>
    <x v="13"/>
    <s v="Same Day"/>
    <s v="Consumer"/>
    <s v="Envelopes"/>
    <n v="7"/>
    <n v="0.2"/>
    <n v="16.518599999999999"/>
    <n v="48.944000000000003"/>
  </r>
  <r>
    <s v="United States"/>
    <x v="13"/>
    <s v="Same Day"/>
    <s v="Consumer"/>
    <s v="Fasteners"/>
    <n v="5"/>
    <n v="0.2"/>
    <n v="5.1910000000000007"/>
    <n v="14.320000000000002"/>
  </r>
  <r>
    <s v="United States"/>
    <x v="13"/>
    <s v="Same Day"/>
    <s v="Consumer"/>
    <s v="Furnishings"/>
    <n v="6"/>
    <n v="0.2"/>
    <n v="12.988799999999991"/>
    <n v="129.88800000000001"/>
  </r>
  <r>
    <s v="United States"/>
    <x v="13"/>
    <s v="Standard Class"/>
    <s v="Corporate"/>
    <s v="Binders"/>
    <n v="8"/>
    <n v="1.4"/>
    <n v="-23.77920000000001"/>
    <n v="29.97000000000001"/>
  </r>
  <r>
    <s v="United States"/>
    <x v="13"/>
    <s v="Standard Class"/>
    <s v="Home Office"/>
    <s v="Appliances"/>
    <n v="3"/>
    <n v="0.2"/>
    <n v="50.36579999999995"/>
    <n v="671.5440000000001"/>
  </r>
  <r>
    <s v="United States"/>
    <x v="13"/>
    <s v="Standard Class"/>
    <s v="Home Office"/>
    <s v="Binders"/>
    <n v="2"/>
    <n v="0.7"/>
    <n v="-6.921599999999998"/>
    <n v="9.8880000000000017"/>
  </r>
  <r>
    <s v="United States"/>
    <x v="14"/>
    <s v="First Class"/>
    <s v="Home Office"/>
    <s v="Paper"/>
    <n v="2"/>
    <n v="0"/>
    <n v="6.2208000000000006"/>
    <n v="12.96"/>
  </r>
  <r>
    <s v="United States"/>
    <x v="14"/>
    <s v="First Class"/>
    <s v="Home Office"/>
    <s v="Phones"/>
    <n v="3"/>
    <n v="0.2"/>
    <n v="15.111599999999999"/>
    <n v="43.176000000000002"/>
  </r>
  <r>
    <s v="United States"/>
    <x v="14"/>
    <s v="Second Class"/>
    <s v="Corporate"/>
    <s v="Bookcases"/>
    <n v="5"/>
    <n v="0.15"/>
    <n v="210.73499999999993"/>
    <n v="1194.165"/>
  </r>
  <r>
    <s v="United States"/>
    <x v="14"/>
    <s v="Second Class"/>
    <s v="Corporate"/>
    <s v="Envelopes"/>
    <n v="5"/>
    <n v="0"/>
    <n v="28.95"/>
    <n v="57.9"/>
  </r>
  <r>
    <s v="United States"/>
    <x v="14"/>
    <s v="Second Class"/>
    <s v="Corporate"/>
    <s v="Paper"/>
    <n v="5"/>
    <n v="0"/>
    <n v="15.552000000000001"/>
    <n v="32.400000000000006"/>
  </r>
  <r>
    <s v="United States"/>
    <x v="14"/>
    <s v="Second Class"/>
    <s v="Corporate"/>
    <s v="Storage"/>
    <n v="2"/>
    <n v="0"/>
    <n v="0"/>
    <n v="10.56"/>
  </r>
  <r>
    <s v="United States"/>
    <x v="14"/>
    <s v="Standard Class"/>
    <s v="Consumer"/>
    <s v="Art"/>
    <n v="3"/>
    <n v="0"/>
    <n v="2.5055999999999998"/>
    <n v="8.64"/>
  </r>
  <r>
    <s v="United States"/>
    <x v="14"/>
    <s v="Standard Class"/>
    <s v="Consumer"/>
    <s v="Chairs"/>
    <n v="5"/>
    <n v="0.2"/>
    <n v="7.0489999999999498"/>
    <n v="563.91999999999996"/>
  </r>
  <r>
    <s v="United States"/>
    <x v="14"/>
    <s v="Standard Class"/>
    <s v="Consumer"/>
    <s v="Storage"/>
    <n v="2"/>
    <n v="0"/>
    <n v="6.4649999999999892"/>
    <n v="129.30000000000001"/>
  </r>
  <r>
    <s v="United States"/>
    <x v="15"/>
    <s v="First Class"/>
    <s v="Home Office"/>
    <s v="Labels"/>
    <n v="7"/>
    <n v="0"/>
    <n v="10.348799999999999"/>
    <n v="21.560000000000002"/>
  </r>
  <r>
    <s v="United States"/>
    <x v="15"/>
    <s v="Standard Class"/>
    <s v="Consumer"/>
    <s v="Accessories"/>
    <n v="5"/>
    <n v="0"/>
    <n v="544.41749999999979"/>
    <n v="1649.75"/>
  </r>
  <r>
    <s v="United States"/>
    <x v="16"/>
    <s v="First Class"/>
    <s v="Consumer"/>
    <s v="Art"/>
    <n v="9"/>
    <n v="0.2"/>
    <n v="20.600699999999996"/>
    <n v="68.477999999999994"/>
  </r>
  <r>
    <s v="United States"/>
    <x v="16"/>
    <s v="First Class"/>
    <s v="Consumer"/>
    <s v="Bookcases"/>
    <n v="3"/>
    <n v="0"/>
    <n v="79.193399999999968"/>
    <n v="359.96999999999997"/>
  </r>
  <r>
    <s v="United States"/>
    <x v="16"/>
    <s v="First Class"/>
    <s v="Consumer"/>
    <s v="Storage"/>
    <n v="2"/>
    <n v="0.2"/>
    <n v="-2.9739999999999966"/>
    <n v="47.584000000000003"/>
  </r>
  <r>
    <s v="United States"/>
    <x v="16"/>
    <s v="First Class"/>
    <s v="Corporate"/>
    <s v="Appliances"/>
    <n v="5"/>
    <n v="0.8"/>
    <n v="-90.774000000000029"/>
    <n v="33.61999999999999"/>
  </r>
  <r>
    <s v="United States"/>
    <x v="16"/>
    <s v="First Class"/>
    <s v="Corporate"/>
    <s v="Binders"/>
    <n v="9"/>
    <n v="0.8"/>
    <n v="-62.839600000000019"/>
    <n v="54.495999999999995"/>
  </r>
  <r>
    <s v="United States"/>
    <x v="16"/>
    <s v="First Class"/>
    <s v="Corporate"/>
    <s v="Chairs"/>
    <n v="5"/>
    <n v="0.3"/>
    <n v="-39.636999999999993"/>
    <n v="213.42999999999995"/>
  </r>
  <r>
    <s v="United States"/>
    <x v="16"/>
    <s v="First Class"/>
    <s v="Corporate"/>
    <s v="Copiers"/>
    <n v="2"/>
    <n v="0.2"/>
    <n v="107.99459999999999"/>
    <n v="319.98400000000004"/>
  </r>
  <r>
    <s v="United States"/>
    <x v="16"/>
    <s v="First Class"/>
    <s v="Corporate"/>
    <s v="Fasteners"/>
    <n v="5"/>
    <n v="0.2"/>
    <n v="15.498000000000001"/>
    <n v="45.92"/>
  </r>
  <r>
    <s v="United States"/>
    <x v="16"/>
    <s v="First Class"/>
    <s v="Corporate"/>
    <s v="Furnishings"/>
    <n v="2"/>
    <n v="0.6"/>
    <n v="-11.651199999999999"/>
    <n v="21.184000000000001"/>
  </r>
  <r>
    <s v="United States"/>
    <x v="16"/>
    <s v="First Class"/>
    <s v="Corporate"/>
    <s v="Paper"/>
    <n v="5"/>
    <n v="0.2"/>
    <n v="23.914399999999997"/>
    <n v="56.176000000000002"/>
  </r>
  <r>
    <s v="United States"/>
    <x v="16"/>
    <s v="First Class"/>
    <s v="Corporate"/>
    <s v="Storage"/>
    <n v="7"/>
    <n v="0"/>
    <n v="22.527000000000001"/>
    <n v="87.85"/>
  </r>
  <r>
    <s v="United States"/>
    <x v="16"/>
    <s v="First Class"/>
    <s v="Home Office"/>
    <s v="Binders"/>
    <n v="1"/>
    <n v="0"/>
    <n v="4.8023999999999996"/>
    <n v="10.44"/>
  </r>
  <r>
    <s v="United States"/>
    <x v="16"/>
    <s v="Second Class"/>
    <s v="Consumer"/>
    <s v="Binders"/>
    <n v="11"/>
    <n v="0"/>
    <n v="44.902999999999999"/>
    <n v="94.45"/>
  </r>
  <r>
    <s v="United States"/>
    <x v="16"/>
    <s v="Second Class"/>
    <s v="Consumer"/>
    <s v="Furnishings"/>
    <n v="7"/>
    <n v="0"/>
    <n v="7.1021999999999998"/>
    <n v="18.689999999999998"/>
  </r>
  <r>
    <s v="United States"/>
    <x v="16"/>
    <s v="Second Class"/>
    <s v="Consumer"/>
    <s v="Machines"/>
    <n v="5"/>
    <n v="0"/>
    <n v="2799.9839999999995"/>
    <n v="8749.9500000000007"/>
  </r>
  <r>
    <s v="United States"/>
    <x v="16"/>
    <s v="Second Class"/>
    <s v="Consumer"/>
    <s v="Paper"/>
    <n v="11"/>
    <n v="0"/>
    <n v="34.214400000000005"/>
    <n v="71.28"/>
  </r>
  <r>
    <s v="United States"/>
    <x v="16"/>
    <s v="Second Class"/>
    <s v="Consumer"/>
    <s v="Phones"/>
    <n v="6"/>
    <n v="0"/>
    <n v="50.442599999999977"/>
    <n v="173.94"/>
  </r>
  <r>
    <s v="United States"/>
    <x v="16"/>
    <s v="Second Class"/>
    <s v="Corporate"/>
    <s v="Art"/>
    <n v="3"/>
    <n v="0.2"/>
    <n v="3.571200000000001"/>
    <n v="47.616"/>
  </r>
  <r>
    <s v="United States"/>
    <x v="16"/>
    <s v="Second Class"/>
    <s v="Corporate"/>
    <s v="Phones"/>
    <n v="9"/>
    <n v="0.2"/>
    <n v="107.95499999999998"/>
    <n v="863.6400000000001"/>
  </r>
  <r>
    <s v="United States"/>
    <x v="16"/>
    <s v="Second Class"/>
    <s v="Home Office"/>
    <s v="Bookcases"/>
    <n v="2"/>
    <n v="0"/>
    <n v="4.3371999999999957"/>
    <n v="61.96"/>
  </r>
  <r>
    <s v="United States"/>
    <x v="16"/>
    <s v="Second Class"/>
    <s v="Home Office"/>
    <s v="Furnishings"/>
    <n v="2"/>
    <n v="0"/>
    <n v="11.035399999999996"/>
    <n v="47.98"/>
  </r>
  <r>
    <s v="United States"/>
    <x v="16"/>
    <s v="Second Class"/>
    <s v="Home Office"/>
    <s v="Paper"/>
    <n v="5"/>
    <n v="0"/>
    <n v="15.552000000000001"/>
    <n v="32.400000000000006"/>
  </r>
  <r>
    <s v="United States"/>
    <x v="16"/>
    <s v="Standard Class"/>
    <s v="Consumer"/>
    <s v="Appliances"/>
    <n v="3"/>
    <n v="0"/>
    <n v="10.880999999999997"/>
    <n v="36.269999999999996"/>
  </r>
  <r>
    <s v="United States"/>
    <x v="16"/>
    <s v="Standard Class"/>
    <s v="Consumer"/>
    <s v="Art"/>
    <n v="2"/>
    <n v="0"/>
    <n v="3.157"/>
    <n v="7.7"/>
  </r>
  <r>
    <s v="United States"/>
    <x v="16"/>
    <s v="Standard Class"/>
    <s v="Consumer"/>
    <s v="Binders"/>
    <n v="7"/>
    <n v="0.8"/>
    <n v="28.235400000000002"/>
    <n v="70.343999999999994"/>
  </r>
  <r>
    <s v="United States"/>
    <x v="16"/>
    <s v="Standard Class"/>
    <s v="Consumer"/>
    <s v="Chairs"/>
    <n v="2"/>
    <n v="0"/>
    <n v="179.74880000000002"/>
    <n v="641.96"/>
  </r>
  <r>
    <s v="United States"/>
    <x v="16"/>
    <s v="Standard Class"/>
    <s v="Consumer"/>
    <s v="Furnishings"/>
    <n v="3"/>
    <n v="0"/>
    <n v="19.468799999999998"/>
    <n v="60.84"/>
  </r>
  <r>
    <s v="United States"/>
    <x v="16"/>
    <s v="Standard Class"/>
    <s v="Consumer"/>
    <s v="Paper"/>
    <n v="5"/>
    <n v="0"/>
    <n v="69.704999999999998"/>
    <n v="154.9"/>
  </r>
  <r>
    <s v="United States"/>
    <x v="16"/>
    <s v="Standard Class"/>
    <s v="Consumer"/>
    <s v="Phones"/>
    <n v="15"/>
    <n v="0"/>
    <n v="701.95499999999993"/>
    <n v="2339.8500000000004"/>
  </r>
  <r>
    <s v="United States"/>
    <x v="16"/>
    <s v="Standard Class"/>
    <s v="Consumer"/>
    <s v="Storage"/>
    <n v="28"/>
    <n v="0.60000000000000009"/>
    <n v="203.01459999999969"/>
    <n v="2730.556"/>
  </r>
  <r>
    <s v="United States"/>
    <x v="16"/>
    <s v="Standard Class"/>
    <s v="Consumer"/>
    <s v="Tables"/>
    <n v="5"/>
    <n v="0.3"/>
    <n v="-118.12950000000006"/>
    <n v="918.78499999999985"/>
  </r>
  <r>
    <s v="United States"/>
    <x v="16"/>
    <s v="Standard Class"/>
    <s v="Corporate"/>
    <s v="Accessories"/>
    <n v="8"/>
    <n v="0.4"/>
    <n v="20.665199999999992"/>
    <n v="302.25200000000007"/>
  </r>
  <r>
    <s v="United States"/>
    <x v="16"/>
    <s v="Standard Class"/>
    <s v="Corporate"/>
    <s v="Binders"/>
    <n v="8"/>
    <n v="1.6"/>
    <n v="-15.799200000000003"/>
    <n v="9.6159999999999979"/>
  </r>
  <r>
    <s v="United States"/>
    <x v="16"/>
    <s v="Standard Class"/>
    <s v="Corporate"/>
    <s v="Envelopes"/>
    <n v="9"/>
    <n v="0"/>
    <n v="12.744"/>
    <n v="26.55"/>
  </r>
  <r>
    <s v="United States"/>
    <x v="16"/>
    <s v="Standard Class"/>
    <s v="Corporate"/>
    <s v="Furnishings"/>
    <n v="10"/>
    <n v="1.2"/>
    <n v="-13.056800000000004"/>
    <n v="18.64"/>
  </r>
  <r>
    <s v="United States"/>
    <x v="16"/>
    <s v="Standard Class"/>
    <s v="Corporate"/>
    <s v="Labels"/>
    <n v="3"/>
    <n v="0.4"/>
    <n v="2.8746"/>
    <n v="8.4239999999999995"/>
  </r>
  <r>
    <s v="United States"/>
    <x v="16"/>
    <s v="Standard Class"/>
    <s v="Corporate"/>
    <s v="Paper"/>
    <n v="13"/>
    <n v="0.4"/>
    <n v="23.245199999999997"/>
    <n v="67.536000000000016"/>
  </r>
  <r>
    <s v="United States"/>
    <x v="16"/>
    <s v="Standard Class"/>
    <s v="Corporate"/>
    <s v="Tables"/>
    <n v="5"/>
    <n v="0.3"/>
    <n v="-121.87349999999992"/>
    <n v="1218.7349999999997"/>
  </r>
  <r>
    <s v="United States"/>
    <x v="16"/>
    <s v="Standard Class"/>
    <s v="Home Office"/>
    <s v="Accessories"/>
    <n v="3"/>
    <n v="0"/>
    <n v="16.2486"/>
    <n v="47.79"/>
  </r>
  <r>
    <s v="United States"/>
    <x v="16"/>
    <s v="Standard Class"/>
    <s v="Home Office"/>
    <s v="Binders"/>
    <n v="9"/>
    <n v="0.8"/>
    <n v="-17.469000000000005"/>
    <n v="11.645999999999997"/>
  </r>
  <r>
    <s v="United States"/>
    <x v="16"/>
    <s v="Standard Class"/>
    <s v="Home Office"/>
    <s v="Furnishings"/>
    <n v="5"/>
    <n v="0"/>
    <n v="18.329999999999991"/>
    <n v="61.1"/>
  </r>
  <r>
    <s v="United States"/>
    <x v="17"/>
    <s v="Standard Class"/>
    <s v="Consumer"/>
    <s v="Art"/>
    <n v="6"/>
    <n v="0.2"/>
    <n v="1.2348000000000008"/>
    <n v="14.111999999999998"/>
  </r>
  <r>
    <s v="United States"/>
    <x v="18"/>
    <s v="Second Class"/>
    <s v="Corporate"/>
    <s v="Chairs"/>
    <n v="2"/>
    <n v="0.2"/>
    <n v="52.511399999999981"/>
    <n v="466.76800000000003"/>
  </r>
  <r>
    <s v="United States"/>
    <x v="18"/>
    <s v="Second Class"/>
    <s v="Corporate"/>
    <s v="Furnishings"/>
    <n v="5"/>
    <n v="0.4"/>
    <n v="5.3083999999999989"/>
    <n v="30.368000000000002"/>
  </r>
  <r>
    <s v="United States"/>
    <x v="18"/>
    <s v="Second Class"/>
    <s v="Corporate"/>
    <s v="Labels"/>
    <n v="3"/>
    <n v="0.2"/>
    <n v="2.0358000000000001"/>
    <n v="6.2640000000000002"/>
  </r>
  <r>
    <s v="United States"/>
    <x v="19"/>
    <s v="Same Day"/>
    <s v="Consumer"/>
    <s v="Phones"/>
    <n v="5"/>
    <n v="0.2"/>
    <n v="85.247500000000002"/>
    <n v="1363.96"/>
  </r>
  <r>
    <s v="United States"/>
    <x v="19"/>
    <s v="Second Class"/>
    <s v="Corporate"/>
    <s v="Art"/>
    <n v="3"/>
    <n v="0.2"/>
    <n v="0.88559999999999883"/>
    <n v="7.8719999999999999"/>
  </r>
  <r>
    <s v="United States"/>
    <x v="19"/>
    <s v="Second Class"/>
    <s v="Corporate"/>
    <s v="Binders"/>
    <n v="8"/>
    <n v="0.7"/>
    <n v="-12.671999999999997"/>
    <n v="19.008000000000003"/>
  </r>
  <r>
    <s v="United States"/>
    <x v="19"/>
    <s v="Standard Class"/>
    <s v="Consumer"/>
    <s v="Appliances"/>
    <n v="1"/>
    <n v="0.2"/>
    <n v="4.3584000000000032"/>
    <n v="43.584000000000003"/>
  </r>
  <r>
    <s v="United States"/>
    <x v="19"/>
    <s v="Standard Class"/>
    <s v="Consumer"/>
    <s v="Art"/>
    <n v="10"/>
    <n v="0.4"/>
    <n v="3.5524999999999975"/>
    <n v="24.68"/>
  </r>
  <r>
    <s v="United States"/>
    <x v="19"/>
    <s v="Standard Class"/>
    <s v="Corporate"/>
    <s v="Storage"/>
    <n v="1"/>
    <n v="0.2"/>
    <n v="-3.864600000000002"/>
    <n v="16.272000000000002"/>
  </r>
  <r>
    <s v="United States"/>
    <x v="20"/>
    <s v="First Class"/>
    <s v="Corporate"/>
    <s v="Art"/>
    <n v="3"/>
    <n v="0"/>
    <n v="5.2397999999999998"/>
    <n v="12.78"/>
  </r>
  <r>
    <s v="United States"/>
    <x v="20"/>
    <s v="Same Day"/>
    <s v="Consumer"/>
    <s v="Labels"/>
    <n v="3"/>
    <n v="0"/>
    <n v="7.2176999999999998"/>
    <n v="14.73"/>
  </r>
  <r>
    <s v="United States"/>
    <x v="20"/>
    <s v="Standard Class"/>
    <s v="Consumer"/>
    <s v="Appliances"/>
    <n v="5"/>
    <n v="0"/>
    <n v="40.274000000000001"/>
    <n v="154.9"/>
  </r>
  <r>
    <s v="United States"/>
    <x v="20"/>
    <s v="Standard Class"/>
    <s v="Consumer"/>
    <s v="Furnishings"/>
    <n v="3"/>
    <n v="0"/>
    <n v="41.038800000000002"/>
    <n v="186.54"/>
  </r>
  <r>
    <s v="United States"/>
    <x v="20"/>
    <s v="Standard Class"/>
    <s v="Consumer"/>
    <s v="Paper"/>
    <n v="3"/>
    <n v="0"/>
    <n v="7.1280000000000001"/>
    <n v="15.84"/>
  </r>
  <r>
    <s v="United States"/>
    <x v="20"/>
    <s v="Standard Class"/>
    <s v="Consumer"/>
    <s v="Phones"/>
    <n v="7"/>
    <n v="0"/>
    <n v="293.98040000000003"/>
    <n v="1049.93"/>
  </r>
  <r>
    <s v="United States"/>
    <x v="20"/>
    <s v="Standard Class"/>
    <s v="Corporate"/>
    <s v="Accessories"/>
    <n v="1"/>
    <n v="0"/>
    <n v="28.796399999999998"/>
    <n v="79.989999999999995"/>
  </r>
  <r>
    <s v="United States"/>
    <x v="20"/>
    <s v="Standard Class"/>
    <s v="Corporate"/>
    <s v="Phones"/>
    <n v="5"/>
    <n v="0"/>
    <n v="55.647000000000006"/>
    <n v="206.1"/>
  </r>
  <r>
    <s v="United States"/>
    <x v="21"/>
    <s v="First Class"/>
    <s v="Consumer"/>
    <s v="Binders"/>
    <n v="4"/>
    <n v="0"/>
    <n v="7.4824000000000002"/>
    <n v="15.92"/>
  </r>
  <r>
    <s v="United States"/>
    <x v="21"/>
    <s v="First Class"/>
    <s v="Consumer"/>
    <s v="Storage"/>
    <n v="6"/>
    <n v="0"/>
    <n v="175.51560000000001"/>
    <n v="1350.1200000000001"/>
  </r>
  <r>
    <s v="United States"/>
    <x v="21"/>
    <s v="First Class"/>
    <s v="Corporate"/>
    <s v="Paper"/>
    <n v="2"/>
    <n v="0"/>
    <n v="4.8804000000000007"/>
    <n v="9.9600000000000009"/>
  </r>
  <r>
    <s v="United States"/>
    <x v="21"/>
    <s v="Same Day"/>
    <s v="Consumer"/>
    <s v="Paper"/>
    <n v="4"/>
    <n v="0"/>
    <n v="91.950799999999987"/>
    <n v="195.64"/>
  </r>
  <r>
    <s v="United States"/>
    <x v="21"/>
    <s v="Second Class"/>
    <s v="Consumer"/>
    <s v="Accessories"/>
    <n v="2"/>
    <n v="0"/>
    <n v="114.99540000000002"/>
    <n v="499.98"/>
  </r>
  <r>
    <s v="United States"/>
    <x v="21"/>
    <s v="Second Class"/>
    <s v="Consumer"/>
    <s v="Art"/>
    <n v="3"/>
    <n v="0"/>
    <n v="4.5836999999999994"/>
    <n v="13.89"/>
  </r>
  <r>
    <s v="United States"/>
    <x v="21"/>
    <s v="Second Class"/>
    <s v="Consumer"/>
    <s v="Binders"/>
    <n v="2"/>
    <n v="0"/>
    <n v="3.8822000000000001"/>
    <n v="8.26"/>
  </r>
  <r>
    <s v="United States"/>
    <x v="21"/>
    <s v="Second Class"/>
    <s v="Consumer"/>
    <s v="Paper"/>
    <n v="13"/>
    <n v="0"/>
    <n v="35.112899999999996"/>
    <n v="72.09"/>
  </r>
  <r>
    <s v="United States"/>
    <x v="21"/>
    <s v="Second Class"/>
    <s v="Corporate"/>
    <s v="Binders"/>
    <n v="5"/>
    <n v="0"/>
    <n v="48.047600000000003"/>
    <n v="98.66"/>
  </r>
  <r>
    <s v="United States"/>
    <x v="21"/>
    <s v="Second Class"/>
    <s v="Corporate"/>
    <s v="Copiers"/>
    <n v="5"/>
    <n v="0"/>
    <n v="1439.9760000000001"/>
    <n v="2999.95"/>
  </r>
  <r>
    <s v="United States"/>
    <x v="21"/>
    <s v="Standard Class"/>
    <s v="Consumer"/>
    <s v="Accessories"/>
    <n v="13"/>
    <n v="0"/>
    <n v="51.93089999999998"/>
    <n v="319.70999999999998"/>
  </r>
  <r>
    <s v="United States"/>
    <x v="21"/>
    <s v="Standard Class"/>
    <s v="Consumer"/>
    <s v="Appliances"/>
    <n v="6"/>
    <n v="0"/>
    <n v="158.74679999999998"/>
    <n v="568.79999999999995"/>
  </r>
  <r>
    <s v="United States"/>
    <x v="21"/>
    <s v="Standard Class"/>
    <s v="Consumer"/>
    <s v="Art"/>
    <n v="4"/>
    <n v="0"/>
    <n v="2.9081999999999999"/>
    <n v="11.08"/>
  </r>
  <r>
    <s v="United States"/>
    <x v="21"/>
    <s v="Standard Class"/>
    <s v="Consumer"/>
    <s v="Binders"/>
    <n v="6"/>
    <n v="0"/>
    <n v="3178.8371999999999"/>
    <n v="6357.73"/>
  </r>
  <r>
    <s v="United States"/>
    <x v="21"/>
    <s v="Standard Class"/>
    <s v="Consumer"/>
    <s v="Bookcases"/>
    <n v="9"/>
    <n v="0"/>
    <n v="374.62859999999989"/>
    <n v="1628.82"/>
  </r>
  <r>
    <s v="United States"/>
    <x v="21"/>
    <s v="Standard Class"/>
    <s v="Consumer"/>
    <s v="Chairs"/>
    <n v="2"/>
    <n v="0"/>
    <n v="18.327599999999997"/>
    <n v="67.88"/>
  </r>
  <r>
    <s v="United States"/>
    <x v="21"/>
    <s v="Standard Class"/>
    <s v="Consumer"/>
    <s v="Furnishings"/>
    <n v="6"/>
    <n v="0"/>
    <n v="22.248599999999989"/>
    <n v="155.64000000000001"/>
  </r>
  <r>
    <s v="United States"/>
    <x v="21"/>
    <s v="Standard Class"/>
    <s v="Consumer"/>
    <s v="Labels"/>
    <n v="16"/>
    <n v="0"/>
    <n v="80.791899999999984"/>
    <n v="171.52999999999997"/>
  </r>
  <r>
    <s v="United States"/>
    <x v="21"/>
    <s v="Standard Class"/>
    <s v="Consumer"/>
    <s v="Paper"/>
    <n v="26"/>
    <n v="0"/>
    <n v="325.59620000000001"/>
    <n v="669.94"/>
  </r>
  <r>
    <s v="United States"/>
    <x v="21"/>
    <s v="Standard Class"/>
    <s v="Consumer"/>
    <s v="Phones"/>
    <n v="4"/>
    <n v="0"/>
    <n v="137.6977"/>
    <n v="513.91999999999996"/>
  </r>
  <r>
    <s v="United States"/>
    <x v="21"/>
    <s v="Standard Class"/>
    <s v="Consumer"/>
    <s v="Storage"/>
    <n v="3"/>
    <n v="0"/>
    <n v="11.684999999999999"/>
    <n v="46.74"/>
  </r>
  <r>
    <s v="United States"/>
    <x v="21"/>
    <s v="Standard Class"/>
    <s v="Corporate"/>
    <s v="Art"/>
    <n v="3"/>
    <n v="0"/>
    <n v="3.7235999999999989"/>
    <n v="12.84"/>
  </r>
  <r>
    <s v="United States"/>
    <x v="21"/>
    <s v="Standard Class"/>
    <s v="Corporate"/>
    <s v="Labels"/>
    <n v="3"/>
    <n v="0"/>
    <n v="5.6993999999999998"/>
    <n v="12.39"/>
  </r>
  <r>
    <s v="United States"/>
    <x v="21"/>
    <s v="Standard Class"/>
    <s v="Home Office"/>
    <s v="Binders"/>
    <n v="1"/>
    <n v="0"/>
    <n v="635.495"/>
    <n v="1270.99"/>
  </r>
  <r>
    <s v="United States"/>
    <x v="21"/>
    <s v="Standard Class"/>
    <s v="Home Office"/>
    <s v="Envelopes"/>
    <n v="8"/>
    <n v="0"/>
    <n v="58.919199999999989"/>
    <n v="125.36"/>
  </r>
  <r>
    <s v="United States"/>
    <x v="22"/>
    <s v="Second Class"/>
    <s v="Corporate"/>
    <s v="Envelopes"/>
    <n v="2"/>
    <n v="0"/>
    <n v="11.68"/>
    <n v="23.36"/>
  </r>
  <r>
    <s v="United States"/>
    <x v="23"/>
    <s v="Second Class"/>
    <s v="Consumer"/>
    <s v="Art"/>
    <n v="15"/>
    <n v="0"/>
    <n v="97.501200000000011"/>
    <n v="363.71999999999997"/>
  </r>
  <r>
    <s v="United States"/>
    <x v="23"/>
    <s v="Second Class"/>
    <s v="Consumer"/>
    <s v="Envelopes"/>
    <n v="2"/>
    <n v="0"/>
    <n v="3.3947999999999996"/>
    <n v="7.38"/>
  </r>
  <r>
    <s v="United States"/>
    <x v="23"/>
    <s v="Second Class"/>
    <s v="Consumer"/>
    <s v="Fasteners"/>
    <n v="9"/>
    <n v="0"/>
    <n v="13.324499999999999"/>
    <n v="29.61"/>
  </r>
  <r>
    <s v="United States"/>
    <x v="23"/>
    <s v="Second Class"/>
    <s v="Consumer"/>
    <s v="Labels"/>
    <n v="5"/>
    <n v="0"/>
    <n v="240.8595"/>
    <n v="491.55"/>
  </r>
  <r>
    <s v="United States"/>
    <x v="23"/>
    <s v="Second Class"/>
    <s v="Consumer"/>
    <s v="Phones"/>
    <n v="4"/>
    <n v="0"/>
    <n v="9.1311999999999998"/>
    <n v="35.119999999999997"/>
  </r>
  <r>
    <s v="United States"/>
    <x v="23"/>
    <s v="Second Class"/>
    <s v="Consumer"/>
    <s v="Storage"/>
    <n v="3"/>
    <n v="0"/>
    <n v="9.716399999999993"/>
    <n v="161.94"/>
  </r>
  <r>
    <s v="United States"/>
    <x v="23"/>
    <s v="Second Class"/>
    <s v="Corporate"/>
    <s v="Paper"/>
    <n v="8"/>
    <n v="0"/>
    <n v="22.540800000000001"/>
    <n v="46.96"/>
  </r>
  <r>
    <s v="United States"/>
    <x v="23"/>
    <s v="Standard Class"/>
    <s v="Consumer"/>
    <s v="Art"/>
    <n v="2"/>
    <n v="0"/>
    <n v="3.0557999999999996"/>
    <n v="9.26"/>
  </r>
  <r>
    <s v="United States"/>
    <x v="23"/>
    <s v="Standard Class"/>
    <s v="Consumer"/>
    <s v="Binders"/>
    <n v="3"/>
    <n v="0.2"/>
    <n v="5.8230000000000004"/>
    <n v="15.528"/>
  </r>
  <r>
    <s v="United States"/>
    <x v="23"/>
    <s v="Standard Class"/>
    <s v="Consumer"/>
    <s v="Chairs"/>
    <n v="1"/>
    <n v="0"/>
    <n v="84.23520000000002"/>
    <n v="350.98"/>
  </r>
  <r>
    <s v="United States"/>
    <x v="23"/>
    <s v="Standard Class"/>
    <s v="Consumer"/>
    <s v="Envelopes"/>
    <n v="1"/>
    <n v="0"/>
    <n v="12.7746"/>
    <n v="27.18"/>
  </r>
  <r>
    <s v="United States"/>
    <x v="23"/>
    <s v="Standard Class"/>
    <s v="Consumer"/>
    <s v="Fasteners"/>
    <n v="1"/>
    <n v="0"/>
    <n v="0.58279999999999998"/>
    <n v="1.24"/>
  </r>
  <r>
    <s v="United States"/>
    <x v="23"/>
    <s v="Standard Class"/>
    <s v="Consumer"/>
    <s v="Labels"/>
    <n v="2"/>
    <n v="0"/>
    <n v="9.9359999999999999"/>
    <n v="20.7"/>
  </r>
  <r>
    <s v="United States"/>
    <x v="23"/>
    <s v="Standard Class"/>
    <s v="Consumer"/>
    <s v="Paper"/>
    <n v="7"/>
    <n v="0"/>
    <n v="20.177800000000001"/>
    <n v="41.980000000000004"/>
  </r>
  <r>
    <s v="United States"/>
    <x v="23"/>
    <s v="Standard Class"/>
    <s v="Consumer"/>
    <s v="Storage"/>
    <n v="6"/>
    <n v="0"/>
    <n v="121.2496"/>
    <n v="1006.0600000000001"/>
  </r>
  <r>
    <s v="United States"/>
    <x v="23"/>
    <s v="Standard Class"/>
    <s v="Corporate"/>
    <s v="Art"/>
    <n v="3"/>
    <n v="0"/>
    <n v="5.2112999999999996"/>
    <n v="17.97"/>
  </r>
  <r>
    <s v="United States"/>
    <x v="23"/>
    <s v="Standard Class"/>
    <s v="Corporate"/>
    <s v="Furnishings"/>
    <n v="5"/>
    <n v="0"/>
    <n v="72.807000000000031"/>
    <n v="520.05000000000007"/>
  </r>
  <r>
    <s v="United States"/>
    <x v="23"/>
    <s v="Standard Class"/>
    <s v="Home Office"/>
    <s v="Art"/>
    <n v="2"/>
    <n v="0"/>
    <n v="1.0903999999999998"/>
    <n v="3.76"/>
  </r>
  <r>
    <s v="United States"/>
    <x v="23"/>
    <s v="Standard Class"/>
    <s v="Home Office"/>
    <s v="Furnishings"/>
    <n v="1"/>
    <n v="0"/>
    <n v="1.5047999999999999"/>
    <n v="4.18"/>
  </r>
  <r>
    <s v="United States"/>
    <x v="24"/>
    <s v="First Class"/>
    <s v="Consumer"/>
    <s v="Paper"/>
    <n v="6"/>
    <n v="0.2"/>
    <n v="67.442399999999992"/>
    <n v="186.048"/>
  </r>
  <r>
    <s v="United States"/>
    <x v="24"/>
    <s v="First Class"/>
    <s v="Consumer"/>
    <s v="Phones"/>
    <n v="7"/>
    <n v="0.2"/>
    <n v="15.742999999999984"/>
    <n v="125.944"/>
  </r>
  <r>
    <s v="United States"/>
    <x v="24"/>
    <s v="First Class"/>
    <s v="Corporate"/>
    <s v="Accessories"/>
    <n v="7"/>
    <n v="0.2"/>
    <n v="-14.793099999999995"/>
    <n v="169.06400000000002"/>
  </r>
  <r>
    <s v="United States"/>
    <x v="24"/>
    <s v="First Class"/>
    <s v="Corporate"/>
    <s v="Appliances"/>
    <n v="2"/>
    <n v="0.2"/>
    <n v="3.2432000000000016"/>
    <n v="32.432000000000002"/>
  </r>
  <r>
    <s v="United States"/>
    <x v="24"/>
    <s v="First Class"/>
    <s v="Corporate"/>
    <s v="Furnishings"/>
    <n v="4"/>
    <n v="0.2"/>
    <n v="4.0039999999999978"/>
    <n v="24.64"/>
  </r>
  <r>
    <s v="United States"/>
    <x v="24"/>
    <s v="First Class"/>
    <s v="Corporate"/>
    <s v="Paper"/>
    <n v="4"/>
    <n v="0.2"/>
    <n v="62.137599999999992"/>
    <n v="177.536"/>
  </r>
  <r>
    <s v="United States"/>
    <x v="24"/>
    <s v="First Class"/>
    <s v="Corporate"/>
    <s v="Phones"/>
    <n v="1"/>
    <n v="0.2"/>
    <n v="2.5973999999999995"/>
    <n v="7.9920000000000009"/>
  </r>
  <r>
    <s v="United States"/>
    <x v="24"/>
    <s v="First Class"/>
    <s v="Corporate"/>
    <s v="Storage"/>
    <n v="9"/>
    <n v="0.2"/>
    <n v="14.754599999999996"/>
    <n v="168.624"/>
  </r>
  <r>
    <s v="United States"/>
    <x v="24"/>
    <s v="First Class"/>
    <s v="Home Office"/>
    <s v="Accessories"/>
    <n v="2"/>
    <n v="0.2"/>
    <n v="1.359599999999995"/>
    <n v="54.384000000000007"/>
  </r>
  <r>
    <s v="United States"/>
    <x v="24"/>
    <s v="First Class"/>
    <s v="Home Office"/>
    <s v="Appliances"/>
    <n v="2"/>
    <n v="0.2"/>
    <n v="26.22399999999999"/>
    <n v="209.79200000000003"/>
  </r>
  <r>
    <s v="United States"/>
    <x v="24"/>
    <s v="First Class"/>
    <s v="Home Office"/>
    <s v="Binders"/>
    <n v="4"/>
    <n v="0.7"/>
    <n v="-58.861599999999981"/>
    <n v="76.77600000000001"/>
  </r>
  <r>
    <s v="United States"/>
    <x v="24"/>
    <s v="First Class"/>
    <s v="Home Office"/>
    <s v="Furnishings"/>
    <n v="1"/>
    <n v="0.2"/>
    <n v="3.2776000000000014"/>
    <n v="32.776000000000003"/>
  </r>
  <r>
    <s v="United States"/>
    <x v="24"/>
    <s v="First Class"/>
    <s v="Home Office"/>
    <s v="Paper"/>
    <n v="3"/>
    <n v="0.2"/>
    <n v="5.2026000000000003"/>
    <n v="14.352000000000002"/>
  </r>
  <r>
    <s v="United States"/>
    <x v="24"/>
    <s v="First Class"/>
    <s v="Home Office"/>
    <s v="Storage"/>
    <n v="2"/>
    <n v="0.2"/>
    <n v="-29.436800000000012"/>
    <n v="147.184"/>
  </r>
  <r>
    <s v="United States"/>
    <x v="24"/>
    <s v="First Class"/>
    <s v="Home Office"/>
    <s v="Tables"/>
    <n v="7"/>
    <n v="0.5"/>
    <n v="-525.6405000000002"/>
    <n v="796.42500000000007"/>
  </r>
  <r>
    <s v="United States"/>
    <x v="24"/>
    <s v="Same Day"/>
    <s v="Consumer"/>
    <s v="Chairs"/>
    <n v="2"/>
    <n v="0.3"/>
    <n v="-14.870399999999961"/>
    <n v="520.46399999999994"/>
  </r>
  <r>
    <s v="United States"/>
    <x v="24"/>
    <s v="Same Day"/>
    <s v="Consumer"/>
    <s v="Furnishings"/>
    <n v="1"/>
    <n v="0.6"/>
    <n v="-66.061999999999998"/>
    <n v="77.720000000000013"/>
  </r>
  <r>
    <s v="United States"/>
    <x v="24"/>
    <s v="Same Day"/>
    <s v="Consumer"/>
    <s v="Paper"/>
    <n v="2"/>
    <n v="0.2"/>
    <n v="3.6288"/>
    <n v="10.368000000000002"/>
  </r>
  <r>
    <s v="United States"/>
    <x v="24"/>
    <s v="Same Day"/>
    <s v="Home Office"/>
    <s v="Appliances"/>
    <n v="5"/>
    <n v="0.8"/>
    <n v="-191.619"/>
    <n v="70.969999999999985"/>
  </r>
  <r>
    <s v="United States"/>
    <x v="24"/>
    <s v="Same Day"/>
    <s v="Home Office"/>
    <s v="Art"/>
    <n v="2"/>
    <n v="0.2"/>
    <n v="3.6784000000000017"/>
    <n v="36.783999999999999"/>
  </r>
  <r>
    <s v="United States"/>
    <x v="24"/>
    <s v="Same Day"/>
    <s v="Home Office"/>
    <s v="Binders"/>
    <n v="2"/>
    <n v="0.8"/>
    <n v="-3.4619999999999997"/>
    <n v="2.3079999999999994"/>
  </r>
  <r>
    <s v="United States"/>
    <x v="24"/>
    <s v="Same Day"/>
    <s v="Home Office"/>
    <s v="Chairs"/>
    <n v="2"/>
    <n v="0.3"/>
    <n v="-50.098000000000013"/>
    <n v="701.37199999999996"/>
  </r>
  <r>
    <s v="United States"/>
    <x v="24"/>
    <s v="Second Class"/>
    <s v="Consumer"/>
    <s v="Accessories"/>
    <n v="5"/>
    <n v="0.2"/>
    <n v="29.950000000000003"/>
    <n v="119.80000000000001"/>
  </r>
  <r>
    <s v="United States"/>
    <x v="24"/>
    <s v="Second Class"/>
    <s v="Consumer"/>
    <s v="Binders"/>
    <n v="9"/>
    <n v="1.4"/>
    <n v="-10.796399999999998"/>
    <n v="14.508000000000001"/>
  </r>
  <r>
    <s v="United States"/>
    <x v="24"/>
    <s v="Second Class"/>
    <s v="Consumer"/>
    <s v="Bookcases"/>
    <n v="6"/>
    <n v="0.7"/>
    <n v="-247.79879999999997"/>
    <n v="145.76400000000001"/>
  </r>
  <r>
    <s v="United States"/>
    <x v="24"/>
    <s v="Second Class"/>
    <s v="Consumer"/>
    <s v="Phones"/>
    <n v="4"/>
    <n v="0.2"/>
    <n v="30.076800000000006"/>
    <n v="300.76799999999997"/>
  </r>
  <r>
    <s v="United States"/>
    <x v="24"/>
    <s v="Second Class"/>
    <s v="Consumer"/>
    <s v="Storage"/>
    <n v="3"/>
    <n v="0.2"/>
    <n v="-51.719100000000012"/>
    <n v="243.38400000000001"/>
  </r>
  <r>
    <s v="United States"/>
    <x v="24"/>
    <s v="Second Class"/>
    <s v="Consumer"/>
    <s v="Tables"/>
    <n v="3"/>
    <n v="0.5"/>
    <n v="-209.76929999999999"/>
    <n v="268.935"/>
  </r>
  <r>
    <s v="United States"/>
    <x v="24"/>
    <s v="Second Class"/>
    <s v="Corporate"/>
    <s v="Binders"/>
    <n v="11"/>
    <n v="1.6"/>
    <n v="-169.41840000000008"/>
    <n v="97.055999999999983"/>
  </r>
  <r>
    <s v="United States"/>
    <x v="24"/>
    <s v="Second Class"/>
    <s v="Corporate"/>
    <s v="Chairs"/>
    <n v="2"/>
    <n v="0.3"/>
    <n v="-14.478399999999993"/>
    <n v="253.37199999999996"/>
  </r>
  <r>
    <s v="United States"/>
    <x v="24"/>
    <s v="Second Class"/>
    <s v="Corporate"/>
    <s v="Fasteners"/>
    <n v="1"/>
    <n v="0.2"/>
    <n v="0.8224999999999999"/>
    <n v="2.6320000000000001"/>
  </r>
  <r>
    <s v="United States"/>
    <x v="24"/>
    <s v="Second Class"/>
    <s v="Corporate"/>
    <s v="Furnishings"/>
    <n v="8"/>
    <n v="0.6"/>
    <n v="-27.129599999999996"/>
    <n v="60.288000000000004"/>
  </r>
  <r>
    <s v="United States"/>
    <x v="24"/>
    <s v="Second Class"/>
    <s v="Corporate"/>
    <s v="Paper"/>
    <n v="9"/>
    <n v="0.2"/>
    <n v="7.698599999999999"/>
    <n v="23.688000000000002"/>
  </r>
  <r>
    <s v="United States"/>
    <x v="24"/>
    <s v="Second Class"/>
    <s v="Home Office"/>
    <s v="Accessories"/>
    <n v="7"/>
    <n v="0.2"/>
    <n v="-0.62650000000000716"/>
    <n v="50.120000000000005"/>
  </r>
  <r>
    <s v="United States"/>
    <x v="24"/>
    <s v="Second Class"/>
    <s v="Home Office"/>
    <s v="Furnishings"/>
    <n v="4"/>
    <n v="0.6"/>
    <n v="-302.72000000000003"/>
    <n v="242.17600000000004"/>
  </r>
  <r>
    <s v="United States"/>
    <x v="24"/>
    <s v="Standard Class"/>
    <s v="Consumer"/>
    <s v="Accessories"/>
    <n v="6"/>
    <n v="0.2"/>
    <n v="-26.875800000000012"/>
    <n v="238.89600000000002"/>
  </r>
  <r>
    <s v="United States"/>
    <x v="24"/>
    <s v="Standard Class"/>
    <s v="Consumer"/>
    <s v="Appliances"/>
    <n v="3"/>
    <n v="0.2"/>
    <n v="12.232799999999997"/>
    <n v="122.328"/>
  </r>
  <r>
    <s v="United States"/>
    <x v="24"/>
    <s v="Standard Class"/>
    <s v="Consumer"/>
    <s v="Art"/>
    <n v="2"/>
    <n v="0.2"/>
    <n v="3.1535999999999995"/>
    <n v="9.3439999999999994"/>
  </r>
  <r>
    <s v="United States"/>
    <x v="24"/>
    <s v="Standard Class"/>
    <s v="Consumer"/>
    <s v="Binders"/>
    <n v="8"/>
    <n v="2.0999999999999996"/>
    <n v="-40.456200000000003"/>
    <n v="56.844000000000008"/>
  </r>
  <r>
    <s v="United States"/>
    <x v="24"/>
    <s v="Standard Class"/>
    <s v="Consumer"/>
    <s v="Chairs"/>
    <n v="6"/>
    <n v="0.6"/>
    <n v="-71.65379999999999"/>
    <n v="367.416"/>
  </r>
  <r>
    <s v="United States"/>
    <x v="24"/>
    <s v="Standard Class"/>
    <s v="Consumer"/>
    <s v="Envelopes"/>
    <n v="5"/>
    <n v="0.4"/>
    <n v="94.875299999999982"/>
    <n v="281.11200000000002"/>
  </r>
  <r>
    <s v="United States"/>
    <x v="24"/>
    <s v="Standard Class"/>
    <s v="Consumer"/>
    <s v="Fasteners"/>
    <n v="3"/>
    <n v="0.2"/>
    <n v="0.84599999999999964"/>
    <n v="4.5120000000000005"/>
  </r>
  <r>
    <s v="United States"/>
    <x v="24"/>
    <s v="Standard Class"/>
    <s v="Consumer"/>
    <s v="Furnishings"/>
    <n v="3"/>
    <n v="0.2"/>
    <n v="-3.8385000000000105"/>
    <n v="102.35999999999999"/>
  </r>
  <r>
    <s v="United States"/>
    <x v="24"/>
    <s v="Standard Class"/>
    <s v="Consumer"/>
    <s v="Phones"/>
    <n v="4"/>
    <n v="0.2"/>
    <n v="250.39599999999984"/>
    <n v="2003.1680000000001"/>
  </r>
  <r>
    <s v="United States"/>
    <x v="24"/>
    <s v="Standard Class"/>
    <s v="Consumer"/>
    <s v="Storage"/>
    <n v="2"/>
    <n v="0.2"/>
    <n v="-55.256"/>
    <n v="221.024"/>
  </r>
  <r>
    <s v="United States"/>
    <x v="24"/>
    <s v="Standard Class"/>
    <s v="Consumer"/>
    <s v="Supplies"/>
    <n v="4"/>
    <n v="0.2"/>
    <n v="2.7719999999999994"/>
    <n v="31.680000000000003"/>
  </r>
  <r>
    <s v="United States"/>
    <x v="24"/>
    <s v="Standard Class"/>
    <s v="Consumer"/>
    <s v="Tables"/>
    <n v="1"/>
    <n v="0.5"/>
    <n v="-47.174999999999997"/>
    <n v="69.375"/>
  </r>
  <r>
    <s v="United States"/>
    <x v="24"/>
    <s v="Standard Class"/>
    <s v="Corporate"/>
    <s v="Furnishings"/>
    <n v="3"/>
    <n v="0.2"/>
    <n v="4.3679999999999986"/>
    <n v="24.96"/>
  </r>
  <r>
    <s v="United States"/>
    <x v="24"/>
    <s v="Standard Class"/>
    <s v="Corporate"/>
    <s v="Storage"/>
    <n v="4"/>
    <n v="0.2"/>
    <n v="17.42799999999999"/>
    <n v="139.42400000000001"/>
  </r>
  <r>
    <s v="United States"/>
    <x v="24"/>
    <s v="Standard Class"/>
    <s v="Corporate"/>
    <s v="Tables"/>
    <n v="13"/>
    <n v="1.5"/>
    <n v="-938.83780000000024"/>
    <n v="1446.5450000000001"/>
  </r>
  <r>
    <s v="United States"/>
    <x v="24"/>
    <s v="Standard Class"/>
    <s v="Home Office"/>
    <s v="Appliances"/>
    <n v="5"/>
    <n v="0.2"/>
    <n v="3.2669999999999995"/>
    <n v="43.560000000000009"/>
  </r>
  <r>
    <s v="United States"/>
    <x v="24"/>
    <s v="Standard Class"/>
    <s v="Home Office"/>
    <s v="Art"/>
    <n v="2"/>
    <n v="0.2"/>
    <n v="2.3685999999999989"/>
    <n v="14.576000000000001"/>
  </r>
  <r>
    <s v="United States"/>
    <x v="24"/>
    <s v="Standard Class"/>
    <s v="Home Office"/>
    <s v="Binders"/>
    <n v="7"/>
    <n v="0.8"/>
    <n v="-46.394600000000011"/>
    <n v="29.931999999999992"/>
  </r>
  <r>
    <s v="United States"/>
    <x v="24"/>
    <s v="Standard Class"/>
    <s v="Home Office"/>
    <s v="Furnishings"/>
    <n v="5"/>
    <n v="0.8"/>
    <n v="-82.744399999999985"/>
    <n v="105.392"/>
  </r>
  <r>
    <s v="United States"/>
    <x v="24"/>
    <s v="Standard Class"/>
    <s v="Home Office"/>
    <s v="Phones"/>
    <n v="4"/>
    <n v="0.2"/>
    <n v="3.8272000000000013"/>
    <n v="38.272000000000006"/>
  </r>
  <r>
    <s v="United States"/>
    <x v="24"/>
    <s v="Standard Class"/>
    <s v="Home Office"/>
    <s v="Storage"/>
    <n v="17"/>
    <n v="0.60000000000000009"/>
    <n v="-67.312200000000061"/>
    <n v="833.47199999999998"/>
  </r>
  <r>
    <s v="United States"/>
    <x v="24"/>
    <s v="Standard Class"/>
    <s v="Home Office"/>
    <s v="Supplies"/>
    <n v="2"/>
    <n v="0.2"/>
    <n v="0.72999999999999954"/>
    <n v="5.84"/>
  </r>
  <r>
    <s v="United States"/>
    <x v="25"/>
    <s v="First Class"/>
    <s v="Consumer"/>
    <s v="Accessories"/>
    <n v="10"/>
    <n v="0.4"/>
    <n v="27.696000000000005"/>
    <n v="110.57599999999999"/>
  </r>
  <r>
    <s v="United States"/>
    <x v="25"/>
    <s v="First Class"/>
    <s v="Consumer"/>
    <s v="Binders"/>
    <n v="5"/>
    <n v="1.6"/>
    <n v="-59.082200000000007"/>
    <n v="37.059999999999988"/>
  </r>
  <r>
    <s v="United States"/>
    <x v="25"/>
    <s v="Same Day"/>
    <s v="Consumer"/>
    <s v="Accessories"/>
    <n v="3"/>
    <n v="0.2"/>
    <n v="20.343900000000001"/>
    <n v="95.736000000000004"/>
  </r>
  <r>
    <s v="United States"/>
    <x v="25"/>
    <s v="Same Day"/>
    <s v="Consumer"/>
    <s v="Paper"/>
    <n v="2"/>
    <n v="0.2"/>
    <n v="3.6288"/>
    <n v="10.368000000000002"/>
  </r>
  <r>
    <s v="United States"/>
    <x v="25"/>
    <s v="Second Class"/>
    <s v="Home Office"/>
    <s v="Binders"/>
    <n v="3"/>
    <n v="0.8"/>
    <n v="-5.8230000000000004"/>
    <n v="3.8819999999999988"/>
  </r>
  <r>
    <s v="United States"/>
    <x v="25"/>
    <s v="Second Class"/>
    <s v="Home Office"/>
    <s v="Phones"/>
    <n v="6"/>
    <n v="0.2"/>
    <n v="265.42320000000001"/>
    <n v="758.35200000000009"/>
  </r>
  <r>
    <s v="United States"/>
    <x v="25"/>
    <s v="Standard Class"/>
    <s v="Consumer"/>
    <s v="Accessories"/>
    <n v="5"/>
    <n v="0.4"/>
    <n v="4.3607999999999976"/>
    <n v="77.568000000000012"/>
  </r>
  <r>
    <s v="United States"/>
    <x v="25"/>
    <s v="Standard Class"/>
    <s v="Consumer"/>
    <s v="Binders"/>
    <n v="10"/>
    <n v="1.6"/>
    <n v="-19.982100000000003"/>
    <n v="12.533999999999995"/>
  </r>
  <r>
    <s v="United States"/>
    <x v="25"/>
    <s v="Standard Class"/>
    <s v="Consumer"/>
    <s v="Envelopes"/>
    <n v="2"/>
    <n v="0.2"/>
    <n v="6.3684000000000003"/>
    <n v="17.568000000000001"/>
  </r>
  <r>
    <s v="United States"/>
    <x v="25"/>
    <s v="Standard Class"/>
    <s v="Consumer"/>
    <s v="Fasteners"/>
    <n v="2"/>
    <n v="0.2"/>
    <n v="0.56679999999999997"/>
    <n v="3.4880000000000004"/>
  </r>
  <r>
    <s v="United States"/>
    <x v="25"/>
    <s v="Standard Class"/>
    <s v="Consumer"/>
    <s v="Paper"/>
    <n v="16"/>
    <n v="0.60000000000000009"/>
    <n v="192.95729999999998"/>
    <n v="574.63200000000006"/>
  </r>
  <r>
    <s v="United States"/>
    <x v="25"/>
    <s v="Standard Class"/>
    <s v="Consumer"/>
    <s v="Phones"/>
    <n v="1"/>
    <n v="0.2"/>
    <n v="5.5992000000000015"/>
    <n v="55.991999999999997"/>
  </r>
  <r>
    <s v="United States"/>
    <x v="25"/>
    <s v="Standard Class"/>
    <s v="Consumer"/>
    <s v="Storage"/>
    <n v="14"/>
    <n v="1"/>
    <n v="-133.2997"/>
    <n v="1054.3920000000001"/>
  </r>
  <r>
    <s v="United States"/>
    <x v="25"/>
    <s v="Standard Class"/>
    <s v="Consumer"/>
    <s v="Supplies"/>
    <n v="2"/>
    <n v="0.2"/>
    <n v="-1.3248000000000004"/>
    <n v="5.8880000000000008"/>
  </r>
  <r>
    <s v="United States"/>
    <x v="25"/>
    <s v="Standard Class"/>
    <s v="Corporate"/>
    <s v="Appliances"/>
    <n v="4"/>
    <n v="0.8"/>
    <n v="-131.71680000000001"/>
    <n v="48.783999999999985"/>
  </r>
  <r>
    <s v="United States"/>
    <x v="25"/>
    <s v="Standard Class"/>
    <s v="Corporate"/>
    <s v="Binders"/>
    <n v="10"/>
    <n v="1.6"/>
    <n v="-48.227199999999996"/>
    <n v="31.711999999999993"/>
  </r>
  <r>
    <s v="United States"/>
    <x v="25"/>
    <s v="Standard Class"/>
    <s v="Corporate"/>
    <s v="Chairs"/>
    <n v="8"/>
    <n v="0.6"/>
    <n v="-27.41279999999999"/>
    <n v="527.68799999999999"/>
  </r>
  <r>
    <s v="United States"/>
    <x v="25"/>
    <s v="Standard Class"/>
    <s v="Corporate"/>
    <s v="Fasteners"/>
    <n v="2"/>
    <n v="0.2"/>
    <n v="0.4705999999999998"/>
    <n v="2.8960000000000004"/>
  </r>
  <r>
    <s v="United States"/>
    <x v="25"/>
    <s v="Standard Class"/>
    <s v="Corporate"/>
    <s v="Machines"/>
    <n v="3"/>
    <n v="0.4"/>
    <n v="-263.99670000000026"/>
    <n v="1439.982"/>
  </r>
  <r>
    <s v="United States"/>
    <x v="25"/>
    <s v="Standard Class"/>
    <s v="Corporate"/>
    <s v="Paper"/>
    <n v="9"/>
    <n v="0.4"/>
    <n v="39.524799999999999"/>
    <n v="112.92800000000001"/>
  </r>
  <r>
    <s v="United States"/>
    <x v="25"/>
    <s v="Standard Class"/>
    <s v="Corporate"/>
    <s v="Phones"/>
    <n v="1"/>
    <n v="0.2"/>
    <n v="15.598999999999993"/>
    <n v="124.79200000000002"/>
  </r>
  <r>
    <s v="United States"/>
    <x v="25"/>
    <s v="Standard Class"/>
    <s v="Corporate"/>
    <s v="Storage"/>
    <n v="6"/>
    <n v="0.2"/>
    <n v="107.08199999999985"/>
    <n v="856.65600000000006"/>
  </r>
  <r>
    <s v="United States"/>
    <x v="25"/>
    <s v="Standard Class"/>
    <s v="Home Office"/>
    <s v="Art"/>
    <n v="2"/>
    <n v="0.2"/>
    <n v="0.59039999999999915"/>
    <n v="5.2480000000000002"/>
  </r>
  <r>
    <s v="United States"/>
    <x v="25"/>
    <s v="Standard Class"/>
    <s v="Home Office"/>
    <s v="Furnishings"/>
    <n v="1"/>
    <n v="0.6"/>
    <n v="-6.9964999999999993"/>
    <n v="7.9959999999999996"/>
  </r>
  <r>
    <s v="United States"/>
    <x v="25"/>
    <s v="Standard Class"/>
    <s v="Home Office"/>
    <s v="Paper"/>
    <n v="2"/>
    <n v="0.2"/>
    <n v="2.1399999999999992"/>
    <n v="6.8480000000000008"/>
  </r>
  <r>
    <s v="United States"/>
    <x v="25"/>
    <s v="Standard Class"/>
    <s v="Home Office"/>
    <s v="Storage"/>
    <n v="2"/>
    <n v="0.2"/>
    <n v="-14.883200000000002"/>
    <n v="74.415999999999997"/>
  </r>
  <r>
    <s v="United States"/>
    <x v="26"/>
    <s v="Second Class"/>
    <s v="Consumer"/>
    <s v="Accessories"/>
    <n v="2"/>
    <n v="0.2"/>
    <n v="1.4499999999999993"/>
    <n v="23.200000000000003"/>
  </r>
  <r>
    <s v="United States"/>
    <x v="26"/>
    <s v="Second Class"/>
    <s v="Consumer"/>
    <s v="Art"/>
    <n v="9"/>
    <n v="0.4"/>
    <n v="4.2207999999999979"/>
    <n v="31.04"/>
  </r>
  <r>
    <s v="United States"/>
    <x v="26"/>
    <s v="Second Class"/>
    <s v="Consumer"/>
    <s v="Phones"/>
    <n v="8"/>
    <n v="0.2"/>
    <n v="83.512799999999913"/>
    <n v="742.33600000000001"/>
  </r>
  <r>
    <s v="United States"/>
    <x v="26"/>
    <s v="Standard Class"/>
    <s v="Consumer"/>
    <s v="Accessories"/>
    <n v="4"/>
    <n v="0.2"/>
    <n v="-16.614000000000004"/>
    <n v="102.24000000000001"/>
  </r>
  <r>
    <s v="United States"/>
    <x v="26"/>
    <s v="Standard Class"/>
    <s v="Consumer"/>
    <s v="Supplies"/>
    <n v="7"/>
    <n v="0.2"/>
    <n v="3.5993999999999993"/>
    <n v="47.992000000000004"/>
  </r>
  <r>
    <s v="United States"/>
    <x v="27"/>
    <s v="First Class"/>
    <s v="Consumer"/>
    <s v="Appliances"/>
    <n v="2"/>
    <n v="0"/>
    <n v="25.438400000000001"/>
    <n v="97.84"/>
  </r>
  <r>
    <s v="United States"/>
    <x v="27"/>
    <s v="First Class"/>
    <s v="Consumer"/>
    <s v="Binders"/>
    <n v="2"/>
    <n v="0.2"/>
    <n v="16.3352"/>
    <n v="46.672000000000004"/>
  </r>
  <r>
    <s v="United States"/>
    <x v="27"/>
    <s v="First Class"/>
    <s v="Consumer"/>
    <s v="Chairs"/>
    <n v="1"/>
    <n v="0.2"/>
    <n v="0"/>
    <n v="72.784000000000006"/>
  </r>
  <r>
    <s v="United States"/>
    <x v="27"/>
    <s v="First Class"/>
    <s v="Consumer"/>
    <s v="Fasteners"/>
    <n v="7"/>
    <n v="0"/>
    <n v="16.8"/>
    <n v="35"/>
  </r>
  <r>
    <s v="United States"/>
    <x v="27"/>
    <s v="First Class"/>
    <s v="Consumer"/>
    <s v="Furnishings"/>
    <n v="1"/>
    <n v="0"/>
    <n v="15.524999999999999"/>
    <n v="51.75"/>
  </r>
  <r>
    <s v="United States"/>
    <x v="27"/>
    <s v="Second Class"/>
    <s v="Consumer"/>
    <s v="Bookcases"/>
    <n v="2"/>
    <n v="0.15"/>
    <n v="-13.797600000000017"/>
    <n v="195.46600000000001"/>
  </r>
  <r>
    <s v="United States"/>
    <x v="27"/>
    <s v="Standard Class"/>
    <s v="Consumer"/>
    <s v="Art"/>
    <n v="5"/>
    <n v="0"/>
    <n v="2.7259999999999995"/>
    <n v="9.3999999999999986"/>
  </r>
  <r>
    <s v="United States"/>
    <x v="27"/>
    <s v="Standard Class"/>
    <s v="Consumer"/>
    <s v="Furnishings"/>
    <n v="4"/>
    <n v="0"/>
    <n v="14.143999999999998"/>
    <n v="41.6"/>
  </r>
  <r>
    <s v="United States"/>
    <x v="27"/>
    <s v="Standard Class"/>
    <s v="Consumer"/>
    <s v="Labels"/>
    <n v="5"/>
    <n v="0"/>
    <n v="37"/>
    <n v="74"/>
  </r>
  <r>
    <s v="United States"/>
    <x v="27"/>
    <s v="Standard Class"/>
    <s v="Consumer"/>
    <s v="Phones"/>
    <n v="2"/>
    <n v="0.2"/>
    <n v="12.599000000000004"/>
    <n v="201.584"/>
  </r>
  <r>
    <s v="United States"/>
    <x v="27"/>
    <s v="Standard Class"/>
    <s v="Consumer"/>
    <s v="Tables"/>
    <n v="4"/>
    <n v="0.2"/>
    <n v="36.477600000000024"/>
    <n v="486.36800000000005"/>
  </r>
  <r>
    <s v="United States"/>
    <x v="27"/>
    <s v="Standard Class"/>
    <s v="Corporate"/>
    <s v="Binders"/>
    <n v="5"/>
    <n v="0.2"/>
    <n v="8.1199999999999974"/>
    <n v="23.2"/>
  </r>
  <r>
    <s v="United States"/>
    <x v="27"/>
    <s v="Standard Class"/>
    <s v="Corporate"/>
    <s v="Paper"/>
    <n v="2"/>
    <n v="0"/>
    <n v="6.2208000000000006"/>
    <n v="12.96"/>
  </r>
  <r>
    <s v="United States"/>
    <x v="27"/>
    <s v="Standard Class"/>
    <s v="Home Office"/>
    <s v="Binders"/>
    <n v="4"/>
    <n v="0.4"/>
    <n v="8.0186000000000011"/>
    <n v="23.936"/>
  </r>
  <r>
    <s v="United States"/>
    <x v="27"/>
    <s v="Standard Class"/>
    <s v="Home Office"/>
    <s v="Paper"/>
    <n v="1"/>
    <n v="0"/>
    <n v="2.3177000000000003"/>
    <n v="4.7300000000000004"/>
  </r>
  <r>
    <s v="United States"/>
    <x v="28"/>
    <s v="First Class"/>
    <s v="Consumer"/>
    <s v="Accessories"/>
    <n v="6"/>
    <n v="0"/>
    <n v="9.8159999999999954"/>
    <n v="98.16"/>
  </r>
  <r>
    <s v="United States"/>
    <x v="28"/>
    <s v="First Class"/>
    <s v="Consumer"/>
    <s v="Appliances"/>
    <n v="7"/>
    <n v="0"/>
    <n v="26.349399999999992"/>
    <n v="90.86"/>
  </r>
  <r>
    <s v="United States"/>
    <x v="28"/>
    <s v="First Class"/>
    <s v="Consumer"/>
    <s v="Binders"/>
    <n v="2"/>
    <n v="0"/>
    <n v="11.778199999999998"/>
    <n v="25.06"/>
  </r>
  <r>
    <s v="United States"/>
    <x v="28"/>
    <s v="First Class"/>
    <s v="Consumer"/>
    <s v="Chairs"/>
    <n v="9"/>
    <n v="0"/>
    <n v="227.20500000000004"/>
    <n v="908.82"/>
  </r>
  <r>
    <s v="United States"/>
    <x v="28"/>
    <s v="First Class"/>
    <s v="Consumer"/>
    <s v="Paper"/>
    <n v="10"/>
    <n v="0"/>
    <n v="65.477999999999994"/>
    <n v="134.75"/>
  </r>
  <r>
    <s v="United States"/>
    <x v="28"/>
    <s v="First Class"/>
    <s v="Corporate"/>
    <s v="Accessories"/>
    <n v="3"/>
    <n v="0"/>
    <n v="18.893699999999995"/>
    <n v="89.97"/>
  </r>
  <r>
    <s v="United States"/>
    <x v="28"/>
    <s v="First Class"/>
    <s v="Corporate"/>
    <s v="Appliances"/>
    <n v="9"/>
    <n v="0"/>
    <n v="20.1708"/>
    <n v="77.58"/>
  </r>
  <r>
    <s v="United States"/>
    <x v="28"/>
    <s v="First Class"/>
    <s v="Corporate"/>
    <s v="Art"/>
    <n v="12"/>
    <n v="0"/>
    <n v="17.005400000000002"/>
    <n v="55.660000000000004"/>
  </r>
  <r>
    <s v="United States"/>
    <x v="28"/>
    <s v="First Class"/>
    <s v="Corporate"/>
    <s v="Chairs"/>
    <n v="2"/>
    <n v="0"/>
    <n v="23.576399999999978"/>
    <n v="261.95999999999998"/>
  </r>
  <r>
    <s v="United States"/>
    <x v="28"/>
    <s v="First Class"/>
    <s v="Corporate"/>
    <s v="Labels"/>
    <n v="5"/>
    <n v="0"/>
    <n v="37"/>
    <n v="74"/>
  </r>
  <r>
    <s v="United States"/>
    <x v="28"/>
    <s v="Second Class"/>
    <s v="Consumer"/>
    <s v="Binders"/>
    <n v="2"/>
    <n v="0"/>
    <n v="5.8695999999999993"/>
    <n v="12.76"/>
  </r>
  <r>
    <s v="United States"/>
    <x v="28"/>
    <s v="Second Class"/>
    <s v="Consumer"/>
    <s v="Bookcases"/>
    <n v="3"/>
    <n v="0"/>
    <n v="31.044599999999974"/>
    <n v="344.94"/>
  </r>
  <r>
    <s v="United States"/>
    <x v="28"/>
    <s v="Second Class"/>
    <s v="Consumer"/>
    <s v="Furnishings"/>
    <n v="2"/>
    <n v="0"/>
    <n v="4.2803999999999984"/>
    <n v="14.76"/>
  </r>
  <r>
    <s v="United States"/>
    <x v="28"/>
    <s v="Second Class"/>
    <s v="Consumer"/>
    <s v="Labels"/>
    <n v="8"/>
    <n v="0"/>
    <n v="27.485599999999998"/>
    <n v="58.48"/>
  </r>
  <r>
    <s v="United States"/>
    <x v="28"/>
    <s v="Second Class"/>
    <s v="Consumer"/>
    <s v="Paper"/>
    <n v="3"/>
    <n v="0"/>
    <n v="80.791200000000003"/>
    <n v="164.88"/>
  </r>
  <r>
    <s v="United States"/>
    <x v="28"/>
    <s v="Second Class"/>
    <s v="Corporate"/>
    <s v="Furnishings"/>
    <n v="4"/>
    <n v="0"/>
    <n v="85.181600000000003"/>
    <n v="207.76"/>
  </r>
  <r>
    <s v="United States"/>
    <x v="28"/>
    <s v="Standard Class"/>
    <s v="Consumer"/>
    <s v="Art"/>
    <n v="6"/>
    <n v="0"/>
    <n v="5.0040000000000004"/>
    <n v="18.93"/>
  </r>
  <r>
    <s v="United States"/>
    <x v="28"/>
    <s v="Standard Class"/>
    <s v="Consumer"/>
    <s v="Paper"/>
    <n v="3"/>
    <n v="0"/>
    <n v="56.977199999999996"/>
    <n v="116.28"/>
  </r>
  <r>
    <s v="United States"/>
    <x v="28"/>
    <s v="Standard Class"/>
    <s v="Consumer"/>
    <s v="Phones"/>
    <n v="8"/>
    <n v="0"/>
    <n v="68.367599999999996"/>
    <n v="179.92"/>
  </r>
  <r>
    <s v="United States"/>
    <x v="28"/>
    <s v="Standard Class"/>
    <s v="Consumer"/>
    <s v="Supplies"/>
    <n v="3"/>
    <n v="0"/>
    <n v="6.5052000000000003"/>
    <n v="25.02"/>
  </r>
  <r>
    <s v="United States"/>
    <x v="28"/>
    <s v="Standard Class"/>
    <s v="Consumer"/>
    <s v="Tables"/>
    <n v="2"/>
    <n v="0.3"/>
    <n v="-23.93719999999999"/>
    <n v="239.37199999999996"/>
  </r>
  <r>
    <s v="United States"/>
    <x v="28"/>
    <s v="Standard Class"/>
    <s v="Corporate"/>
    <s v="Art"/>
    <n v="11"/>
    <n v="0"/>
    <n v="10.797599999999999"/>
    <n v="32.700000000000003"/>
  </r>
  <r>
    <s v="United States"/>
    <x v="28"/>
    <s v="Standard Class"/>
    <s v="Corporate"/>
    <s v="Binders"/>
    <n v="2"/>
    <n v="0"/>
    <n v="9.3869999999999987"/>
    <n v="20.86"/>
  </r>
  <r>
    <s v="United States"/>
    <x v="28"/>
    <s v="Standard Class"/>
    <s v="Corporate"/>
    <s v="Chairs"/>
    <n v="3"/>
    <n v="0"/>
    <n v="141.1644"/>
    <n v="542.93999999999994"/>
  </r>
  <r>
    <s v="United States"/>
    <x v="28"/>
    <s v="Standard Class"/>
    <s v="Corporate"/>
    <s v="Furnishings"/>
    <n v="10"/>
    <n v="0"/>
    <n v="112.422"/>
    <n v="274.20000000000005"/>
  </r>
  <r>
    <s v="United States"/>
    <x v="28"/>
    <s v="Standard Class"/>
    <s v="Corporate"/>
    <s v="Labels"/>
    <n v="1"/>
    <n v="0"/>
    <n v="1.512"/>
    <n v="3.15"/>
  </r>
  <r>
    <s v="United States"/>
    <x v="28"/>
    <s v="Standard Class"/>
    <s v="Corporate"/>
    <s v="Paper"/>
    <n v="10"/>
    <n v="0"/>
    <n v="33.256999999999991"/>
    <n v="71.150000000000006"/>
  </r>
  <r>
    <s v="United States"/>
    <x v="28"/>
    <s v="Standard Class"/>
    <s v="Corporate"/>
    <s v="Phones"/>
    <n v="1"/>
    <n v="0"/>
    <n v="36.447299999999998"/>
    <n v="134.99"/>
  </r>
  <r>
    <s v="United States"/>
    <x v="28"/>
    <s v="Standard Class"/>
    <s v="Corporate"/>
    <s v="Storage"/>
    <n v="9"/>
    <n v="0"/>
    <n v="129.37860000000001"/>
    <n v="497.61"/>
  </r>
  <r>
    <s v="United States"/>
    <x v="28"/>
    <s v="Standard Class"/>
    <s v="Home Office"/>
    <s v="Art"/>
    <n v="1"/>
    <n v="0"/>
    <n v="0.73799999999999988"/>
    <n v="1.64"/>
  </r>
  <r>
    <s v="United States"/>
    <x v="28"/>
    <s v="Standard Class"/>
    <s v="Home Office"/>
    <s v="Chairs"/>
    <n v="1"/>
    <n v="0"/>
    <n v="43.784199999999984"/>
    <n v="150.97999999999999"/>
  </r>
  <r>
    <s v="United States"/>
    <x v="28"/>
    <s v="Standard Class"/>
    <s v="Home Office"/>
    <s v="Envelopes"/>
    <n v="9"/>
    <n v="0"/>
    <n v="63.134999999999991"/>
    <n v="137.25"/>
  </r>
  <r>
    <s v="United States"/>
    <x v="28"/>
    <s v="Standard Class"/>
    <s v="Home Office"/>
    <s v="Fasteners"/>
    <n v="4"/>
    <n v="0"/>
    <n v="5.4143999999999997"/>
    <n v="11.52"/>
  </r>
  <r>
    <s v="United States"/>
    <x v="28"/>
    <s v="Standard Class"/>
    <s v="Home Office"/>
    <s v="Furnishings"/>
    <n v="10"/>
    <n v="0"/>
    <n v="280.31600000000003"/>
    <n v="1070.1000000000001"/>
  </r>
  <r>
    <s v="United States"/>
    <x v="28"/>
    <s v="Standard Class"/>
    <s v="Home Office"/>
    <s v="Labels"/>
    <n v="3"/>
    <n v="0"/>
    <n v="3.6017999999999999"/>
    <n v="7.83"/>
  </r>
  <r>
    <s v="United States"/>
    <x v="29"/>
    <s v="Standard Class"/>
    <s v="Corporate"/>
    <s v="Accessories"/>
    <n v="9"/>
    <n v="0"/>
    <n v="104.7222"/>
    <n v="255.42"/>
  </r>
  <r>
    <s v="United States"/>
    <x v="29"/>
    <s v="Standard Class"/>
    <s v="Corporate"/>
    <s v="Appliances"/>
    <n v="2"/>
    <n v="0"/>
    <n v="27.529200000000003"/>
    <n v="101.96"/>
  </r>
  <r>
    <s v="United States"/>
    <x v="29"/>
    <s v="Standard Class"/>
    <s v="Corporate"/>
    <s v="Furnishings"/>
    <n v="2"/>
    <n v="0"/>
    <n v="33.938800000000001"/>
    <n v="109.48"/>
  </r>
  <r>
    <s v="United States"/>
    <x v="29"/>
    <s v="Standard Class"/>
    <s v="Corporate"/>
    <s v="Paper"/>
    <n v="13"/>
    <n v="0"/>
    <n v="124.6752"/>
    <n v="259.74"/>
  </r>
  <r>
    <s v="United States"/>
    <x v="29"/>
    <s v="Standard Class"/>
    <s v="Corporate"/>
    <s v="Phones"/>
    <n v="3"/>
    <n v="0"/>
    <n v="131.35499999999996"/>
    <n v="437.84999999999997"/>
  </r>
  <r>
    <s v="United States"/>
    <x v="30"/>
    <s v="Standard Class"/>
    <s v="Consumer"/>
    <s v="Supplies"/>
    <n v="8"/>
    <n v="0.2"/>
    <n v="10.007999999999988"/>
    <n v="88.960000000000008"/>
  </r>
  <r>
    <s v="United States"/>
    <x v="31"/>
    <s v="Second Class"/>
    <s v="Home Office"/>
    <s v="Accessories"/>
    <n v="4"/>
    <n v="0"/>
    <n v="19.827599999999997"/>
    <n v="63.96"/>
  </r>
  <r>
    <s v="United States"/>
    <x v="31"/>
    <s v="Second Class"/>
    <s v="Home Office"/>
    <s v="Binders"/>
    <n v="3"/>
    <n v="0"/>
    <n v="7.0853999999999999"/>
    <n v="14.46"/>
  </r>
  <r>
    <s v="United States"/>
    <x v="31"/>
    <s v="Second Class"/>
    <s v="Home Office"/>
    <s v="Phones"/>
    <n v="2"/>
    <n v="0"/>
    <n v="52.49"/>
    <n v="104.98"/>
  </r>
  <r>
    <s v="United States"/>
    <x v="32"/>
    <s v="Standard Class"/>
    <s v="Corporate"/>
    <s v="Paper"/>
    <n v="2"/>
    <n v="0.2"/>
    <n v="3.6288"/>
    <n v="10.368000000000002"/>
  </r>
  <r>
    <s v="United States"/>
    <x v="33"/>
    <s v="Same Day"/>
    <s v="Corporate"/>
    <s v="Storage"/>
    <n v="2"/>
    <n v="0.2"/>
    <n v="0.95759999999999934"/>
    <n v="12.768000000000001"/>
  </r>
  <r>
    <s v="United States"/>
    <x v="33"/>
    <s v="Second Class"/>
    <s v="Consumer"/>
    <s v="Accessories"/>
    <n v="7"/>
    <n v="0.4"/>
    <n v="77.993999999999986"/>
    <n v="439.94400000000002"/>
  </r>
  <r>
    <s v="United States"/>
    <x v="33"/>
    <s v="Second Class"/>
    <s v="Consumer"/>
    <s v="Binders"/>
    <n v="5"/>
    <n v="0.8"/>
    <n v="-17.248000000000008"/>
    <n v="10.779999999999996"/>
  </r>
  <r>
    <s v="United States"/>
    <x v="33"/>
    <s v="Second Class"/>
    <s v="Consumer"/>
    <s v="Furnishings"/>
    <n v="7"/>
    <n v="0.6"/>
    <n v="-2.5872000000000011"/>
    <n v="8.6240000000000023"/>
  </r>
  <r>
    <s v="United States"/>
    <x v="34"/>
    <s v="First Class"/>
    <s v="Corporate"/>
    <s v="Art"/>
    <n v="7"/>
    <n v="0.2"/>
    <n v="2.8699999999999992"/>
    <n v="9.1840000000000011"/>
  </r>
  <r>
    <s v="United States"/>
    <x v="34"/>
    <s v="First Class"/>
    <s v="Corporate"/>
    <s v="Binders"/>
    <n v="8"/>
    <n v="0.8"/>
    <n v="-22.512"/>
    <n v="12.863999999999995"/>
  </r>
  <r>
    <s v="United States"/>
    <x v="34"/>
    <s v="First Class"/>
    <s v="Corporate"/>
    <s v="Paper"/>
    <n v="4"/>
    <n v="0.2"/>
    <n v="10.011599999999998"/>
    <n v="29.664000000000001"/>
  </r>
  <r>
    <s v="United States"/>
    <x v="34"/>
    <s v="First Class"/>
    <s v="Corporate"/>
    <s v="Phones"/>
    <n v="2"/>
    <n v="0.2"/>
    <n v="13.438599999999994"/>
    <n v="153.584"/>
  </r>
  <r>
    <s v="United States"/>
    <x v="34"/>
    <s v="Standard Class"/>
    <s v="Home Office"/>
    <s v="Paper"/>
    <n v="4"/>
    <n v="0.2"/>
    <n v="6.8119999999999994"/>
    <n v="20.96"/>
  </r>
  <r>
    <s v="United States"/>
    <x v="35"/>
    <s v="Standard Class"/>
    <s v="Consumer"/>
    <s v="Accessories"/>
    <n v="3"/>
    <n v="0"/>
    <n v="71.990999999999985"/>
    <n v="239.96999999999997"/>
  </r>
  <r>
    <s v="United States"/>
    <x v="35"/>
    <s v="Standard Class"/>
    <s v="Consumer"/>
    <s v="Chairs"/>
    <n v="2"/>
    <n v="0"/>
    <n v="36.473600000000005"/>
    <n v="227.96"/>
  </r>
  <r>
    <s v="United States"/>
    <x v="35"/>
    <s v="Standard Class"/>
    <s v="Consumer"/>
    <s v="Labels"/>
    <n v="2"/>
    <n v="0"/>
    <n v="4.8117999999999999"/>
    <n v="9.82"/>
  </r>
  <r>
    <s v="United States"/>
    <x v="35"/>
    <s v="Standard Class"/>
    <s v="Consumer"/>
    <s v="Paper"/>
    <n v="4"/>
    <n v="0"/>
    <n v="72.086399999999998"/>
    <n v="150.17999999999998"/>
  </r>
  <r>
    <s v="United States"/>
    <x v="35"/>
    <s v="Standard Class"/>
    <s v="Corporate"/>
    <s v="Binders"/>
    <n v="1"/>
    <n v="0"/>
    <n v="6.5687999999999995"/>
    <n v="14.28"/>
  </r>
  <r>
    <s v="United States"/>
    <x v="35"/>
    <s v="Standard Class"/>
    <s v="Corporate"/>
    <s v="Furnishings"/>
    <n v="4"/>
    <n v="0"/>
    <n v="38.023999999999994"/>
    <n v="77.599999999999994"/>
  </r>
  <r>
    <s v="United States"/>
    <x v="35"/>
    <s v="Standard Class"/>
    <s v="Corporate"/>
    <s v="Paper"/>
    <n v="8"/>
    <n v="0"/>
    <n v="42.8688"/>
    <n v="89.31"/>
  </r>
  <r>
    <s v="United States"/>
    <x v="35"/>
    <s v="Standard Class"/>
    <s v="Corporate"/>
    <s v="Storage"/>
    <n v="8"/>
    <n v="0"/>
    <n v="10.824800000000096"/>
    <n v="1082.48"/>
  </r>
  <r>
    <s v="United States"/>
    <x v="36"/>
    <s v="Standard Class"/>
    <s v="Consumer"/>
    <s v="Binders"/>
    <n v="9"/>
    <n v="0.4"/>
    <n v="13.804199999999998"/>
    <n v="39.792000000000002"/>
  </r>
  <r>
    <s v="United States"/>
    <x v="36"/>
    <s v="Standard Class"/>
    <s v="Consumer"/>
    <s v="Furnishings"/>
    <n v="1"/>
    <n v="0"/>
    <n v="7.8935999999999993"/>
    <n v="20.239999999999998"/>
  </r>
  <r>
    <s v="United States"/>
    <x v="36"/>
    <s v="Standard Class"/>
    <s v="Consumer"/>
    <s v="Paper"/>
    <n v="2"/>
    <n v="0"/>
    <n v="6.2208000000000006"/>
    <n v="12.96"/>
  </r>
  <r>
    <s v="United States"/>
    <x v="36"/>
    <s v="Standard Class"/>
    <s v="Corporate"/>
    <s v="Art"/>
    <n v="3"/>
    <n v="0"/>
    <n v="1.5311999999999999"/>
    <n v="5.28"/>
  </r>
  <r>
    <s v="United States"/>
    <x v="36"/>
    <s v="Standard Class"/>
    <s v="Home Office"/>
    <s v="Supplies"/>
    <n v="3"/>
    <n v="0"/>
    <n v="7.6049999999999978"/>
    <n v="25.349999999999998"/>
  </r>
  <r>
    <s v="United States"/>
    <x v="37"/>
    <s v="Second Class"/>
    <s v="Consumer"/>
    <s v="Binders"/>
    <n v="5"/>
    <n v="0.2"/>
    <n v="7.8499999999999979"/>
    <n v="25.120000000000005"/>
  </r>
  <r>
    <s v="United States"/>
    <x v="37"/>
    <s v="Second Class"/>
    <s v="Consumer"/>
    <s v="Tables"/>
    <n v="9"/>
    <n v="0"/>
    <n v="239.90580000000011"/>
    <n v="2665.62"/>
  </r>
  <r>
    <s v="United States"/>
    <x v="37"/>
    <s v="Standard Class"/>
    <s v="Corporate"/>
    <s v="Accessories"/>
    <n v="10"/>
    <n v="0"/>
    <n v="362.83500000000004"/>
    <n v="1099.5"/>
  </r>
  <r>
    <s v="United States"/>
    <x v="38"/>
    <s v="First Class"/>
    <s v="Consumer"/>
    <s v="Appliances"/>
    <n v="3"/>
    <n v="0.2"/>
    <n v="0.7110000000000003"/>
    <n v="9.48"/>
  </r>
  <r>
    <s v="United States"/>
    <x v="38"/>
    <s v="First Class"/>
    <s v="Consumer"/>
    <s v="Binders"/>
    <n v="6"/>
    <n v="0.7"/>
    <n v="-913.17599999999993"/>
    <n v="1369.7640000000001"/>
  </r>
  <r>
    <s v="United States"/>
    <x v="38"/>
    <s v="First Class"/>
    <s v="Consumer"/>
    <s v="Bookcases"/>
    <n v="5"/>
    <n v="0.5"/>
    <n v="-78.078000000000003"/>
    <n v="177.45000000000002"/>
  </r>
  <r>
    <s v="United States"/>
    <x v="38"/>
    <s v="Second Class"/>
    <s v="Corporate"/>
    <s v="Chairs"/>
    <n v="2"/>
    <n v="0.3"/>
    <n v="-7.0979999999999919"/>
    <n v="99.372"/>
  </r>
  <r>
    <s v="United States"/>
    <x v="38"/>
    <s v="Second Class"/>
    <s v="Corporate"/>
    <s v="Furnishings"/>
    <n v="2"/>
    <n v="0.2"/>
    <n v="-5.4548000000000041"/>
    <n v="33.568000000000005"/>
  </r>
  <r>
    <s v="United States"/>
    <x v="39"/>
    <s v="Standard Class"/>
    <s v="Corporate"/>
    <s v="Appliances"/>
    <n v="6"/>
    <n v="0"/>
    <n v="503.78219999999976"/>
    <n v="1737.1799999999998"/>
  </r>
  <r>
    <s v="United States"/>
    <x v="39"/>
    <s v="Standard Class"/>
    <s v="Corporate"/>
    <s v="Paper"/>
    <n v="4"/>
    <n v="0"/>
    <n v="66.627199999999988"/>
    <n v="141.76"/>
  </r>
  <r>
    <s v="United States"/>
    <x v="39"/>
    <s v="Standard Class"/>
    <s v="Corporate"/>
    <s v="Storage"/>
    <n v="5"/>
    <n v="0"/>
    <n v="84.51"/>
    <n v="704.25"/>
  </r>
  <r>
    <s v="United States"/>
    <x v="40"/>
    <s v="Same Day"/>
    <s v="Corporate"/>
    <s v="Binders"/>
    <n v="2"/>
    <n v="0.2"/>
    <n v="2.6935999999999991"/>
    <n v="8.2880000000000003"/>
  </r>
  <r>
    <s v="United States"/>
    <x v="41"/>
    <s v="First Class"/>
    <s v="Corporate"/>
    <s v="Art"/>
    <n v="4"/>
    <n v="0.2"/>
    <n v="5.4336000000000002"/>
    <n v="54.336000000000006"/>
  </r>
  <r>
    <s v="United States"/>
    <x v="41"/>
    <s v="Second Class"/>
    <s v="Consumer"/>
    <s v="Phones"/>
    <n v="3"/>
    <n v="0"/>
    <n v="37.757999999999996"/>
    <n v="134.85000000000002"/>
  </r>
  <r>
    <s v="United States"/>
    <x v="41"/>
    <s v="Standard Class"/>
    <s v="Consumer"/>
    <s v="Accessories"/>
    <n v="3"/>
    <n v="0.2"/>
    <n v="7.4654999999999987"/>
    <n v="39.816000000000003"/>
  </r>
  <r>
    <s v="United States"/>
    <x v="41"/>
    <s v="Standard Class"/>
    <s v="Consumer"/>
    <s v="Art"/>
    <n v="5"/>
    <n v="0.2"/>
    <n v="1.4759999999999982"/>
    <n v="13.120000000000001"/>
  </r>
  <r>
    <s v="United States"/>
    <x v="41"/>
    <s v="Standard Class"/>
    <s v="Consumer"/>
    <s v="Binders"/>
    <n v="4"/>
    <n v="0.8"/>
    <n v="-7.7640000000000011"/>
    <n v="5.1759999999999984"/>
  </r>
  <r>
    <s v="United States"/>
    <x v="41"/>
    <s v="Standard Class"/>
    <s v="Consumer"/>
    <s v="Envelopes"/>
    <n v="2"/>
    <n v="0.2"/>
    <n v="4.4311999999999996"/>
    <n v="12.224"/>
  </r>
  <r>
    <s v="United States"/>
    <x v="41"/>
    <s v="Standard Class"/>
    <s v="Consumer"/>
    <s v="Furnishings"/>
    <n v="5"/>
    <n v="0.6"/>
    <n v="2.0142999999999915"/>
    <n v="169.50199999999998"/>
  </r>
  <r>
    <s v="United States"/>
    <x v="41"/>
    <s v="Standard Class"/>
    <s v="Consumer"/>
    <s v="Paper"/>
    <n v="5"/>
    <n v="0"/>
    <n v="15.552000000000001"/>
    <n v="32.400000000000006"/>
  </r>
  <r>
    <s v="United States"/>
    <x v="41"/>
    <s v="Standard Class"/>
    <s v="Consumer"/>
    <s v="Storage"/>
    <n v="1"/>
    <n v="0.2"/>
    <n v="-15.751400000000004"/>
    <n v="180.01600000000002"/>
  </r>
  <r>
    <s v="United States"/>
    <x v="41"/>
    <s v="Standard Class"/>
    <s v="Consumer"/>
    <s v="Tables"/>
    <n v="6"/>
    <n v="0.5"/>
    <n v="-407.68200000000013"/>
    <n v="617.70000000000005"/>
  </r>
  <r>
    <s v="United States"/>
    <x v="41"/>
    <s v="Standard Class"/>
    <s v="Home Office"/>
    <s v="Binders"/>
    <n v="4"/>
    <n v="0"/>
    <n v="14.268800000000001"/>
    <n v="29.12"/>
  </r>
  <r>
    <s v="United States"/>
    <x v="41"/>
    <s v="Standard Class"/>
    <s v="Home Office"/>
    <s v="Envelopes"/>
    <n v="5"/>
    <n v="0"/>
    <n v="36.824499999999993"/>
    <n v="78.349999999999994"/>
  </r>
  <r>
    <s v="United States"/>
    <x v="41"/>
    <s v="Standard Class"/>
    <s v="Home Office"/>
    <s v="Paper"/>
    <n v="6"/>
    <n v="0"/>
    <n v="14.256"/>
    <n v="31.68"/>
  </r>
  <r>
    <s v="United States"/>
    <x v="41"/>
    <s v="Standard Class"/>
    <s v="Home Office"/>
    <s v="Storage"/>
    <n v="5"/>
    <n v="0"/>
    <n v="42.362499999999997"/>
    <n v="169.45"/>
  </r>
  <r>
    <s v="United States"/>
    <x v="42"/>
    <s v="First Class"/>
    <s v="Consumer"/>
    <s v="Accessories"/>
    <n v="2"/>
    <n v="0.2"/>
    <n v="2.3079999999999998"/>
    <n v="18.463999999999999"/>
  </r>
  <r>
    <s v="United States"/>
    <x v="42"/>
    <s v="First Class"/>
    <s v="Consumer"/>
    <s v="Binders"/>
    <n v="4"/>
    <n v="0.7"/>
    <n v="-26.623999999999995"/>
    <n v="39.936000000000007"/>
  </r>
  <r>
    <s v="United States"/>
    <x v="42"/>
    <s v="Second Class"/>
    <s v="Consumer"/>
    <s v="Labels"/>
    <n v="2"/>
    <n v="0.2"/>
    <n v="1.6704000000000001"/>
    <n v="4.6079999999999997"/>
  </r>
  <r>
    <s v="United States"/>
    <x v="43"/>
    <s v="First Class"/>
    <s v="Consumer"/>
    <s v="Accessories"/>
    <n v="3"/>
    <n v="0"/>
    <n v="37.787400000000005"/>
    <n v="89.97"/>
  </r>
  <r>
    <s v="United States"/>
    <x v="43"/>
    <s v="Standard Class"/>
    <s v="Corporate"/>
    <s v="Binders"/>
    <n v="1"/>
    <n v="0.2"/>
    <n v="1.1151"/>
    <n v="3.3040000000000003"/>
  </r>
  <r>
    <s v="United States"/>
    <x v="43"/>
    <s v="Standard Class"/>
    <s v="Corporate"/>
    <s v="Phones"/>
    <n v="3"/>
    <n v="0.2"/>
    <n v="22.858199999999982"/>
    <n v="304.77600000000001"/>
  </r>
  <r>
    <s v="United States"/>
    <x v="43"/>
    <s v="Standard Class"/>
    <s v="Corporate"/>
    <s v="Tables"/>
    <n v="2"/>
    <n v="0"/>
    <n v="160.17660000000001"/>
    <n v="696.42"/>
  </r>
  <r>
    <s v="United States"/>
    <x v="44"/>
    <s v="Same Day"/>
    <s v="Consumer"/>
    <s v="Appliances"/>
    <n v="2"/>
    <n v="0.8"/>
    <n v="-13.554800000000004"/>
    <n v="5.7679999999999989"/>
  </r>
  <r>
    <s v="United States"/>
    <x v="44"/>
    <s v="Same Day"/>
    <s v="Consumer"/>
    <s v="Fasteners"/>
    <n v="8"/>
    <n v="0.2"/>
    <n v="2.2559999999999993"/>
    <n v="12.032"/>
  </r>
  <r>
    <s v="United States"/>
    <x v="44"/>
    <s v="Same Day"/>
    <s v="Consumer"/>
    <s v="Paper"/>
    <n v="2"/>
    <n v="0.2"/>
    <n v="3.6288"/>
    <n v="10.368000000000002"/>
  </r>
  <r>
    <s v="United States"/>
    <x v="44"/>
    <s v="Same Day"/>
    <s v="Consumer"/>
    <s v="Supplies"/>
    <n v="4"/>
    <n v="0.2"/>
    <n v="2.7719999999999994"/>
    <n v="31.680000000000003"/>
  </r>
  <r>
    <s v="United States"/>
    <x v="44"/>
    <s v="Standard Class"/>
    <s v="Consumer"/>
    <s v="Phones"/>
    <n v="2"/>
    <n v="0.2"/>
    <n v="16.703999999999986"/>
    <n v="148.47999999999999"/>
  </r>
  <r>
    <s v="United States"/>
    <x v="44"/>
    <s v="Standard Class"/>
    <s v="Home Office"/>
    <s v="Binders"/>
    <n v="5"/>
    <n v="0.8"/>
    <n v="-16.467000000000002"/>
    <n v="9.9799999999999969"/>
  </r>
  <r>
    <s v="United States"/>
    <x v="45"/>
    <s v="Second Class"/>
    <s v="Corporate"/>
    <s v="Accessories"/>
    <n v="6"/>
    <n v="0"/>
    <n v="258.69600000000003"/>
    <n v="646.74"/>
  </r>
  <r>
    <s v="United States"/>
    <x v="45"/>
    <s v="Second Class"/>
    <s v="Corporate"/>
    <s v="Binders"/>
    <n v="3"/>
    <n v="0"/>
    <n v="2.7071999999999994"/>
    <n v="5.64"/>
  </r>
  <r>
    <s v="United States"/>
    <x v="45"/>
    <s v="Second Class"/>
    <s v="Corporate"/>
    <s v="Envelopes"/>
    <n v="5"/>
    <n v="0"/>
    <n v="30.809199999999997"/>
    <n v="62.3"/>
  </r>
  <r>
    <s v="United States"/>
    <x v="45"/>
    <s v="Second Class"/>
    <s v="Corporate"/>
    <s v="Storage"/>
    <n v="6"/>
    <n v="0"/>
    <n v="34.354799999999955"/>
    <n v="572.58000000000004"/>
  </r>
  <r>
    <s v="United States"/>
    <x v="45"/>
    <s v="Standard Class"/>
    <s v="Corporate"/>
    <s v="Furnishings"/>
    <n v="4"/>
    <n v="0"/>
    <n v="10.393599999999992"/>
    <n v="129.91999999999999"/>
  </r>
  <r>
    <s v="United States"/>
    <x v="46"/>
    <s v="First Class"/>
    <s v="Consumer"/>
    <s v="Accessories"/>
    <n v="4"/>
    <n v="0"/>
    <n v="27.689999999999998"/>
    <n v="71"/>
  </r>
  <r>
    <s v="United States"/>
    <x v="46"/>
    <s v="Second Class"/>
    <s v="Consumer"/>
    <s v="Labels"/>
    <n v="3"/>
    <n v="0.2"/>
    <n v="2.5056000000000003"/>
    <n v="6.911999999999999"/>
  </r>
  <r>
    <s v="United States"/>
    <x v="46"/>
    <s v="Second Class"/>
    <s v="Consumer"/>
    <s v="Phones"/>
    <n v="3"/>
    <n v="0.4"/>
    <n v="4.0472999999999999"/>
    <n v="26.981999999999999"/>
  </r>
  <r>
    <s v="United States"/>
    <x v="46"/>
    <s v="Second Class"/>
    <s v="Consumer"/>
    <s v="Storage"/>
    <n v="3"/>
    <n v="0.2"/>
    <n v="48.994199999999921"/>
    <n v="435.50400000000002"/>
  </r>
  <r>
    <s v="United States"/>
    <x v="46"/>
    <s v="Standard Class"/>
    <s v="Consumer"/>
    <s v="Binders"/>
    <n v="3"/>
    <n v="0.7"/>
    <n v="-4.0722000000000023"/>
    <n v="5.5530000000000008"/>
  </r>
  <r>
    <s v="United States"/>
    <x v="46"/>
    <s v="Standard Class"/>
    <s v="Consumer"/>
    <s v="Storage"/>
    <n v="2"/>
    <n v="0.2"/>
    <n v="19.823999999999998"/>
    <n v="264.32"/>
  </r>
  <r>
    <s v="United States"/>
    <x v="46"/>
    <s v="Standard Class"/>
    <s v="Corporate"/>
    <s v="Accessories"/>
    <n v="5"/>
    <n v="0.2"/>
    <n v="-1.7495000000000118"/>
    <n v="139.96000000000004"/>
  </r>
  <r>
    <s v="United States"/>
    <x v="46"/>
    <s v="Standard Class"/>
    <s v="Corporate"/>
    <s v="Art"/>
    <n v="3"/>
    <n v="0.2"/>
    <n v="5.3969999999999914"/>
    <n v="86.352000000000004"/>
  </r>
  <r>
    <s v="United States"/>
    <x v="46"/>
    <s v="Standard Class"/>
    <s v="Corporate"/>
    <s v="Chairs"/>
    <n v="1"/>
    <n v="0"/>
    <n v="39.4268"/>
    <n v="140.81"/>
  </r>
  <r>
    <s v="United States"/>
    <x v="46"/>
    <s v="Standard Class"/>
    <s v="Corporate"/>
    <s v="Copiers"/>
    <n v="3"/>
    <n v="0.4"/>
    <n v="74.998499999999922"/>
    <n v="899.98199999999997"/>
  </r>
  <r>
    <s v="United States"/>
    <x v="47"/>
    <s v="Same Day"/>
    <s v="Consumer"/>
    <s v="Binders"/>
    <n v="5"/>
    <n v="0.7"/>
    <n v="-29.940000000000012"/>
    <n v="37.425000000000004"/>
  </r>
  <r>
    <s v="United States"/>
    <x v="47"/>
    <s v="Same Day"/>
    <s v="Consumer"/>
    <s v="Furnishings"/>
    <n v="8"/>
    <n v="0.60000000000000009"/>
    <n v="55.048200000000008"/>
    <n v="276.96800000000002"/>
  </r>
  <r>
    <s v="United States"/>
    <x v="47"/>
    <s v="Standard Class"/>
    <s v="Consumer"/>
    <s v="Chairs"/>
    <n v="2"/>
    <n v="0.2"/>
    <n v="6.0740000000000016"/>
    <n v="97.184000000000012"/>
  </r>
  <r>
    <s v="United States"/>
    <x v="47"/>
    <s v="Standard Class"/>
    <s v="Consumer"/>
    <s v="Paper"/>
    <n v="5"/>
    <n v="0.4"/>
    <n v="9.0719999999999992"/>
    <n v="25.920000000000005"/>
  </r>
  <r>
    <s v="United States"/>
    <x v="47"/>
    <s v="Standard Class"/>
    <s v="Home Office"/>
    <s v="Art"/>
    <n v="3"/>
    <n v="0.2"/>
    <n v="4.8524999999999991"/>
    <n v="15.528"/>
  </r>
  <r>
    <s v="United States"/>
    <x v="47"/>
    <s v="Standard Class"/>
    <s v="Home Office"/>
    <s v="Labels"/>
    <n v="5"/>
    <n v="0.4"/>
    <n v="5.5547999999999993"/>
    <n v="16.560000000000002"/>
  </r>
  <r>
    <s v="United States"/>
    <x v="48"/>
    <s v="Standard Class"/>
    <s v="Home Office"/>
    <s v="Labels"/>
    <n v="2"/>
    <n v="0"/>
    <n v="6.8713999999999995"/>
    <n v="14.62"/>
  </r>
  <r>
    <s v="United States"/>
    <x v="48"/>
    <s v="Standard Class"/>
    <s v="Home Office"/>
    <s v="Paper"/>
    <n v="3"/>
    <n v="0"/>
    <n v="13.9392"/>
    <n v="29.04"/>
  </r>
  <r>
    <s v="United States"/>
    <x v="49"/>
    <s v="Second Class"/>
    <s v="Corporate"/>
    <s v="Appliances"/>
    <n v="6"/>
    <n v="0"/>
    <n v="93.055199999999957"/>
    <n v="320.88"/>
  </r>
  <r>
    <s v="United States"/>
    <x v="49"/>
    <s v="Second Class"/>
    <s v="Corporate"/>
    <s v="Furnishings"/>
    <n v="3"/>
    <n v="0"/>
    <n v="10.507200000000001"/>
    <n v="23.88"/>
  </r>
  <r>
    <s v="United States"/>
    <x v="49"/>
    <s v="Second Class"/>
    <s v="Corporate"/>
    <s v="Paper"/>
    <n v="4"/>
    <n v="0"/>
    <n v="12.3096"/>
    <n v="26.76"/>
  </r>
  <r>
    <s v="United States"/>
    <x v="49"/>
    <s v="Second Class"/>
    <s v="Corporate"/>
    <s v="Storage"/>
    <n v="1"/>
    <n v="0"/>
    <n v="2.8836000000000004"/>
    <n v="10.68"/>
  </r>
  <r>
    <s v="United States"/>
    <x v="49"/>
    <s v="Second Class"/>
    <s v="Home Office"/>
    <s v="Accessories"/>
    <n v="3"/>
    <n v="0"/>
    <n v="13.793099999999999"/>
    <n v="59.97"/>
  </r>
  <r>
    <s v="United States"/>
    <x v="49"/>
    <s v="Second Class"/>
    <s v="Home Office"/>
    <s v="Phones"/>
    <n v="7"/>
    <n v="0.2"/>
    <n v="66.635100000000023"/>
    <n v="761.5440000000001"/>
  </r>
  <r>
    <s v="United States"/>
    <x v="49"/>
    <s v="Standard Class"/>
    <s v="Consumer"/>
    <s v="Accessories"/>
    <n v="2"/>
    <n v="0"/>
    <n v="35.156000000000006"/>
    <n v="79.900000000000006"/>
  </r>
  <r>
    <s v="United States"/>
    <x v="49"/>
    <s v="Standard Class"/>
    <s v="Consumer"/>
    <s v="Labels"/>
    <n v="6"/>
    <n v="0"/>
    <n v="44.400000000000006"/>
    <n v="88.800000000000011"/>
  </r>
  <r>
    <s v="United States"/>
    <x v="49"/>
    <s v="Standard Class"/>
    <s v="Consumer"/>
    <s v="Phones"/>
    <n v="4"/>
    <n v="0.2"/>
    <n v="35.996399999999952"/>
    <n v="319.96800000000002"/>
  </r>
  <r>
    <s v="United States"/>
    <x v="49"/>
    <s v="Standard Class"/>
    <s v="Corporate"/>
    <s v="Appliances"/>
    <n v="9"/>
    <n v="0"/>
    <n v="654.7553999999999"/>
    <n v="2518.29"/>
  </r>
  <r>
    <s v="United States"/>
    <x v="49"/>
    <s v="Standard Class"/>
    <s v="Corporate"/>
    <s v="Binders"/>
    <n v="11"/>
    <n v="0.4"/>
    <n v="82.241599999999991"/>
    <n v="234.976"/>
  </r>
  <r>
    <s v="United States"/>
    <x v="49"/>
    <s v="Standard Class"/>
    <s v="Corporate"/>
    <s v="Envelopes"/>
    <n v="2"/>
    <n v="0"/>
    <n v="11.68"/>
    <n v="23.36"/>
  </r>
  <r>
    <s v="United States"/>
    <x v="49"/>
    <s v="Standard Class"/>
    <s v="Corporate"/>
    <s v="Paper"/>
    <n v="2"/>
    <n v="0"/>
    <n v="3.8519999999999994"/>
    <n v="8.56"/>
  </r>
  <r>
    <s v="United States"/>
    <x v="49"/>
    <s v="Standard Class"/>
    <s v="Corporate"/>
    <s v="Phones"/>
    <n v="3"/>
    <n v="0.2"/>
    <n v="8.9969999999999892"/>
    <n v="71.975999999999999"/>
  </r>
  <r>
    <s v="United States"/>
    <x v="49"/>
    <s v="Standard Class"/>
    <s v="Corporate"/>
    <s v="Storage"/>
    <n v="3"/>
    <n v="0"/>
    <n v="140.54820000000001"/>
    <n v="540.56999999999994"/>
  </r>
  <r>
    <s v="United States"/>
    <x v="50"/>
    <s v="Standard Class"/>
    <s v="Corporate"/>
    <s v="Appliances"/>
    <n v="3"/>
    <n v="0"/>
    <n v="3.0342000000000002"/>
    <n v="11.67"/>
  </r>
  <r>
    <s v="United States"/>
    <x v="50"/>
    <s v="Standard Class"/>
    <s v="Corporate"/>
    <s v="Storage"/>
    <n v="3"/>
    <n v="0"/>
    <n v="0.4073999999999991"/>
    <n v="40.74"/>
  </r>
  <r>
    <s v="United States"/>
    <x v="51"/>
    <s v="First Class"/>
    <s v="Corporate"/>
    <s v="Appliances"/>
    <n v="2"/>
    <n v="0"/>
    <n v="60.552800000000005"/>
    <n v="137.62"/>
  </r>
  <r>
    <s v="United States"/>
    <x v="51"/>
    <s v="First Class"/>
    <s v="Corporate"/>
    <s v="Phones"/>
    <n v="1"/>
    <n v="0"/>
    <n v="25.122500000000002"/>
    <n v="100.49"/>
  </r>
  <r>
    <s v="United States"/>
    <x v="51"/>
    <s v="Second Class"/>
    <s v="Home Office"/>
    <s v="Art"/>
    <n v="3"/>
    <n v="0.2"/>
    <n v="8.4449999999999896"/>
    <n v="67.56"/>
  </r>
  <r>
    <s v="United States"/>
    <x v="51"/>
    <s v="Standard Class"/>
    <s v="Consumer"/>
    <s v="Binders"/>
    <n v="5"/>
    <n v="0"/>
    <n v="11.890999999999998"/>
    <n v="25.299999999999997"/>
  </r>
  <r>
    <s v="United States"/>
    <x v="51"/>
    <s v="Standard Class"/>
    <s v="Consumer"/>
    <s v="Storage"/>
    <n v="3"/>
    <n v="0"/>
    <n v="9.5940000000000012"/>
    <n v="95.94"/>
  </r>
  <r>
    <s v="United States"/>
    <x v="51"/>
    <s v="Standard Class"/>
    <s v="Corporate"/>
    <s v="Binders"/>
    <n v="11"/>
    <n v="2.0999999999999996"/>
    <n v="-134.17879999999997"/>
    <n v="223.38000000000002"/>
  </r>
  <r>
    <s v="United States"/>
    <x v="51"/>
    <s v="Standard Class"/>
    <s v="Corporate"/>
    <s v="Chairs"/>
    <n v="3"/>
    <n v="0.2"/>
    <n v="10.647000000000006"/>
    <n v="170.35200000000003"/>
  </r>
  <r>
    <s v="United States"/>
    <x v="51"/>
    <s v="Standard Class"/>
    <s v="Corporate"/>
    <s v="Phones"/>
    <n v="2"/>
    <n v="0"/>
    <n v="93.594800000000021"/>
    <n v="359.98"/>
  </r>
  <r>
    <s v="United States"/>
    <x v="51"/>
    <s v="Standard Class"/>
    <s v="Corporate"/>
    <s v="Tables"/>
    <n v="1"/>
    <n v="0.3"/>
    <n v="-4.032"/>
    <n v="70.559999999999988"/>
  </r>
  <r>
    <s v="United States"/>
    <x v="52"/>
    <s v="First Class"/>
    <s v="Home Office"/>
    <s v="Phones"/>
    <n v="6"/>
    <n v="0"/>
    <n v="213.70440000000002"/>
    <n v="821.94"/>
  </r>
  <r>
    <s v="United States"/>
    <x v="52"/>
    <s v="Standard Class"/>
    <s v="Consumer"/>
    <s v="Binders"/>
    <n v="1"/>
    <n v="0"/>
    <n v="2.9347999999999996"/>
    <n v="6.38"/>
  </r>
  <r>
    <s v="United States"/>
    <x v="52"/>
    <s v="Standard Class"/>
    <s v="Consumer"/>
    <s v="Paper"/>
    <n v="1"/>
    <n v="0"/>
    <n v="3.1104000000000003"/>
    <n v="6.48"/>
  </r>
  <r>
    <s v="United States"/>
    <x v="52"/>
    <s v="Standard Class"/>
    <s v="Corporate"/>
    <s v="Binders"/>
    <n v="2"/>
    <n v="0"/>
    <n v="5.3460000000000001"/>
    <n v="11.88"/>
  </r>
  <r>
    <s v="United States"/>
    <x v="52"/>
    <s v="Standard Class"/>
    <s v="Corporate"/>
    <s v="Tables"/>
    <n v="7"/>
    <n v="0"/>
    <n v="350.42700000000002"/>
    <n v="1592.8500000000001"/>
  </r>
  <r>
    <s v="United States"/>
    <x v="53"/>
    <s v="Standard Class"/>
    <s v="Consumer"/>
    <s v="Binders"/>
    <n v="6"/>
    <n v="1.4"/>
    <n v="-19.427199999999999"/>
    <n v="28.704000000000008"/>
  </r>
  <r>
    <s v="United States"/>
    <x v="53"/>
    <s v="Standard Class"/>
    <s v="Consumer"/>
    <s v="Chairs"/>
    <n v="3"/>
    <n v="0.2"/>
    <n v="74.573999999999955"/>
    <n v="662.88"/>
  </r>
  <r>
    <s v="United States"/>
    <x v="53"/>
    <s v="Standard Class"/>
    <s v="Consumer"/>
    <s v="Storage"/>
    <n v="7"/>
    <n v="0.2"/>
    <n v="-1.2558000000000051"/>
    <n v="33.488000000000007"/>
  </r>
  <r>
    <s v="United States"/>
    <x v="53"/>
    <s v="Standard Class"/>
    <s v="Corporate"/>
    <s v="Furnishings"/>
    <n v="7"/>
    <n v="0.2"/>
    <n v="8.5539999999999878"/>
    <n v="68.432000000000016"/>
  </r>
  <r>
    <s v="United States"/>
    <x v="54"/>
    <s v="First Class"/>
    <s v="Corporate"/>
    <s v="Paper"/>
    <n v="2"/>
    <n v="0.2"/>
    <n v="3.7407999999999997"/>
    <n v="10.688000000000001"/>
  </r>
  <r>
    <s v="United States"/>
    <x v="54"/>
    <s v="First Class"/>
    <s v="Corporate"/>
    <s v="Storage"/>
    <n v="3"/>
    <n v="0.2"/>
    <n v="20.745899999999985"/>
    <n v="237.09600000000003"/>
  </r>
  <r>
    <s v="United States"/>
    <x v="54"/>
    <s v="First Class"/>
    <s v="Home Office"/>
    <s v="Chairs"/>
    <n v="7"/>
    <n v="0.3"/>
    <n v="-9.0929999999999964"/>
    <n v="127.30199999999999"/>
  </r>
  <r>
    <s v="United States"/>
    <x v="54"/>
    <s v="First Class"/>
    <s v="Home Office"/>
    <s v="Envelopes"/>
    <n v="5"/>
    <n v="0.2"/>
    <n v="113.30549999999999"/>
    <n v="335.72"/>
  </r>
  <r>
    <s v="United States"/>
    <x v="54"/>
    <s v="First Class"/>
    <s v="Home Office"/>
    <s v="Phones"/>
    <n v="7"/>
    <n v="0.2"/>
    <n v="88.180399999999977"/>
    <n v="251.94400000000002"/>
  </r>
  <r>
    <s v="United States"/>
    <x v="54"/>
    <s v="Second Class"/>
    <s v="Consumer"/>
    <s v="Supplies"/>
    <n v="1"/>
    <n v="0.2"/>
    <n v="-0.34880000000000033"/>
    <n v="1.7440000000000002"/>
  </r>
  <r>
    <s v="United States"/>
    <x v="54"/>
    <s v="Standard Class"/>
    <s v="Consumer"/>
    <s v="Bookcases"/>
    <n v="2"/>
    <n v="0.32"/>
    <n v="-14.458800000000025"/>
    <n v="327.73279999999994"/>
  </r>
  <r>
    <s v="United States"/>
    <x v="55"/>
    <s v="Same Day"/>
    <s v="Home Office"/>
    <s v="Binders"/>
    <n v="12"/>
    <n v="2.4000000000000004"/>
    <n v="-21.934400000000011"/>
    <n v="13.087999999999997"/>
  </r>
  <r>
    <s v="United States"/>
    <x v="55"/>
    <s v="Same Day"/>
    <s v="Home Office"/>
    <s v="Storage"/>
    <n v="3"/>
    <n v="0.2"/>
    <n v="-12.528600000000001"/>
    <n v="52.751999999999995"/>
  </r>
  <r>
    <s v="United States"/>
    <x v="55"/>
    <s v="Standard Class"/>
    <s v="Corporate"/>
    <s v="Binders"/>
    <n v="7"/>
    <n v="0.8"/>
    <n v="-35.817600000000013"/>
    <n v="22.385999999999996"/>
  </r>
  <r>
    <s v="United States"/>
    <x v="55"/>
    <s v="Standard Class"/>
    <s v="Corporate"/>
    <s v="Chairs"/>
    <n v="5"/>
    <n v="0.3"/>
    <n v="-143.43099999999998"/>
    <n v="528.42999999999995"/>
  </r>
  <r>
    <s v="United States"/>
    <x v="56"/>
    <s v="First Class"/>
    <s v="Consumer"/>
    <s v="Chairs"/>
    <n v="1"/>
    <n v="0.1"/>
    <n v="10.647000000000004"/>
    <n v="63.882000000000005"/>
  </r>
  <r>
    <s v="United States"/>
    <x v="56"/>
    <s v="Second Class"/>
    <s v="Consumer"/>
    <s v="Art"/>
    <n v="2"/>
    <n v="0"/>
    <n v="0.72279999999999989"/>
    <n v="2.78"/>
  </r>
  <r>
    <s v="United States"/>
    <x v="56"/>
    <s v="Second Class"/>
    <s v="Consumer"/>
    <s v="Envelopes"/>
    <n v="2"/>
    <n v="0"/>
    <n v="35.981999999999992"/>
    <n v="79.959999999999994"/>
  </r>
  <r>
    <s v="United States"/>
    <x v="56"/>
    <s v="Second Class"/>
    <s v="Corporate"/>
    <s v="Furnishings"/>
    <n v="3"/>
    <n v="0"/>
    <n v="30.989999999999995"/>
    <n v="154.94999999999999"/>
  </r>
  <r>
    <s v="United States"/>
    <x v="56"/>
    <s v="Second Class"/>
    <s v="Corporate"/>
    <s v="Phones"/>
    <n v="4"/>
    <n v="0"/>
    <n v="12.208000000000002"/>
    <n v="43.6"/>
  </r>
  <r>
    <s v="United States"/>
    <x v="56"/>
    <s v="Standard Class"/>
    <s v="Consumer"/>
    <s v="Binders"/>
    <n v="3"/>
    <n v="0.2"/>
    <n v="726.56189999999981"/>
    <n v="2152.7760000000003"/>
  </r>
  <r>
    <s v="United States"/>
    <x v="56"/>
    <s v="Standard Class"/>
    <s v="Consumer"/>
    <s v="Bookcases"/>
    <n v="10"/>
    <n v="0.2"/>
    <n v="-50.098000000000297"/>
    <n v="4007.8400000000006"/>
  </r>
  <r>
    <s v="United States"/>
    <x v="56"/>
    <s v="Standard Class"/>
    <s v="Consumer"/>
    <s v="Supplies"/>
    <n v="7"/>
    <n v="0"/>
    <n v="16.703400000000016"/>
    <n v="835.17000000000007"/>
  </r>
  <r>
    <s v="United States"/>
    <x v="56"/>
    <s v="Standard Class"/>
    <s v="Corporate"/>
    <s v="Chairs"/>
    <n v="9"/>
    <n v="0.1"/>
    <n v="169.18200000000004"/>
    <n v="1522.6379999999999"/>
  </r>
  <r>
    <s v="United States"/>
    <x v="56"/>
    <s v="Standard Class"/>
    <s v="Corporate"/>
    <s v="Furnishings"/>
    <n v="5"/>
    <n v="0"/>
    <n v="39.97999999999999"/>
    <n v="199.89999999999998"/>
  </r>
  <r>
    <s v="United States"/>
    <x v="57"/>
    <s v="Standard Class"/>
    <s v="Consumer"/>
    <s v="Accessories"/>
    <n v="7"/>
    <n v="0.2"/>
    <n v="95.188799999999972"/>
    <n v="475.94400000000002"/>
  </r>
  <r>
    <s v="United States"/>
    <x v="57"/>
    <s v="Standard Class"/>
    <s v="Consumer"/>
    <s v="Tables"/>
    <n v="3"/>
    <n v="0.5"/>
    <n v="-184.83660000000003"/>
    <n v="355.45499999999998"/>
  </r>
  <r>
    <s v="United States"/>
    <x v="58"/>
    <s v="Standard Class"/>
    <s v="Consumer"/>
    <s v="Envelopes"/>
    <n v="1"/>
    <n v="0.2"/>
    <n v="2.7719999999999994"/>
    <n v="7.9200000000000008"/>
  </r>
  <r>
    <s v="United States"/>
    <x v="58"/>
    <s v="Standard Class"/>
    <s v="Consumer"/>
    <s v="Furnishings"/>
    <n v="2"/>
    <n v="0.2"/>
    <n v="3.9512"/>
    <n v="14.368000000000002"/>
  </r>
  <r>
    <s v="United States"/>
    <x v="59"/>
    <s v="Standard Class"/>
    <s v="Home Office"/>
    <s v="Furnishings"/>
    <n v="2"/>
    <n v="0"/>
    <n v="14.430000000000007"/>
    <n v="111"/>
  </r>
  <r>
    <s v="United States"/>
    <x v="59"/>
    <s v="Standard Class"/>
    <s v="Home Office"/>
    <s v="Machines"/>
    <n v="4"/>
    <n v="0.2"/>
    <n v="415.98959999999994"/>
    <n v="1279.9680000000001"/>
  </r>
  <r>
    <s v="United States"/>
    <x v="59"/>
    <s v="Standard Class"/>
    <s v="Home Office"/>
    <s v="Storage"/>
    <n v="7"/>
    <n v="0"/>
    <n v="334.11419999999987"/>
    <n v="1856.19"/>
  </r>
  <r>
    <s v="United States"/>
    <x v="60"/>
    <s v="First Class"/>
    <s v="Consumer"/>
    <s v="Art"/>
    <n v="10"/>
    <n v="0.4"/>
    <n v="4.4918999999999958"/>
    <n v="52.696000000000005"/>
  </r>
  <r>
    <s v="United States"/>
    <x v="60"/>
    <s v="First Class"/>
    <s v="Corporate"/>
    <s v="Art"/>
    <n v="3"/>
    <n v="0.2"/>
    <n v="1.5521999999999991"/>
    <n v="9.5519999999999996"/>
  </r>
  <r>
    <s v="United States"/>
    <x v="60"/>
    <s v="Same Day"/>
    <s v="Corporate"/>
    <s v="Appliances"/>
    <n v="2"/>
    <n v="0.2"/>
    <n v="14.650999999999989"/>
    <n v="167.44000000000003"/>
  </r>
  <r>
    <s v="United States"/>
    <x v="60"/>
    <s v="Same Day"/>
    <s v="Corporate"/>
    <s v="Machines"/>
    <n v="4"/>
    <n v="0.5"/>
    <n v="-3839.9903999999988"/>
    <n v="7999.98"/>
  </r>
  <r>
    <s v="United States"/>
    <x v="60"/>
    <s v="Same Day"/>
    <s v="Corporate"/>
    <s v="Tables"/>
    <n v="4"/>
    <n v="0.4"/>
    <n v="-199.50760000000008"/>
    <n v="630.024"/>
  </r>
  <r>
    <s v="United States"/>
    <x v="60"/>
    <s v="Second Class"/>
    <s v="Consumer"/>
    <s v="Chairs"/>
    <n v="3"/>
    <n v="0"/>
    <n v="178.79999999999998"/>
    <n v="715.2"/>
  </r>
  <r>
    <s v="United States"/>
    <x v="60"/>
    <s v="Second Class"/>
    <s v="Home Office"/>
    <s v="Binders"/>
    <n v="3"/>
    <n v="0"/>
    <n v="2.5920000000000001"/>
    <n v="5.4"/>
  </r>
  <r>
    <s v="United States"/>
    <x v="60"/>
    <s v="Second Class"/>
    <s v="Home Office"/>
    <s v="Envelopes"/>
    <n v="1"/>
    <n v="0"/>
    <n v="3.4944000000000002"/>
    <n v="7.28"/>
  </r>
  <r>
    <s v="United States"/>
    <x v="60"/>
    <s v="Standard Class"/>
    <s v="Consumer"/>
    <s v="Accessories"/>
    <n v="3"/>
    <n v="0.2"/>
    <n v="81.59490000000001"/>
    <n v="383.97600000000006"/>
  </r>
  <r>
    <s v="United States"/>
    <x v="60"/>
    <s v="Standard Class"/>
    <s v="Consumer"/>
    <s v="Appliances"/>
    <n v="3"/>
    <n v="0"/>
    <n v="152.02319999999997"/>
    <n v="542.93999999999994"/>
  </r>
  <r>
    <s v="United States"/>
    <x v="60"/>
    <s v="Standard Class"/>
    <s v="Consumer"/>
    <s v="Art"/>
    <n v="9"/>
    <n v="0.4"/>
    <n v="2.5148999999999964"/>
    <n v="22.744"/>
  </r>
  <r>
    <s v="United States"/>
    <x v="60"/>
    <s v="Standard Class"/>
    <s v="Consumer"/>
    <s v="Envelopes"/>
    <n v="1"/>
    <n v="0"/>
    <n v="0.95879999999999987"/>
    <n v="2.04"/>
  </r>
  <r>
    <s v="United States"/>
    <x v="60"/>
    <s v="Standard Class"/>
    <s v="Consumer"/>
    <s v="Paper"/>
    <n v="10"/>
    <n v="0"/>
    <n v="63.91899999999999"/>
    <n v="136.94999999999999"/>
  </r>
  <r>
    <s v="United States"/>
    <x v="60"/>
    <s v="Standard Class"/>
    <s v="Consumer"/>
    <s v="Tables"/>
    <n v="7"/>
    <n v="0.4"/>
    <n v="-653.28340000000003"/>
    <n v="1781.6819999999998"/>
  </r>
  <r>
    <s v="United States"/>
    <x v="60"/>
    <s v="Standard Class"/>
    <s v="Corporate"/>
    <s v="Accessories"/>
    <n v="9"/>
    <n v="0"/>
    <n v="110.65129999999999"/>
    <n v="305.01"/>
  </r>
  <r>
    <s v="United States"/>
    <x v="60"/>
    <s v="Standard Class"/>
    <s v="Corporate"/>
    <s v="Art"/>
    <n v="6"/>
    <n v="0"/>
    <n v="2.7336"/>
    <n v="8.0400000000000009"/>
  </r>
  <r>
    <s v="United States"/>
    <x v="60"/>
    <s v="Standard Class"/>
    <s v="Corporate"/>
    <s v="Bookcases"/>
    <n v="5"/>
    <n v="0"/>
    <n v="1013.1270000000001"/>
    <n v="4404.8999999999996"/>
  </r>
  <r>
    <s v="United States"/>
    <x v="60"/>
    <s v="Standard Class"/>
    <s v="Corporate"/>
    <s v="Storage"/>
    <n v="13"/>
    <n v="0"/>
    <n v="406.71539999999993"/>
    <n v="1564.29"/>
  </r>
  <r>
    <s v="United States"/>
    <x v="60"/>
    <s v="Standard Class"/>
    <s v="Home Office"/>
    <s v="Binders"/>
    <n v="4"/>
    <n v="0.7"/>
    <n v="-1306.5504000000001"/>
    <n v="1633.1880000000003"/>
  </r>
  <r>
    <s v="United States"/>
    <x v="60"/>
    <s v="Standard Class"/>
    <s v="Home Office"/>
    <s v="Phones"/>
    <n v="5"/>
    <n v="0"/>
    <n v="336.63499999999999"/>
    <n v="1294.75"/>
  </r>
  <r>
    <s v="United States"/>
    <x v="61"/>
    <s v="Standard Class"/>
    <s v="Corporate"/>
    <s v="Chairs"/>
    <n v="3"/>
    <n v="0.2"/>
    <n v="4.2293999999999699"/>
    <n v="338.35199999999998"/>
  </r>
  <r>
    <s v="United States"/>
    <x v="61"/>
    <s v="Standard Class"/>
    <s v="Corporate"/>
    <s v="Paper"/>
    <n v="8"/>
    <n v="0"/>
    <n v="54.467199999999998"/>
    <n v="117.28"/>
  </r>
  <r>
    <s v="United States"/>
    <x v="62"/>
    <s v="Standard Class"/>
    <s v="Consumer"/>
    <s v="Labels"/>
    <n v="3"/>
    <n v="0"/>
    <n v="7.2176999999999998"/>
    <n v="14.73"/>
  </r>
  <r>
    <s v="United States"/>
    <x v="62"/>
    <s v="Standard Class"/>
    <s v="Corporate"/>
    <s v="Bookcases"/>
    <n v="5"/>
    <n v="0.15"/>
    <n v="41.996499999999941"/>
    <n v="509.95749999999992"/>
  </r>
  <r>
    <s v="United States"/>
    <x v="62"/>
    <s v="Standard Class"/>
    <s v="Corporate"/>
    <s v="Chairs"/>
    <n v="5"/>
    <n v="0.4"/>
    <n v="75.166599999999917"/>
    <n v="819.92000000000007"/>
  </r>
  <r>
    <s v="United States"/>
    <x v="62"/>
    <s v="Standard Class"/>
    <s v="Corporate"/>
    <s v="Furnishings"/>
    <n v="3"/>
    <n v="0"/>
    <n v="34.414800000000007"/>
    <n v="122.91"/>
  </r>
  <r>
    <s v="United States"/>
    <x v="63"/>
    <s v="Second Class"/>
    <s v="Home Office"/>
    <s v="Art"/>
    <n v="4"/>
    <n v="0"/>
    <n v="4.9647999999999985"/>
    <n v="17.12"/>
  </r>
  <r>
    <s v="United States"/>
    <x v="63"/>
    <s v="Second Class"/>
    <s v="Home Office"/>
    <s v="Binders"/>
    <n v="5"/>
    <n v="0"/>
    <n v="10.327"/>
    <n v="22.450000000000003"/>
  </r>
  <r>
    <s v="United States"/>
    <x v="63"/>
    <s v="Second Class"/>
    <s v="Home Office"/>
    <s v="Paper"/>
    <n v="3"/>
    <n v="0"/>
    <n v="28.171799999999998"/>
    <n v="59.94"/>
  </r>
  <r>
    <s v="United States"/>
    <x v="63"/>
    <s v="Second Class"/>
    <s v="Home Office"/>
    <s v="Phones"/>
    <n v="2"/>
    <n v="0"/>
    <n v="93.593999999999994"/>
    <n v="311.98"/>
  </r>
  <r>
    <s v="United States"/>
    <x v="63"/>
    <s v="Standard Class"/>
    <s v="Home Office"/>
    <s v="Accessories"/>
    <n v="4"/>
    <n v="0"/>
    <n v="24.913200000000003"/>
    <n v="63.88"/>
  </r>
  <r>
    <s v="United States"/>
    <x v="63"/>
    <s v="Standard Class"/>
    <s v="Home Office"/>
    <s v="Furnishings"/>
    <n v="1"/>
    <n v="0"/>
    <n v="11.756800000000002"/>
    <n v="26.72"/>
  </r>
  <r>
    <s v="United States"/>
    <x v="64"/>
    <s v="Second Class"/>
    <s v="Corporate"/>
    <s v="Binders"/>
    <n v="8"/>
    <n v="0"/>
    <n v="138.20160000000001"/>
    <n v="287.92"/>
  </r>
  <r>
    <s v="United States"/>
    <x v="64"/>
    <s v="Second Class"/>
    <s v="Corporate"/>
    <s v="Furnishings"/>
    <n v="2"/>
    <n v="0"/>
    <n v="11.076000000000001"/>
    <n v="28.4"/>
  </r>
  <r>
    <s v="United States"/>
    <x v="64"/>
    <s v="Second Class"/>
    <s v="Home Office"/>
    <s v="Storage"/>
    <n v="3"/>
    <n v="0"/>
    <n v="0"/>
    <n v="501.81000000000006"/>
  </r>
  <r>
    <s v="United States"/>
    <x v="65"/>
    <s v="Standard Class"/>
    <s v="Consumer"/>
    <s v="Binders"/>
    <n v="3"/>
    <n v="0.2"/>
    <n v="3.3674999999999984"/>
    <n v="10.776000000000002"/>
  </r>
  <r>
    <s v="United States"/>
    <x v="65"/>
    <s v="Standard Class"/>
    <s v="Consumer"/>
    <s v="Envelopes"/>
    <n v="5"/>
    <n v="0"/>
    <n v="13.347999999999997"/>
    <n v="28.4"/>
  </r>
  <r>
    <s v="United States"/>
    <x v="65"/>
    <s v="Standard Class"/>
    <s v="Corporate"/>
    <s v="Art"/>
    <n v="3"/>
    <n v="0"/>
    <n v="1.0841999999999998"/>
    <n v="4.17"/>
  </r>
  <r>
    <s v="United States"/>
    <x v="65"/>
    <s v="Standard Class"/>
    <s v="Corporate"/>
    <s v="Binders"/>
    <n v="3"/>
    <n v="0.4"/>
    <n v="8.2364999999999995"/>
    <n v="24.904"/>
  </r>
  <r>
    <s v="United States"/>
    <x v="65"/>
    <s v="Standard Class"/>
    <s v="Corporate"/>
    <s v="Labels"/>
    <n v="5"/>
    <n v="0"/>
    <n v="8.6715"/>
    <n v="18.45"/>
  </r>
  <r>
    <s v="United States"/>
    <x v="65"/>
    <s v="Standard Class"/>
    <s v="Corporate"/>
    <s v="Phones"/>
    <n v="4"/>
    <n v="0.2"/>
    <n v="6.7039999999999971"/>
    <n v="67.040000000000006"/>
  </r>
  <r>
    <s v="United States"/>
    <x v="65"/>
    <s v="Standard Class"/>
    <s v="Corporate"/>
    <s v="Storage"/>
    <n v="3"/>
    <n v="0"/>
    <n v="10.4496"/>
    <n v="37.32"/>
  </r>
  <r>
    <s v="United States"/>
    <x v="65"/>
    <s v="Standard Class"/>
    <s v="Home Office"/>
    <s v="Paper"/>
    <n v="7"/>
    <n v="0"/>
    <n v="101.56799999999998"/>
    <n v="211.6"/>
  </r>
  <r>
    <s v="United States"/>
    <x v="65"/>
    <s v="Standard Class"/>
    <s v="Home Office"/>
    <s v="Supplies"/>
    <n v="2"/>
    <n v="0"/>
    <n v="4.3368000000000002"/>
    <n v="16.68"/>
  </r>
  <r>
    <s v="United States"/>
    <x v="66"/>
    <s v="Standard Class"/>
    <s v="Consumer"/>
    <s v="Chairs"/>
    <n v="8"/>
    <n v="0.6"/>
    <n v="-98.63420000000005"/>
    <n v="790.53800000000001"/>
  </r>
  <r>
    <s v="United States"/>
    <x v="66"/>
    <s v="Standard Class"/>
    <s v="Consumer"/>
    <s v="Paper"/>
    <n v="2"/>
    <n v="0.2"/>
    <n v="3.7692000000000001"/>
    <n v="11.168000000000001"/>
  </r>
  <r>
    <s v="United States"/>
    <x v="66"/>
    <s v="Standard Class"/>
    <s v="Consumer"/>
    <s v="Storage"/>
    <n v="8"/>
    <n v="0.4"/>
    <n v="54.996699999999919"/>
    <n v="504.10400000000004"/>
  </r>
  <r>
    <s v="United States"/>
    <x v="67"/>
    <s v="Second Class"/>
    <s v="Consumer"/>
    <s v="Accessories"/>
    <n v="7"/>
    <n v="0.2"/>
    <n v="52.497900000000016"/>
    <n v="1399.9440000000002"/>
  </r>
  <r>
    <s v="United States"/>
    <x v="67"/>
    <s v="Second Class"/>
    <s v="Consumer"/>
    <s v="Art"/>
    <n v="4"/>
    <n v="0.2"/>
    <n v="8.674399999999995"/>
    <n v="99.13600000000001"/>
  </r>
  <r>
    <s v="United States"/>
    <x v="67"/>
    <s v="Second Class"/>
    <s v="Consumer"/>
    <s v="Furnishings"/>
    <n v="2"/>
    <n v="0.6"/>
    <n v="-13.992999999999999"/>
    <n v="15.991999999999999"/>
  </r>
  <r>
    <s v="United States"/>
    <x v="67"/>
    <s v="Second Class"/>
    <s v="Consumer"/>
    <s v="Paper"/>
    <n v="4"/>
    <n v="0.2"/>
    <n v="5.2799999999999994"/>
    <n v="16.896000000000001"/>
  </r>
  <r>
    <s v="United States"/>
    <x v="67"/>
    <s v="Second Class"/>
    <s v="Consumer"/>
    <s v="Supplies"/>
    <n v="1"/>
    <n v="0.2"/>
    <n v="0.50039999999999996"/>
    <n v="6.6720000000000006"/>
  </r>
  <r>
    <s v="United States"/>
    <x v="67"/>
    <s v="Standard Class"/>
    <s v="Consumer"/>
    <s v="Accessories"/>
    <n v="3"/>
    <n v="0.4"/>
    <n v="22.602799999999995"/>
    <n v="175.88800000000001"/>
  </r>
  <r>
    <s v="United States"/>
    <x v="67"/>
    <s v="Standard Class"/>
    <s v="Consumer"/>
    <s v="Appliances"/>
    <n v="2"/>
    <n v="0.8"/>
    <n v="-52.833600000000004"/>
    <n v="19.567999999999998"/>
  </r>
  <r>
    <s v="United States"/>
    <x v="67"/>
    <s v="Standard Class"/>
    <s v="Consumer"/>
    <s v="Binders"/>
    <n v="6"/>
    <n v="1.6"/>
    <n v="-516.54280000000017"/>
    <n v="312.90399999999994"/>
  </r>
  <r>
    <s v="United States"/>
    <x v="67"/>
    <s v="Standard Class"/>
    <s v="Consumer"/>
    <s v="Fasteners"/>
    <n v="9"/>
    <n v="0.2"/>
    <n v="6.1307999999999998"/>
    <n v="18.864000000000001"/>
  </r>
  <r>
    <s v="United States"/>
    <x v="67"/>
    <s v="Standard Class"/>
    <s v="Consumer"/>
    <s v="Furnishings"/>
    <n v="3"/>
    <n v="0.6"/>
    <n v="-6.9101999999999997"/>
    <n v="25.128000000000004"/>
  </r>
  <r>
    <s v="United States"/>
    <x v="67"/>
    <s v="Standard Class"/>
    <s v="Corporate"/>
    <s v="Accessories"/>
    <n v="4"/>
    <n v="0.2"/>
    <n v="26.391200000000001"/>
    <n v="95.968000000000004"/>
  </r>
  <r>
    <s v="United States"/>
    <x v="67"/>
    <s v="Standard Class"/>
    <s v="Corporate"/>
    <s v="Binders"/>
    <n v="3"/>
    <n v="0.8"/>
    <n v="-5.6406000000000018"/>
    <n v="3.3179999999999996"/>
  </r>
  <r>
    <s v="United States"/>
    <x v="67"/>
    <s v="Standard Class"/>
    <s v="Corporate"/>
    <s v="Paper"/>
    <n v="2"/>
    <n v="0.2"/>
    <n v="3.6288"/>
    <n v="10.368000000000002"/>
  </r>
  <r>
    <s v="United States"/>
    <x v="68"/>
    <s v="Second Class"/>
    <s v="Corporate"/>
    <s v="Appliances"/>
    <n v="5"/>
    <n v="0.2"/>
    <n v="5.0960000000000001"/>
    <n v="58.240000000000009"/>
  </r>
  <r>
    <s v="United States"/>
    <x v="68"/>
    <s v="Second Class"/>
    <s v="Corporate"/>
    <s v="Fasteners"/>
    <n v="3"/>
    <n v="0.2"/>
    <n v="2.7222"/>
    <n v="8.3760000000000012"/>
  </r>
  <r>
    <s v="United States"/>
    <x v="68"/>
    <s v="Standard Class"/>
    <s v="Corporate"/>
    <s v="Accessories"/>
    <n v="1"/>
    <n v="0.2"/>
    <n v="2.2823999999999991"/>
    <n v="15.216000000000001"/>
  </r>
  <r>
    <s v="United States"/>
    <x v="68"/>
    <s v="Standard Class"/>
    <s v="Corporate"/>
    <s v="Appliances"/>
    <n v="5"/>
    <n v="0.2"/>
    <n v="18.769499999999987"/>
    <n v="166.84"/>
  </r>
  <r>
    <s v="United States"/>
    <x v="68"/>
    <s v="Standard Class"/>
    <s v="Corporate"/>
    <s v="Paper"/>
    <n v="2"/>
    <n v="0.2"/>
    <n v="3.6288"/>
    <n v="10.368000000000002"/>
  </r>
  <r>
    <s v="United States"/>
    <x v="68"/>
    <s v="Standard Class"/>
    <s v="Corporate"/>
    <s v="Phones"/>
    <n v="3"/>
    <n v="0.2"/>
    <n v="21.539699999999996"/>
    <n v="246.16800000000001"/>
  </r>
  <r>
    <s v="United States"/>
    <x v="69"/>
    <s v="Standard Class"/>
    <s v="Consumer"/>
    <s v="Envelopes"/>
    <n v="3"/>
    <n v="0.2"/>
    <n v="2.4779999999999989"/>
    <n v="7.080000000000001"/>
  </r>
  <r>
    <s v="United States"/>
    <x v="69"/>
    <s v="Standard Class"/>
    <s v="Corporate"/>
    <s v="Paper"/>
    <n v="3"/>
    <n v="0.2"/>
    <n v="40.353599999999986"/>
    <n v="115.29600000000001"/>
  </r>
  <r>
    <s v="United States"/>
    <x v="70"/>
    <s v="First Class"/>
    <s v="Consumer"/>
    <s v="Phones"/>
    <n v="3"/>
    <n v="0"/>
    <n v="80.735999999999976"/>
    <n v="278.39999999999998"/>
  </r>
  <r>
    <s v="United States"/>
    <x v="71"/>
    <s v="Standard Class"/>
    <s v="Consumer"/>
    <s v="Furnishings"/>
    <n v="5"/>
    <n v="0.6"/>
    <n v="-182.35200000000003"/>
    <n v="151.96"/>
  </r>
  <r>
    <s v="United States"/>
    <x v="72"/>
    <s v="Same Day"/>
    <s v="Corporate"/>
    <s v="Paper"/>
    <n v="1"/>
    <n v="0.2"/>
    <n v="29.357999999999997"/>
    <n v="83.88"/>
  </r>
  <r>
    <s v="United States"/>
    <x v="72"/>
    <s v="Standard Class"/>
    <s v="Consumer"/>
    <s v="Art"/>
    <n v="6"/>
    <n v="0.4"/>
    <n v="2.5359999999999996"/>
    <n v="18.239999999999998"/>
  </r>
  <r>
    <s v="United States"/>
    <x v="72"/>
    <s v="Standard Class"/>
    <s v="Corporate"/>
    <s v="Tables"/>
    <n v="1"/>
    <n v="0.5"/>
    <n v="-45.827300000000008"/>
    <n v="73.915000000000006"/>
  </r>
  <r>
    <s v="United States"/>
    <x v="72"/>
    <s v="Standard Class"/>
    <s v="Home Office"/>
    <s v="Chairs"/>
    <n v="3"/>
    <n v="0.2"/>
    <n v="105.29699999999988"/>
    <n v="842.37600000000009"/>
  </r>
  <r>
    <s v="United States"/>
    <x v="72"/>
    <s v="Standard Class"/>
    <s v="Home Office"/>
    <s v="Fasteners"/>
    <n v="8"/>
    <n v="0.2"/>
    <n v="-11.825600000000001"/>
    <n v="49.792000000000002"/>
  </r>
  <r>
    <s v="United States"/>
    <x v="72"/>
    <s v="Standard Class"/>
    <s v="Home Office"/>
    <s v="Furnishings"/>
    <n v="4"/>
    <n v="0.2"/>
    <n v="1.9223999999999997"/>
    <n v="8.5440000000000005"/>
  </r>
  <r>
    <s v="United States"/>
    <x v="73"/>
    <s v="Standard Class"/>
    <s v="Corporate"/>
    <s v="Art"/>
    <n v="3"/>
    <n v="0.2"/>
    <n v="4.7303999999999995"/>
    <n v="14.015999999999998"/>
  </r>
  <r>
    <s v="United States"/>
    <x v="74"/>
    <s v="First Class"/>
    <s v="Consumer"/>
    <s v="Art"/>
    <n v="9"/>
    <n v="0.2"/>
    <n v="1.4255999999999993"/>
    <n v="12.672000000000001"/>
  </r>
  <r>
    <s v="United States"/>
    <x v="74"/>
    <s v="First Class"/>
    <s v="Consumer"/>
    <s v="Phones"/>
    <n v="5"/>
    <n v="0.2"/>
    <n v="16.997500000000016"/>
    <n v="271.95999999999998"/>
  </r>
  <r>
    <s v="United States"/>
    <x v="74"/>
    <s v="Same Day"/>
    <s v="Consumer"/>
    <s v="Accessories"/>
    <n v="3"/>
    <n v="0.2"/>
    <n v="4.9877999999999982"/>
    <n v="23.472000000000001"/>
  </r>
  <r>
    <s v="United States"/>
    <x v="74"/>
    <s v="Same Day"/>
    <s v="Consumer"/>
    <s v="Binders"/>
    <n v="11"/>
    <n v="0.7"/>
    <n v="-52.548099999999991"/>
    <n v="68.541000000000011"/>
  </r>
  <r>
    <s v="United States"/>
    <x v="74"/>
    <s v="Same Day"/>
    <s v="Consumer"/>
    <s v="Labels"/>
    <n v="5"/>
    <n v="0.2"/>
    <n v="39.689000000000007"/>
    <n v="122.12000000000002"/>
  </r>
  <r>
    <s v="United States"/>
    <x v="74"/>
    <s v="Same Day"/>
    <s v="Consumer"/>
    <s v="Phones"/>
    <n v="4"/>
    <n v="0.2"/>
    <n v="70.55639999999994"/>
    <n v="627.16800000000012"/>
  </r>
  <r>
    <s v="United States"/>
    <x v="74"/>
    <s v="Second Class"/>
    <s v="Corporate"/>
    <s v="Storage"/>
    <n v="2"/>
    <n v="0.2"/>
    <n v="3.9591999999999992"/>
    <n v="45.248000000000005"/>
  </r>
  <r>
    <s v="United States"/>
    <x v="74"/>
    <s v="Second Class"/>
    <s v="Corporate"/>
    <s v="Supplies"/>
    <n v="2"/>
    <n v="0.2"/>
    <n v="-34.758000000000017"/>
    <n v="185.376"/>
  </r>
  <r>
    <s v="United States"/>
    <x v="74"/>
    <s v="Second Class"/>
    <s v="Corporate"/>
    <s v="Tables"/>
    <n v="10"/>
    <n v="0.4"/>
    <n v="-292.10000000000014"/>
    <n v="876.30000000000007"/>
  </r>
  <r>
    <s v="United States"/>
    <x v="74"/>
    <s v="Second Class"/>
    <s v="Home Office"/>
    <s v="Accessories"/>
    <n v="8"/>
    <n v="0.2"/>
    <n v="76.704000000000008"/>
    <n v="255.68000000000004"/>
  </r>
  <r>
    <s v="United States"/>
    <x v="74"/>
    <s v="Second Class"/>
    <s v="Home Office"/>
    <s v="Binders"/>
    <n v="3"/>
    <n v="0.7"/>
    <n v="-20.446799999999996"/>
    <n v="27.882000000000005"/>
  </r>
  <r>
    <s v="United States"/>
    <x v="74"/>
    <s v="Second Class"/>
    <s v="Home Office"/>
    <s v="Storage"/>
    <n v="3"/>
    <n v="0.2"/>
    <n v="-47.254199999999997"/>
    <n v="540.048"/>
  </r>
  <r>
    <s v="United States"/>
    <x v="74"/>
    <s v="Standard Class"/>
    <s v="Consumer"/>
    <s v="Accessories"/>
    <n v="16"/>
    <n v="0.60000000000000009"/>
    <n v="429.19560000000001"/>
    <n v="1517.9520000000002"/>
  </r>
  <r>
    <s v="United States"/>
    <x v="74"/>
    <s v="Standard Class"/>
    <s v="Consumer"/>
    <s v="Appliances"/>
    <n v="9"/>
    <n v="0.2"/>
    <n v="34.813799999999944"/>
    <n v="309.45600000000002"/>
  </r>
  <r>
    <s v="United States"/>
    <x v="74"/>
    <s v="Standard Class"/>
    <s v="Consumer"/>
    <s v="Art"/>
    <n v="5"/>
    <n v="0.4"/>
    <n v="4.4785999999999984"/>
    <n v="22.760000000000005"/>
  </r>
  <r>
    <s v="United States"/>
    <x v="74"/>
    <s v="Standard Class"/>
    <s v="Consumer"/>
    <s v="Binders"/>
    <n v="15"/>
    <n v="2.0999999999999996"/>
    <n v="-50.283499999999989"/>
    <n v="67.527000000000015"/>
  </r>
  <r>
    <s v="United States"/>
    <x v="74"/>
    <s v="Standard Class"/>
    <s v="Consumer"/>
    <s v="Chairs"/>
    <n v="3"/>
    <n v="0.2"/>
    <n v="15.147000000000006"/>
    <n v="242.35200000000003"/>
  </r>
  <r>
    <s v="United States"/>
    <x v="74"/>
    <s v="Standard Class"/>
    <s v="Consumer"/>
    <s v="Labels"/>
    <n v="2"/>
    <n v="0.2"/>
    <n v="1.764"/>
    <n v="5.04"/>
  </r>
  <r>
    <s v="United States"/>
    <x v="74"/>
    <s v="Standard Class"/>
    <s v="Consumer"/>
    <s v="Machines"/>
    <n v="3"/>
    <n v="0.5"/>
    <n v="-944.99460000000045"/>
    <n v="2624.9850000000001"/>
  </r>
  <r>
    <s v="United States"/>
    <x v="74"/>
    <s v="Standard Class"/>
    <s v="Consumer"/>
    <s v="Paper"/>
    <n v="12"/>
    <n v="0.4"/>
    <n v="161.13999999999999"/>
    <n v="460.40000000000003"/>
  </r>
  <r>
    <s v="United States"/>
    <x v="74"/>
    <s v="Standard Class"/>
    <s v="Consumer"/>
    <s v="Phones"/>
    <n v="1"/>
    <n v="0.2"/>
    <n v="2.0993999999999993"/>
    <n v="27.992000000000004"/>
  </r>
  <r>
    <s v="United States"/>
    <x v="74"/>
    <s v="Standard Class"/>
    <s v="Consumer"/>
    <s v="Storage"/>
    <n v="16"/>
    <n v="0.60000000000000009"/>
    <n v="-33.846300000000085"/>
    <n v="1159.8240000000001"/>
  </r>
  <r>
    <s v="United States"/>
    <x v="74"/>
    <s v="Standard Class"/>
    <s v="Consumer"/>
    <s v="Tables"/>
    <n v="3"/>
    <n v="0.4"/>
    <n v="-149.63070000000005"/>
    <n v="472.51800000000003"/>
  </r>
  <r>
    <s v="United States"/>
    <x v="74"/>
    <s v="Standard Class"/>
    <s v="Corporate"/>
    <s v="Appliances"/>
    <n v="1"/>
    <n v="0.2"/>
    <n v="10.224499999999994"/>
    <n v="62.920000000000009"/>
  </r>
  <r>
    <s v="United States"/>
    <x v="74"/>
    <s v="Standard Class"/>
    <s v="Corporate"/>
    <s v="Art"/>
    <n v="3"/>
    <n v="0.2"/>
    <n v="0.89880000000000004"/>
    <n v="10.272000000000002"/>
  </r>
  <r>
    <s v="United States"/>
    <x v="74"/>
    <s v="Standard Class"/>
    <s v="Corporate"/>
    <s v="Binders"/>
    <n v="7"/>
    <n v="0.7"/>
    <n v="-12.431999999999999"/>
    <n v="18.648000000000003"/>
  </r>
  <r>
    <s v="United States"/>
    <x v="74"/>
    <s v="Standard Class"/>
    <s v="Corporate"/>
    <s v="Copiers"/>
    <n v="4"/>
    <n v="0.2"/>
    <n v="119.99599999999992"/>
    <n v="959.96800000000007"/>
  </r>
  <r>
    <s v="United States"/>
    <x v="74"/>
    <s v="Standard Class"/>
    <s v="Corporate"/>
    <s v="Fasteners"/>
    <n v="5"/>
    <n v="0.2"/>
    <n v="1.4099999999999997"/>
    <n v="7.52"/>
  </r>
  <r>
    <s v="United States"/>
    <x v="74"/>
    <s v="Standard Class"/>
    <s v="Corporate"/>
    <s v="Furnishings"/>
    <n v="6"/>
    <n v="0.4"/>
    <n v="12.874400000000001"/>
    <n v="49.055999999999997"/>
  </r>
  <r>
    <s v="United States"/>
    <x v="74"/>
    <s v="Standard Class"/>
    <s v="Corporate"/>
    <s v="Labels"/>
    <n v="18"/>
    <n v="0.60000000000000009"/>
    <n v="25.730399999999996"/>
    <n v="77.13600000000001"/>
  </r>
  <r>
    <s v="United States"/>
    <x v="74"/>
    <s v="Standard Class"/>
    <s v="Corporate"/>
    <s v="Paper"/>
    <n v="7"/>
    <n v="0.4"/>
    <n v="40.688999999999993"/>
    <n v="114.54400000000001"/>
  </r>
  <r>
    <s v="United States"/>
    <x v="74"/>
    <s v="Standard Class"/>
    <s v="Corporate"/>
    <s v="Phones"/>
    <n v="9"/>
    <n v="0.2"/>
    <n v="110.1194999999999"/>
    <n v="978.83999999999992"/>
  </r>
  <r>
    <s v="United States"/>
    <x v="74"/>
    <s v="Standard Class"/>
    <s v="Home Office"/>
    <s v="Binders"/>
    <n v="13"/>
    <n v="1.4"/>
    <n v="-62.263200000000005"/>
    <n v="86.238000000000014"/>
  </r>
  <r>
    <s v="United States"/>
    <x v="74"/>
    <s v="Standard Class"/>
    <s v="Home Office"/>
    <s v="Fasteners"/>
    <n v="3"/>
    <n v="0.2"/>
    <n v="5.9174999999999986"/>
    <n v="18.936"/>
  </r>
  <r>
    <s v="United States"/>
    <x v="74"/>
    <s v="Standard Class"/>
    <s v="Home Office"/>
    <s v="Phones"/>
    <n v="3"/>
    <n v="0.4"/>
    <n v="20.274799999999992"/>
    <n v="258.34399999999999"/>
  </r>
  <r>
    <s v="United States"/>
    <x v="74"/>
    <s v="Standard Class"/>
    <s v="Home Office"/>
    <s v="Storage"/>
    <n v="11"/>
    <n v="0.4"/>
    <n v="95.793799999999919"/>
    <n v="928.88"/>
  </r>
  <r>
    <s v="United States"/>
    <x v="74"/>
    <s v="Standard Class"/>
    <s v="Home Office"/>
    <s v="Tables"/>
    <n v="3"/>
    <n v="0.4"/>
    <n v="-36.11160000000001"/>
    <n v="154.76400000000001"/>
  </r>
  <r>
    <s v="United States"/>
    <x v="75"/>
    <s v="First Class"/>
    <s v="Consumer"/>
    <s v="Art"/>
    <n v="3"/>
    <n v="0"/>
    <n v="10.395"/>
    <n v="34.650000000000006"/>
  </r>
  <r>
    <s v="United States"/>
    <x v="75"/>
    <s v="Standard Class"/>
    <s v="Home Office"/>
    <s v="Furnishings"/>
    <n v="4"/>
    <n v="0"/>
    <n v="12.232799999999997"/>
    <n v="67.959999999999994"/>
  </r>
  <r>
    <s v="United States"/>
    <x v="76"/>
    <s v="Second Class"/>
    <s v="Home Office"/>
    <s v="Machines"/>
    <n v="1"/>
    <n v="0.5"/>
    <n v="-1.8294999999999959"/>
    <n v="91.474999999999994"/>
  </r>
  <r>
    <s v="United States"/>
    <x v="76"/>
    <s v="Standard Class"/>
    <s v="Consumer"/>
    <s v="Accessories"/>
    <n v="3"/>
    <n v="0.2"/>
    <n v="15.596099999999996"/>
    <n v="95.976000000000013"/>
  </r>
  <r>
    <s v="United States"/>
    <x v="76"/>
    <s v="Standard Class"/>
    <s v="Consumer"/>
    <s v="Binders"/>
    <n v="2"/>
    <n v="0.7"/>
    <n v="-2.9700000000000006"/>
    <n v="3.5640000000000009"/>
  </r>
  <r>
    <s v="United States"/>
    <x v="76"/>
    <s v="Standard Class"/>
    <s v="Consumer"/>
    <s v="Chairs"/>
    <n v="2"/>
    <n v="0.2"/>
    <n v="48.795999999999978"/>
    <n v="390.36799999999999"/>
  </r>
  <r>
    <s v="United States"/>
    <x v="76"/>
    <s v="Standard Class"/>
    <s v="Consumer"/>
    <s v="Furnishings"/>
    <n v="10"/>
    <n v="0.4"/>
    <n v="22.378999999999991"/>
    <n v="118.24000000000001"/>
  </r>
  <r>
    <s v="United States"/>
    <x v="76"/>
    <s v="Standard Class"/>
    <s v="Consumer"/>
    <s v="Labels"/>
    <n v="2"/>
    <n v="0.2"/>
    <n v="1.7247999999999997"/>
    <n v="4.9280000000000008"/>
  </r>
  <r>
    <s v="United States"/>
    <x v="76"/>
    <s v="Standard Class"/>
    <s v="Consumer"/>
    <s v="Phones"/>
    <n v="9"/>
    <n v="0.2"/>
    <n v="-32.383800000000008"/>
    <n v="143.928"/>
  </r>
  <r>
    <s v="United States"/>
    <x v="76"/>
    <s v="Standard Class"/>
    <s v="Corporate"/>
    <s v="Binders"/>
    <n v="5"/>
    <n v="0.7"/>
    <n v="-5.9399999999999977"/>
    <n v="8.1000000000000014"/>
  </r>
  <r>
    <s v="United States"/>
    <x v="76"/>
    <s v="Standard Class"/>
    <s v="Corporate"/>
    <s v="Furnishings"/>
    <n v="4"/>
    <n v="0.2"/>
    <n v="-18.180799999999998"/>
    <n v="132.22400000000002"/>
  </r>
  <r>
    <s v="United States"/>
    <x v="77"/>
    <s v="First Class"/>
    <s v="Consumer"/>
    <s v="Appliances"/>
    <n v="4"/>
    <n v="0"/>
    <n v="55.36160000000001"/>
    <n v="197.72"/>
  </r>
  <r>
    <s v="United States"/>
    <x v="77"/>
    <s v="First Class"/>
    <s v="Corporate"/>
    <s v="Labels"/>
    <n v="4"/>
    <n v="0"/>
    <n v="7.1999999999999993"/>
    <n v="15"/>
  </r>
  <r>
    <s v="United States"/>
    <x v="77"/>
    <s v="First Class"/>
    <s v="Corporate"/>
    <s v="Phones"/>
    <n v="6"/>
    <n v="0"/>
    <n v="84.054099999999991"/>
    <n v="306.56"/>
  </r>
  <r>
    <s v="United States"/>
    <x v="77"/>
    <s v="Standard Class"/>
    <s v="Consumer"/>
    <s v="Accessories"/>
    <n v="3"/>
    <n v="0"/>
    <n v="103.15800000000003"/>
    <n v="234.45000000000002"/>
  </r>
  <r>
    <s v="United States"/>
    <x v="77"/>
    <s v="Standard Class"/>
    <s v="Consumer"/>
    <s v="Appliances"/>
    <n v="4"/>
    <n v="0"/>
    <n v="55.058400000000006"/>
    <n v="203.92"/>
  </r>
  <r>
    <s v="United States"/>
    <x v="77"/>
    <s v="Standard Class"/>
    <s v="Consumer"/>
    <s v="Binders"/>
    <n v="2"/>
    <n v="0"/>
    <n v="8.2061999999999991"/>
    <n v="17.46"/>
  </r>
  <r>
    <s v="United States"/>
    <x v="77"/>
    <s v="Standard Class"/>
    <s v="Consumer"/>
    <s v="Chairs"/>
    <n v="5"/>
    <n v="0"/>
    <n v="80.78400000000002"/>
    <n v="504.90000000000003"/>
  </r>
  <r>
    <s v="United States"/>
    <x v="77"/>
    <s v="Standard Class"/>
    <s v="Consumer"/>
    <s v="Fasteners"/>
    <n v="9"/>
    <n v="0"/>
    <n v="21.599999999999998"/>
    <n v="45"/>
  </r>
  <r>
    <s v="United States"/>
    <x v="77"/>
    <s v="Standard Class"/>
    <s v="Consumer"/>
    <s v="Labels"/>
    <n v="2"/>
    <n v="0"/>
    <n v="11.778199999999998"/>
    <n v="25.06"/>
  </r>
  <r>
    <s v="United States"/>
    <x v="77"/>
    <s v="Standard Class"/>
    <s v="Consumer"/>
    <s v="Machines"/>
    <n v="3"/>
    <n v="0"/>
    <n v="90.287100000000009"/>
    <n v="209.96999999999997"/>
  </r>
  <r>
    <s v="United States"/>
    <x v="77"/>
    <s v="Standard Class"/>
    <s v="Consumer"/>
    <s v="Paper"/>
    <n v="5"/>
    <n v="0"/>
    <n v="15.552000000000001"/>
    <n v="32.400000000000006"/>
  </r>
  <r>
    <s v="United States"/>
    <x v="77"/>
    <s v="Standard Class"/>
    <s v="Consumer"/>
    <s v="Phones"/>
    <n v="4"/>
    <n v="0"/>
    <n v="7.9812000000000012"/>
    <n v="29.56"/>
  </r>
  <r>
    <s v="United States"/>
    <x v="77"/>
    <s v="Standard Class"/>
    <s v="Consumer"/>
    <s v="Tables"/>
    <n v="9"/>
    <n v="0"/>
    <n v="389.4317999999999"/>
    <n v="2909.16"/>
  </r>
  <r>
    <s v="United States"/>
    <x v="77"/>
    <s v="Standard Class"/>
    <s v="Corporate"/>
    <s v="Binders"/>
    <n v="4"/>
    <n v="0"/>
    <n v="30.700800000000001"/>
    <n v="63.96"/>
  </r>
  <r>
    <s v="United States"/>
    <x v="77"/>
    <s v="Standard Class"/>
    <s v="Corporate"/>
    <s v="Storage"/>
    <n v="4"/>
    <n v="0"/>
    <n v="16.653600000000004"/>
    <n v="61.68"/>
  </r>
  <r>
    <s v="United States"/>
    <x v="77"/>
    <s v="Standard Class"/>
    <s v="Home Office"/>
    <s v="Chairs"/>
    <n v="4"/>
    <n v="0"/>
    <n v="284.98"/>
    <n v="1139.92"/>
  </r>
  <r>
    <s v="United States"/>
    <x v="78"/>
    <s v="First Class"/>
    <s v="Corporate"/>
    <s v="Binders"/>
    <n v="5"/>
    <n v="0.7"/>
    <n v="-6.3030000000000008"/>
    <n v="8.5950000000000024"/>
  </r>
  <r>
    <s v="United States"/>
    <x v="78"/>
    <s v="First Class"/>
    <s v="Corporate"/>
    <s v="Supplies"/>
    <n v="2"/>
    <n v="0.2"/>
    <n v="-42.951599999999999"/>
    <n v="190.89600000000002"/>
  </r>
  <r>
    <s v="United States"/>
    <x v="78"/>
    <s v="First Class"/>
    <s v="Home Office"/>
    <s v="Art"/>
    <n v="9"/>
    <n v="0.4"/>
    <n v="18.157599999999992"/>
    <n v="200.96800000000002"/>
  </r>
  <r>
    <s v="United States"/>
    <x v="78"/>
    <s v="First Class"/>
    <s v="Home Office"/>
    <s v="Binders"/>
    <n v="5"/>
    <n v="1.4"/>
    <n v="-17.058399999999999"/>
    <n v="23.484000000000005"/>
  </r>
  <r>
    <s v="United States"/>
    <x v="78"/>
    <s v="First Class"/>
    <s v="Home Office"/>
    <s v="Envelopes"/>
    <n v="7"/>
    <n v="0.2"/>
    <n v="62.807499999999976"/>
    <n v="200.98400000000004"/>
  </r>
  <r>
    <s v="United States"/>
    <x v="78"/>
    <s v="First Class"/>
    <s v="Home Office"/>
    <s v="Labels"/>
    <n v="8"/>
    <n v="0.4"/>
    <n v="49.511200000000002"/>
    <n v="145.05600000000001"/>
  </r>
  <r>
    <s v="United States"/>
    <x v="78"/>
    <s v="Standard Class"/>
    <s v="Consumer"/>
    <s v="Chairs"/>
    <n v="8"/>
    <n v="0.6"/>
    <n v="-4.858799999999988"/>
    <n v="1023.9879999999998"/>
  </r>
  <r>
    <s v="United States"/>
    <x v="78"/>
    <s v="Standard Class"/>
    <s v="Consumer"/>
    <s v="Phones"/>
    <n v="3"/>
    <n v="0.4"/>
    <n v="-15.176700000000004"/>
    <n v="82.782000000000011"/>
  </r>
  <r>
    <s v="United States"/>
    <x v="78"/>
    <s v="Standard Class"/>
    <s v="Home Office"/>
    <s v="Art"/>
    <n v="2"/>
    <n v="0.2"/>
    <n v="0.59039999999999915"/>
    <n v="5.2480000000000002"/>
  </r>
  <r>
    <s v="United States"/>
    <x v="78"/>
    <s v="Standard Class"/>
    <s v="Home Office"/>
    <s v="Furnishings"/>
    <n v="3"/>
    <n v="0.4"/>
    <n v="12.018599999999999"/>
    <n v="50.568000000000005"/>
  </r>
  <r>
    <s v="United States"/>
    <x v="78"/>
    <s v="Standard Class"/>
    <s v="Home Office"/>
    <s v="Phones"/>
    <n v="3"/>
    <n v="0.4"/>
    <n v="-8.3790000000000031"/>
    <n v="35.909999999999997"/>
  </r>
  <r>
    <s v="United States"/>
    <x v="79"/>
    <s v="Standard Class"/>
    <s v="Home Office"/>
    <s v="Chairs"/>
    <n v="4"/>
    <n v="0.2"/>
    <n v="100.19599999999997"/>
    <n v="1603.1360000000002"/>
  </r>
  <r>
    <s v="United States"/>
    <x v="80"/>
    <s v="First Class"/>
    <s v="Consumer"/>
    <s v="Appliances"/>
    <n v="1"/>
    <n v="0.8"/>
    <n v="-6.344100000000001"/>
    <n v="2.3939999999999997"/>
  </r>
  <r>
    <s v="United States"/>
    <x v="80"/>
    <s v="First Class"/>
    <s v="Consumer"/>
    <s v="Art"/>
    <n v="7"/>
    <n v="0.4"/>
    <n v="3.8449999999999998"/>
    <n v="12.303999999999998"/>
  </r>
  <r>
    <s v="United States"/>
    <x v="80"/>
    <s v="First Class"/>
    <s v="Consumer"/>
    <s v="Binders"/>
    <n v="9"/>
    <n v="2.4000000000000004"/>
    <n v="-57.943500000000014"/>
    <n v="35.429999999999993"/>
  </r>
  <r>
    <s v="United States"/>
    <x v="80"/>
    <s v="First Class"/>
    <s v="Consumer"/>
    <s v="Bookcases"/>
    <n v="7"/>
    <n v="0.6"/>
    <n v="-107.16439999999997"/>
    <n v="676.80199999999991"/>
  </r>
  <r>
    <s v="United States"/>
    <x v="80"/>
    <s v="First Class"/>
    <s v="Consumer"/>
    <s v="Chairs"/>
    <n v="2"/>
    <n v="0.3"/>
    <n v="-14.870399999999961"/>
    <n v="520.46399999999994"/>
  </r>
  <r>
    <s v="United States"/>
    <x v="80"/>
    <s v="First Class"/>
    <s v="Consumer"/>
    <s v="Fasteners"/>
    <n v="3"/>
    <n v="0.2"/>
    <n v="2.4674999999999994"/>
    <n v="7.8960000000000008"/>
  </r>
  <r>
    <s v="United States"/>
    <x v="80"/>
    <s v="First Class"/>
    <s v="Consumer"/>
    <s v="Furnishings"/>
    <n v="6"/>
    <n v="1.2"/>
    <n v="-22.924799999999994"/>
    <n v="46.896000000000001"/>
  </r>
  <r>
    <s v="United States"/>
    <x v="80"/>
    <s v="First Class"/>
    <s v="Consumer"/>
    <s v="Labels"/>
    <n v="5"/>
    <n v="0.2"/>
    <n v="4.1760000000000002"/>
    <n v="11.52"/>
  </r>
  <r>
    <s v="United States"/>
    <x v="80"/>
    <s v="First Class"/>
    <s v="Consumer"/>
    <s v="Paper"/>
    <n v="11"/>
    <n v="0.4"/>
    <n v="13.252799999999997"/>
    <n v="41.951999999999998"/>
  </r>
  <r>
    <s v="United States"/>
    <x v="80"/>
    <s v="First Class"/>
    <s v="Consumer"/>
    <s v="Phones"/>
    <n v="13"/>
    <n v="0.8"/>
    <n v="371.71649999999971"/>
    <n v="3167.0320000000002"/>
  </r>
  <r>
    <s v="United States"/>
    <x v="80"/>
    <s v="First Class"/>
    <s v="Corporate"/>
    <s v="Appliances"/>
    <n v="9"/>
    <n v="0.8"/>
    <n v="-146.16000000000003"/>
    <n v="58.463999999999977"/>
  </r>
  <r>
    <s v="United States"/>
    <x v="80"/>
    <s v="First Class"/>
    <s v="Corporate"/>
    <s v="Art"/>
    <n v="8"/>
    <n v="0.4"/>
    <n v="3.8475000000000001"/>
    <n v="15.751999999999999"/>
  </r>
  <r>
    <s v="United States"/>
    <x v="80"/>
    <s v="First Class"/>
    <s v="Corporate"/>
    <s v="Binders"/>
    <n v="8"/>
    <n v="1.6"/>
    <n v="-39.543999999999997"/>
    <n v="25.293999999999997"/>
  </r>
  <r>
    <s v="United States"/>
    <x v="80"/>
    <s v="First Class"/>
    <s v="Corporate"/>
    <s v="Bookcases"/>
    <n v="11"/>
    <n v="0.6"/>
    <n v="-132.01919999999998"/>
    <n v="966.54599999999994"/>
  </r>
  <r>
    <s v="United States"/>
    <x v="80"/>
    <s v="First Class"/>
    <s v="Corporate"/>
    <s v="Furnishings"/>
    <n v="6"/>
    <n v="0.6"/>
    <n v="-8.532"/>
    <n v="22.752000000000002"/>
  </r>
  <r>
    <s v="United States"/>
    <x v="80"/>
    <s v="First Class"/>
    <s v="Corporate"/>
    <s v="Paper"/>
    <n v="3"/>
    <n v="0.2"/>
    <n v="5.55"/>
    <n v="17.760000000000002"/>
  </r>
  <r>
    <s v="United States"/>
    <x v="80"/>
    <s v="First Class"/>
    <s v="Home Office"/>
    <s v="Chairs"/>
    <n v="7"/>
    <n v="0.3"/>
    <n v="-87.341800000000035"/>
    <n v="470.30199999999996"/>
  </r>
  <r>
    <s v="United States"/>
    <x v="80"/>
    <s v="First Class"/>
    <s v="Home Office"/>
    <s v="Furnishings"/>
    <n v="2"/>
    <n v="0.6"/>
    <n v="-75.844800000000006"/>
    <n v="84.272000000000006"/>
  </r>
  <r>
    <s v="United States"/>
    <x v="80"/>
    <s v="First Class"/>
    <s v="Home Office"/>
    <s v="Machines"/>
    <n v="2"/>
    <n v="0.3"/>
    <n v="156.04699999999997"/>
    <n v="574.91"/>
  </r>
  <r>
    <s v="United States"/>
    <x v="80"/>
    <s v="First Class"/>
    <s v="Home Office"/>
    <s v="Paper"/>
    <n v="2"/>
    <n v="0.2"/>
    <n v="2.6399999999999997"/>
    <n v="8.4480000000000004"/>
  </r>
  <r>
    <s v="United States"/>
    <x v="80"/>
    <s v="First Class"/>
    <s v="Home Office"/>
    <s v="Phones"/>
    <n v="2"/>
    <n v="0.2"/>
    <n v="5.9979999999999922"/>
    <n v="47.984000000000002"/>
  </r>
  <r>
    <s v="United States"/>
    <x v="80"/>
    <s v="First Class"/>
    <s v="Home Office"/>
    <s v="Storage"/>
    <n v="7"/>
    <n v="0.4"/>
    <n v="-88.079700000000003"/>
    <n v="395.11199999999997"/>
  </r>
  <r>
    <s v="United States"/>
    <x v="80"/>
    <s v="Same Day"/>
    <s v="Consumer"/>
    <s v="Art"/>
    <n v="2"/>
    <n v="0.2"/>
    <n v="1.1969999999999992"/>
    <n v="19.152000000000001"/>
  </r>
  <r>
    <s v="United States"/>
    <x v="80"/>
    <s v="Same Day"/>
    <s v="Consumer"/>
    <s v="Furnishings"/>
    <n v="9"/>
    <n v="0.6"/>
    <n v="-7.4357999999999969"/>
    <n v="17.496000000000002"/>
  </r>
  <r>
    <s v="United States"/>
    <x v="80"/>
    <s v="Same Day"/>
    <s v="Consumer"/>
    <s v="Phones"/>
    <n v="1"/>
    <n v="0.2"/>
    <n v="4.1390999999999991"/>
    <n v="36.792000000000002"/>
  </r>
  <r>
    <s v="United States"/>
    <x v="80"/>
    <s v="Same Day"/>
    <s v="Consumer"/>
    <s v="Storage"/>
    <n v="2"/>
    <n v="0.2"/>
    <n v="32.662799999999947"/>
    <n v="290.33600000000001"/>
  </r>
  <r>
    <s v="United States"/>
    <x v="80"/>
    <s v="Same Day"/>
    <s v="Home Office"/>
    <s v="Art"/>
    <n v="9"/>
    <n v="0.4"/>
    <n v="4.0487999999999964"/>
    <n v="49.216000000000008"/>
  </r>
  <r>
    <s v="United States"/>
    <x v="80"/>
    <s v="Same Day"/>
    <s v="Home Office"/>
    <s v="Chairs"/>
    <n v="1"/>
    <n v="0.3"/>
    <n v="-2.5647999999999982"/>
    <n v="89.768000000000001"/>
  </r>
  <r>
    <s v="United States"/>
    <x v="80"/>
    <s v="Same Day"/>
    <s v="Home Office"/>
    <s v="Copiers"/>
    <n v="2"/>
    <n v="0.2"/>
    <n v="335.99440000000004"/>
    <n v="959.98400000000004"/>
  </r>
  <r>
    <s v="United States"/>
    <x v="80"/>
    <s v="Same Day"/>
    <s v="Home Office"/>
    <s v="Machines"/>
    <n v="2"/>
    <n v="0.3"/>
    <n v="8.9993999999999801"/>
    <n v="209.98599999999999"/>
  </r>
  <r>
    <s v="United States"/>
    <x v="80"/>
    <s v="Same Day"/>
    <s v="Home Office"/>
    <s v="Paper"/>
    <n v="3"/>
    <n v="0.2"/>
    <n v="5.6375999999999999"/>
    <n v="15.552000000000003"/>
  </r>
  <r>
    <s v="United States"/>
    <x v="80"/>
    <s v="Same Day"/>
    <s v="Home Office"/>
    <s v="Phones"/>
    <n v="1"/>
    <n v="0.2"/>
    <n v="-7.3015000000000025"/>
    <n v="34.360000000000007"/>
  </r>
  <r>
    <s v="United States"/>
    <x v="80"/>
    <s v="Second Class"/>
    <s v="Consumer"/>
    <s v="Accessories"/>
    <n v="7"/>
    <n v="0.4"/>
    <n v="57.272600000000004"/>
    <n v="263.81600000000003"/>
  </r>
  <r>
    <s v="United States"/>
    <x v="80"/>
    <s v="Second Class"/>
    <s v="Consumer"/>
    <s v="Appliances"/>
    <n v="5"/>
    <n v="0.8"/>
    <n v="-470.548"/>
    <n v="180.97999999999996"/>
  </r>
  <r>
    <s v="United States"/>
    <x v="80"/>
    <s v="Second Class"/>
    <s v="Consumer"/>
    <s v="Art"/>
    <n v="5"/>
    <n v="0.4"/>
    <n v="1.8949999999999998"/>
    <n v="14.32"/>
  </r>
  <r>
    <s v="United States"/>
    <x v="80"/>
    <s v="Second Class"/>
    <s v="Consumer"/>
    <s v="Binders"/>
    <n v="27"/>
    <n v="4"/>
    <n v="-118.78780000000003"/>
    <n v="74.011999999999986"/>
  </r>
  <r>
    <s v="United States"/>
    <x v="80"/>
    <s v="Second Class"/>
    <s v="Consumer"/>
    <s v="Chairs"/>
    <n v="15"/>
    <n v="0.89999999999999991"/>
    <n v="-23.647700000000071"/>
    <n v="975.05100000000004"/>
  </r>
  <r>
    <s v="United States"/>
    <x v="80"/>
    <s v="Second Class"/>
    <s v="Consumer"/>
    <s v="Envelopes"/>
    <n v="1"/>
    <n v="0.2"/>
    <n v="2.9339999999999997"/>
    <n v="7.8239999999999998"/>
  </r>
  <r>
    <s v="United States"/>
    <x v="80"/>
    <s v="Second Class"/>
    <s v="Consumer"/>
    <s v="Fasteners"/>
    <n v="4"/>
    <n v="0.2"/>
    <n v="3.2899999999999996"/>
    <n v="10.528"/>
  </r>
  <r>
    <s v="United States"/>
    <x v="80"/>
    <s v="Second Class"/>
    <s v="Consumer"/>
    <s v="Furnishings"/>
    <n v="17"/>
    <n v="3.6"/>
    <n v="-375.11619999999999"/>
    <n v="456.74"/>
  </r>
  <r>
    <s v="United States"/>
    <x v="80"/>
    <s v="Second Class"/>
    <s v="Consumer"/>
    <s v="Paper"/>
    <n v="25"/>
    <n v="1"/>
    <n v="54.699600000000004"/>
    <n v="155.23200000000003"/>
  </r>
  <r>
    <s v="United States"/>
    <x v="80"/>
    <s v="Second Class"/>
    <s v="Consumer"/>
    <s v="Phones"/>
    <n v="18"/>
    <n v="1"/>
    <n v="167.08799999999997"/>
    <n v="1737.152"/>
  </r>
  <r>
    <s v="United States"/>
    <x v="80"/>
    <s v="Second Class"/>
    <s v="Consumer"/>
    <s v="Storage"/>
    <n v="5"/>
    <n v="0.4"/>
    <n v="-23.301999999999992"/>
    <n v="183.96799999999999"/>
  </r>
  <r>
    <s v="United States"/>
    <x v="80"/>
    <s v="Second Class"/>
    <s v="Consumer"/>
    <s v="Supplies"/>
    <n v="5"/>
    <n v="0.2"/>
    <n v="3.0690000000000026"/>
    <n v="40.92"/>
  </r>
  <r>
    <s v="United States"/>
    <x v="80"/>
    <s v="Second Class"/>
    <s v="Consumer"/>
    <s v="Tables"/>
    <n v="12"/>
    <n v="1"/>
    <n v="-687.07549999999992"/>
    <n v="942.85"/>
  </r>
  <r>
    <s v="United States"/>
    <x v="80"/>
    <s v="Second Class"/>
    <s v="Corporate"/>
    <s v="Accessories"/>
    <n v="10"/>
    <n v="0.4"/>
    <n v="18.071999999999992"/>
    <n v="81.440000000000012"/>
  </r>
  <r>
    <s v="United States"/>
    <x v="80"/>
    <s v="Second Class"/>
    <s v="Corporate"/>
    <s v="Appliances"/>
    <n v="2"/>
    <n v="0.8"/>
    <n v="-11.761200000000002"/>
    <n v="4.355999999999999"/>
  </r>
  <r>
    <s v="United States"/>
    <x v="80"/>
    <s v="Second Class"/>
    <s v="Corporate"/>
    <s v="Art"/>
    <n v="3"/>
    <n v="0.2"/>
    <n v="0.88559999999999883"/>
    <n v="7.8719999999999999"/>
  </r>
  <r>
    <s v="United States"/>
    <x v="80"/>
    <s v="Second Class"/>
    <s v="Corporate"/>
    <s v="Binders"/>
    <n v="9"/>
    <n v="2.4000000000000004"/>
    <n v="-29.520000000000003"/>
    <n v="18.491999999999997"/>
  </r>
  <r>
    <s v="United States"/>
    <x v="80"/>
    <s v="Second Class"/>
    <s v="Corporate"/>
    <s v="Chairs"/>
    <n v="3"/>
    <n v="0.3"/>
    <n v="-29.007299999999994"/>
    <n v="106.869"/>
  </r>
  <r>
    <s v="United States"/>
    <x v="80"/>
    <s v="Second Class"/>
    <s v="Corporate"/>
    <s v="Fasteners"/>
    <n v="5"/>
    <n v="0.2"/>
    <n v="4.9139999999999988"/>
    <n v="15.120000000000001"/>
  </r>
  <r>
    <s v="United States"/>
    <x v="80"/>
    <s v="Second Class"/>
    <s v="Corporate"/>
    <s v="Furnishings"/>
    <n v="2"/>
    <n v="0.6"/>
    <n v="-61.872"/>
    <n v="51.56"/>
  </r>
  <r>
    <s v="United States"/>
    <x v="80"/>
    <s v="Second Class"/>
    <s v="Corporate"/>
    <s v="Labels"/>
    <n v="5"/>
    <n v="0.4"/>
    <n v="5.8769999999999989"/>
    <n v="17.856000000000002"/>
  </r>
  <r>
    <s v="United States"/>
    <x v="80"/>
    <s v="Second Class"/>
    <s v="Corporate"/>
    <s v="Paper"/>
    <n v="7"/>
    <n v="0.2"/>
    <n v="54.214999999999982"/>
    <n v="173.48800000000003"/>
  </r>
  <r>
    <s v="United States"/>
    <x v="80"/>
    <s v="Second Class"/>
    <s v="Corporate"/>
    <s v="Phones"/>
    <n v="2"/>
    <n v="0.2"/>
    <n v="4.9615999999999989"/>
    <n v="49.616000000000007"/>
  </r>
  <r>
    <s v="United States"/>
    <x v="80"/>
    <s v="Second Class"/>
    <s v="Corporate"/>
    <s v="Storage"/>
    <n v="11"/>
    <n v="0.4"/>
    <n v="-8.8540000000000205"/>
    <n v="348.25599999999997"/>
  </r>
  <r>
    <s v="United States"/>
    <x v="80"/>
    <s v="Second Class"/>
    <s v="Corporate"/>
    <s v="Supplies"/>
    <n v="8"/>
    <n v="0.4"/>
    <n v="-0.20140000000000136"/>
    <n v="29.288000000000004"/>
  </r>
  <r>
    <s v="United States"/>
    <x v="80"/>
    <s v="Second Class"/>
    <s v="Home Office"/>
    <s v="Accessories"/>
    <n v="4"/>
    <n v="0.2"/>
    <n v="71.992800000000003"/>
    <n v="319.96800000000002"/>
  </r>
  <r>
    <s v="United States"/>
    <x v="80"/>
    <s v="Second Class"/>
    <s v="Home Office"/>
    <s v="Art"/>
    <n v="5"/>
    <n v="0.4"/>
    <n v="2.5144000000000002"/>
    <n v="10.591999999999999"/>
  </r>
  <r>
    <s v="United States"/>
    <x v="80"/>
    <s v="Second Class"/>
    <s v="Home Office"/>
    <s v="Binders"/>
    <n v="1"/>
    <n v="0.8"/>
    <n v="-14.759400000000003"/>
    <n v="8.6819999999999968"/>
  </r>
  <r>
    <s v="United States"/>
    <x v="80"/>
    <s v="Second Class"/>
    <s v="Home Office"/>
    <s v="Chairs"/>
    <n v="9"/>
    <n v="0.6"/>
    <n v="-215.02320000000006"/>
    <n v="1413.174"/>
  </r>
  <r>
    <s v="United States"/>
    <x v="80"/>
    <s v="Second Class"/>
    <s v="Home Office"/>
    <s v="Fasteners"/>
    <n v="4"/>
    <n v="0.2"/>
    <n v="5.6"/>
    <n v="16"/>
  </r>
  <r>
    <s v="United States"/>
    <x v="80"/>
    <s v="Second Class"/>
    <s v="Home Office"/>
    <s v="Furnishings"/>
    <n v="3"/>
    <n v="1.2"/>
    <n v="-36.397399999999998"/>
    <n v="36.424000000000007"/>
  </r>
  <r>
    <s v="United States"/>
    <x v="80"/>
    <s v="Second Class"/>
    <s v="Home Office"/>
    <s v="Labels"/>
    <n v="1"/>
    <n v="0.2"/>
    <n v="7.9378000000000002"/>
    <n v="24.424000000000003"/>
  </r>
  <r>
    <s v="United States"/>
    <x v="80"/>
    <s v="Second Class"/>
    <s v="Home Office"/>
    <s v="Machines"/>
    <n v="3"/>
    <n v="0.3"/>
    <n v="43.199100000000044"/>
    <n v="1007.979"/>
  </r>
  <r>
    <s v="United States"/>
    <x v="80"/>
    <s v="Second Class"/>
    <s v="Home Office"/>
    <s v="Paper"/>
    <n v="21"/>
    <n v="1.4"/>
    <n v="306.54279999999994"/>
    <n v="862.24"/>
  </r>
  <r>
    <s v="United States"/>
    <x v="80"/>
    <s v="Second Class"/>
    <s v="Home Office"/>
    <s v="Phones"/>
    <n v="14"/>
    <n v="0.8"/>
    <n v="204.87079999999989"/>
    <n v="2063.8879999999999"/>
  </r>
  <r>
    <s v="United States"/>
    <x v="80"/>
    <s v="Second Class"/>
    <s v="Home Office"/>
    <s v="Storage"/>
    <n v="3"/>
    <n v="0.2"/>
    <n v="31.582499999999953"/>
    <n v="505.32000000000005"/>
  </r>
  <r>
    <s v="United States"/>
    <x v="80"/>
    <s v="Standard Class"/>
    <s v="Consumer"/>
    <s v="Accessories"/>
    <n v="38"/>
    <n v="1.9999999999999998"/>
    <n v="140.52379999999997"/>
    <n v="935.68000000000006"/>
  </r>
  <r>
    <s v="United States"/>
    <x v="80"/>
    <s v="Standard Class"/>
    <s v="Consumer"/>
    <s v="Appliances"/>
    <n v="29"/>
    <n v="6.3999999999999995"/>
    <n v="-1037.8408000000002"/>
    <n v="411.7399999999999"/>
  </r>
  <r>
    <s v="United States"/>
    <x v="80"/>
    <s v="Standard Class"/>
    <s v="Consumer"/>
    <s v="Art"/>
    <n v="37"/>
    <n v="1.5999999999999999"/>
    <n v="24.915399999999995"/>
    <n v="165.21600000000001"/>
  </r>
  <r>
    <s v="United States"/>
    <x v="80"/>
    <s v="Standard Class"/>
    <s v="Consumer"/>
    <s v="Binders"/>
    <n v="69"/>
    <n v="16.800000000000004"/>
    <n v="-225.65330000000003"/>
    <n v="134.91799999999998"/>
  </r>
  <r>
    <s v="United States"/>
    <x v="80"/>
    <s v="Standard Class"/>
    <s v="Consumer"/>
    <s v="Bookcases"/>
    <n v="7"/>
    <n v="0.6"/>
    <n v="-71.811600000000027"/>
    <n v="557.80199999999991"/>
  </r>
  <r>
    <s v="United States"/>
    <x v="80"/>
    <s v="Standard Class"/>
    <s v="Consumer"/>
    <s v="Chairs"/>
    <n v="22"/>
    <n v="2.1"/>
    <n v="-235.51819999999998"/>
    <n v="2838.9199999999996"/>
  </r>
  <r>
    <s v="United States"/>
    <x v="80"/>
    <s v="Standard Class"/>
    <s v="Consumer"/>
    <s v="Envelopes"/>
    <n v="10"/>
    <n v="0.60000000000000009"/>
    <n v="27.950400000000002"/>
    <n v="76.640000000000015"/>
  </r>
  <r>
    <s v="United States"/>
    <x v="80"/>
    <s v="Standard Class"/>
    <s v="Consumer"/>
    <s v="Fasteners"/>
    <n v="8"/>
    <n v="0.4"/>
    <n v="2.9569999999999994"/>
    <n v="10"/>
  </r>
  <r>
    <s v="United States"/>
    <x v="80"/>
    <s v="Standard Class"/>
    <s v="Consumer"/>
    <s v="Furnishings"/>
    <n v="32"/>
    <n v="6.5999999999999988"/>
    <n v="-377.31859999999995"/>
    <n v="374.63200000000001"/>
  </r>
  <r>
    <s v="United States"/>
    <x v="80"/>
    <s v="Standard Class"/>
    <s v="Consumer"/>
    <s v="Labels"/>
    <n v="16"/>
    <n v="0.8"/>
    <n v="19.265700000000002"/>
    <n v="56.007999999999996"/>
  </r>
  <r>
    <s v="United States"/>
    <x v="80"/>
    <s v="Standard Class"/>
    <s v="Consumer"/>
    <s v="Machines"/>
    <n v="3"/>
    <n v="0.3"/>
    <n v="-19.470000000000141"/>
    <n v="1362.8999999999999"/>
  </r>
  <r>
    <s v="United States"/>
    <x v="80"/>
    <s v="Standard Class"/>
    <s v="Consumer"/>
    <s v="Paper"/>
    <n v="49"/>
    <n v="2.1999999999999997"/>
    <n v="228.52099999999996"/>
    <n v="687.952"/>
  </r>
  <r>
    <s v="United States"/>
    <x v="80"/>
    <s v="Standard Class"/>
    <s v="Consumer"/>
    <s v="Phones"/>
    <n v="28"/>
    <n v="1.5999999999999999"/>
    <n v="229.80969999999991"/>
    <n v="3100.64"/>
  </r>
  <r>
    <s v="United States"/>
    <x v="80"/>
    <s v="Standard Class"/>
    <s v="Consumer"/>
    <s v="Storage"/>
    <n v="41"/>
    <n v="2.8000000000000003"/>
    <n v="146.8314"/>
    <n v="3797.2720000000008"/>
  </r>
  <r>
    <s v="United States"/>
    <x v="80"/>
    <s v="Standard Class"/>
    <s v="Consumer"/>
    <s v="Supplies"/>
    <n v="3"/>
    <n v="0.2"/>
    <n v="2.5136999999999983"/>
    <n v="22.344000000000001"/>
  </r>
  <r>
    <s v="United States"/>
    <x v="80"/>
    <s v="Standard Class"/>
    <s v="Consumer"/>
    <s v="Tables"/>
    <n v="11"/>
    <n v="2"/>
    <n v="-418.62690000000003"/>
    <n v="671.28000000000009"/>
  </r>
  <r>
    <s v="United States"/>
    <x v="80"/>
    <s v="Standard Class"/>
    <s v="Corporate"/>
    <s v="Accessories"/>
    <n v="6"/>
    <n v="0.4"/>
    <n v="22.619599999999995"/>
    <n v="196.76800000000003"/>
  </r>
  <r>
    <s v="United States"/>
    <x v="80"/>
    <s v="Standard Class"/>
    <s v="Corporate"/>
    <s v="Appliances"/>
    <n v="15"/>
    <n v="4"/>
    <n v="-551.63240000000019"/>
    <n v="219.27999999999997"/>
  </r>
  <r>
    <s v="United States"/>
    <x v="80"/>
    <s v="Standard Class"/>
    <s v="Corporate"/>
    <s v="Art"/>
    <n v="7"/>
    <n v="0.4"/>
    <n v="3.6864999999999997"/>
    <n v="18.872"/>
  </r>
  <r>
    <s v="United States"/>
    <x v="80"/>
    <s v="Standard Class"/>
    <s v="Corporate"/>
    <s v="Binders"/>
    <n v="34"/>
    <n v="5.6"/>
    <n v="-3039.6570000000006"/>
    <n v="1961.6879999999996"/>
  </r>
  <r>
    <s v="United States"/>
    <x v="80"/>
    <s v="Standard Class"/>
    <s v="Corporate"/>
    <s v="Chairs"/>
    <n v="5"/>
    <n v="0.6"/>
    <n v="-4.754999999999999"/>
    <n v="110.94999999999999"/>
  </r>
  <r>
    <s v="United States"/>
    <x v="80"/>
    <s v="Standard Class"/>
    <s v="Corporate"/>
    <s v="Copiers"/>
    <n v="8"/>
    <n v="0.4"/>
    <n v="1009.9829999999998"/>
    <n v="3519.9360000000006"/>
  </r>
  <r>
    <s v="United States"/>
    <x v="80"/>
    <s v="Standard Class"/>
    <s v="Corporate"/>
    <s v="Envelopes"/>
    <n v="3"/>
    <n v="0.2"/>
    <n v="3.2213999999999996"/>
    <n v="9.9120000000000008"/>
  </r>
  <r>
    <s v="United States"/>
    <x v="80"/>
    <s v="Standard Class"/>
    <s v="Corporate"/>
    <s v="Fasteners"/>
    <n v="8"/>
    <n v="0.4"/>
    <n v="7.4312000000000005"/>
    <n v="22.975999999999999"/>
  </r>
  <r>
    <s v="United States"/>
    <x v="80"/>
    <s v="Standard Class"/>
    <s v="Corporate"/>
    <s v="Furnishings"/>
    <n v="27"/>
    <n v="4.2"/>
    <n v="-97.271699999999967"/>
    <n v="190.26400000000001"/>
  </r>
  <r>
    <s v="United States"/>
    <x v="80"/>
    <s v="Standard Class"/>
    <s v="Corporate"/>
    <s v="Labels"/>
    <n v="4"/>
    <n v="0.2"/>
    <n v="6.5519999999999987"/>
    <n v="20.16"/>
  </r>
  <r>
    <s v="United States"/>
    <x v="80"/>
    <s v="Standard Class"/>
    <s v="Corporate"/>
    <s v="Paper"/>
    <n v="26"/>
    <n v="1.7999999999999998"/>
    <n v="116.69259999999997"/>
    <n v="347.08"/>
  </r>
  <r>
    <s v="United States"/>
    <x v="80"/>
    <s v="Standard Class"/>
    <s v="Corporate"/>
    <s v="Phones"/>
    <n v="18"/>
    <n v="0.8"/>
    <n v="135.41849999999994"/>
    <n v="1577.6080000000002"/>
  </r>
  <r>
    <s v="United States"/>
    <x v="80"/>
    <s v="Standard Class"/>
    <s v="Corporate"/>
    <s v="Storage"/>
    <n v="25"/>
    <n v="1.4"/>
    <n v="-197.7234"/>
    <n v="1022.7040000000001"/>
  </r>
  <r>
    <s v="United States"/>
    <x v="80"/>
    <s v="Standard Class"/>
    <s v="Corporate"/>
    <s v="Supplies"/>
    <n v="2"/>
    <n v="0.2"/>
    <n v="2.5019999999999971"/>
    <n v="22.240000000000002"/>
  </r>
  <r>
    <s v="United States"/>
    <x v="80"/>
    <s v="Standard Class"/>
    <s v="Home Office"/>
    <s v="Accessories"/>
    <n v="15"/>
    <n v="0.8"/>
    <n v="99.118199999999931"/>
    <n v="758.18399999999997"/>
  </r>
  <r>
    <s v="United States"/>
    <x v="80"/>
    <s v="Standard Class"/>
    <s v="Home Office"/>
    <s v="Art"/>
    <n v="8"/>
    <n v="0.4"/>
    <n v="2.7057999999999982"/>
    <n v="22.928000000000004"/>
  </r>
  <r>
    <s v="United States"/>
    <x v="80"/>
    <s v="Standard Class"/>
    <s v="Home Office"/>
    <s v="Binders"/>
    <n v="25"/>
    <n v="4"/>
    <n v="-1385.4994000000002"/>
    <n v="909.81399999999985"/>
  </r>
  <r>
    <s v="United States"/>
    <x v="80"/>
    <s v="Standard Class"/>
    <s v="Home Office"/>
    <s v="Chairs"/>
    <n v="5"/>
    <n v="0.3"/>
    <n v="-15.222500000000011"/>
    <n v="213.11499999999998"/>
  </r>
  <r>
    <s v="United States"/>
    <x v="80"/>
    <s v="Standard Class"/>
    <s v="Home Office"/>
    <s v="Furnishings"/>
    <n v="6"/>
    <n v="1.7999999999999998"/>
    <n v="-67.87639999999999"/>
    <n v="70.408000000000001"/>
  </r>
  <r>
    <s v="United States"/>
    <x v="80"/>
    <s v="Standard Class"/>
    <s v="Home Office"/>
    <s v="Paper"/>
    <n v="27"/>
    <n v="0.8"/>
    <n v="66.122199999999992"/>
    <n v="191.45599999999999"/>
  </r>
  <r>
    <s v="United States"/>
    <x v="80"/>
    <s v="Standard Class"/>
    <s v="Home Office"/>
    <s v="Phones"/>
    <n v="4"/>
    <n v="0.4"/>
    <n v="30.674299999999995"/>
    <n v="177.47200000000001"/>
  </r>
  <r>
    <s v="United States"/>
    <x v="80"/>
    <s v="Standard Class"/>
    <s v="Home Office"/>
    <s v="Storage"/>
    <n v="3"/>
    <n v="0.2"/>
    <n v="-3.1680000000000001"/>
    <n v="12.672000000000001"/>
  </r>
  <r>
    <s v="United States"/>
    <x v="80"/>
    <s v="Standard Class"/>
    <s v="Home Office"/>
    <s v="Tables"/>
    <n v="4"/>
    <n v="1"/>
    <n v="-341.22810000000004"/>
    <n v="589.88499999999999"/>
  </r>
  <r>
    <s v="United States"/>
    <x v="81"/>
    <s v="Second Class"/>
    <s v="Consumer"/>
    <s v="Art"/>
    <n v="1"/>
    <n v="0"/>
    <n v="0.59670000000000001"/>
    <n v="2.21"/>
  </r>
  <r>
    <s v="United States"/>
    <x v="81"/>
    <s v="Second Class"/>
    <s v="Consumer"/>
    <s v="Envelopes"/>
    <n v="4"/>
    <n v="0"/>
    <n v="7.4496000000000002"/>
    <n v="15.52"/>
  </r>
  <r>
    <s v="United States"/>
    <x v="81"/>
    <s v="Second Class"/>
    <s v="Consumer"/>
    <s v="Paper"/>
    <n v="4"/>
    <n v="0"/>
    <n v="16.397999999999996"/>
    <n v="36.44"/>
  </r>
  <r>
    <s v="United States"/>
    <x v="81"/>
    <s v="Second Class"/>
    <s v="Home Office"/>
    <s v="Chairs"/>
    <n v="4"/>
    <n v="0.2"/>
    <n v="102.95279999999988"/>
    <n v="915.13600000000008"/>
  </r>
  <r>
    <s v="United States"/>
    <x v="81"/>
    <s v="Second Class"/>
    <s v="Home Office"/>
    <s v="Furnishings"/>
    <n v="8"/>
    <n v="0"/>
    <n v="91.772800000000018"/>
    <n v="327.76"/>
  </r>
  <r>
    <s v="United States"/>
    <x v="81"/>
    <s v="Standard Class"/>
    <s v="Corporate"/>
    <s v="Appliances"/>
    <n v="4"/>
    <n v="0"/>
    <n v="4.1080000000000005"/>
    <n v="15.8"/>
  </r>
  <r>
    <s v="United States"/>
    <x v="81"/>
    <s v="Standard Class"/>
    <s v="Corporate"/>
    <s v="Chairs"/>
    <n v="4"/>
    <n v="0.2"/>
    <n v="-59.835600000000042"/>
    <n v="435.16800000000006"/>
  </r>
  <r>
    <s v="United States"/>
    <x v="81"/>
    <s v="Standard Class"/>
    <s v="Corporate"/>
    <s v="Fasteners"/>
    <n v="5"/>
    <n v="0"/>
    <n v="6.8539999999999992"/>
    <n v="14.9"/>
  </r>
  <r>
    <s v="United States"/>
    <x v="81"/>
    <s v="Standard Class"/>
    <s v="Corporate"/>
    <s v="Furnishings"/>
    <n v="5"/>
    <n v="0"/>
    <n v="26.973000000000003"/>
    <n v="72.900000000000006"/>
  </r>
  <r>
    <s v="United States"/>
    <x v="81"/>
    <s v="Standard Class"/>
    <s v="Corporate"/>
    <s v="Phones"/>
    <n v="1"/>
    <n v="0.2"/>
    <n v="2.6972999999999994"/>
    <n v="7.9920000000000009"/>
  </r>
  <r>
    <s v="United States"/>
    <x v="81"/>
    <s v="Standard Class"/>
    <s v="Corporate"/>
    <s v="Tables"/>
    <n v="3"/>
    <n v="0.2"/>
    <n v="5.1587999999999852"/>
    <n v="206.35200000000003"/>
  </r>
  <r>
    <s v="United States"/>
    <x v="82"/>
    <s v="Same Day"/>
    <s v="Consumer"/>
    <s v="Art"/>
    <n v="4"/>
    <n v="0"/>
    <n v="55.911999999999978"/>
    <n v="192.8"/>
  </r>
  <r>
    <s v="United States"/>
    <x v="82"/>
    <s v="Standard Class"/>
    <s v="Consumer"/>
    <s v="Envelopes"/>
    <n v="3"/>
    <n v="0"/>
    <n v="85.981799999999993"/>
    <n v="182.94"/>
  </r>
  <r>
    <s v="United States"/>
    <x v="82"/>
    <s v="Standard Class"/>
    <s v="Home Office"/>
    <s v="Furnishings"/>
    <n v="6"/>
    <n v="0"/>
    <n v="106.54079999999999"/>
    <n v="665.88"/>
  </r>
  <r>
    <s v="United States"/>
    <x v="83"/>
    <s v="First Class"/>
    <s v="Consumer"/>
    <s v="Accessories"/>
    <n v="3"/>
    <n v="0.2"/>
    <n v="-4.6409999999999982"/>
    <n v="53.040000000000006"/>
  </r>
  <r>
    <s v="United States"/>
    <x v="83"/>
    <s v="First Class"/>
    <s v="Consumer"/>
    <s v="Art"/>
    <n v="1"/>
    <n v="0.2"/>
    <n v="0.42639999999999978"/>
    <n v="2.6240000000000001"/>
  </r>
  <r>
    <s v="United States"/>
    <x v="83"/>
    <s v="First Class"/>
    <s v="Consumer"/>
    <s v="Binders"/>
    <n v="5"/>
    <n v="1.4"/>
    <n v="-12.506999999999998"/>
    <n v="17.055000000000003"/>
  </r>
  <r>
    <s v="United States"/>
    <x v="83"/>
    <s v="First Class"/>
    <s v="Consumer"/>
    <s v="Paper"/>
    <n v="3"/>
    <n v="0.2"/>
    <n v="5.1011999999999995"/>
    <n v="15.696000000000002"/>
  </r>
  <r>
    <s v="United States"/>
    <x v="83"/>
    <s v="First Class"/>
    <s v="Corporate"/>
    <s v="Binders"/>
    <n v="8"/>
    <n v="0.7"/>
    <n v="-12.287999999999997"/>
    <n v="18.432000000000002"/>
  </r>
  <r>
    <s v="United States"/>
    <x v="83"/>
    <s v="First Class"/>
    <s v="Corporate"/>
    <s v="Copiers"/>
    <n v="2"/>
    <n v="0.4"/>
    <n v="69.99899999999991"/>
    <n v="839.98799999999994"/>
  </r>
  <r>
    <s v="United States"/>
    <x v="83"/>
    <s v="Same Day"/>
    <s v="Consumer"/>
    <s v="Furnishings"/>
    <n v="1"/>
    <n v="0.2"/>
    <n v="29.768999999999998"/>
    <n v="79.384000000000015"/>
  </r>
  <r>
    <s v="United States"/>
    <x v="83"/>
    <s v="Second Class"/>
    <s v="Consumer"/>
    <s v="Accessories"/>
    <n v="5"/>
    <n v="0.2"/>
    <n v="35.988000000000007"/>
    <n v="119.96000000000001"/>
  </r>
  <r>
    <s v="United States"/>
    <x v="83"/>
    <s v="Second Class"/>
    <s v="Consumer"/>
    <s v="Art"/>
    <n v="6"/>
    <n v="0.2"/>
    <n v="0.92819999999999991"/>
    <n v="10.608000000000001"/>
  </r>
  <r>
    <s v="United States"/>
    <x v="83"/>
    <s v="Standard Class"/>
    <s v="Consumer"/>
    <s v="Art"/>
    <n v="7"/>
    <n v="0.2"/>
    <n v="3.6854999999999958"/>
    <n v="32.76"/>
  </r>
  <r>
    <s v="United States"/>
    <x v="83"/>
    <s v="Standard Class"/>
    <s v="Consumer"/>
    <s v="Binders"/>
    <n v="3"/>
    <n v="0.7"/>
    <n v="-4.1831999999999976"/>
    <n v="5.2290000000000001"/>
  </r>
  <r>
    <s v="United States"/>
    <x v="83"/>
    <s v="Standard Class"/>
    <s v="Consumer"/>
    <s v="Labels"/>
    <n v="2"/>
    <n v="0.2"/>
    <n v="1.9925999999999999"/>
    <n v="5.9039999999999999"/>
  </r>
  <r>
    <s v="United States"/>
    <x v="83"/>
    <s v="Standard Class"/>
    <s v="Consumer"/>
    <s v="Storage"/>
    <n v="2"/>
    <n v="0.2"/>
    <n v="35.69399999999996"/>
    <n v="285.55200000000002"/>
  </r>
  <r>
    <s v="United States"/>
    <x v="83"/>
    <s v="Standard Class"/>
    <s v="Corporate"/>
    <s v="Envelopes"/>
    <n v="3"/>
    <n v="0.2"/>
    <n v="21.591000000000001"/>
    <n v="57.576000000000001"/>
  </r>
  <r>
    <s v="United States"/>
    <x v="83"/>
    <s v="Standard Class"/>
    <s v="Corporate"/>
    <s v="Paper"/>
    <n v="6"/>
    <n v="0.2"/>
    <n v="11.223000000000001"/>
    <n v="30.96"/>
  </r>
  <r>
    <s v="United States"/>
    <x v="83"/>
    <s v="Standard Class"/>
    <s v="Corporate"/>
    <s v="Storage"/>
    <n v="1"/>
    <n v="0.2"/>
    <n v="-7.4416000000000011"/>
    <n v="37.207999999999998"/>
  </r>
  <r>
    <s v="United States"/>
    <x v="84"/>
    <s v="Standard Class"/>
    <s v="Consumer"/>
    <s v="Furnishings"/>
    <n v="3"/>
    <n v="0"/>
    <n v="54.343800000000009"/>
    <n v="129.39000000000001"/>
  </r>
  <r>
    <s v="United States"/>
    <x v="85"/>
    <s v="Second Class"/>
    <s v="Consumer"/>
    <s v="Art"/>
    <n v="4"/>
    <n v="0.2"/>
    <n v="12.011999999999999"/>
    <n v="36.96"/>
  </r>
  <r>
    <s v="United States"/>
    <x v="85"/>
    <s v="Second Class"/>
    <s v="Consumer"/>
    <s v="Binders"/>
    <n v="7"/>
    <n v="0.7"/>
    <n v="-1065.3719999999998"/>
    <n v="1598.0580000000002"/>
  </r>
  <r>
    <s v="United States"/>
    <x v="85"/>
    <s v="Standard Class"/>
    <s v="Consumer"/>
    <s v="Appliances"/>
    <n v="6"/>
    <n v="0.2"/>
    <n v="11.247599999999995"/>
    <n v="69.216000000000008"/>
  </r>
  <r>
    <s v="United States"/>
    <x v="85"/>
    <s v="Standard Class"/>
    <s v="Home Office"/>
    <s v="Accessories"/>
    <n v="2"/>
    <n v="0.2"/>
    <n v="11.919599999999999"/>
    <n v="45.408000000000001"/>
  </r>
  <r>
    <s v="United States"/>
    <x v="85"/>
    <s v="Standard Class"/>
    <s v="Home Office"/>
    <s v="Bookcases"/>
    <n v="4"/>
    <n v="0.2"/>
    <n v="-14.51760000000003"/>
    <n v="387.13600000000002"/>
  </r>
  <r>
    <s v="United States"/>
    <x v="85"/>
    <s v="Standard Class"/>
    <s v="Home Office"/>
    <s v="Furnishings"/>
    <n v="3"/>
    <n v="0.2"/>
    <n v="-11.692800000000005"/>
    <n v="77.951999999999998"/>
  </r>
  <r>
    <s v="United States"/>
    <x v="85"/>
    <s v="Standard Class"/>
    <s v="Home Office"/>
    <s v="Labels"/>
    <n v="1"/>
    <n v="0.2"/>
    <n v="1.0499999999999998"/>
    <n v="3"/>
  </r>
  <r>
    <s v="United States"/>
    <x v="86"/>
    <s v="First Class"/>
    <s v="Consumer"/>
    <s v="Furnishings"/>
    <n v="5"/>
    <n v="0.2"/>
    <n v="8.7285000000000004"/>
    <n v="30.36"/>
  </r>
  <r>
    <s v="United States"/>
    <x v="86"/>
    <s v="First Class"/>
    <s v="Consumer"/>
    <s v="Storage"/>
    <n v="2"/>
    <n v="0.2"/>
    <n v="1.9271999999999991"/>
    <n v="25.695999999999998"/>
  </r>
  <r>
    <s v="United States"/>
    <x v="86"/>
    <s v="First Class"/>
    <s v="Home Office"/>
    <s v="Accessories"/>
    <n v="5"/>
    <n v="0.2"/>
    <n v="-22.743500000000004"/>
    <n v="139.96000000000004"/>
  </r>
  <r>
    <s v="United States"/>
    <x v="86"/>
    <s v="First Class"/>
    <s v="Home Office"/>
    <s v="Binders"/>
    <n v="5"/>
    <n v="0.7"/>
    <n v="-6.379999999999999"/>
    <n v="8.7000000000000011"/>
  </r>
  <r>
    <s v="United States"/>
    <x v="86"/>
    <s v="First Class"/>
    <s v="Home Office"/>
    <s v="Envelopes"/>
    <n v="3"/>
    <n v="0.2"/>
    <n v="15.281999999999998"/>
    <n v="40.752000000000002"/>
  </r>
  <r>
    <s v="United States"/>
    <x v="86"/>
    <s v="First Class"/>
    <s v="Home Office"/>
    <s v="Paper"/>
    <n v="3"/>
    <n v="0.2"/>
    <n v="28.706399999999991"/>
    <n v="85.055999999999997"/>
  </r>
  <r>
    <s v="United States"/>
    <x v="86"/>
    <s v="First Class"/>
    <s v="Home Office"/>
    <s v="Phones"/>
    <n v="3"/>
    <n v="0.4"/>
    <n v="-24.476399999999998"/>
    <n v="122.38199999999999"/>
  </r>
  <r>
    <s v="United States"/>
    <x v="86"/>
    <s v="First Class"/>
    <s v="Home Office"/>
    <s v="Storage"/>
    <n v="4"/>
    <n v="0.2"/>
    <n v="-21.213600000000099"/>
    <n v="848.5440000000001"/>
  </r>
  <r>
    <s v="United States"/>
    <x v="86"/>
    <s v="Same Day"/>
    <s v="Consumer"/>
    <s v="Accessories"/>
    <n v="2"/>
    <n v="0.2"/>
    <n v="7.263999999999994"/>
    <n v="58.112000000000002"/>
  </r>
  <r>
    <s v="United States"/>
    <x v="86"/>
    <s v="Same Day"/>
    <s v="Consumer"/>
    <s v="Paper"/>
    <n v="4"/>
    <n v="0.4"/>
    <n v="7.3696000000000002"/>
    <n v="21.056000000000004"/>
  </r>
  <r>
    <s v="United States"/>
    <x v="86"/>
    <s v="Same Day"/>
    <s v="Consumer"/>
    <s v="Storage"/>
    <n v="5"/>
    <n v="0.4"/>
    <n v="89.599900000000062"/>
    <n v="1031.1759999999999"/>
  </r>
  <r>
    <s v="United States"/>
    <x v="86"/>
    <s v="Same Day"/>
    <s v="Home Office"/>
    <s v="Paper"/>
    <n v="4"/>
    <n v="0.2"/>
    <n v="7.2576000000000001"/>
    <n v="20.736000000000004"/>
  </r>
  <r>
    <s v="United States"/>
    <x v="86"/>
    <s v="Second Class"/>
    <s v="Consumer"/>
    <s v="Art"/>
    <n v="2"/>
    <n v="0.2"/>
    <n v="1.6324000000000014"/>
    <n v="18.656000000000002"/>
  </r>
  <r>
    <s v="United States"/>
    <x v="86"/>
    <s v="Second Class"/>
    <s v="Consumer"/>
    <s v="Binders"/>
    <n v="6"/>
    <n v="0.7"/>
    <n v="-34.38000000000001"/>
    <n v="41.256000000000007"/>
  </r>
  <r>
    <s v="United States"/>
    <x v="86"/>
    <s v="Second Class"/>
    <s v="Consumer"/>
    <s v="Bookcases"/>
    <n v="3"/>
    <n v="0.5"/>
    <n v="-241.17600000000002"/>
    <n v="301.46999999999997"/>
  </r>
  <r>
    <s v="United States"/>
    <x v="86"/>
    <s v="Second Class"/>
    <s v="Consumer"/>
    <s v="Chairs"/>
    <n v="2"/>
    <n v="0.3"/>
    <n v="-54.595799999999997"/>
    <n v="181.98599999999999"/>
  </r>
  <r>
    <s v="United States"/>
    <x v="86"/>
    <s v="Second Class"/>
    <s v="Consumer"/>
    <s v="Furnishings"/>
    <n v="8"/>
    <n v="0.4"/>
    <n v="-15.771200000000022"/>
    <n v="200.27200000000005"/>
  </r>
  <r>
    <s v="United States"/>
    <x v="86"/>
    <s v="Second Class"/>
    <s v="Consumer"/>
    <s v="Phones"/>
    <n v="5"/>
    <n v="0.8"/>
    <n v="-137.04739999999998"/>
    <n v="587.346"/>
  </r>
  <r>
    <s v="United States"/>
    <x v="86"/>
    <s v="Second Class"/>
    <s v="Consumer"/>
    <s v="Storage"/>
    <n v="2"/>
    <n v="0.2"/>
    <n v="-25.108999999999988"/>
    <n v="118.16"/>
  </r>
  <r>
    <s v="United States"/>
    <x v="86"/>
    <s v="Standard Class"/>
    <s v="Consumer"/>
    <s v="Accessories"/>
    <n v="2"/>
    <n v="0.2"/>
    <n v="4.4603999999999999"/>
    <n v="25.488"/>
  </r>
  <r>
    <s v="United States"/>
    <x v="86"/>
    <s v="Standard Class"/>
    <s v="Consumer"/>
    <s v="Appliances"/>
    <n v="1"/>
    <n v="0.2"/>
    <n v="17.890999999999977"/>
    <n v="286.25600000000003"/>
  </r>
  <r>
    <s v="United States"/>
    <x v="86"/>
    <s v="Standard Class"/>
    <s v="Consumer"/>
    <s v="Art"/>
    <n v="5"/>
    <n v="0.2"/>
    <n v="3.8879999999999972"/>
    <n v="25.920000000000005"/>
  </r>
  <r>
    <s v="United States"/>
    <x v="86"/>
    <s v="Standard Class"/>
    <s v="Consumer"/>
    <s v="Binders"/>
    <n v="12"/>
    <n v="1.4"/>
    <n v="-92.469300000000018"/>
    <n v="118.08300000000003"/>
  </r>
  <r>
    <s v="United States"/>
    <x v="86"/>
    <s v="Standard Class"/>
    <s v="Consumer"/>
    <s v="Furnishings"/>
    <n v="2"/>
    <n v="0.2"/>
    <n v="-9.0903999999999989"/>
    <n v="66.112000000000009"/>
  </r>
  <r>
    <s v="United States"/>
    <x v="86"/>
    <s v="Standard Class"/>
    <s v="Consumer"/>
    <s v="Labels"/>
    <n v="2"/>
    <n v="0.2"/>
    <n v="1.764"/>
    <n v="5.04"/>
  </r>
  <r>
    <s v="United States"/>
    <x v="86"/>
    <s v="Standard Class"/>
    <s v="Consumer"/>
    <s v="Paper"/>
    <n v="1"/>
    <n v="0.2"/>
    <n v="7.7449999999999983"/>
    <n v="24.784000000000002"/>
  </r>
  <r>
    <s v="United States"/>
    <x v="86"/>
    <s v="Standard Class"/>
    <s v="Consumer"/>
    <s v="Phones"/>
    <n v="2"/>
    <n v="0.4"/>
    <n v="-168.95579999999995"/>
    <n v="779.79600000000005"/>
  </r>
  <r>
    <s v="United States"/>
    <x v="86"/>
    <s v="Standard Class"/>
    <s v="Consumer"/>
    <s v="Storage"/>
    <n v="5"/>
    <n v="0.4"/>
    <n v="-87.728800000000007"/>
    <n v="355.76"/>
  </r>
  <r>
    <s v="United States"/>
    <x v="86"/>
    <s v="Standard Class"/>
    <s v="Corporate"/>
    <s v="Bookcases"/>
    <n v="4"/>
    <n v="0.5"/>
    <n v="-64.937599999999989"/>
    <n v="115.96"/>
  </r>
  <r>
    <s v="United States"/>
    <x v="86"/>
    <s v="Standard Class"/>
    <s v="Corporate"/>
    <s v="Furnishings"/>
    <n v="3"/>
    <n v="0.2"/>
    <n v="4.1448"/>
    <n v="15.072000000000003"/>
  </r>
  <r>
    <s v="United States"/>
    <x v="86"/>
    <s v="Standard Class"/>
    <s v="Corporate"/>
    <s v="Paper"/>
    <n v="3"/>
    <n v="0.2"/>
    <n v="5.0286000000000008"/>
    <n v="13.872000000000002"/>
  </r>
  <r>
    <s v="United States"/>
    <x v="86"/>
    <s v="Standard Class"/>
    <s v="Home Office"/>
    <s v="Accessories"/>
    <n v="3"/>
    <n v="0.2"/>
    <n v="15.863099999999999"/>
    <n v="55.176000000000002"/>
  </r>
  <r>
    <s v="United States"/>
    <x v="86"/>
    <s v="Standard Class"/>
    <s v="Home Office"/>
    <s v="Binders"/>
    <n v="3"/>
    <n v="0.7"/>
    <n v="-22.619999999999997"/>
    <n v="33.930000000000007"/>
  </r>
  <r>
    <s v="United States"/>
    <x v="86"/>
    <s v="Standard Class"/>
    <s v="Home Office"/>
    <s v="Phones"/>
    <n v="10"/>
    <n v="0.8"/>
    <n v="-72.876599999999996"/>
    <n v="320.94000000000005"/>
  </r>
  <r>
    <s v="United States"/>
    <x v="86"/>
    <s v="Standard Class"/>
    <s v="Home Office"/>
    <s v="Storage"/>
    <n v="7"/>
    <n v="0.2"/>
    <n v="25.010999999999967"/>
    <n v="222.32000000000005"/>
  </r>
  <r>
    <s v="United States"/>
    <x v="87"/>
    <s v="First Class"/>
    <s v="Consumer"/>
    <s v="Appliances"/>
    <n v="4"/>
    <n v="0"/>
    <n v="22.118400000000001"/>
    <n v="81.92"/>
  </r>
  <r>
    <s v="United States"/>
    <x v="87"/>
    <s v="First Class"/>
    <s v="Consumer"/>
    <s v="Furnishings"/>
    <n v="5"/>
    <n v="0"/>
    <n v="76.469999999999985"/>
    <n v="254.89999999999998"/>
  </r>
  <r>
    <s v="United States"/>
    <x v="88"/>
    <s v="First Class"/>
    <s v="Consumer"/>
    <s v="Art"/>
    <n v="3"/>
    <n v="0"/>
    <n v="2.0747999999999998"/>
    <n v="7.98"/>
  </r>
  <r>
    <s v="United States"/>
    <x v="88"/>
    <s v="First Class"/>
    <s v="Consumer"/>
    <s v="Furnishings"/>
    <n v="6"/>
    <n v="0"/>
    <n v="4.6464000000000008"/>
    <n v="10.56"/>
  </r>
  <r>
    <s v="United States"/>
    <x v="88"/>
    <s v="First Class"/>
    <s v="Consumer"/>
    <s v="Paper"/>
    <n v="5"/>
    <n v="0"/>
    <n v="13.475300000000001"/>
    <n v="27.89"/>
  </r>
  <r>
    <s v="United States"/>
    <x v="88"/>
    <s v="First Class"/>
    <s v="Consumer"/>
    <s v="Tables"/>
    <n v="3"/>
    <n v="0.3"/>
    <n v="-47.179800000000029"/>
    <n v="550.43100000000004"/>
  </r>
  <r>
    <s v="United States"/>
    <x v="88"/>
    <s v="Same Day"/>
    <s v="Corporate"/>
    <s v="Storage"/>
    <n v="6"/>
    <n v="0"/>
    <n v="25.149600000000007"/>
    <n v="89.820000000000007"/>
  </r>
  <r>
    <s v="United States"/>
    <x v="88"/>
    <s v="Second Class"/>
    <s v="Corporate"/>
    <s v="Chairs"/>
    <n v="3"/>
    <n v="0"/>
    <n v="43.675200000000018"/>
    <n v="272.96999999999997"/>
  </r>
  <r>
    <s v="United States"/>
    <x v="88"/>
    <s v="Standard Class"/>
    <s v="Consumer"/>
    <s v="Art"/>
    <n v="4"/>
    <n v="0"/>
    <n v="32.537600000000005"/>
    <n v="79.36"/>
  </r>
  <r>
    <s v="United States"/>
    <x v="88"/>
    <s v="Standard Class"/>
    <s v="Consumer"/>
    <s v="Binders"/>
    <n v="18"/>
    <n v="0"/>
    <n v="133.99379999999999"/>
    <n v="281.13"/>
  </r>
  <r>
    <s v="United States"/>
    <x v="88"/>
    <s v="Standard Class"/>
    <s v="Consumer"/>
    <s v="Fasteners"/>
    <n v="4"/>
    <n v="0"/>
    <n v="5.0559999999999992"/>
    <n v="15.8"/>
  </r>
  <r>
    <s v="United States"/>
    <x v="88"/>
    <s v="Standard Class"/>
    <s v="Consumer"/>
    <s v="Furnishings"/>
    <n v="2"/>
    <n v="0"/>
    <n v="20.015600000000006"/>
    <n v="181.96"/>
  </r>
  <r>
    <s v="United States"/>
    <x v="88"/>
    <s v="Standard Class"/>
    <s v="Consumer"/>
    <s v="Labels"/>
    <n v="3"/>
    <n v="0"/>
    <n v="5.6993999999999998"/>
    <n v="12.39"/>
  </r>
  <r>
    <s v="United States"/>
    <x v="88"/>
    <s v="Standard Class"/>
    <s v="Consumer"/>
    <s v="Machines"/>
    <n v="3"/>
    <n v="0"/>
    <n v="209.23649999999998"/>
    <n v="464.97"/>
  </r>
  <r>
    <s v="United States"/>
    <x v="88"/>
    <s v="Standard Class"/>
    <s v="Consumer"/>
    <s v="Storage"/>
    <n v="7"/>
    <n v="0"/>
    <n v="28.480899999999984"/>
    <n v="98.21"/>
  </r>
  <r>
    <s v="United States"/>
    <x v="88"/>
    <s v="Standard Class"/>
    <s v="Corporate"/>
    <s v="Binders"/>
    <n v="4"/>
    <n v="0"/>
    <n v="31.889199999999995"/>
    <n v="65.08"/>
  </r>
  <r>
    <s v="United States"/>
    <x v="88"/>
    <s v="Standard Class"/>
    <s v="Corporate"/>
    <s v="Chairs"/>
    <n v="8"/>
    <n v="0"/>
    <n v="64.756799999999998"/>
    <n v="239.84"/>
  </r>
  <r>
    <s v="United States"/>
    <x v="88"/>
    <s v="Standard Class"/>
    <s v="Corporate"/>
    <s v="Furnishings"/>
    <n v="3"/>
    <n v="0"/>
    <n v="23.680799999999998"/>
    <n v="60.72"/>
  </r>
  <r>
    <s v="United States"/>
    <x v="88"/>
    <s v="Standard Class"/>
    <s v="Corporate"/>
    <s v="Labels"/>
    <n v="6"/>
    <n v="0"/>
    <n v="7.2035999999999998"/>
    <n v="15.66"/>
  </r>
  <r>
    <s v="United States"/>
    <x v="88"/>
    <s v="Standard Class"/>
    <s v="Corporate"/>
    <s v="Paper"/>
    <n v="3"/>
    <n v="0"/>
    <n v="73.41"/>
    <n v="146.82"/>
  </r>
  <r>
    <s v="United States"/>
    <x v="88"/>
    <s v="Standard Class"/>
    <s v="Corporate"/>
    <s v="Phones"/>
    <n v="8"/>
    <n v="0"/>
    <n v="457.57920000000007"/>
    <n v="1759.92"/>
  </r>
  <r>
    <s v="United States"/>
    <x v="88"/>
    <s v="Standard Class"/>
    <s v="Corporate"/>
    <s v="Storage"/>
    <n v="9"/>
    <n v="0"/>
    <n v="7.9724000000000004"/>
    <n v="678.82"/>
  </r>
  <r>
    <s v="United States"/>
    <x v="88"/>
    <s v="Standard Class"/>
    <s v="Home Office"/>
    <s v="Accessories"/>
    <n v="3"/>
    <n v="0"/>
    <n v="4.9079999999999977"/>
    <n v="49.08"/>
  </r>
  <r>
    <s v="United States"/>
    <x v="88"/>
    <s v="Standard Class"/>
    <s v="Home Office"/>
    <s v="Appliances"/>
    <n v="2"/>
    <n v="0"/>
    <n v="103.22839999999997"/>
    <n v="355.96"/>
  </r>
  <r>
    <s v="United States"/>
    <x v="88"/>
    <s v="Standard Class"/>
    <s v="Home Office"/>
    <s v="Furnishings"/>
    <n v="1"/>
    <n v="0"/>
    <n v="8.5914000000000019"/>
    <n v="19.98"/>
  </r>
  <r>
    <s v="United States"/>
    <x v="88"/>
    <s v="Standard Class"/>
    <s v="Home Office"/>
    <s v="Paper"/>
    <n v="5"/>
    <n v="0"/>
    <n v="14.161000000000001"/>
    <n v="28.900000000000002"/>
  </r>
  <r>
    <s v="United States"/>
    <x v="89"/>
    <s v="Standard Class"/>
    <s v="Consumer"/>
    <s v="Accessories"/>
    <n v="3"/>
    <n v="0"/>
    <n v="8.1071999999999917"/>
    <n v="101.34"/>
  </r>
  <r>
    <s v="United States"/>
    <x v="89"/>
    <s v="Standard Class"/>
    <s v="Consumer"/>
    <s v="Binders"/>
    <n v="7"/>
    <n v="0.2"/>
    <n v="3.5279999999999996"/>
    <n v="10.080000000000002"/>
  </r>
  <r>
    <s v="United States"/>
    <x v="90"/>
    <s v="Standard Class"/>
    <s v="Corporate"/>
    <s v="Accessories"/>
    <n v="1"/>
    <n v="0"/>
    <n v="43.995600000000003"/>
    <n v="99.99"/>
  </r>
  <r>
    <s v="United States"/>
    <x v="90"/>
    <s v="Standard Class"/>
    <s v="Corporate"/>
    <s v="Storage"/>
    <n v="2"/>
    <n v="0"/>
    <n v="3.1779999999999973"/>
    <n v="63.56"/>
  </r>
  <r>
    <s v="United States"/>
    <x v="91"/>
    <s v="Second Class"/>
    <s v="Consumer"/>
    <s v="Appliances"/>
    <n v="8"/>
    <n v="0.8"/>
    <n v="-74.74560000000001"/>
    <n v="29.311999999999994"/>
  </r>
  <r>
    <s v="United States"/>
    <x v="91"/>
    <s v="Second Class"/>
    <s v="Consumer"/>
    <s v="Paper"/>
    <n v="8"/>
    <n v="0.2"/>
    <n v="10.393600000000001"/>
    <n v="28.672000000000004"/>
  </r>
  <r>
    <s v="United States"/>
    <x v="91"/>
    <s v="Standard Class"/>
    <s v="Consumer"/>
    <s v="Chairs"/>
    <n v="3"/>
    <n v="0.3"/>
    <n v="-53.270399999999995"/>
    <n v="233.05799999999999"/>
  </r>
  <r>
    <s v="United States"/>
    <x v="92"/>
    <s v="First Class"/>
    <s v="Consumer"/>
    <s v="Art"/>
    <n v="2"/>
    <n v="0.2"/>
    <n v="2.5488000000000004"/>
    <n v="11.328000000000001"/>
  </r>
  <r>
    <s v="United States"/>
    <x v="92"/>
    <s v="First Class"/>
    <s v="Corporate"/>
    <s v="Binders"/>
    <n v="5"/>
    <n v="0.7"/>
    <n v="-62.88000000000001"/>
    <n v="78.600000000000009"/>
  </r>
  <r>
    <s v="United States"/>
    <x v="92"/>
    <s v="First Class"/>
    <s v="Corporate"/>
    <s v="Chairs"/>
    <n v="3"/>
    <n v="0.2"/>
    <n v="20.155800000000013"/>
    <n v="230.35200000000003"/>
  </r>
  <r>
    <s v="United States"/>
    <x v="92"/>
    <s v="First Class"/>
    <s v="Corporate"/>
    <s v="Fasteners"/>
    <n v="3"/>
    <n v="0.2"/>
    <n v="9.2987999999999964"/>
    <n v="27.552000000000003"/>
  </r>
  <r>
    <s v="United States"/>
    <x v="92"/>
    <s v="First Class"/>
    <s v="Corporate"/>
    <s v="Furnishings"/>
    <n v="11"/>
    <n v="0.4"/>
    <n v="54.294600000000003"/>
    <n v="518.76800000000003"/>
  </r>
  <r>
    <s v="United States"/>
    <x v="92"/>
    <s v="First Class"/>
    <s v="Home Office"/>
    <s v="Binders"/>
    <n v="7"/>
    <n v="0.7"/>
    <n v="-32.507999999999996"/>
    <n v="40.635000000000012"/>
  </r>
  <r>
    <s v="United States"/>
    <x v="92"/>
    <s v="Standard Class"/>
    <s v="Consumer"/>
    <s v="Accessories"/>
    <n v="4"/>
    <n v="0.2"/>
    <n v="-6.5339999999999954"/>
    <n v="58.08"/>
  </r>
  <r>
    <s v="United States"/>
    <x v="92"/>
    <s v="Standard Class"/>
    <s v="Consumer"/>
    <s v="Art"/>
    <n v="11"/>
    <n v="0.60000000000000009"/>
    <n v="3.2026999999999992"/>
    <n v="31.384"/>
  </r>
  <r>
    <s v="United States"/>
    <x v="92"/>
    <s v="Standard Class"/>
    <s v="Consumer"/>
    <s v="Bookcases"/>
    <n v="11"/>
    <n v="1.4"/>
    <n v="-930.53440000000023"/>
    <n v="659.63400000000013"/>
  </r>
  <r>
    <s v="United States"/>
    <x v="92"/>
    <s v="Standard Class"/>
    <s v="Consumer"/>
    <s v="Furnishings"/>
    <n v="14"/>
    <n v="0.4"/>
    <n v="26.053600000000003"/>
    <n v="107.33600000000001"/>
  </r>
  <r>
    <s v="United States"/>
    <x v="92"/>
    <s v="Standard Class"/>
    <s v="Consumer"/>
    <s v="Paper"/>
    <n v="6"/>
    <n v="0.4"/>
    <n v="38.399999999999991"/>
    <n v="112.752"/>
  </r>
  <r>
    <s v="United States"/>
    <x v="92"/>
    <s v="Standard Class"/>
    <s v="Consumer"/>
    <s v="Tables"/>
    <n v="5"/>
    <n v="0.5"/>
    <n v="-248.16599999999994"/>
    <n v="364.95"/>
  </r>
  <r>
    <s v="United States"/>
    <x v="92"/>
    <s v="Standard Class"/>
    <s v="Corporate"/>
    <s v="Appliances"/>
    <n v="7"/>
    <n v="0.2"/>
    <n v="4.5737999999999985"/>
    <n v="60.984000000000009"/>
  </r>
  <r>
    <s v="United States"/>
    <x v="92"/>
    <s v="Standard Class"/>
    <s v="Corporate"/>
    <s v="Binders"/>
    <n v="2"/>
    <n v="0.7"/>
    <n v="-1.3565999999999994"/>
    <n v="1.9380000000000002"/>
  </r>
  <r>
    <s v="United States"/>
    <x v="92"/>
    <s v="Standard Class"/>
    <s v="Corporate"/>
    <s v="Paper"/>
    <n v="8"/>
    <n v="0.4"/>
    <n v="14.351199999999995"/>
    <n v="45.296000000000006"/>
  </r>
  <r>
    <s v="United States"/>
    <x v="92"/>
    <s v="Standard Class"/>
    <s v="Home Office"/>
    <s v="Binders"/>
    <n v="2"/>
    <n v="0.7"/>
    <n v="-2.1755999999999993"/>
    <n v="3.1080000000000001"/>
  </r>
  <r>
    <s v="United States"/>
    <x v="92"/>
    <s v="Standard Class"/>
    <s v="Home Office"/>
    <s v="Chairs"/>
    <n v="6"/>
    <n v="0.2"/>
    <n v="149.14799999999991"/>
    <n v="1325.76"/>
  </r>
  <r>
    <s v="United States"/>
    <x v="92"/>
    <s v="Standard Class"/>
    <s v="Home Office"/>
    <s v="Paper"/>
    <n v="3"/>
    <n v="0.2"/>
    <n v="5.4432"/>
    <n v="15.552000000000003"/>
  </r>
  <r>
    <s v="United States"/>
    <x v="93"/>
    <s v="Same Day"/>
    <s v="Consumer"/>
    <s v="Appliances"/>
    <n v="3"/>
    <n v="0"/>
    <n v="297.64349999999996"/>
    <n v="901.94999999999993"/>
  </r>
  <r>
    <s v="United States"/>
    <x v="93"/>
    <s v="Same Day"/>
    <s v="Consumer"/>
    <s v="Binders"/>
    <n v="7"/>
    <n v="0.7"/>
    <n v="23.345199999999995"/>
    <n v="85.968000000000004"/>
  </r>
  <r>
    <s v="United States"/>
    <x v="93"/>
    <s v="Same Day"/>
    <s v="Consumer"/>
    <s v="Envelopes"/>
    <n v="5"/>
    <n v="0"/>
    <n v="89.954999999999984"/>
    <n v="199.89999999999998"/>
  </r>
  <r>
    <s v="United States"/>
    <x v="93"/>
    <s v="Same Day"/>
    <s v="Consumer"/>
    <s v="Furnishings"/>
    <n v="5"/>
    <n v="0"/>
    <n v="252.59"/>
    <n v="971.5"/>
  </r>
  <r>
    <s v="United States"/>
    <x v="93"/>
    <s v="Same Day"/>
    <s v="Consumer"/>
    <s v="Paper"/>
    <n v="2"/>
    <n v="0"/>
    <n v="6.2208000000000006"/>
    <n v="12.96"/>
  </r>
  <r>
    <s v="United States"/>
    <x v="93"/>
    <s v="Same Day"/>
    <s v="Consumer"/>
    <s v="Storage"/>
    <n v="9"/>
    <n v="0.2"/>
    <n v="16.90579999999996"/>
    <n v="422.03600000000006"/>
  </r>
  <r>
    <s v="United States"/>
    <x v="93"/>
    <s v="Same Day"/>
    <s v="Corporate"/>
    <s v="Art"/>
    <n v="8"/>
    <n v="0"/>
    <n v="64.629000000000005"/>
    <n v="237.42"/>
  </r>
  <r>
    <s v="United States"/>
    <x v="93"/>
    <s v="Same Day"/>
    <s v="Corporate"/>
    <s v="Chairs"/>
    <n v="5"/>
    <n v="0"/>
    <n v="373.77899999999983"/>
    <n v="1779.9"/>
  </r>
  <r>
    <s v="United States"/>
    <x v="93"/>
    <s v="Second Class"/>
    <s v="Consumer"/>
    <s v="Accessories"/>
    <n v="3"/>
    <n v="0"/>
    <n v="22.647599999999997"/>
    <n v="62.91"/>
  </r>
  <r>
    <s v="United States"/>
    <x v="93"/>
    <s v="Second Class"/>
    <s v="Consumer"/>
    <s v="Appliances"/>
    <n v="3"/>
    <n v="0.2"/>
    <n v="87.180000000000092"/>
    <n v="871.80000000000007"/>
  </r>
  <r>
    <s v="United States"/>
    <x v="93"/>
    <s v="Second Class"/>
    <s v="Consumer"/>
    <s v="Binders"/>
    <n v="11"/>
    <n v="0"/>
    <n v="40.051000000000002"/>
    <n v="85.42"/>
  </r>
  <r>
    <s v="United States"/>
    <x v="93"/>
    <s v="Second Class"/>
    <s v="Consumer"/>
    <s v="Chairs"/>
    <n v="3"/>
    <n v="0"/>
    <n v="48.438099999999991"/>
    <n v="362.84999999999997"/>
  </r>
  <r>
    <s v="United States"/>
    <x v="93"/>
    <s v="Second Class"/>
    <s v="Consumer"/>
    <s v="Furnishings"/>
    <n v="3"/>
    <n v="0"/>
    <n v="53.270399999999995"/>
    <n v="332.94"/>
  </r>
  <r>
    <s v="United States"/>
    <x v="93"/>
    <s v="Second Class"/>
    <s v="Consumer"/>
    <s v="Labels"/>
    <n v="3"/>
    <n v="0"/>
    <n v="6.8723999999999998"/>
    <n v="14.940000000000001"/>
  </r>
  <r>
    <s v="United States"/>
    <x v="93"/>
    <s v="Second Class"/>
    <s v="Consumer"/>
    <s v="Storage"/>
    <n v="2"/>
    <n v="0"/>
    <n v="2.598399999999998"/>
    <n v="64.959999999999994"/>
  </r>
  <r>
    <s v="United States"/>
    <x v="93"/>
    <s v="Second Class"/>
    <s v="Corporate"/>
    <s v="Accessories"/>
    <n v="5"/>
    <n v="0"/>
    <n v="373.68180000000012"/>
    <n v="902.60000000000014"/>
  </r>
  <r>
    <s v="United States"/>
    <x v="93"/>
    <s v="Second Class"/>
    <s v="Corporate"/>
    <s v="Art"/>
    <n v="7"/>
    <n v="0"/>
    <n v="9.9096000000000011"/>
    <n v="35.44"/>
  </r>
  <r>
    <s v="United States"/>
    <x v="93"/>
    <s v="Second Class"/>
    <s v="Corporate"/>
    <s v="Binders"/>
    <n v="12"/>
    <n v="0"/>
    <n v="41.059199999999997"/>
    <n v="85.86"/>
  </r>
  <r>
    <s v="United States"/>
    <x v="93"/>
    <s v="Second Class"/>
    <s v="Corporate"/>
    <s v="Envelopes"/>
    <n v="5"/>
    <n v="0"/>
    <n v="4.7939999999999996"/>
    <n v="10.199999999999999"/>
  </r>
  <r>
    <s v="United States"/>
    <x v="93"/>
    <s v="Second Class"/>
    <s v="Corporate"/>
    <s v="Furnishings"/>
    <n v="5"/>
    <n v="0"/>
    <n v="43.735999999999962"/>
    <n v="397.59999999999997"/>
  </r>
  <r>
    <s v="United States"/>
    <x v="93"/>
    <s v="Second Class"/>
    <s v="Corporate"/>
    <s v="Paper"/>
    <n v="16"/>
    <n v="0"/>
    <n v="69.258799999999994"/>
    <n v="146.07999999999998"/>
  </r>
  <r>
    <s v="United States"/>
    <x v="93"/>
    <s v="Second Class"/>
    <s v="Corporate"/>
    <s v="Phones"/>
    <n v="4"/>
    <n v="0.2"/>
    <n v="58.379999999999939"/>
    <n v="467.03999999999996"/>
  </r>
  <r>
    <s v="United States"/>
    <x v="93"/>
    <s v="Second Class"/>
    <s v="Corporate"/>
    <s v="Storage"/>
    <n v="12"/>
    <n v="0"/>
    <n v="631.4807999999997"/>
    <n v="2177.52"/>
  </r>
  <r>
    <s v="United States"/>
    <x v="93"/>
    <s v="Second Class"/>
    <s v="Home Office"/>
    <s v="Appliances"/>
    <n v="7"/>
    <n v="0"/>
    <n v="751.76010000000008"/>
    <n v="1927.5900000000001"/>
  </r>
  <r>
    <s v="United States"/>
    <x v="93"/>
    <s v="Second Class"/>
    <s v="Home Office"/>
    <s v="Phones"/>
    <n v="3"/>
    <n v="0"/>
    <n v="220.48530000000002"/>
    <n v="449.97"/>
  </r>
  <r>
    <s v="United States"/>
    <x v="93"/>
    <s v="Standard Class"/>
    <s v="Consumer"/>
    <s v="Accessories"/>
    <n v="2"/>
    <n v="0"/>
    <n v="26.391200000000005"/>
    <n v="59.98"/>
  </r>
  <r>
    <s v="United States"/>
    <x v="93"/>
    <s v="Standard Class"/>
    <s v="Consumer"/>
    <s v="Appliances"/>
    <n v="7"/>
    <n v="0.2"/>
    <n v="3.8073000000000015"/>
    <n v="43.512"/>
  </r>
  <r>
    <s v="United States"/>
    <x v="93"/>
    <s v="Standard Class"/>
    <s v="Consumer"/>
    <s v="Binders"/>
    <n v="7"/>
    <n v="0"/>
    <n v="1359.7730000000001"/>
    <n v="2730.88"/>
  </r>
  <r>
    <s v="United States"/>
    <x v="93"/>
    <s v="Standard Class"/>
    <s v="Consumer"/>
    <s v="Bookcases"/>
    <n v="3"/>
    <n v="0"/>
    <n v="36.293999999999997"/>
    <n v="362.94"/>
  </r>
  <r>
    <s v="United States"/>
    <x v="93"/>
    <s v="Standard Class"/>
    <s v="Consumer"/>
    <s v="Chairs"/>
    <n v="17"/>
    <n v="0.60000000000000009"/>
    <n v="512.65039999999988"/>
    <n v="2904.1840000000002"/>
  </r>
  <r>
    <s v="United States"/>
    <x v="93"/>
    <s v="Standard Class"/>
    <s v="Consumer"/>
    <s v="Envelopes"/>
    <n v="2"/>
    <n v="0"/>
    <n v="57.32119999999999"/>
    <n v="121.96"/>
  </r>
  <r>
    <s v="United States"/>
    <x v="93"/>
    <s v="Standard Class"/>
    <s v="Consumer"/>
    <s v="Furnishings"/>
    <n v="6"/>
    <n v="0.2"/>
    <n v="55.149000000000001"/>
    <n v="178.35599999999999"/>
  </r>
  <r>
    <s v="United States"/>
    <x v="93"/>
    <s v="Standard Class"/>
    <s v="Consumer"/>
    <s v="Paper"/>
    <n v="13"/>
    <n v="0.4"/>
    <n v="82.930399999999992"/>
    <n v="227.37600000000003"/>
  </r>
  <r>
    <s v="United States"/>
    <x v="93"/>
    <s v="Standard Class"/>
    <s v="Consumer"/>
    <s v="Phones"/>
    <n v="8"/>
    <n v="0"/>
    <n v="209.36770000000001"/>
    <n v="743.68"/>
  </r>
  <r>
    <s v="United States"/>
    <x v="93"/>
    <s v="Standard Class"/>
    <s v="Consumer"/>
    <s v="Storage"/>
    <n v="19"/>
    <n v="0.2"/>
    <n v="44.990600000000001"/>
    <n v="1296.24"/>
  </r>
  <r>
    <s v="United States"/>
    <x v="93"/>
    <s v="Standard Class"/>
    <s v="Consumer"/>
    <s v="Supplies"/>
    <n v="3"/>
    <n v="0.2"/>
    <n v="-1.9872000000000005"/>
    <n v="8.8320000000000007"/>
  </r>
  <r>
    <s v="United States"/>
    <x v="93"/>
    <s v="Standard Class"/>
    <s v="Corporate"/>
    <s v="Accessories"/>
    <n v="9"/>
    <n v="0.2"/>
    <n v="20.560600000000004"/>
    <n v="66.058000000000007"/>
  </r>
  <r>
    <s v="United States"/>
    <x v="93"/>
    <s v="Standard Class"/>
    <s v="Corporate"/>
    <s v="Appliances"/>
    <n v="2"/>
    <n v="0"/>
    <n v="10.5504"/>
    <n v="37.68"/>
  </r>
  <r>
    <s v="United States"/>
    <x v="93"/>
    <s v="Standard Class"/>
    <s v="Corporate"/>
    <s v="Art"/>
    <n v="7"/>
    <n v="0"/>
    <n v="11.575199999999999"/>
    <n v="29.68"/>
  </r>
  <r>
    <s v="United States"/>
    <x v="93"/>
    <s v="Standard Class"/>
    <s v="Corporate"/>
    <s v="Binders"/>
    <n v="3"/>
    <n v="0"/>
    <n v="2.5920000000000001"/>
    <n v="5.4"/>
  </r>
  <r>
    <s v="United States"/>
    <x v="93"/>
    <s v="Standard Class"/>
    <s v="Corporate"/>
    <s v="Envelopes"/>
    <n v="3"/>
    <n v="0"/>
    <n v="87.744299999999981"/>
    <n v="186.69"/>
  </r>
  <r>
    <s v="United States"/>
    <x v="93"/>
    <s v="Standard Class"/>
    <s v="Corporate"/>
    <s v="Furnishings"/>
    <n v="8"/>
    <n v="0.2"/>
    <n v="23.168799999999997"/>
    <n v="106.54"/>
  </r>
  <r>
    <s v="United States"/>
    <x v="93"/>
    <s v="Standard Class"/>
    <s v="Corporate"/>
    <s v="Paper"/>
    <n v="11"/>
    <n v="0"/>
    <n v="85.138500000000008"/>
    <n v="174.81"/>
  </r>
  <r>
    <s v="United States"/>
    <x v="93"/>
    <s v="Standard Class"/>
    <s v="Corporate"/>
    <s v="Phones"/>
    <n v="5"/>
    <n v="0"/>
    <n v="163.78700000000003"/>
    <n v="629.94999999999993"/>
  </r>
  <r>
    <s v="United States"/>
    <x v="93"/>
    <s v="Standard Class"/>
    <s v="Corporate"/>
    <s v="Tables"/>
    <n v="7"/>
    <n v="0.4"/>
    <n v="-968.88329999999996"/>
    <n v="1875.258"/>
  </r>
  <r>
    <s v="United States"/>
    <x v="93"/>
    <s v="Standard Class"/>
    <s v="Home Office"/>
    <s v="Binders"/>
    <n v="9"/>
    <n v="0.7"/>
    <n v="3.8614000000000033"/>
    <n v="55.9"/>
  </r>
  <r>
    <s v="United States"/>
    <x v="93"/>
    <s v="Standard Class"/>
    <s v="Home Office"/>
    <s v="Furnishings"/>
    <n v="6"/>
    <n v="0"/>
    <n v="39.807199999999995"/>
    <n v="117.08"/>
  </r>
  <r>
    <s v="United States"/>
    <x v="93"/>
    <s v="Standard Class"/>
    <s v="Home Office"/>
    <s v="Paper"/>
    <n v="11"/>
    <n v="0.2"/>
    <n v="148.8552"/>
    <n v="312.98399999999998"/>
  </r>
  <r>
    <s v="United States"/>
    <x v="94"/>
    <s v="First Class"/>
    <s v="Consumer"/>
    <s v="Accessories"/>
    <n v="3"/>
    <n v="0"/>
    <n v="40.749900000000004"/>
    <n v="99.390000000000015"/>
  </r>
  <r>
    <s v="United States"/>
    <x v="94"/>
    <s v="First Class"/>
    <s v="Consumer"/>
    <s v="Appliances"/>
    <n v="3"/>
    <n v="0"/>
    <n v="16.588799999999999"/>
    <n v="61.44"/>
  </r>
  <r>
    <s v="United States"/>
    <x v="94"/>
    <s v="First Class"/>
    <s v="Consumer"/>
    <s v="Art"/>
    <n v="5"/>
    <n v="0.4"/>
    <n v="3.7721999999999976"/>
    <n v="22.128000000000004"/>
  </r>
  <r>
    <s v="United States"/>
    <x v="94"/>
    <s v="First Class"/>
    <s v="Consumer"/>
    <s v="Binders"/>
    <n v="7"/>
    <n v="0"/>
    <n v="17.8066"/>
    <n v="38.71"/>
  </r>
  <r>
    <s v="United States"/>
    <x v="94"/>
    <s v="First Class"/>
    <s v="Consumer"/>
    <s v="Bookcases"/>
    <n v="5"/>
    <n v="0"/>
    <n v="88.725000000000023"/>
    <n v="354.90000000000003"/>
  </r>
  <r>
    <s v="United States"/>
    <x v="94"/>
    <s v="First Class"/>
    <s v="Consumer"/>
    <s v="Chairs"/>
    <n v="2"/>
    <n v="0.3"/>
    <n v="-7.0979999999999919"/>
    <n v="99.372"/>
  </r>
  <r>
    <s v="United States"/>
    <x v="94"/>
    <s v="First Class"/>
    <s v="Consumer"/>
    <s v="Copiers"/>
    <n v="4"/>
    <n v="0.4"/>
    <n v="191.99680000000001"/>
    <n v="1439.9759999999999"/>
  </r>
  <r>
    <s v="United States"/>
    <x v="94"/>
    <s v="First Class"/>
    <s v="Consumer"/>
    <s v="Furnishings"/>
    <n v="5"/>
    <n v="0.4"/>
    <n v="-2.0836000000000068"/>
    <n v="152.92000000000002"/>
  </r>
  <r>
    <s v="United States"/>
    <x v="94"/>
    <s v="First Class"/>
    <s v="Consumer"/>
    <s v="Paper"/>
    <n v="5"/>
    <n v="0"/>
    <n v="17.504999999999995"/>
    <n v="38.9"/>
  </r>
  <r>
    <s v="United States"/>
    <x v="94"/>
    <s v="First Class"/>
    <s v="Consumer"/>
    <s v="Storage"/>
    <n v="3"/>
    <n v="0"/>
    <n v="10.0725"/>
    <n v="40.29"/>
  </r>
  <r>
    <s v="United States"/>
    <x v="94"/>
    <s v="First Class"/>
    <s v="Corporate"/>
    <s v="Appliances"/>
    <n v="8"/>
    <n v="0"/>
    <n v="168.4384"/>
    <n v="647.84"/>
  </r>
  <r>
    <s v="United States"/>
    <x v="94"/>
    <s v="First Class"/>
    <s v="Corporate"/>
    <s v="Binders"/>
    <n v="5"/>
    <n v="0.7"/>
    <n v="-7.8399999999999963"/>
    <n v="11.760000000000002"/>
  </r>
  <r>
    <s v="United States"/>
    <x v="94"/>
    <s v="First Class"/>
    <s v="Corporate"/>
    <s v="Chairs"/>
    <n v="3"/>
    <n v="0.3"/>
    <n v="-86.058600000000013"/>
    <n v="317.05799999999999"/>
  </r>
  <r>
    <s v="United States"/>
    <x v="94"/>
    <s v="First Class"/>
    <s v="Corporate"/>
    <s v="Fasteners"/>
    <n v="14"/>
    <n v="0.4"/>
    <n v="9.887699999999997"/>
    <n v="29.495999999999999"/>
  </r>
  <r>
    <s v="United States"/>
    <x v="94"/>
    <s v="First Class"/>
    <s v="Corporate"/>
    <s v="Furnishings"/>
    <n v="4"/>
    <n v="0.2"/>
    <n v="-4.1568000000000023"/>
    <n v="41.568000000000005"/>
  </r>
  <r>
    <s v="United States"/>
    <x v="94"/>
    <s v="First Class"/>
    <s v="Corporate"/>
    <s v="Labels"/>
    <n v="2"/>
    <n v="0"/>
    <n v="9.9359999999999999"/>
    <n v="20.7"/>
  </r>
  <r>
    <s v="United States"/>
    <x v="94"/>
    <s v="First Class"/>
    <s v="Corporate"/>
    <s v="Paper"/>
    <n v="6"/>
    <n v="0.4"/>
    <n v="47.904199999999996"/>
    <n v="117.66799999999999"/>
  </r>
  <r>
    <s v="United States"/>
    <x v="94"/>
    <s v="First Class"/>
    <s v="Corporate"/>
    <s v="Phones"/>
    <n v="5"/>
    <n v="0.4"/>
    <n v="-11.993999999999993"/>
    <n v="59.969999999999992"/>
  </r>
  <r>
    <s v="United States"/>
    <x v="94"/>
    <s v="First Class"/>
    <s v="Home Office"/>
    <s v="Accessories"/>
    <n v="4"/>
    <n v="0"/>
    <n v="129.6"/>
    <n v="360"/>
  </r>
  <r>
    <s v="United States"/>
    <x v="94"/>
    <s v="First Class"/>
    <s v="Home Office"/>
    <s v="Art"/>
    <n v="7"/>
    <n v="0"/>
    <n v="10.628799999999998"/>
    <n v="40.879999999999995"/>
  </r>
  <r>
    <s v="United States"/>
    <x v="94"/>
    <s v="First Class"/>
    <s v="Home Office"/>
    <s v="Chairs"/>
    <n v="2"/>
    <n v="0"/>
    <n v="30.444999999999993"/>
    <n v="121.78"/>
  </r>
  <r>
    <s v="United States"/>
    <x v="94"/>
    <s v="First Class"/>
    <s v="Home Office"/>
    <s v="Tables"/>
    <n v="2"/>
    <n v="0"/>
    <n v="70.005999999999972"/>
    <n v="411.8"/>
  </r>
  <r>
    <s v="United States"/>
    <x v="94"/>
    <s v="Same Day"/>
    <s v="Consumer"/>
    <s v="Accessories"/>
    <n v="5"/>
    <n v="0.4"/>
    <n v="40.433399999999999"/>
    <n v="302.47199999999998"/>
  </r>
  <r>
    <s v="United States"/>
    <x v="94"/>
    <s v="Same Day"/>
    <s v="Consumer"/>
    <s v="Appliances"/>
    <n v="3"/>
    <n v="0.2"/>
    <n v="1.9602000000000004"/>
    <n v="26.136000000000003"/>
  </r>
  <r>
    <s v="United States"/>
    <x v="94"/>
    <s v="Same Day"/>
    <s v="Consumer"/>
    <s v="Art"/>
    <n v="7"/>
    <n v="0.4"/>
    <n v="6.124799999999996"/>
    <n v="73.104000000000013"/>
  </r>
  <r>
    <s v="United States"/>
    <x v="94"/>
    <s v="Same Day"/>
    <s v="Consumer"/>
    <s v="Binders"/>
    <n v="11"/>
    <n v="2.0999999999999996"/>
    <n v="-21.343599999999995"/>
    <n v="30.189000000000007"/>
  </r>
  <r>
    <s v="United States"/>
    <x v="94"/>
    <s v="Same Day"/>
    <s v="Consumer"/>
    <s v="Envelopes"/>
    <n v="7"/>
    <n v="0.4"/>
    <n v="10.430999999999997"/>
    <n v="30.320000000000004"/>
  </r>
  <r>
    <s v="United States"/>
    <x v="94"/>
    <s v="Same Day"/>
    <s v="Consumer"/>
    <s v="Furnishings"/>
    <n v="6"/>
    <n v="0.2"/>
    <n v="7.6895999999999933"/>
    <n v="51.264000000000003"/>
  </r>
  <r>
    <s v="United States"/>
    <x v="94"/>
    <s v="Same Day"/>
    <s v="Consumer"/>
    <s v="Labels"/>
    <n v="1"/>
    <n v="0.2"/>
    <n v="7.9378000000000002"/>
    <n v="24.424000000000003"/>
  </r>
  <r>
    <s v="United States"/>
    <x v="94"/>
    <s v="Same Day"/>
    <s v="Consumer"/>
    <s v="Machines"/>
    <n v="2"/>
    <n v="0.7"/>
    <n v="-71.39579999999998"/>
    <n v="101.99400000000001"/>
  </r>
  <r>
    <s v="United States"/>
    <x v="94"/>
    <s v="Same Day"/>
    <s v="Consumer"/>
    <s v="Phones"/>
    <n v="2"/>
    <n v="0.4"/>
    <n v="-7.3960000000000043"/>
    <n v="44.375999999999998"/>
  </r>
  <r>
    <s v="United States"/>
    <x v="94"/>
    <s v="Same Day"/>
    <s v="Consumer"/>
    <s v="Storage"/>
    <n v="4"/>
    <n v="0.4"/>
    <n v="5.0673999999999975"/>
    <n v="87.792000000000002"/>
  </r>
  <r>
    <s v="United States"/>
    <x v="94"/>
    <s v="Same Day"/>
    <s v="Corporate"/>
    <s v="Appliances"/>
    <n v="4"/>
    <n v="0.2"/>
    <n v="24.196000000000012"/>
    <n v="387.13600000000002"/>
  </r>
  <r>
    <s v="United States"/>
    <x v="94"/>
    <s v="Same Day"/>
    <s v="Corporate"/>
    <s v="Chairs"/>
    <n v="8"/>
    <n v="0.6"/>
    <n v="-172.44660000000005"/>
    <n v="1069.4879999999998"/>
  </r>
  <r>
    <s v="United States"/>
    <x v="94"/>
    <s v="Same Day"/>
    <s v="Corporate"/>
    <s v="Phones"/>
    <n v="5"/>
    <n v="0.4"/>
    <n v="-209.99399999999991"/>
    <n v="1049.97"/>
  </r>
  <r>
    <s v="United States"/>
    <x v="94"/>
    <s v="Same Day"/>
    <s v="Corporate"/>
    <s v="Storage"/>
    <n v="5"/>
    <n v="0.2"/>
    <n v="-4.0599999999999987"/>
    <n v="64.959999999999994"/>
  </r>
  <r>
    <s v="United States"/>
    <x v="94"/>
    <s v="Same Day"/>
    <s v="Corporate"/>
    <s v="Supplies"/>
    <n v="2"/>
    <n v="0.2"/>
    <n v="1.6899999999999986"/>
    <n v="13.52"/>
  </r>
  <r>
    <s v="United States"/>
    <x v="94"/>
    <s v="Same Day"/>
    <s v="Corporate"/>
    <s v="Tables"/>
    <n v="3"/>
    <n v="0.4"/>
    <n v="-147.8655"/>
    <n v="328.59000000000003"/>
  </r>
  <r>
    <s v="United States"/>
    <x v="94"/>
    <s v="Second Class"/>
    <s v="Consumer"/>
    <s v="Accessories"/>
    <n v="4"/>
    <n v="0.4"/>
    <n v="-2.1002000000000027"/>
    <n v="71.984000000000009"/>
  </r>
  <r>
    <s v="United States"/>
    <x v="94"/>
    <s v="Second Class"/>
    <s v="Consumer"/>
    <s v="Appliances"/>
    <n v="5"/>
    <n v="0.2"/>
    <n v="11.489999999999991"/>
    <n v="91.92"/>
  </r>
  <r>
    <s v="United States"/>
    <x v="94"/>
    <s v="Second Class"/>
    <s v="Consumer"/>
    <s v="Art"/>
    <n v="6"/>
    <n v="0.2"/>
    <n v="12.452999999999998"/>
    <n v="49.961999999999996"/>
  </r>
  <r>
    <s v="United States"/>
    <x v="94"/>
    <s v="Second Class"/>
    <s v="Consumer"/>
    <s v="Binders"/>
    <n v="17"/>
    <n v="2.0999999999999996"/>
    <n v="-9.0991999999999678"/>
    <n v="269.24799999999999"/>
  </r>
  <r>
    <s v="United States"/>
    <x v="94"/>
    <s v="Second Class"/>
    <s v="Consumer"/>
    <s v="Bookcases"/>
    <n v="1"/>
    <n v="0.5"/>
    <n v="-15.615600000000001"/>
    <n v="35.49"/>
  </r>
  <r>
    <s v="United States"/>
    <x v="94"/>
    <s v="Second Class"/>
    <s v="Consumer"/>
    <s v="Chairs"/>
    <n v="9"/>
    <n v="0.3"/>
    <n v="29.189400000000077"/>
    <n v="1278.6899999999998"/>
  </r>
  <r>
    <s v="United States"/>
    <x v="94"/>
    <s v="Second Class"/>
    <s v="Consumer"/>
    <s v="Copiers"/>
    <n v="2"/>
    <n v="0.4"/>
    <n v="109.99799999999999"/>
    <n v="659.98799999999994"/>
  </r>
  <r>
    <s v="United States"/>
    <x v="94"/>
    <s v="Second Class"/>
    <s v="Consumer"/>
    <s v="Envelopes"/>
    <n v="8"/>
    <n v="0.4"/>
    <n v="45.683599999999998"/>
    <n v="135.184"/>
  </r>
  <r>
    <s v="United States"/>
    <x v="94"/>
    <s v="Second Class"/>
    <s v="Consumer"/>
    <s v="Fasteners"/>
    <n v="20"/>
    <n v="0.4"/>
    <n v="16.235199999999995"/>
    <n v="50.56"/>
  </r>
  <r>
    <s v="United States"/>
    <x v="94"/>
    <s v="Second Class"/>
    <s v="Consumer"/>
    <s v="Furnishings"/>
    <n v="17"/>
    <n v="0.4"/>
    <n v="59.89049999999996"/>
    <n v="314.07799999999997"/>
  </r>
  <r>
    <s v="United States"/>
    <x v="94"/>
    <s v="Second Class"/>
    <s v="Consumer"/>
    <s v="Paper"/>
    <n v="10"/>
    <n v="0.4"/>
    <n v="20.193300000000001"/>
    <n v="60.26400000000001"/>
  </r>
  <r>
    <s v="United States"/>
    <x v="94"/>
    <s v="Second Class"/>
    <s v="Consumer"/>
    <s v="Storage"/>
    <n v="5"/>
    <n v="0"/>
    <n v="34.292499999999997"/>
    <n v="118.25"/>
  </r>
  <r>
    <s v="United States"/>
    <x v="94"/>
    <s v="Second Class"/>
    <s v="Consumer"/>
    <s v="Supplies"/>
    <n v="2"/>
    <n v="0.2"/>
    <n v="1.1479999999999988"/>
    <n v="9.1840000000000011"/>
  </r>
  <r>
    <s v="United States"/>
    <x v="94"/>
    <s v="Second Class"/>
    <s v="Corporate"/>
    <s v="Art"/>
    <n v="2"/>
    <n v="0.2"/>
    <n v="0.33839999999999981"/>
    <n v="3.008"/>
  </r>
  <r>
    <s v="United States"/>
    <x v="94"/>
    <s v="Second Class"/>
    <s v="Corporate"/>
    <s v="Binders"/>
    <n v="2"/>
    <n v="0"/>
    <n v="1.8047999999999997"/>
    <n v="3.76"/>
  </r>
  <r>
    <s v="United States"/>
    <x v="94"/>
    <s v="Second Class"/>
    <s v="Corporate"/>
    <s v="Labels"/>
    <n v="2"/>
    <n v="0"/>
    <n v="4.8117999999999999"/>
    <n v="9.82"/>
  </r>
  <r>
    <s v="United States"/>
    <x v="94"/>
    <s v="Second Class"/>
    <s v="Corporate"/>
    <s v="Supplies"/>
    <n v="2"/>
    <n v="0.2"/>
    <n v="-81.725799999999978"/>
    <n v="384.59200000000004"/>
  </r>
  <r>
    <s v="United States"/>
    <x v="94"/>
    <s v="Second Class"/>
    <s v="Home Office"/>
    <s v="Accessories"/>
    <n v="2"/>
    <n v="0.2"/>
    <n v="54.396600000000007"/>
    <n v="255.98400000000004"/>
  </r>
  <r>
    <s v="United States"/>
    <x v="94"/>
    <s v="Second Class"/>
    <s v="Home Office"/>
    <s v="Bookcases"/>
    <n v="3"/>
    <n v="0.5"/>
    <n v="-48.703199999999995"/>
    <n v="86.97"/>
  </r>
  <r>
    <s v="United States"/>
    <x v="94"/>
    <s v="Second Class"/>
    <s v="Home Office"/>
    <s v="Fasteners"/>
    <n v="7"/>
    <n v="0.2"/>
    <n v="6.6835999999999993"/>
    <n v="19.096"/>
  </r>
  <r>
    <s v="United States"/>
    <x v="94"/>
    <s v="Second Class"/>
    <s v="Home Office"/>
    <s v="Furnishings"/>
    <n v="4"/>
    <n v="0"/>
    <n v="3.0976000000000004"/>
    <n v="7.04"/>
  </r>
  <r>
    <s v="United States"/>
    <x v="94"/>
    <s v="Second Class"/>
    <s v="Home Office"/>
    <s v="Labels"/>
    <n v="8"/>
    <n v="0.2"/>
    <n v="6.2423999999999999"/>
    <n v="18.496000000000002"/>
  </r>
  <r>
    <s v="United States"/>
    <x v="94"/>
    <s v="Second Class"/>
    <s v="Home Office"/>
    <s v="Paper"/>
    <n v="3"/>
    <n v="0.2"/>
    <n v="3.4397999999999995"/>
    <n v="10.584000000000001"/>
  </r>
  <r>
    <s v="United States"/>
    <x v="94"/>
    <s v="Standard Class"/>
    <s v="Consumer"/>
    <s v="Accessories"/>
    <n v="18"/>
    <n v="0.2"/>
    <n v="201.07129999999995"/>
    <n v="987.86"/>
  </r>
  <r>
    <s v="United States"/>
    <x v="94"/>
    <s v="Standard Class"/>
    <s v="Consumer"/>
    <s v="Appliances"/>
    <n v="7"/>
    <n v="0.4"/>
    <n v="166.61319999999998"/>
    <n v="789.30399999999997"/>
  </r>
  <r>
    <s v="United States"/>
    <x v="94"/>
    <s v="Standard Class"/>
    <s v="Consumer"/>
    <s v="Art"/>
    <n v="10"/>
    <n v="0.4"/>
    <n v="7.5975999999999964"/>
    <n v="36.680000000000007"/>
  </r>
  <r>
    <s v="United States"/>
    <x v="94"/>
    <s v="Standard Class"/>
    <s v="Consumer"/>
    <s v="Binders"/>
    <n v="20"/>
    <n v="2.8"/>
    <n v="14.316600000000001"/>
    <n v="109.55800000000001"/>
  </r>
  <r>
    <s v="United States"/>
    <x v="94"/>
    <s v="Standard Class"/>
    <s v="Consumer"/>
    <s v="Chairs"/>
    <n v="14"/>
    <n v="0.89999999999999991"/>
    <n v="369.72660000000002"/>
    <n v="1847.1179999999999"/>
  </r>
  <r>
    <s v="United States"/>
    <x v="94"/>
    <s v="Standard Class"/>
    <s v="Consumer"/>
    <s v="Envelopes"/>
    <n v="17"/>
    <n v="0.2"/>
    <n v="115.38659999999999"/>
    <n v="278.88799999999998"/>
  </r>
  <r>
    <s v="United States"/>
    <x v="94"/>
    <s v="Standard Class"/>
    <s v="Consumer"/>
    <s v="Fasteners"/>
    <n v="5"/>
    <n v="0.4"/>
    <n v="2.3126999999999995"/>
    <n v="7.8319999999999999"/>
  </r>
  <r>
    <s v="United States"/>
    <x v="94"/>
    <s v="Standard Class"/>
    <s v="Consumer"/>
    <s v="Furnishings"/>
    <n v="29"/>
    <n v="0.8"/>
    <n v="254.10219999999998"/>
    <n v="833.87200000000018"/>
  </r>
  <r>
    <s v="United States"/>
    <x v="94"/>
    <s v="Standard Class"/>
    <s v="Consumer"/>
    <s v="Labels"/>
    <n v="2"/>
    <n v="0.2"/>
    <n v="1.9925999999999999"/>
    <n v="5.9039999999999999"/>
  </r>
  <r>
    <s v="United States"/>
    <x v="94"/>
    <s v="Standard Class"/>
    <s v="Consumer"/>
    <s v="Machines"/>
    <n v="11"/>
    <n v="0.7"/>
    <n v="165.80399999999997"/>
    <n v="426.34500000000003"/>
  </r>
  <r>
    <s v="United States"/>
    <x v="94"/>
    <s v="Standard Class"/>
    <s v="Consumer"/>
    <s v="Paper"/>
    <n v="29"/>
    <n v="0.60000000000000009"/>
    <n v="159.53089999999995"/>
    <n v="371.60599999999999"/>
  </r>
  <r>
    <s v="United States"/>
    <x v="94"/>
    <s v="Standard Class"/>
    <s v="Consumer"/>
    <s v="Phones"/>
    <n v="50"/>
    <n v="1.6"/>
    <n v="741.06700000000023"/>
    <n v="7187.1920000000009"/>
  </r>
  <r>
    <s v="United States"/>
    <x v="94"/>
    <s v="Standard Class"/>
    <s v="Consumer"/>
    <s v="Storage"/>
    <n v="15"/>
    <n v="0.4"/>
    <n v="110.37"/>
    <n v="976.55600000000004"/>
  </r>
  <r>
    <s v="United States"/>
    <x v="94"/>
    <s v="Standard Class"/>
    <s v="Consumer"/>
    <s v="Supplies"/>
    <n v="4"/>
    <n v="0.2"/>
    <n v="1.1796000000000002"/>
    <n v="18.752000000000002"/>
  </r>
  <r>
    <s v="United States"/>
    <x v="94"/>
    <s v="Standard Class"/>
    <s v="Corporate"/>
    <s v="Accessories"/>
    <n v="17"/>
    <n v="0.4"/>
    <n v="88.680399999999977"/>
    <n v="522.68399999999997"/>
  </r>
  <r>
    <s v="United States"/>
    <x v="94"/>
    <s v="Standard Class"/>
    <s v="Corporate"/>
    <s v="Appliances"/>
    <n v="16"/>
    <n v="0.4"/>
    <n v="334.97699999999998"/>
    <n v="982.43799999999999"/>
  </r>
  <r>
    <s v="United States"/>
    <x v="94"/>
    <s v="Standard Class"/>
    <s v="Corporate"/>
    <s v="Art"/>
    <n v="8"/>
    <n v="0"/>
    <n v="46.539999999999985"/>
    <n v="147.34"/>
  </r>
  <r>
    <s v="United States"/>
    <x v="94"/>
    <s v="Standard Class"/>
    <s v="Corporate"/>
    <s v="Binders"/>
    <n v="36"/>
    <n v="2.8"/>
    <n v="778.84179999999992"/>
    <n v="1864.9459999999999"/>
  </r>
  <r>
    <s v="United States"/>
    <x v="94"/>
    <s v="Standard Class"/>
    <s v="Corporate"/>
    <s v="Bookcases"/>
    <n v="5"/>
    <n v="0.5"/>
    <n v="-199.61700000000002"/>
    <n v="302.45"/>
  </r>
  <r>
    <s v="United States"/>
    <x v="94"/>
    <s v="Standard Class"/>
    <s v="Corporate"/>
    <s v="Envelopes"/>
    <n v="7"/>
    <n v="0"/>
    <n v="94.7239"/>
    <n v="208.55"/>
  </r>
  <r>
    <s v="United States"/>
    <x v="94"/>
    <s v="Standard Class"/>
    <s v="Corporate"/>
    <s v="Furnishings"/>
    <n v="15"/>
    <n v="0"/>
    <n v="324.47959999999995"/>
    <n v="675.86"/>
  </r>
  <r>
    <s v="United States"/>
    <x v="94"/>
    <s v="Standard Class"/>
    <s v="Corporate"/>
    <s v="Labels"/>
    <n v="3"/>
    <n v="0.2"/>
    <n v="4.9139999999999988"/>
    <n v="15.120000000000001"/>
  </r>
  <r>
    <s v="United States"/>
    <x v="94"/>
    <s v="Standard Class"/>
    <s v="Corporate"/>
    <s v="Paper"/>
    <n v="42"/>
    <n v="0.60000000000000009"/>
    <n v="473.78999999999996"/>
    <n v="1033.8159999999998"/>
  </r>
  <r>
    <s v="United States"/>
    <x v="94"/>
    <s v="Standard Class"/>
    <s v="Corporate"/>
    <s v="Phones"/>
    <n v="19"/>
    <n v="0.8"/>
    <n v="328.59889999999996"/>
    <n v="1600.2780000000002"/>
  </r>
  <r>
    <s v="United States"/>
    <x v="94"/>
    <s v="Standard Class"/>
    <s v="Corporate"/>
    <s v="Storage"/>
    <n v="13"/>
    <n v="0.2"/>
    <n v="95.757299999999958"/>
    <n v="919.92200000000003"/>
  </r>
  <r>
    <s v="United States"/>
    <x v="94"/>
    <s v="Standard Class"/>
    <s v="Corporate"/>
    <s v="Supplies"/>
    <n v="2"/>
    <n v="0"/>
    <n v="9.9991999999999948"/>
    <n v="34.479999999999997"/>
  </r>
  <r>
    <s v="United States"/>
    <x v="94"/>
    <s v="Standard Class"/>
    <s v="Home Office"/>
    <s v="Accessories"/>
    <n v="2"/>
    <n v="0"/>
    <n v="15.1158"/>
    <n v="71.98"/>
  </r>
  <r>
    <s v="United States"/>
    <x v="94"/>
    <s v="Standard Class"/>
    <s v="Home Office"/>
    <s v="Appliances"/>
    <n v="2"/>
    <n v="0"/>
    <n v="56.510999999999996"/>
    <n v="209.3"/>
  </r>
  <r>
    <s v="United States"/>
    <x v="94"/>
    <s v="Standard Class"/>
    <s v="Home Office"/>
    <s v="Art"/>
    <n v="5"/>
    <n v="0"/>
    <n v="13.452000000000002"/>
    <n v="35.4"/>
  </r>
  <r>
    <s v="United States"/>
    <x v="94"/>
    <s v="Standard Class"/>
    <s v="Home Office"/>
    <s v="Binders"/>
    <n v="22"/>
    <n v="2.0999999999999996"/>
    <n v="38.026599999999995"/>
    <n v="144.61699999999999"/>
  </r>
  <r>
    <s v="United States"/>
    <x v="94"/>
    <s v="Standard Class"/>
    <s v="Home Office"/>
    <s v="Chairs"/>
    <n v="4"/>
    <n v="0.6"/>
    <n v="-24.117599999999982"/>
    <n v="562.74399999999991"/>
  </r>
  <r>
    <s v="United States"/>
    <x v="94"/>
    <s v="Standard Class"/>
    <s v="Home Office"/>
    <s v="Furnishings"/>
    <n v="26"/>
    <n v="0.4"/>
    <n v="54.531000000000006"/>
    <n v="179.208"/>
  </r>
  <r>
    <s v="United States"/>
    <x v="94"/>
    <s v="Standard Class"/>
    <s v="Home Office"/>
    <s v="Paper"/>
    <n v="20"/>
    <n v="0.4"/>
    <n v="260.14279999999997"/>
    <n v="667.80399999999997"/>
  </r>
  <r>
    <s v="United States"/>
    <x v="94"/>
    <s v="Standard Class"/>
    <s v="Home Office"/>
    <s v="Storage"/>
    <n v="16"/>
    <n v="0"/>
    <n v="300.87079999999997"/>
    <n v="1833.2899999999997"/>
  </r>
  <r>
    <s v="United States"/>
    <x v="94"/>
    <s v="Standard Class"/>
    <s v="Home Office"/>
    <s v="Tables"/>
    <n v="5"/>
    <n v="0.4"/>
    <n v="9.8077999999999861"/>
    <n v="658.11599999999999"/>
  </r>
  <r>
    <s v="United States"/>
    <x v="95"/>
    <s v="First Class"/>
    <s v="Consumer"/>
    <s v="Storage"/>
    <n v="3"/>
    <n v="0.2"/>
    <n v="-32.929200000000002"/>
    <n v="146.352"/>
  </r>
  <r>
    <s v="United States"/>
    <x v="96"/>
    <s v="First Class"/>
    <s v="Consumer"/>
    <s v="Art"/>
    <n v="9"/>
    <n v="0.2"/>
    <n v="1.7514000000000003"/>
    <n v="20.015999999999998"/>
  </r>
  <r>
    <s v="United States"/>
    <x v="96"/>
    <s v="First Class"/>
    <s v="Consumer"/>
    <s v="Furnishings"/>
    <n v="1"/>
    <n v="0"/>
    <n v="26.597999999999999"/>
    <n v="102.3"/>
  </r>
  <r>
    <s v="United States"/>
    <x v="96"/>
    <s v="First Class"/>
    <s v="Consumer"/>
    <s v="Paper"/>
    <n v="3"/>
    <n v="0"/>
    <n v="17.22"/>
    <n v="34.44"/>
  </r>
  <r>
    <s v="United States"/>
    <x v="96"/>
    <s v="First Class"/>
    <s v="Consumer"/>
    <s v="Supplies"/>
    <n v="1"/>
    <n v="0.2"/>
    <n v="0.34919999999999951"/>
    <n v="3.1040000000000001"/>
  </r>
  <r>
    <s v="United States"/>
    <x v="96"/>
    <s v="Same Day"/>
    <s v="Consumer"/>
    <s v="Binders"/>
    <n v="5"/>
    <n v="0.2"/>
    <n v="22.155999999999999"/>
    <n v="61.120000000000005"/>
  </r>
  <r>
    <s v="United States"/>
    <x v="96"/>
    <s v="Second Class"/>
    <s v="Consumer"/>
    <s v="Bookcases"/>
    <n v="2"/>
    <n v="0.15"/>
    <n v="14.097999999999999"/>
    <n v="239.66599999999997"/>
  </r>
  <r>
    <s v="United States"/>
    <x v="96"/>
    <s v="Second Class"/>
    <s v="Consumer"/>
    <s v="Tables"/>
    <n v="13"/>
    <n v="0.4"/>
    <n v="-1862.3124000000003"/>
    <n v="4297.6440000000002"/>
  </r>
  <r>
    <s v="United States"/>
    <x v="96"/>
    <s v="Second Class"/>
    <s v="Corporate"/>
    <s v="Art"/>
    <n v="2"/>
    <n v="0"/>
    <n v="1.6896"/>
    <n v="3.52"/>
  </r>
  <r>
    <s v="United States"/>
    <x v="96"/>
    <s v="Second Class"/>
    <s v="Corporate"/>
    <s v="Binders"/>
    <n v="4"/>
    <n v="0"/>
    <n v="11.0016"/>
    <n v="22.92"/>
  </r>
  <r>
    <s v="United States"/>
    <x v="96"/>
    <s v="Second Class"/>
    <s v="Corporate"/>
    <s v="Furnishings"/>
    <n v="8"/>
    <n v="0"/>
    <n v="101.4504"/>
    <n v="247.44"/>
  </r>
  <r>
    <s v="United States"/>
    <x v="96"/>
    <s v="Second Class"/>
    <s v="Corporate"/>
    <s v="Phones"/>
    <n v="9"/>
    <n v="0.2"/>
    <n v="121.96440000000001"/>
    <n v="1626.1920000000002"/>
  </r>
  <r>
    <s v="United States"/>
    <x v="96"/>
    <s v="Second Class"/>
    <s v="Corporate"/>
    <s v="Storage"/>
    <n v="5"/>
    <n v="0"/>
    <n v="16.193999999999988"/>
    <n v="269.89999999999998"/>
  </r>
  <r>
    <s v="United States"/>
    <x v="96"/>
    <s v="Second Class"/>
    <s v="Home Office"/>
    <s v="Paper"/>
    <n v="7"/>
    <n v="0"/>
    <n v="84.943599999999989"/>
    <n v="184.66"/>
  </r>
  <r>
    <s v="United States"/>
    <x v="96"/>
    <s v="Standard Class"/>
    <s v="Consumer"/>
    <s v="Binders"/>
    <n v="2"/>
    <n v="0"/>
    <n v="32.251400000000004"/>
    <n v="68.62"/>
  </r>
  <r>
    <s v="United States"/>
    <x v="96"/>
    <s v="Standard Class"/>
    <s v="Consumer"/>
    <s v="Chairs"/>
    <n v="7"/>
    <n v="0.4"/>
    <n v="-24.294000000000018"/>
    <n v="493.48800000000006"/>
  </r>
  <r>
    <s v="United States"/>
    <x v="96"/>
    <s v="Standard Class"/>
    <s v="Consumer"/>
    <s v="Furnishings"/>
    <n v="9"/>
    <n v="0.2"/>
    <n v="35.908600000000014"/>
    <n v="359.08600000000007"/>
  </r>
  <r>
    <s v="United States"/>
    <x v="96"/>
    <s v="Standard Class"/>
    <s v="Consumer"/>
    <s v="Labels"/>
    <n v="3"/>
    <n v="0.2"/>
    <n v="2.0358000000000001"/>
    <n v="6.2640000000000002"/>
  </r>
  <r>
    <s v="United States"/>
    <x v="96"/>
    <s v="Standard Class"/>
    <s v="Consumer"/>
    <s v="Paper"/>
    <n v="5"/>
    <n v="0.4"/>
    <n v="37.9116"/>
    <n v="105.12"/>
  </r>
  <r>
    <s v="United States"/>
    <x v="96"/>
    <s v="Standard Class"/>
    <s v="Home Office"/>
    <s v="Accessories"/>
    <n v="8"/>
    <n v="0"/>
    <n v="220.13619999999997"/>
    <n v="801.92"/>
  </r>
  <r>
    <s v="United States"/>
    <x v="96"/>
    <s v="Standard Class"/>
    <s v="Home Office"/>
    <s v="Art"/>
    <n v="6"/>
    <n v="0"/>
    <n v="68.363999999999976"/>
    <n v="227.88"/>
  </r>
  <r>
    <s v="United States"/>
    <x v="96"/>
    <s v="Standard Class"/>
    <s v="Home Office"/>
    <s v="Furnishings"/>
    <n v="3"/>
    <n v="0"/>
    <n v="64.518000000000001"/>
    <n v="322.59000000000003"/>
  </r>
  <r>
    <s v="United States"/>
    <x v="96"/>
    <s v="Standard Class"/>
    <s v="Home Office"/>
    <s v="Labels"/>
    <n v="8"/>
    <n v="0"/>
    <n v="11.827199999999999"/>
    <n v="24.64"/>
  </r>
  <r>
    <s v="United States"/>
    <x v="96"/>
    <s v="Standard Class"/>
    <s v="Home Office"/>
    <s v="Phones"/>
    <n v="5"/>
    <n v="0"/>
    <n v="247.48499999999993"/>
    <n v="824.95"/>
  </r>
  <r>
    <s v="United States"/>
    <x v="96"/>
    <s v="Standard Class"/>
    <s v="Home Office"/>
    <s v="Storage"/>
    <n v="5"/>
    <n v="0"/>
    <n v="17.523999999999997"/>
    <n v="67.400000000000006"/>
  </r>
  <r>
    <s v="United States"/>
    <x v="96"/>
    <s v="Standard Class"/>
    <s v="Home Office"/>
    <s v="Supplies"/>
    <n v="3"/>
    <n v="0"/>
    <n v="8.0996999999999986"/>
    <n v="27.93"/>
  </r>
  <r>
    <s v="United States"/>
    <x v="96"/>
    <s v="Standard Class"/>
    <s v="Home Office"/>
    <s v="Tables"/>
    <n v="1"/>
    <n v="0.2"/>
    <n v="2.4897999999999989"/>
    <n v="99.591999999999999"/>
  </r>
  <r>
    <s v="United States"/>
    <x v="97"/>
    <s v="First Class"/>
    <s v="Corporate"/>
    <s v="Storage"/>
    <n v="9"/>
    <n v="0.2"/>
    <n v="6.9794999999999909"/>
    <n v="111.67200000000001"/>
  </r>
  <r>
    <s v="United States"/>
    <x v="98"/>
    <s v="Standard Class"/>
    <s v="Consumer"/>
    <s v="Tables"/>
    <n v="2"/>
    <n v="0"/>
    <n v="45.293999999999983"/>
    <n v="301.95999999999998"/>
  </r>
  <r>
    <s v="United States"/>
    <x v="99"/>
    <s v="Standard Class"/>
    <s v="Consumer"/>
    <s v="Phones"/>
    <n v="3"/>
    <n v="0"/>
    <n v="78.951599999999999"/>
    <n v="281.96999999999997"/>
  </r>
  <r>
    <s v="United States"/>
    <x v="99"/>
    <s v="Standard Class"/>
    <s v="Consumer"/>
    <s v="Storage"/>
    <n v="4"/>
    <n v="0"/>
    <n v="57.501599999999996"/>
    <n v="221.16"/>
  </r>
  <r>
    <s v="United States"/>
    <x v="100"/>
    <s v="First Class"/>
    <s v="Corporate"/>
    <s v="Phones"/>
    <n v="4"/>
    <n v="0.2"/>
    <n v="34.741999999999997"/>
    <n v="95.84"/>
  </r>
  <r>
    <s v="United States"/>
    <x v="100"/>
    <s v="Standard Class"/>
    <s v="Consumer"/>
    <s v="Art"/>
    <n v="12"/>
    <n v="0.4"/>
    <n v="6.956999999999999"/>
    <n v="23.312000000000005"/>
  </r>
  <r>
    <s v="United States"/>
    <x v="100"/>
    <s v="Standard Class"/>
    <s v="Consumer"/>
    <s v="Storage"/>
    <n v="1"/>
    <n v="0.2"/>
    <n v="-0.20980000000000043"/>
    <n v="16.784000000000002"/>
  </r>
  <r>
    <s v="United States"/>
    <x v="101"/>
    <s v="Standard Class"/>
    <s v="Corporate"/>
    <s v="Furnishings"/>
    <n v="3"/>
    <n v="0.2"/>
    <n v="2.6028000000000011"/>
    <n v="11.568000000000001"/>
  </r>
  <r>
    <s v="United States"/>
    <x v="101"/>
    <s v="Standard Class"/>
    <s v="Corporate"/>
    <s v="Phones"/>
    <n v="3"/>
    <n v="0.2"/>
    <n v="19.754999999999999"/>
    <n v="52.679999999999993"/>
  </r>
  <r>
    <s v="United States"/>
    <x v="102"/>
    <s v="First Class"/>
    <s v="Consumer"/>
    <s v="Bookcases"/>
    <n v="3"/>
    <n v="0.2"/>
    <n v="-15.71759999999999"/>
    <n v="314.35199999999998"/>
  </r>
  <r>
    <s v="United States"/>
    <x v="102"/>
    <s v="First Class"/>
    <s v="Consumer"/>
    <s v="Labels"/>
    <n v="2"/>
    <n v="0.2"/>
    <n v="1.4975999999999996"/>
    <n v="4.6079999999999997"/>
  </r>
  <r>
    <s v="United States"/>
    <x v="102"/>
    <s v="Same Day"/>
    <s v="Corporate"/>
    <s v="Furnishings"/>
    <n v="5"/>
    <n v="0.4"/>
    <n v="0.45439999999999303"/>
    <n v="71.679999999999993"/>
  </r>
  <r>
    <s v="United States"/>
    <x v="102"/>
    <s v="Same Day"/>
    <s v="Corporate"/>
    <s v="Paper"/>
    <n v="3"/>
    <n v="0.2"/>
    <n v="5.4432"/>
    <n v="15.552000000000003"/>
  </r>
  <r>
    <s v="United States"/>
    <x v="102"/>
    <s v="Same Day"/>
    <s v="Corporate"/>
    <s v="Storage"/>
    <n v="2"/>
    <n v="0.2"/>
    <n v="2.1588000000000021"/>
    <n v="24.672000000000001"/>
  </r>
  <r>
    <s v="United States"/>
    <x v="102"/>
    <s v="Standard Class"/>
    <s v="Consumer"/>
    <s v="Appliances"/>
    <n v="4"/>
    <n v="0.2"/>
    <n v="24.196000000000012"/>
    <n v="387.13600000000002"/>
  </r>
  <r>
    <s v="United States"/>
    <x v="102"/>
    <s v="Standard Class"/>
    <s v="Corporate"/>
    <s v="Appliances"/>
    <n v="2"/>
    <n v="0.2"/>
    <n v="0.52439999999999998"/>
    <n v="6.9920000000000009"/>
  </r>
  <r>
    <s v="United States"/>
    <x v="103"/>
    <s v="Second Class"/>
    <s v="Corporate"/>
    <s v="Binders"/>
    <n v="2"/>
    <n v="0.8"/>
    <n v="-13.683199999999999"/>
    <n v="8.5519999999999978"/>
  </r>
  <r>
    <s v="United States"/>
    <x v="103"/>
    <s v="Second Class"/>
    <s v="Corporate"/>
    <s v="Fasteners"/>
    <n v="4"/>
    <n v="0.2"/>
    <n v="-1.3607999999999998"/>
    <n v="6.048"/>
  </r>
  <r>
    <s v="United States"/>
    <x v="103"/>
    <s v="Second Class"/>
    <s v="Corporate"/>
    <s v="Furnishings"/>
    <n v="5"/>
    <n v="0.6"/>
    <n v="-6.7230000000000008"/>
    <n v="9.9600000000000009"/>
  </r>
  <r>
    <s v="United States"/>
    <x v="103"/>
    <s v="Second Class"/>
    <s v="Corporate"/>
    <s v="Paper"/>
    <n v="2"/>
    <n v="0.2"/>
    <n v="2.1399999999999992"/>
    <n v="6.8480000000000008"/>
  </r>
  <r>
    <s v="United States"/>
    <x v="103"/>
    <s v="Second Class"/>
    <s v="Home Office"/>
    <s v="Paper"/>
    <n v="3"/>
    <n v="0.2"/>
    <n v="23.234999999999992"/>
    <n v="74.352000000000004"/>
  </r>
  <r>
    <s v="United States"/>
    <x v="103"/>
    <s v="Standard Class"/>
    <s v="Corporate"/>
    <s v="Art"/>
    <n v="7"/>
    <n v="0.2"/>
    <n v="1.4406000000000008"/>
    <n v="16.463999999999999"/>
  </r>
  <r>
    <s v="United States"/>
    <x v="103"/>
    <s v="Standard Class"/>
    <s v="Corporate"/>
    <s v="Furnishings"/>
    <n v="10"/>
    <n v="1.2"/>
    <n v="-48.778999999999996"/>
    <n v="98.320000000000007"/>
  </r>
  <r>
    <s v="United States"/>
    <x v="104"/>
    <s v="Second Class"/>
    <s v="Home Office"/>
    <s v="Accessories"/>
    <n v="3"/>
    <n v="0"/>
    <n v="26.39670000000001"/>
    <n v="239.96999999999997"/>
  </r>
  <r>
    <s v="United States"/>
    <x v="104"/>
    <s v="Second Class"/>
    <s v="Home Office"/>
    <s v="Furnishings"/>
    <n v="3"/>
    <n v="0"/>
    <n v="12.831599999999996"/>
    <n v="37.74"/>
  </r>
  <r>
    <s v="United States"/>
    <x v="104"/>
    <s v="Standard Class"/>
    <s v="Consumer"/>
    <s v="Binders"/>
    <n v="8"/>
    <n v="0.2"/>
    <n v="40.370399999999997"/>
    <n v="119.61600000000001"/>
  </r>
  <r>
    <s v="United States"/>
    <x v="104"/>
    <s v="Standard Class"/>
    <s v="Consumer"/>
    <s v="Chairs"/>
    <n v="2"/>
    <n v="0.2"/>
    <n v="18.11760000000001"/>
    <n v="241.56799999999998"/>
  </r>
  <r>
    <s v="United States"/>
    <x v="104"/>
    <s v="Standard Class"/>
    <s v="Consumer"/>
    <s v="Furnishings"/>
    <n v="18"/>
    <n v="0"/>
    <n v="133.2022"/>
    <n v="446.23999999999995"/>
  </r>
  <r>
    <s v="United States"/>
    <x v="104"/>
    <s v="Standard Class"/>
    <s v="Consumer"/>
    <s v="Paper"/>
    <n v="4"/>
    <n v="0"/>
    <n v="13.32"/>
    <n v="29.6"/>
  </r>
  <r>
    <s v="United States"/>
    <x v="104"/>
    <s v="Standard Class"/>
    <s v="Consumer"/>
    <s v="Phones"/>
    <n v="2"/>
    <n v="0.2"/>
    <n v="19.393200000000007"/>
    <n v="258.57600000000002"/>
  </r>
  <r>
    <s v="United States"/>
    <x v="104"/>
    <s v="Standard Class"/>
    <s v="Consumer"/>
    <s v="Storage"/>
    <n v="2"/>
    <n v="0"/>
    <n v="33.577200000000005"/>
    <n v="124.36"/>
  </r>
  <r>
    <s v="United States"/>
    <x v="105"/>
    <s v="Standard Class"/>
    <s v="Consumer"/>
    <s v="Accessories"/>
    <n v="4"/>
    <n v="0"/>
    <n v="47.92"/>
    <n v="119.8"/>
  </r>
  <r>
    <s v="United States"/>
    <x v="105"/>
    <s v="Standard Class"/>
    <s v="Consumer"/>
    <s v="Storage"/>
    <n v="2"/>
    <n v="0"/>
    <n v="6.8767999999999994"/>
    <n v="24.56"/>
  </r>
  <r>
    <s v="United States"/>
    <x v="106"/>
    <s v="Second Class"/>
    <s v="Corporate"/>
    <s v="Furnishings"/>
    <n v="5"/>
    <n v="0"/>
    <n v="13.132000000000001"/>
    <n v="46.900000000000006"/>
  </r>
  <r>
    <s v="United States"/>
    <x v="106"/>
    <s v="Standard Class"/>
    <s v="Home Office"/>
    <s v="Accessories"/>
    <n v="4"/>
    <n v="0"/>
    <n v="21"/>
    <n v="100"/>
  </r>
  <r>
    <s v="United States"/>
    <x v="106"/>
    <s v="Standard Class"/>
    <s v="Home Office"/>
    <s v="Appliances"/>
    <n v="6"/>
    <n v="0"/>
    <n v="66.326400000000007"/>
    <n v="236.88"/>
  </r>
  <r>
    <s v="United States"/>
    <x v="106"/>
    <s v="Standard Class"/>
    <s v="Home Office"/>
    <s v="Paper"/>
    <n v="5"/>
    <n v="0"/>
    <n v="14.651"/>
    <n v="29.900000000000002"/>
  </r>
  <r>
    <s v="United States"/>
    <x v="107"/>
    <s v="First Class"/>
    <s v="Corporate"/>
    <s v="Appliances"/>
    <n v="1"/>
    <n v="0"/>
    <n v="0.66599999999999993"/>
    <n v="2.2200000000000002"/>
  </r>
  <r>
    <s v="United States"/>
    <x v="107"/>
    <s v="First Class"/>
    <s v="Corporate"/>
    <s v="Furnishings"/>
    <n v="6"/>
    <n v="0"/>
    <n v="65.263199999999998"/>
    <n v="245.68"/>
  </r>
  <r>
    <s v="United States"/>
    <x v="107"/>
    <s v="First Class"/>
    <s v="Corporate"/>
    <s v="Paper"/>
    <n v="8"/>
    <n v="0"/>
    <n v="21.285599999999999"/>
    <n v="43.44"/>
  </r>
  <r>
    <s v="United States"/>
    <x v="107"/>
    <s v="First Class"/>
    <s v="Corporate"/>
    <s v="Storage"/>
    <n v="1"/>
    <n v="0"/>
    <n v="11.117599999999999"/>
    <n v="42.76"/>
  </r>
  <r>
    <s v="United States"/>
    <x v="107"/>
    <s v="First Class"/>
    <s v="Corporate"/>
    <s v="Tables"/>
    <n v="7"/>
    <n v="0.6"/>
    <n v="-141.33599999999996"/>
    <n v="878.64"/>
  </r>
  <r>
    <s v="United States"/>
    <x v="107"/>
    <s v="Second Class"/>
    <s v="Consumer"/>
    <s v="Art"/>
    <n v="5"/>
    <n v="0"/>
    <n v="18.715000000000003"/>
    <n v="49.25"/>
  </r>
  <r>
    <s v="United States"/>
    <x v="107"/>
    <s v="Second Class"/>
    <s v="Consumer"/>
    <s v="Binders"/>
    <n v="2"/>
    <n v="0"/>
    <n v="15.676799999999997"/>
    <n v="34.08"/>
  </r>
  <r>
    <s v="United States"/>
    <x v="107"/>
    <s v="Second Class"/>
    <s v="Consumer"/>
    <s v="Chairs"/>
    <n v="5"/>
    <n v="0"/>
    <n v="481.46999999999991"/>
    <n v="1604.9"/>
  </r>
  <r>
    <s v="United States"/>
    <x v="107"/>
    <s v="Second Class"/>
    <s v="Consumer"/>
    <s v="Furnishings"/>
    <n v="5"/>
    <n v="0"/>
    <n v="12.055199999999999"/>
    <n v="32.43"/>
  </r>
  <r>
    <s v="United States"/>
    <x v="107"/>
    <s v="Second Class"/>
    <s v="Consumer"/>
    <s v="Paper"/>
    <n v="2"/>
    <n v="0"/>
    <n v="4.7751999999999999"/>
    <n v="10.16"/>
  </r>
  <r>
    <s v="United States"/>
    <x v="107"/>
    <s v="Second Class"/>
    <s v="Consumer"/>
    <s v="Tables"/>
    <n v="1"/>
    <n v="0.3"/>
    <n v="-60.607800000000026"/>
    <n v="385.68599999999998"/>
  </r>
  <r>
    <s v="United States"/>
    <x v="107"/>
    <s v="Second Class"/>
    <s v="Home Office"/>
    <s v="Storage"/>
    <n v="6"/>
    <n v="0"/>
    <n v="160.03979999999999"/>
    <n v="592.74"/>
  </r>
  <r>
    <s v="United States"/>
    <x v="107"/>
    <s v="Standard Class"/>
    <s v="Consumer"/>
    <s v="Binders"/>
    <n v="3"/>
    <n v="0"/>
    <n v="48.377100000000006"/>
    <n v="102.93"/>
  </r>
  <r>
    <s v="United States"/>
    <x v="108"/>
    <s v="Second Class"/>
    <s v="Consumer"/>
    <s v="Binders"/>
    <n v="3"/>
    <n v="0.7"/>
    <n v="-1.4760000000000004"/>
    <n v="2.2140000000000004"/>
  </r>
  <r>
    <s v="United States"/>
    <x v="108"/>
    <s v="Standard Class"/>
    <s v="Consumer"/>
    <s v="Binders"/>
    <n v="4"/>
    <n v="0.7"/>
    <n v="-12.352"/>
    <n v="18.528000000000002"/>
  </r>
  <r>
    <s v="United States"/>
    <x v="108"/>
    <s v="Standard Class"/>
    <s v="Corporate"/>
    <s v="Furnishings"/>
    <n v="6"/>
    <n v="0.2"/>
    <n v="1.2527999999999997"/>
    <n v="8.3520000000000003"/>
  </r>
  <r>
    <s v="United States"/>
    <x v="109"/>
    <s v="First Class"/>
    <s v="Consumer"/>
    <s v="Accessories"/>
    <n v="3"/>
    <n v="0.2"/>
    <n v="-13.437900000000006"/>
    <n v="119.44800000000001"/>
  </r>
  <r>
    <s v="United States"/>
    <x v="109"/>
    <s v="First Class"/>
    <s v="Consumer"/>
    <s v="Appliances"/>
    <n v="2"/>
    <n v="0.8"/>
    <n v="-54.549600000000012"/>
    <n v="21.391999999999992"/>
  </r>
  <r>
    <s v="United States"/>
    <x v="109"/>
    <s v="First Class"/>
    <s v="Consumer"/>
    <s v="Art"/>
    <n v="3"/>
    <n v="0.4"/>
    <n v="4.876000000000003"/>
    <n v="50.991999999999997"/>
  </r>
  <r>
    <s v="United States"/>
    <x v="109"/>
    <s v="First Class"/>
    <s v="Consumer"/>
    <s v="Binders"/>
    <n v="21"/>
    <n v="2.4000000000000004"/>
    <n v="-90.852600000000024"/>
    <n v="54.123999999999995"/>
  </r>
  <r>
    <s v="United States"/>
    <x v="109"/>
    <s v="First Class"/>
    <s v="Consumer"/>
    <s v="Bookcases"/>
    <n v="5"/>
    <n v="0.64"/>
    <n v="-149.3612"/>
    <n v="566.37199999999996"/>
  </r>
  <r>
    <s v="United States"/>
    <x v="109"/>
    <s v="First Class"/>
    <s v="Consumer"/>
    <s v="Phones"/>
    <n v="2"/>
    <n v="0.2"/>
    <n v="12.314399999999999"/>
    <n v="35.183999999999997"/>
  </r>
  <r>
    <s v="United States"/>
    <x v="109"/>
    <s v="First Class"/>
    <s v="Consumer"/>
    <s v="Storage"/>
    <n v="4"/>
    <n v="0.4"/>
    <n v="-5.2849999999999895"/>
    <n v="382.48"/>
  </r>
  <r>
    <s v="United States"/>
    <x v="109"/>
    <s v="First Class"/>
    <s v="Consumer"/>
    <s v="Tables"/>
    <n v="3"/>
    <n v="0.3"/>
    <n v="-39.511800000000036"/>
    <n v="307.31400000000002"/>
  </r>
  <r>
    <s v="United States"/>
    <x v="109"/>
    <s v="First Class"/>
    <s v="Corporate"/>
    <s v="Accessories"/>
    <n v="2"/>
    <n v="0.2"/>
    <n v="-1.4994000000000067"/>
    <n v="39.984000000000002"/>
  </r>
  <r>
    <s v="United States"/>
    <x v="109"/>
    <s v="First Class"/>
    <s v="Corporate"/>
    <s v="Binders"/>
    <n v="2"/>
    <n v="0.8"/>
    <n v="-9.1560000000000006"/>
    <n v="6.1039999999999983"/>
  </r>
  <r>
    <s v="United States"/>
    <x v="109"/>
    <s v="First Class"/>
    <s v="Corporate"/>
    <s v="Labels"/>
    <n v="4"/>
    <n v="0.2"/>
    <n v="5.6955999999999989"/>
    <n v="15.712000000000002"/>
  </r>
  <r>
    <s v="United States"/>
    <x v="109"/>
    <s v="First Class"/>
    <s v="Corporate"/>
    <s v="Paper"/>
    <n v="9"/>
    <n v="0.4"/>
    <n v="42.064799999999998"/>
    <n v="114.59200000000001"/>
  </r>
  <r>
    <s v="United States"/>
    <x v="109"/>
    <s v="First Class"/>
    <s v="Corporate"/>
    <s v="Phones"/>
    <n v="3"/>
    <n v="0.2"/>
    <n v="41.577299999999951"/>
    <n v="369.57600000000002"/>
  </r>
  <r>
    <s v="United States"/>
    <x v="109"/>
    <s v="First Class"/>
    <s v="Corporate"/>
    <s v="Storage"/>
    <n v="5"/>
    <n v="0.2"/>
    <n v="54.056999999999988"/>
    <n v="720.7600000000001"/>
  </r>
  <r>
    <s v="United States"/>
    <x v="109"/>
    <s v="First Class"/>
    <s v="Corporate"/>
    <s v="Tables"/>
    <n v="1"/>
    <n v="0.3"/>
    <n v="-31.033499999999989"/>
    <n v="127.785"/>
  </r>
  <r>
    <s v="United States"/>
    <x v="109"/>
    <s v="First Class"/>
    <s v="Home Office"/>
    <s v="Envelopes"/>
    <n v="4"/>
    <n v="0.2"/>
    <n v="35.889999999999986"/>
    <n v="114.84800000000001"/>
  </r>
  <r>
    <s v="United States"/>
    <x v="109"/>
    <s v="First Class"/>
    <s v="Home Office"/>
    <s v="Tables"/>
    <n v="6"/>
    <n v="0.3"/>
    <n v="-4.2588000000000363"/>
    <n v="298.11599999999999"/>
  </r>
  <r>
    <s v="United States"/>
    <x v="109"/>
    <s v="Same Day"/>
    <s v="Consumer"/>
    <s v="Art"/>
    <n v="2"/>
    <n v="0.2"/>
    <n v="0.3335999999999999"/>
    <n v="4.4479999999999995"/>
  </r>
  <r>
    <s v="United States"/>
    <x v="109"/>
    <s v="Same Day"/>
    <s v="Consumer"/>
    <s v="Furnishings"/>
    <n v="8"/>
    <n v="1.2"/>
    <n v="-103.74840000000002"/>
    <n v="147.56800000000001"/>
  </r>
  <r>
    <s v="United States"/>
    <x v="109"/>
    <s v="Same Day"/>
    <s v="Consumer"/>
    <s v="Paper"/>
    <n v="5"/>
    <n v="0.60000000000000009"/>
    <n v="9.1928000000000001"/>
    <n v="26.080000000000005"/>
  </r>
  <r>
    <s v="United States"/>
    <x v="109"/>
    <s v="Same Day"/>
    <s v="Consumer"/>
    <s v="Storage"/>
    <n v="6"/>
    <n v="0.2"/>
    <n v="4.0643999999999973"/>
    <n v="54.192"/>
  </r>
  <r>
    <s v="United States"/>
    <x v="109"/>
    <s v="Same Day"/>
    <s v="Consumer"/>
    <s v="Tables"/>
    <n v="2"/>
    <n v="0.3"/>
    <n v="-68.130199999999988"/>
    <n v="251.00599999999997"/>
  </r>
  <r>
    <s v="United States"/>
    <x v="109"/>
    <s v="Same Day"/>
    <s v="Home Office"/>
    <s v="Paper"/>
    <n v="3"/>
    <n v="0.2"/>
    <n v="3.2099999999999982"/>
    <n v="10.272000000000002"/>
  </r>
  <r>
    <s v="United States"/>
    <x v="109"/>
    <s v="Second Class"/>
    <s v="Consumer"/>
    <s v="Accessories"/>
    <n v="13"/>
    <n v="0.8"/>
    <n v="78.155699999999939"/>
    <n v="806.5440000000001"/>
  </r>
  <r>
    <s v="United States"/>
    <x v="109"/>
    <s v="Second Class"/>
    <s v="Consumer"/>
    <s v="Appliances"/>
    <n v="2"/>
    <n v="0.8"/>
    <n v="-178.96680000000001"/>
    <n v="66.283999999999992"/>
  </r>
  <r>
    <s v="United States"/>
    <x v="109"/>
    <s v="Second Class"/>
    <s v="Consumer"/>
    <s v="Art"/>
    <n v="6"/>
    <n v="0.4"/>
    <n v="2.3732999999999982"/>
    <n v="21.095999999999997"/>
  </r>
  <r>
    <s v="United States"/>
    <x v="109"/>
    <s v="Second Class"/>
    <s v="Consumer"/>
    <s v="Binders"/>
    <n v="1"/>
    <n v="0.8"/>
    <n v="-2.8380000000000001"/>
    <n v="1.7199999999999995"/>
  </r>
  <r>
    <s v="United States"/>
    <x v="109"/>
    <s v="Second Class"/>
    <s v="Consumer"/>
    <s v="Bookcases"/>
    <n v="10"/>
    <n v="0.64"/>
    <n v="-443.56000000000023"/>
    <n v="1557.0639999999999"/>
  </r>
  <r>
    <s v="United States"/>
    <x v="109"/>
    <s v="Second Class"/>
    <s v="Consumer"/>
    <s v="Fasteners"/>
    <n v="7"/>
    <n v="0.4"/>
    <n v="4.4983999999999993"/>
    <n v="15.512"/>
  </r>
  <r>
    <s v="United States"/>
    <x v="109"/>
    <s v="Second Class"/>
    <s v="Consumer"/>
    <s v="Furnishings"/>
    <n v="5"/>
    <n v="0.6"/>
    <n v="-19.863999999999997"/>
    <n v="30.560000000000002"/>
  </r>
  <r>
    <s v="United States"/>
    <x v="109"/>
    <s v="Second Class"/>
    <s v="Consumer"/>
    <s v="Paper"/>
    <n v="12"/>
    <n v="1"/>
    <n v="49.79679999999999"/>
    <n v="154.68800000000002"/>
  </r>
  <r>
    <s v="United States"/>
    <x v="109"/>
    <s v="Second Class"/>
    <s v="Consumer"/>
    <s v="Storage"/>
    <n v="5"/>
    <n v="0.2"/>
    <n v="3.6679999999999993"/>
    <n v="41.92"/>
  </r>
  <r>
    <s v="United States"/>
    <x v="109"/>
    <s v="Second Class"/>
    <s v="Corporate"/>
    <s v="Accessories"/>
    <n v="4"/>
    <n v="0.4"/>
    <n v="23.294600000000003"/>
    <n v="79.215999999999994"/>
  </r>
  <r>
    <s v="United States"/>
    <x v="109"/>
    <s v="Second Class"/>
    <s v="Corporate"/>
    <s v="Paper"/>
    <n v="3"/>
    <n v="0.2"/>
    <n v="28.706399999999991"/>
    <n v="85.055999999999997"/>
  </r>
  <r>
    <s v="United States"/>
    <x v="109"/>
    <s v="Second Class"/>
    <s v="Corporate"/>
    <s v="Phones"/>
    <n v="7"/>
    <n v="0.4"/>
    <n v="84.054599999999937"/>
    <n v="874.34400000000005"/>
  </r>
  <r>
    <s v="United States"/>
    <x v="109"/>
    <s v="Second Class"/>
    <s v="Corporate"/>
    <s v="Supplies"/>
    <n v="3"/>
    <n v="0.2"/>
    <n v="2.0789999999999997"/>
    <n v="23.76"/>
  </r>
  <r>
    <s v="United States"/>
    <x v="109"/>
    <s v="Second Class"/>
    <s v="Home Office"/>
    <s v="Furnishings"/>
    <n v="4"/>
    <n v="0.6"/>
    <n v="-12.006399999999999"/>
    <n v="15.008000000000003"/>
  </r>
  <r>
    <s v="United States"/>
    <x v="109"/>
    <s v="Standard Class"/>
    <s v="Consumer"/>
    <s v="Accessories"/>
    <n v="10"/>
    <n v="0.4"/>
    <n v="1.1725999999999921"/>
    <n v="98.096000000000004"/>
  </r>
  <r>
    <s v="United States"/>
    <x v="109"/>
    <s v="Standard Class"/>
    <s v="Consumer"/>
    <s v="Appliances"/>
    <n v="4"/>
    <n v="1.6"/>
    <n v="-94.410000000000011"/>
    <n v="40.151999999999987"/>
  </r>
  <r>
    <s v="United States"/>
    <x v="109"/>
    <s v="Standard Class"/>
    <s v="Consumer"/>
    <s v="Art"/>
    <n v="13"/>
    <n v="0.8"/>
    <n v="31.04819999999998"/>
    <n v="273.30399999999997"/>
  </r>
  <r>
    <s v="United States"/>
    <x v="109"/>
    <s v="Standard Class"/>
    <s v="Consumer"/>
    <s v="Binders"/>
    <n v="32"/>
    <n v="5.6"/>
    <n v="-179.38119999999998"/>
    <n v="114.72199999999997"/>
  </r>
  <r>
    <s v="United States"/>
    <x v="109"/>
    <s v="Standard Class"/>
    <s v="Consumer"/>
    <s v="Fasteners"/>
    <n v="7"/>
    <n v="0.4"/>
    <n v="-2.8992000000000004"/>
    <n v="19.416"/>
  </r>
  <r>
    <s v="United States"/>
    <x v="109"/>
    <s v="Standard Class"/>
    <s v="Consumer"/>
    <s v="Furnishings"/>
    <n v="13"/>
    <n v="1.7999999999999998"/>
    <n v="-142.53960000000004"/>
    <n v="184.63600000000002"/>
  </r>
  <r>
    <s v="United States"/>
    <x v="109"/>
    <s v="Standard Class"/>
    <s v="Consumer"/>
    <s v="Labels"/>
    <n v="4"/>
    <n v="0.4"/>
    <n v="3.4495999999999993"/>
    <n v="9.8560000000000016"/>
  </r>
  <r>
    <s v="United States"/>
    <x v="109"/>
    <s v="Standard Class"/>
    <s v="Consumer"/>
    <s v="Paper"/>
    <n v="10"/>
    <n v="0.60000000000000009"/>
    <n v="12.566799999999997"/>
    <n v="35.032000000000004"/>
  </r>
  <r>
    <s v="United States"/>
    <x v="109"/>
    <s v="Standard Class"/>
    <s v="Consumer"/>
    <s v="Phones"/>
    <n v="11"/>
    <n v="0.4"/>
    <n v="68.912400000000005"/>
    <n v="853.51200000000017"/>
  </r>
  <r>
    <s v="United States"/>
    <x v="109"/>
    <s v="Standard Class"/>
    <s v="Consumer"/>
    <s v="Storage"/>
    <n v="13"/>
    <n v="1"/>
    <n v="-32.490099999999998"/>
    <n v="1023.936"/>
  </r>
  <r>
    <s v="United States"/>
    <x v="109"/>
    <s v="Standard Class"/>
    <s v="Consumer"/>
    <s v="Supplies"/>
    <n v="17"/>
    <n v="0.8"/>
    <n v="1.1245999999999841"/>
    <n v="162.56"/>
  </r>
  <r>
    <s v="United States"/>
    <x v="109"/>
    <s v="Standard Class"/>
    <s v="Consumer"/>
    <s v="Tables"/>
    <n v="4"/>
    <n v="0.3"/>
    <n v="-173.34719999999999"/>
    <n v="933.40800000000002"/>
  </r>
  <r>
    <s v="United States"/>
    <x v="109"/>
    <s v="Standard Class"/>
    <s v="Corporate"/>
    <s v="Appliances"/>
    <n v="5"/>
    <n v="1.6"/>
    <n v="-134.55920000000003"/>
    <n v="53.623999999999988"/>
  </r>
  <r>
    <s v="United States"/>
    <x v="109"/>
    <s v="Standard Class"/>
    <s v="Corporate"/>
    <s v="Art"/>
    <n v="2"/>
    <n v="0.2"/>
    <n v="6.1572000000000031"/>
    <n v="70.367999999999995"/>
  </r>
  <r>
    <s v="United States"/>
    <x v="109"/>
    <s v="Standard Class"/>
    <s v="Corporate"/>
    <s v="Binders"/>
    <n v="26"/>
    <n v="5.6"/>
    <n v="-1196.9652000000001"/>
    <n v="795.28199999999981"/>
  </r>
  <r>
    <s v="United States"/>
    <x v="109"/>
    <s v="Standard Class"/>
    <s v="Corporate"/>
    <s v="Bookcases"/>
    <n v="3"/>
    <n v="0.32"/>
    <n v="-27.264600000000016"/>
    <n v="205.99919999999997"/>
  </r>
  <r>
    <s v="United States"/>
    <x v="109"/>
    <s v="Standard Class"/>
    <s v="Corporate"/>
    <s v="Chairs"/>
    <n v="5"/>
    <n v="0.3"/>
    <n v="-93.989999999999952"/>
    <n v="657.93"/>
  </r>
  <r>
    <s v="United States"/>
    <x v="109"/>
    <s v="Standard Class"/>
    <s v="Corporate"/>
    <s v="Envelopes"/>
    <n v="11"/>
    <n v="0.8"/>
    <n v="86.174099999999981"/>
    <n v="254.74400000000003"/>
  </r>
  <r>
    <s v="United States"/>
    <x v="109"/>
    <s v="Standard Class"/>
    <s v="Corporate"/>
    <s v="Furnishings"/>
    <n v="17"/>
    <n v="1.7999999999999998"/>
    <n v="-431.02890000000002"/>
    <n v="419.56799999999998"/>
  </r>
  <r>
    <s v="United States"/>
    <x v="109"/>
    <s v="Standard Class"/>
    <s v="Corporate"/>
    <s v="Machines"/>
    <n v="2"/>
    <n v="0.4"/>
    <n v="55.998599999999954"/>
    <n v="479.988"/>
  </r>
  <r>
    <s v="United States"/>
    <x v="109"/>
    <s v="Standard Class"/>
    <s v="Corporate"/>
    <s v="Paper"/>
    <n v="31"/>
    <n v="1.5999999999999999"/>
    <n v="77.211000000000013"/>
    <n v="213.648"/>
  </r>
  <r>
    <s v="United States"/>
    <x v="109"/>
    <s v="Standard Class"/>
    <s v="Corporate"/>
    <s v="Phones"/>
    <n v="17"/>
    <n v="0.8"/>
    <n v="158.05819999999994"/>
    <n v="1757.4639999999999"/>
  </r>
  <r>
    <s v="United States"/>
    <x v="109"/>
    <s v="Standard Class"/>
    <s v="Corporate"/>
    <s v="Storage"/>
    <n v="22"/>
    <n v="0.8"/>
    <n v="14.855400000000007"/>
    <n v="215.71199999999999"/>
  </r>
  <r>
    <s v="United States"/>
    <x v="109"/>
    <s v="Standard Class"/>
    <s v="Corporate"/>
    <s v="Supplies"/>
    <n v="7"/>
    <n v="0.4"/>
    <n v="-6.2911999999999999"/>
    <n v="30.015999999999998"/>
  </r>
  <r>
    <s v="United States"/>
    <x v="109"/>
    <s v="Standard Class"/>
    <s v="Corporate"/>
    <s v="Tables"/>
    <n v="1"/>
    <n v="0.3"/>
    <n v="-16.261300000000006"/>
    <n v="103.48100000000001"/>
  </r>
  <r>
    <s v="United States"/>
    <x v="109"/>
    <s v="Standard Class"/>
    <s v="Home Office"/>
    <s v="Accessories"/>
    <n v="10"/>
    <n v="0.60000000000000009"/>
    <n v="136.50869999999995"/>
    <n v="864.62399999999991"/>
  </r>
  <r>
    <s v="United States"/>
    <x v="109"/>
    <s v="Standard Class"/>
    <s v="Home Office"/>
    <s v="Art"/>
    <n v="2"/>
    <n v="0.2"/>
    <n v="0.59039999999999915"/>
    <n v="5.2480000000000002"/>
  </r>
  <r>
    <s v="United States"/>
    <x v="109"/>
    <s v="Standard Class"/>
    <s v="Home Office"/>
    <s v="Binders"/>
    <n v="29"/>
    <n v="4"/>
    <n v="-87.517200000000031"/>
    <n v="56.05599999999999"/>
  </r>
  <r>
    <s v="United States"/>
    <x v="109"/>
    <s v="Standard Class"/>
    <s v="Home Office"/>
    <s v="Chairs"/>
    <n v="2"/>
    <n v="0.3"/>
    <n v="-140.19599999999997"/>
    <n v="981.37199999999996"/>
  </r>
  <r>
    <s v="United States"/>
    <x v="109"/>
    <s v="Standard Class"/>
    <s v="Home Office"/>
    <s v="Envelopes"/>
    <n v="6"/>
    <n v="0.60000000000000009"/>
    <n v="55.498999999999995"/>
    <n v="163.04000000000002"/>
  </r>
  <r>
    <s v="United States"/>
    <x v="109"/>
    <s v="Standard Class"/>
    <s v="Home Office"/>
    <s v="Furnishings"/>
    <n v="11"/>
    <n v="1.7999999999999998"/>
    <n v="-42.1098"/>
    <n v="62.195999999999998"/>
  </r>
  <r>
    <s v="United States"/>
    <x v="109"/>
    <s v="Standard Class"/>
    <s v="Home Office"/>
    <s v="Paper"/>
    <n v="2"/>
    <n v="0.2"/>
    <n v="3.7584"/>
    <n v="10.368000000000002"/>
  </r>
  <r>
    <s v="United States"/>
    <x v="109"/>
    <s v="Standard Class"/>
    <s v="Home Office"/>
    <s v="Phones"/>
    <n v="8"/>
    <n v="0.4"/>
    <n v="36.214800000000025"/>
    <n v="437.536"/>
  </r>
  <r>
    <s v="United States"/>
    <x v="109"/>
    <s v="Standard Class"/>
    <s v="Home Office"/>
    <s v="Storage"/>
    <n v="8"/>
    <n v="0.60000000000000009"/>
    <n v="28.543399999999952"/>
    <n v="476.43200000000002"/>
  </r>
  <r>
    <s v="United States"/>
    <x v="109"/>
    <s v="Standard Class"/>
    <s v="Home Office"/>
    <s v="Tables"/>
    <n v="3"/>
    <n v="0.3"/>
    <n v="-84.961500000000029"/>
    <n v="457.4849999999999"/>
  </r>
  <r>
    <s v="United States"/>
    <x v="110"/>
    <s v="Standard Class"/>
    <s v="Home Office"/>
    <s v="Furnishings"/>
    <n v="2"/>
    <n v="0"/>
    <n v="9.8856000000000002"/>
    <n v="27.46"/>
  </r>
  <r>
    <s v="United States"/>
    <x v="111"/>
    <s v="Second Class"/>
    <s v="Home Office"/>
    <s v="Art"/>
    <n v="5"/>
    <n v="0"/>
    <n v="4.2240000000000002"/>
    <n v="8.8000000000000007"/>
  </r>
  <r>
    <s v="United States"/>
    <x v="111"/>
    <s v="Second Class"/>
    <s v="Home Office"/>
    <s v="Binders"/>
    <n v="6"/>
    <n v="0.2"/>
    <n v="206.62319999999997"/>
    <n v="590.35199999999998"/>
  </r>
  <r>
    <s v="United States"/>
    <x v="111"/>
    <s v="Second Class"/>
    <s v="Home Office"/>
    <s v="Envelopes"/>
    <n v="7"/>
    <n v="0"/>
    <n v="38.29"/>
    <n v="76.58"/>
  </r>
  <r>
    <s v="United States"/>
    <x v="111"/>
    <s v="Second Class"/>
    <s v="Home Office"/>
    <s v="Fasteners"/>
    <n v="3"/>
    <n v="0"/>
    <n v="0.16740000000000022"/>
    <n v="5.58"/>
  </r>
  <r>
    <s v="United States"/>
    <x v="111"/>
    <s v="Second Class"/>
    <s v="Home Office"/>
    <s v="Furnishings"/>
    <n v="3"/>
    <n v="0"/>
    <n v="10.508400000000002"/>
    <n v="25.02"/>
  </r>
  <r>
    <s v="United States"/>
    <x v="111"/>
    <s v="Second Class"/>
    <s v="Home Office"/>
    <s v="Storage"/>
    <n v="7"/>
    <n v="0"/>
    <n v="22.627499999999962"/>
    <n v="452.55000000000007"/>
  </r>
  <r>
    <s v="United States"/>
    <x v="111"/>
    <s v="Standard Class"/>
    <s v="Home Office"/>
    <s v="Binders"/>
    <n v="7"/>
    <n v="0.8"/>
    <n v="-69.395200000000031"/>
    <n v="43.371999999999993"/>
  </r>
  <r>
    <s v="United States"/>
    <x v="112"/>
    <s v="Standard Class"/>
    <s v="Consumer"/>
    <s v="Paper"/>
    <n v="5"/>
    <n v="0"/>
    <n v="15.552000000000001"/>
    <n v="32.400000000000006"/>
  </r>
  <r>
    <s v="United States"/>
    <x v="113"/>
    <s v="Standard Class"/>
    <s v="Consumer"/>
    <s v="Accessories"/>
    <n v="6"/>
    <n v="0.2"/>
    <n v="14.628000000000005"/>
    <n v="50.88"/>
  </r>
  <r>
    <s v="United States"/>
    <x v="113"/>
    <s v="Standard Class"/>
    <s v="Consumer"/>
    <s v="Art"/>
    <n v="1"/>
    <n v="0.2"/>
    <n v="0.42639999999999978"/>
    <n v="2.6240000000000001"/>
  </r>
  <r>
    <s v="United States"/>
    <x v="113"/>
    <s v="Standard Class"/>
    <s v="Consumer"/>
    <s v="Envelopes"/>
    <n v="2"/>
    <n v="0.2"/>
    <n v="9.2178000000000004"/>
    <n v="27.312000000000001"/>
  </r>
  <r>
    <s v="United States"/>
    <x v="113"/>
    <s v="Standard Class"/>
    <s v="Consumer"/>
    <s v="Tables"/>
    <n v="1"/>
    <n v="0.45"/>
    <n v="-76.606200000000001"/>
    <n v="191.5155"/>
  </r>
  <r>
    <s v="United States"/>
    <x v="114"/>
    <s v="Standard Class"/>
    <s v="Corporate"/>
    <s v="Appliances"/>
    <n v="5"/>
    <n v="0.1"/>
    <n v="178.90100000000001"/>
    <n v="555.21"/>
  </r>
  <r>
    <s v="United States"/>
    <x v="114"/>
    <s v="Standard Class"/>
    <s v="Corporate"/>
    <s v="Art"/>
    <n v="9"/>
    <n v="0"/>
    <n v="46.927799999999984"/>
    <n v="161.82"/>
  </r>
  <r>
    <s v="United States"/>
    <x v="114"/>
    <s v="Standard Class"/>
    <s v="Corporate"/>
    <s v="Chairs"/>
    <n v="2"/>
    <n v="0"/>
    <n v="87.568399999999968"/>
    <n v="301.95999999999998"/>
  </r>
  <r>
    <s v="United States"/>
    <x v="114"/>
    <s v="Standard Class"/>
    <s v="Corporate"/>
    <s v="Furnishings"/>
    <n v="3"/>
    <n v="0"/>
    <n v="23.119199999999999"/>
    <n v="60.84"/>
  </r>
  <r>
    <s v="United States"/>
    <x v="114"/>
    <s v="Standard Class"/>
    <s v="Corporate"/>
    <s v="Storage"/>
    <n v="4"/>
    <n v="0"/>
    <n v="130.87"/>
    <n v="523.48"/>
  </r>
  <r>
    <s v="United States"/>
    <x v="115"/>
    <s v="Second Class"/>
    <s v="Consumer"/>
    <s v="Art"/>
    <n v="5"/>
    <n v="0"/>
    <n v="12.059699999999999"/>
    <n v="40.590000000000003"/>
  </r>
  <r>
    <s v="United States"/>
    <x v="115"/>
    <s v="Second Class"/>
    <s v="Consumer"/>
    <s v="Binders"/>
    <n v="5"/>
    <n v="0"/>
    <n v="18.089999999999996"/>
    <n v="40.199999999999996"/>
  </r>
  <r>
    <s v="United States"/>
    <x v="115"/>
    <s v="Second Class"/>
    <s v="Consumer"/>
    <s v="Storage"/>
    <n v="6"/>
    <n v="0"/>
    <n v="20.694600000000008"/>
    <n v="689.81999999999994"/>
  </r>
  <r>
    <s v="United States"/>
    <x v="115"/>
    <s v="Standard Class"/>
    <s v="Consumer"/>
    <s v="Accessories"/>
    <n v="2"/>
    <n v="0"/>
    <n v="42.991400000000006"/>
    <n v="99.98"/>
  </r>
  <r>
    <s v="United States"/>
    <x v="115"/>
    <s v="Standard Class"/>
    <s v="Consumer"/>
    <s v="Chairs"/>
    <n v="1"/>
    <n v="0"/>
    <n v="47.0548"/>
    <n v="180.98"/>
  </r>
  <r>
    <s v="United States"/>
    <x v="116"/>
    <s v="First Class"/>
    <s v="Consumer"/>
    <s v="Furnishings"/>
    <n v="7"/>
    <n v="0.6"/>
    <n v="-40.003599999999999"/>
    <n v="61.543999999999997"/>
  </r>
  <r>
    <s v="United States"/>
    <x v="116"/>
    <s v="First Class"/>
    <s v="Consumer"/>
    <s v="Labels"/>
    <n v="4"/>
    <n v="0.2"/>
    <n v="5.1791999999999998"/>
    <n v="15.936000000000002"/>
  </r>
  <r>
    <s v="United States"/>
    <x v="116"/>
    <s v="First Class"/>
    <s v="Consumer"/>
    <s v="Storage"/>
    <n v="3"/>
    <n v="0.2"/>
    <n v="9.9521999999999977"/>
    <n v="132.696"/>
  </r>
  <r>
    <s v="United States"/>
    <x v="116"/>
    <s v="First Class"/>
    <s v="Corporate"/>
    <s v="Appliances"/>
    <n v="1"/>
    <n v="0"/>
    <n v="56.20320000000001"/>
    <n v="208.16"/>
  </r>
  <r>
    <s v="United States"/>
    <x v="116"/>
    <s v="First Class"/>
    <s v="Corporate"/>
    <s v="Binders"/>
    <n v="3"/>
    <n v="0"/>
    <n v="8.0351999999999997"/>
    <n v="16.740000000000002"/>
  </r>
  <r>
    <s v="United States"/>
    <x v="116"/>
    <s v="First Class"/>
    <s v="Corporate"/>
    <s v="Storage"/>
    <n v="8"/>
    <n v="0.4"/>
    <n v="7.6296000000000035"/>
    <n v="101.72800000000001"/>
  </r>
  <r>
    <s v="United States"/>
    <x v="116"/>
    <s v="Second Class"/>
    <s v="Consumer"/>
    <s v="Accessories"/>
    <n v="6"/>
    <n v="0.2"/>
    <n v="89.990999999999985"/>
    <n v="479.952"/>
  </r>
  <r>
    <s v="United States"/>
    <x v="116"/>
    <s v="Second Class"/>
    <s v="Corporate"/>
    <s v="Accessories"/>
    <n v="7"/>
    <n v="0.2"/>
    <n v="76.639499999999984"/>
    <n v="408.74399999999997"/>
  </r>
  <r>
    <s v="United States"/>
    <x v="116"/>
    <s v="Second Class"/>
    <s v="Corporate"/>
    <s v="Storage"/>
    <n v="2"/>
    <n v="0.2"/>
    <n v="1.8612000000000002"/>
    <n v="24.816000000000003"/>
  </r>
  <r>
    <s v="United States"/>
    <x v="116"/>
    <s v="Standard Class"/>
    <s v="Consumer"/>
    <s v="Accessories"/>
    <n v="8"/>
    <n v="0"/>
    <n v="23.99199999999999"/>
    <n v="239.92"/>
  </r>
  <r>
    <s v="United States"/>
    <x v="116"/>
    <s v="Standard Class"/>
    <s v="Consumer"/>
    <s v="Art"/>
    <n v="6"/>
    <n v="0.2"/>
    <n v="3.5039999999999996"/>
    <n v="28.031999999999996"/>
  </r>
  <r>
    <s v="United States"/>
    <x v="116"/>
    <s v="Standard Class"/>
    <s v="Consumer"/>
    <s v="Chairs"/>
    <n v="11"/>
    <n v="1.2"/>
    <n v="-143.97540000000015"/>
    <n v="1576.491"/>
  </r>
  <r>
    <s v="United States"/>
    <x v="116"/>
    <s v="Standard Class"/>
    <s v="Consumer"/>
    <s v="Envelopes"/>
    <n v="2"/>
    <n v="0.2"/>
    <n v="3.3479999999999999"/>
    <n v="8.9280000000000008"/>
  </r>
  <r>
    <s v="United States"/>
    <x v="116"/>
    <s v="Standard Class"/>
    <s v="Consumer"/>
    <s v="Fasteners"/>
    <n v="2"/>
    <n v="0.2"/>
    <n v="6.1991999999999994"/>
    <n v="18.368000000000002"/>
  </r>
  <r>
    <s v="United States"/>
    <x v="116"/>
    <s v="Standard Class"/>
    <s v="Consumer"/>
    <s v="Furnishings"/>
    <n v="4"/>
    <n v="1.2"/>
    <n v="-16.479299999999995"/>
    <n v="39.756"/>
  </r>
  <r>
    <s v="United States"/>
    <x v="116"/>
    <s v="Standard Class"/>
    <s v="Consumer"/>
    <s v="Labels"/>
    <n v="3"/>
    <n v="0"/>
    <n v="6.8723999999999998"/>
    <n v="14.940000000000001"/>
  </r>
  <r>
    <s v="United States"/>
    <x v="116"/>
    <s v="Standard Class"/>
    <s v="Consumer"/>
    <s v="Paper"/>
    <n v="6"/>
    <n v="0.4"/>
    <n v="10.333600000000001"/>
    <n v="28.864000000000004"/>
  </r>
  <r>
    <s v="United States"/>
    <x v="116"/>
    <s v="Standard Class"/>
    <s v="Consumer"/>
    <s v="Phones"/>
    <n v="3"/>
    <n v="0"/>
    <n v="46.581000000000003"/>
    <n v="180.93"/>
  </r>
  <r>
    <s v="United States"/>
    <x v="116"/>
    <s v="Standard Class"/>
    <s v="Consumer"/>
    <s v="Storage"/>
    <n v="3"/>
    <n v="0.2"/>
    <n v="-8.1822000000000052"/>
    <n v="50.352000000000004"/>
  </r>
  <r>
    <s v="United States"/>
    <x v="116"/>
    <s v="Standard Class"/>
    <s v="Corporate"/>
    <s v="Accessories"/>
    <n v="5"/>
    <n v="0"/>
    <n v="184.26"/>
    <n v="498"/>
  </r>
  <r>
    <s v="United States"/>
    <x v="116"/>
    <s v="Standard Class"/>
    <s v="Corporate"/>
    <s v="Art"/>
    <n v="6"/>
    <n v="0"/>
    <n v="6.9384000000000006"/>
    <n v="24.78"/>
  </r>
  <r>
    <s v="United States"/>
    <x v="116"/>
    <s v="Standard Class"/>
    <s v="Corporate"/>
    <s v="Binders"/>
    <n v="6"/>
    <n v="0.8"/>
    <n v="-311.43510000000015"/>
    <n v="202.13399999999996"/>
  </r>
  <r>
    <s v="United States"/>
    <x v="116"/>
    <s v="Standard Class"/>
    <s v="Corporate"/>
    <s v="Copiers"/>
    <n v="3"/>
    <n v="0"/>
    <n v="314.98950000000002"/>
    <n v="899.97"/>
  </r>
  <r>
    <s v="United States"/>
    <x v="116"/>
    <s v="Standard Class"/>
    <s v="Corporate"/>
    <s v="Paper"/>
    <n v="12"/>
    <n v="0.2"/>
    <n v="30.482800000000001"/>
    <n v="66.592000000000013"/>
  </r>
  <r>
    <s v="United States"/>
    <x v="116"/>
    <s v="Standard Class"/>
    <s v="Corporate"/>
    <s v="Tables"/>
    <n v="8"/>
    <n v="0"/>
    <n v="316.13920000000007"/>
    <n v="1215.92"/>
  </r>
  <r>
    <s v="United States"/>
    <x v="117"/>
    <s v="First Class"/>
    <s v="Corporate"/>
    <s v="Binders"/>
    <n v="6"/>
    <n v="0.8"/>
    <n v="-10.385999999999999"/>
    <n v="6.9239999999999977"/>
  </r>
  <r>
    <s v="United States"/>
    <x v="118"/>
    <s v="First Class"/>
    <s v="Consumer"/>
    <s v="Labels"/>
    <n v="3"/>
    <n v="0.2"/>
    <n v="3.2213999999999996"/>
    <n v="9.9120000000000008"/>
  </r>
  <r>
    <s v="United States"/>
    <x v="118"/>
    <s v="Second Class"/>
    <s v="Corporate"/>
    <s v="Accessories"/>
    <n v="2"/>
    <n v="0.2"/>
    <n v="11.98"/>
    <n v="47.92"/>
  </r>
  <r>
    <s v="United States"/>
    <x v="118"/>
    <s v="Second Class"/>
    <s v="Corporate"/>
    <s v="Storage"/>
    <n v="6"/>
    <n v="0.2"/>
    <n v="13.852799999999995"/>
    <n v="184.70400000000001"/>
  </r>
  <r>
    <s v="United States"/>
    <x v="119"/>
    <s v="Standard Class"/>
    <s v="Consumer"/>
    <s v="Chairs"/>
    <n v="4"/>
    <n v="0.2"/>
    <n v="13.972799999999999"/>
    <n v="186.304"/>
  </r>
  <r>
    <s v="United States"/>
    <x v="119"/>
    <s v="Standard Class"/>
    <s v="Consumer"/>
    <s v="Phones"/>
    <n v="3"/>
    <n v="0.2"/>
    <n v="37.791599999999988"/>
    <n v="107.97600000000001"/>
  </r>
  <r>
    <s v="United States"/>
    <x v="119"/>
    <s v="Standard Class"/>
    <s v="Corporate"/>
    <s v="Binders"/>
    <n v="6"/>
    <n v="0.7"/>
    <n v="-3.6288"/>
    <n v="5.1840000000000011"/>
  </r>
  <r>
    <s v="United States"/>
    <x v="119"/>
    <s v="Standard Class"/>
    <s v="Corporate"/>
    <s v="Phones"/>
    <n v="2"/>
    <n v="0.2"/>
    <n v="71.989999999999981"/>
    <n v="575.91999999999996"/>
  </r>
  <r>
    <s v="United States"/>
    <x v="119"/>
    <s v="Standard Class"/>
    <s v="Home Office"/>
    <s v="Art"/>
    <n v="4"/>
    <n v="0.2"/>
    <n v="2.0087999999999973"/>
    <n v="17.856000000000002"/>
  </r>
  <r>
    <s v="United States"/>
    <x v="120"/>
    <s v="First Class"/>
    <s v="Consumer"/>
    <s v="Appliances"/>
    <n v="1"/>
    <n v="0.2"/>
    <n v="0.29249999999999987"/>
    <n v="2.6"/>
  </r>
  <r>
    <s v="United States"/>
    <x v="120"/>
    <s v="First Class"/>
    <s v="Consumer"/>
    <s v="Paper"/>
    <n v="2"/>
    <n v="0.2"/>
    <n v="31.068799999999996"/>
    <n v="88.768000000000001"/>
  </r>
  <r>
    <s v="United States"/>
    <x v="120"/>
    <s v="First Class"/>
    <s v="Consumer"/>
    <s v="Tables"/>
    <n v="2"/>
    <n v="0.5"/>
    <n v="-161.875"/>
    <n v="218.75"/>
  </r>
  <r>
    <s v="United States"/>
    <x v="120"/>
    <s v="First Class"/>
    <s v="Corporate"/>
    <s v="Bookcases"/>
    <n v="3"/>
    <n v="0.7"/>
    <n v="-190.85220000000004"/>
    <n v="90.882000000000005"/>
  </r>
  <r>
    <s v="United States"/>
    <x v="120"/>
    <s v="First Class"/>
    <s v="Corporate"/>
    <s v="Chairs"/>
    <n v="1"/>
    <n v="0.2"/>
    <n v="13.588199999999986"/>
    <n v="120.78399999999999"/>
  </r>
  <r>
    <s v="United States"/>
    <x v="120"/>
    <s v="First Class"/>
    <s v="Corporate"/>
    <s v="Phones"/>
    <n v="1"/>
    <n v="0.2"/>
    <n v="-2.9985000000000022"/>
    <n v="15.991999999999999"/>
  </r>
  <r>
    <s v="United States"/>
    <x v="120"/>
    <s v="First Class"/>
    <s v="Home Office"/>
    <s v="Accessories"/>
    <n v="2"/>
    <n v="0.2"/>
    <n v="13.562599999999998"/>
    <n v="63.824000000000005"/>
  </r>
  <r>
    <s v="United States"/>
    <x v="120"/>
    <s v="Same Day"/>
    <s v="Corporate"/>
    <s v="Chairs"/>
    <n v="8"/>
    <n v="0.2"/>
    <n v="-29.116799999999955"/>
    <n v="582.33600000000001"/>
  </r>
  <r>
    <s v="United States"/>
    <x v="120"/>
    <s v="Second Class"/>
    <s v="Corporate"/>
    <s v="Copiers"/>
    <n v="1"/>
    <n v="0.2"/>
    <n v="164.99700000000001"/>
    <n v="439.99200000000002"/>
  </r>
  <r>
    <s v="United States"/>
    <x v="120"/>
    <s v="Second Class"/>
    <s v="Corporate"/>
    <s v="Furnishings"/>
    <n v="4"/>
    <n v="0.2"/>
    <n v="3.6783999999999999"/>
    <n v="15.488"/>
  </r>
  <r>
    <s v="United States"/>
    <x v="120"/>
    <s v="Second Class"/>
    <s v="Corporate"/>
    <s v="Machines"/>
    <n v="2"/>
    <n v="0.7"/>
    <n v="-45.995400000000004"/>
    <n v="59.994000000000007"/>
  </r>
  <r>
    <s v="United States"/>
    <x v="120"/>
    <s v="Second Class"/>
    <s v="Corporate"/>
    <s v="Phones"/>
    <n v="5"/>
    <n v="0.2"/>
    <n v="30.785999999999998"/>
    <n v="87.96"/>
  </r>
  <r>
    <s v="United States"/>
    <x v="120"/>
    <s v="Standard Class"/>
    <s v="Consumer"/>
    <s v="Accessories"/>
    <n v="9"/>
    <n v="0.2"/>
    <n v="64.789199999999951"/>
    <n v="431.92800000000005"/>
  </r>
  <r>
    <s v="United States"/>
    <x v="120"/>
    <s v="Standard Class"/>
    <s v="Consumer"/>
    <s v="Appliances"/>
    <n v="3"/>
    <n v="0.2"/>
    <n v="3.5045999999999964"/>
    <n v="31.152000000000001"/>
  </r>
  <r>
    <s v="United States"/>
    <x v="120"/>
    <s v="Standard Class"/>
    <s v="Consumer"/>
    <s v="Art"/>
    <n v="7"/>
    <n v="0.4"/>
    <n v="13.673999999999994"/>
    <n v="126.34400000000001"/>
  </r>
  <r>
    <s v="United States"/>
    <x v="120"/>
    <s v="Standard Class"/>
    <s v="Consumer"/>
    <s v="Binders"/>
    <n v="7"/>
    <n v="0.7"/>
    <n v="-4.7480999999999973"/>
    <n v="6.7830000000000004"/>
  </r>
  <r>
    <s v="United States"/>
    <x v="120"/>
    <s v="Standard Class"/>
    <s v="Consumer"/>
    <s v="Furnishings"/>
    <n v="3"/>
    <n v="0.2"/>
    <n v="1.2672000000000003"/>
    <n v="4.2240000000000002"/>
  </r>
  <r>
    <s v="United States"/>
    <x v="120"/>
    <s v="Standard Class"/>
    <s v="Consumer"/>
    <s v="Paper"/>
    <n v="18"/>
    <n v="0.60000000000000009"/>
    <n v="86.034599999999983"/>
    <n v="269.71199999999999"/>
  </r>
  <r>
    <s v="United States"/>
    <x v="120"/>
    <s v="Standard Class"/>
    <s v="Consumer"/>
    <s v="Phones"/>
    <n v="22"/>
    <n v="1"/>
    <n v="351.40249999999975"/>
    <n v="3109.9360000000001"/>
  </r>
  <r>
    <s v="United States"/>
    <x v="120"/>
    <s v="Standard Class"/>
    <s v="Consumer"/>
    <s v="Storage"/>
    <n v="3"/>
    <n v="0.2"/>
    <n v="-15.910200000000088"/>
    <n v="636.40800000000013"/>
  </r>
  <r>
    <s v="United States"/>
    <x v="120"/>
    <s v="Standard Class"/>
    <s v="Consumer"/>
    <s v="Supplies"/>
    <n v="3"/>
    <n v="0.4"/>
    <n v="-299.30160000000001"/>
    <n v="1339.296"/>
  </r>
  <r>
    <s v="United States"/>
    <x v="120"/>
    <s v="Standard Class"/>
    <s v="Corporate"/>
    <s v="Appliances"/>
    <n v="2"/>
    <n v="0.2"/>
    <n v="3.51"/>
    <n v="18.72"/>
  </r>
  <r>
    <s v="United States"/>
    <x v="120"/>
    <s v="Standard Class"/>
    <s v="Corporate"/>
    <s v="Binders"/>
    <n v="11"/>
    <n v="1.4"/>
    <n v="-25.851199999999992"/>
    <n v="38.496000000000002"/>
  </r>
  <r>
    <s v="United States"/>
    <x v="120"/>
    <s v="Standard Class"/>
    <s v="Corporate"/>
    <s v="Bookcases"/>
    <n v="8"/>
    <n v="0.7"/>
    <n v="-363.52799999999991"/>
    <n v="242.35200000000003"/>
  </r>
  <r>
    <s v="United States"/>
    <x v="120"/>
    <s v="Standard Class"/>
    <s v="Corporate"/>
    <s v="Chairs"/>
    <n v="11"/>
    <n v="0.60000000000000009"/>
    <n v="119.48099999999991"/>
    <n v="2305.04"/>
  </r>
  <r>
    <s v="United States"/>
    <x v="120"/>
    <s v="Standard Class"/>
    <s v="Corporate"/>
    <s v="Furnishings"/>
    <n v="6"/>
    <n v="0.2"/>
    <n v="0"/>
    <n v="508.70400000000006"/>
  </r>
  <r>
    <s v="United States"/>
    <x v="120"/>
    <s v="Standard Class"/>
    <s v="Corporate"/>
    <s v="Phones"/>
    <n v="10"/>
    <n v="0.60000000000000009"/>
    <n v="4.6201999999999863"/>
    <n v="266.96000000000004"/>
  </r>
  <r>
    <s v="United States"/>
    <x v="120"/>
    <s v="Standard Class"/>
    <s v="Corporate"/>
    <s v="Storage"/>
    <n v="6"/>
    <n v="0.60000000000000009"/>
    <n v="-20.946600000000018"/>
    <n v="1045.8960000000002"/>
  </r>
  <r>
    <s v="United States"/>
    <x v="120"/>
    <s v="Standard Class"/>
    <s v="Home Office"/>
    <s v="Paper"/>
    <n v="3"/>
    <n v="0.2"/>
    <n v="9.9467999999999979"/>
    <n v="29.472000000000001"/>
  </r>
  <r>
    <s v="United States"/>
    <x v="121"/>
    <s v="Same Day"/>
    <s v="Consumer"/>
    <s v="Paper"/>
    <n v="1"/>
    <n v="0"/>
    <n v="3.1104000000000003"/>
    <n v="6.48"/>
  </r>
  <r>
    <s v="United States"/>
    <x v="121"/>
    <s v="Second Class"/>
    <s v="Consumer"/>
    <s v="Chairs"/>
    <n v="3"/>
    <n v="0.2"/>
    <n v="-2.6997000000000355"/>
    <n v="215.976"/>
  </r>
  <r>
    <s v="United States"/>
    <x v="121"/>
    <s v="Second Class"/>
    <s v="Consumer"/>
    <s v="Copiers"/>
    <n v="3"/>
    <n v="0"/>
    <n v="701.98829999999998"/>
    <n v="1799.97"/>
  </r>
  <r>
    <s v="United States"/>
    <x v="121"/>
    <s v="Second Class"/>
    <s v="Consumer"/>
    <s v="Envelopes"/>
    <n v="3"/>
    <n v="0"/>
    <n v="30.991800000000001"/>
    <n v="65.94"/>
  </r>
  <r>
    <s v="United States"/>
    <x v="121"/>
    <s v="Second Class"/>
    <s v="Consumer"/>
    <s v="Phones"/>
    <n v="2"/>
    <n v="0.2"/>
    <n v="27.718199999999968"/>
    <n v="246.38400000000001"/>
  </r>
  <r>
    <s v="United States"/>
    <x v="121"/>
    <s v="Second Class"/>
    <s v="Corporate"/>
    <s v="Paper"/>
    <n v="7"/>
    <n v="0"/>
    <n v="19.825400000000002"/>
    <n v="40.46"/>
  </r>
  <r>
    <s v="United States"/>
    <x v="121"/>
    <s v="Second Class"/>
    <s v="Corporate"/>
    <s v="Phones"/>
    <n v="3"/>
    <n v="0"/>
    <n v="109.33379999999998"/>
    <n v="404.93999999999994"/>
  </r>
  <r>
    <s v="United States"/>
    <x v="121"/>
    <s v="Second Class"/>
    <s v="Home Office"/>
    <s v="Binders"/>
    <n v="7"/>
    <n v="0.2"/>
    <n v="46.330999999999989"/>
    <n v="133.548"/>
  </r>
  <r>
    <s v="United States"/>
    <x v="121"/>
    <s v="Standard Class"/>
    <s v="Consumer"/>
    <s v="Copiers"/>
    <n v="2"/>
    <n v="0"/>
    <n v="449.99099999999999"/>
    <n v="999.98"/>
  </r>
  <r>
    <s v="United States"/>
    <x v="121"/>
    <s v="Standard Class"/>
    <s v="Consumer"/>
    <s v="Envelopes"/>
    <n v="3"/>
    <n v="0"/>
    <n v="2.8763999999999994"/>
    <n v="6.12"/>
  </r>
  <r>
    <s v="United States"/>
    <x v="121"/>
    <s v="Standard Class"/>
    <s v="Consumer"/>
    <s v="Tables"/>
    <n v="4"/>
    <n v="0"/>
    <n v="106.62480000000005"/>
    <n v="1184.72"/>
  </r>
  <r>
    <s v="United States"/>
    <x v="121"/>
    <s v="Standard Class"/>
    <s v="Corporate"/>
    <s v="Art"/>
    <n v="2"/>
    <n v="0"/>
    <n v="10.881"/>
    <n v="40.299999999999997"/>
  </r>
  <r>
    <s v="United States"/>
    <x v="121"/>
    <s v="Standard Class"/>
    <s v="Corporate"/>
    <s v="Binders"/>
    <n v="8"/>
    <n v="0"/>
    <n v="28.784500000000001"/>
    <n v="58.34"/>
  </r>
  <r>
    <s v="United States"/>
    <x v="121"/>
    <s v="Standard Class"/>
    <s v="Corporate"/>
    <s v="Furnishings"/>
    <n v="7"/>
    <n v="0"/>
    <n v="14.523600000000002"/>
    <n v="34.580000000000005"/>
  </r>
  <r>
    <s v="United States"/>
    <x v="121"/>
    <s v="Standard Class"/>
    <s v="Corporate"/>
    <s v="Phones"/>
    <n v="3"/>
    <n v="0"/>
    <n v="51.75"/>
    <n v="207"/>
  </r>
  <r>
    <s v="United States"/>
    <x v="121"/>
    <s v="Standard Class"/>
    <s v="Home Office"/>
    <s v="Paper"/>
    <n v="2"/>
    <n v="0"/>
    <n v="8.7137999999999991"/>
    <n v="18.54"/>
  </r>
  <r>
    <s v="United States"/>
    <x v="122"/>
    <s v="First Class"/>
    <s v="Consumer"/>
    <s v="Binders"/>
    <n v="3"/>
    <n v="0.8"/>
    <n v="-4.9164000000000012"/>
    <n v="2.8919999999999995"/>
  </r>
  <r>
    <s v="United States"/>
    <x v="122"/>
    <s v="First Class"/>
    <s v="Consumer"/>
    <s v="Bookcases"/>
    <n v="6"/>
    <n v="0.3"/>
    <n v="-30.293999999999983"/>
    <n v="424.11599999999999"/>
  </r>
  <r>
    <s v="United States"/>
    <x v="122"/>
    <s v="First Class"/>
    <s v="Consumer"/>
    <s v="Furnishings"/>
    <n v="2"/>
    <n v="0.6"/>
    <n v="-7.4759999999999991"/>
    <n v="8.5440000000000005"/>
  </r>
  <r>
    <s v="United States"/>
    <x v="122"/>
    <s v="First Class"/>
    <s v="Consumer"/>
    <s v="Storage"/>
    <n v="5"/>
    <n v="0.2"/>
    <n v="-66.801000000000045"/>
    <n v="381.72"/>
  </r>
  <r>
    <s v="United States"/>
    <x v="122"/>
    <s v="First Class"/>
    <s v="Consumer"/>
    <s v="Tables"/>
    <n v="4"/>
    <n v="0.5"/>
    <n v="-175.26000000000005"/>
    <n v="292.10000000000002"/>
  </r>
  <r>
    <s v="United States"/>
    <x v="122"/>
    <s v="Standard Class"/>
    <s v="Consumer"/>
    <s v="Phones"/>
    <n v="4"/>
    <n v="0.2"/>
    <n v="47.97999999999999"/>
    <n v="383.84000000000003"/>
  </r>
  <r>
    <s v="United States"/>
    <x v="123"/>
    <s v="First Class"/>
    <s v="Consumer"/>
    <s v="Accessories"/>
    <n v="17"/>
    <n v="0"/>
    <n v="155.91089999999997"/>
    <n v="460.16999999999996"/>
  </r>
  <r>
    <s v="United States"/>
    <x v="123"/>
    <s v="First Class"/>
    <s v="Consumer"/>
    <s v="Binders"/>
    <n v="2"/>
    <n v="0"/>
    <n v="10.35"/>
    <n v="23"/>
  </r>
  <r>
    <s v="United States"/>
    <x v="123"/>
    <s v="First Class"/>
    <s v="Consumer"/>
    <s v="Chairs"/>
    <n v="7"/>
    <n v="0"/>
    <n v="412.5394"/>
    <n v="1586.6899999999998"/>
  </r>
  <r>
    <s v="United States"/>
    <x v="123"/>
    <s v="First Class"/>
    <s v="Consumer"/>
    <s v="Phones"/>
    <n v="1"/>
    <n v="0"/>
    <n v="31.497500000000002"/>
    <n v="125.99"/>
  </r>
  <r>
    <s v="United States"/>
    <x v="123"/>
    <s v="First Class"/>
    <s v="Consumer"/>
    <s v="Tables"/>
    <n v="2"/>
    <n v="0"/>
    <n v="70.005999999999972"/>
    <n v="411.8"/>
  </r>
  <r>
    <s v="United States"/>
    <x v="123"/>
    <s v="First Class"/>
    <s v="Corporate"/>
    <s v="Machines"/>
    <n v="2"/>
    <n v="0.1"/>
    <n v="679.99599999999964"/>
    <n v="3059.982"/>
  </r>
  <r>
    <s v="United States"/>
    <x v="123"/>
    <s v="First Class"/>
    <s v="Corporate"/>
    <s v="Tables"/>
    <n v="2"/>
    <n v="0"/>
    <n v="21.097999999999985"/>
    <n v="210.98"/>
  </r>
  <r>
    <s v="United States"/>
    <x v="123"/>
    <s v="First Class"/>
    <s v="Home Office"/>
    <s v="Art"/>
    <n v="4"/>
    <n v="0"/>
    <n v="5.4127999999999989"/>
    <n v="15.92"/>
  </r>
  <r>
    <s v="United States"/>
    <x v="123"/>
    <s v="First Class"/>
    <s v="Home Office"/>
    <s v="Furnishings"/>
    <n v="5"/>
    <n v="0"/>
    <n v="10.047999999999998"/>
    <n v="31.400000000000002"/>
  </r>
  <r>
    <s v="United States"/>
    <x v="123"/>
    <s v="First Class"/>
    <s v="Home Office"/>
    <s v="Paper"/>
    <n v="1"/>
    <n v="0"/>
    <n v="2.0429999999999997"/>
    <n v="4.54"/>
  </r>
  <r>
    <s v="United States"/>
    <x v="123"/>
    <s v="First Class"/>
    <s v="Home Office"/>
    <s v="Phones"/>
    <n v="10"/>
    <n v="0"/>
    <n v="139.97060000000002"/>
    <n v="558.69999999999993"/>
  </r>
  <r>
    <s v="United States"/>
    <x v="123"/>
    <s v="First Class"/>
    <s v="Home Office"/>
    <s v="Storage"/>
    <n v="4"/>
    <n v="0"/>
    <n v="13.967199999999998"/>
    <n v="53.72"/>
  </r>
  <r>
    <s v="United States"/>
    <x v="123"/>
    <s v="Same Day"/>
    <s v="Consumer"/>
    <s v="Binders"/>
    <n v="4"/>
    <n v="0"/>
    <n v="14.4648"/>
    <n v="29.52"/>
  </r>
  <r>
    <s v="United States"/>
    <x v="123"/>
    <s v="Same Day"/>
    <s v="Consumer"/>
    <s v="Chairs"/>
    <n v="21"/>
    <n v="0"/>
    <n v="358.1028"/>
    <n v="1490.22"/>
  </r>
  <r>
    <s v="United States"/>
    <x v="123"/>
    <s v="Same Day"/>
    <s v="Consumer"/>
    <s v="Furnishings"/>
    <n v="3"/>
    <n v="0"/>
    <n v="14.849099999999979"/>
    <n v="212.13"/>
  </r>
  <r>
    <s v="United States"/>
    <x v="123"/>
    <s v="Same Day"/>
    <s v="Corporate"/>
    <s v="Appliances"/>
    <n v="2"/>
    <n v="0.1"/>
    <n v="46.790800000000004"/>
    <n v="123.858"/>
  </r>
  <r>
    <s v="United States"/>
    <x v="123"/>
    <s v="Same Day"/>
    <s v="Corporate"/>
    <s v="Storage"/>
    <n v="7"/>
    <n v="0"/>
    <n v="117.12960000000004"/>
    <n v="418.32"/>
  </r>
  <r>
    <s v="United States"/>
    <x v="123"/>
    <s v="Second Class"/>
    <s v="Consumer"/>
    <s v="Accessories"/>
    <n v="6"/>
    <n v="0"/>
    <n v="41.952000000000005"/>
    <n v="104.88"/>
  </r>
  <r>
    <s v="United States"/>
    <x v="123"/>
    <s v="Second Class"/>
    <s v="Consumer"/>
    <s v="Art"/>
    <n v="5"/>
    <n v="0"/>
    <n v="12.492000000000001"/>
    <n v="34.700000000000003"/>
  </r>
  <r>
    <s v="United States"/>
    <x v="123"/>
    <s v="Second Class"/>
    <s v="Consumer"/>
    <s v="Binders"/>
    <n v="12"/>
    <n v="0"/>
    <n v="235.50159999999997"/>
    <n v="511.96000000000004"/>
  </r>
  <r>
    <s v="United States"/>
    <x v="123"/>
    <s v="Second Class"/>
    <s v="Consumer"/>
    <s v="Chairs"/>
    <n v="3"/>
    <n v="0"/>
    <n v="29.152800000000013"/>
    <n v="242.94"/>
  </r>
  <r>
    <s v="United States"/>
    <x v="123"/>
    <s v="Second Class"/>
    <s v="Consumer"/>
    <s v="Furnishings"/>
    <n v="1"/>
    <n v="0"/>
    <n v="3.6659999999999986"/>
    <n v="12.22"/>
  </r>
  <r>
    <s v="United States"/>
    <x v="123"/>
    <s v="Second Class"/>
    <s v="Consumer"/>
    <s v="Labels"/>
    <n v="7"/>
    <n v="0"/>
    <n v="10.584"/>
    <n v="22.05"/>
  </r>
  <r>
    <s v="United States"/>
    <x v="123"/>
    <s v="Second Class"/>
    <s v="Consumer"/>
    <s v="Paper"/>
    <n v="7"/>
    <n v="0"/>
    <n v="49.047399999999996"/>
    <n v="106.3"/>
  </r>
  <r>
    <s v="United States"/>
    <x v="123"/>
    <s v="Second Class"/>
    <s v="Consumer"/>
    <s v="Storage"/>
    <n v="6"/>
    <n v="0"/>
    <n v="43.968300000000006"/>
    <n v="265.89"/>
  </r>
  <r>
    <s v="United States"/>
    <x v="123"/>
    <s v="Second Class"/>
    <s v="Corporate"/>
    <s v="Art"/>
    <n v="5"/>
    <n v="0"/>
    <n v="4.7559999999999985"/>
    <n v="16.399999999999999"/>
  </r>
  <r>
    <s v="United States"/>
    <x v="123"/>
    <s v="Second Class"/>
    <s v="Corporate"/>
    <s v="Binders"/>
    <n v="8"/>
    <n v="0"/>
    <n v="52.379999999999995"/>
    <n v="116.4"/>
  </r>
  <r>
    <s v="United States"/>
    <x v="123"/>
    <s v="Second Class"/>
    <s v="Corporate"/>
    <s v="Chairs"/>
    <n v="5"/>
    <n v="0"/>
    <n v="700.98000000000013"/>
    <n v="3504.9"/>
  </r>
  <r>
    <s v="United States"/>
    <x v="123"/>
    <s v="Second Class"/>
    <s v="Corporate"/>
    <s v="Labels"/>
    <n v="5"/>
    <n v="0"/>
    <n v="240.8595"/>
    <n v="491.55"/>
  </r>
  <r>
    <s v="United States"/>
    <x v="123"/>
    <s v="Second Class"/>
    <s v="Corporate"/>
    <s v="Paper"/>
    <n v="10"/>
    <n v="0"/>
    <n v="232.60319999999996"/>
    <n v="484.59"/>
  </r>
  <r>
    <s v="United States"/>
    <x v="123"/>
    <s v="Second Class"/>
    <s v="Home Office"/>
    <s v="Appliances"/>
    <n v="5"/>
    <n v="0.1"/>
    <n v="245.69999999999993"/>
    <n v="850.5"/>
  </r>
  <r>
    <s v="United States"/>
    <x v="123"/>
    <s v="Second Class"/>
    <s v="Home Office"/>
    <s v="Binders"/>
    <n v="2"/>
    <n v="0"/>
    <n v="2.4287999999999998"/>
    <n v="5.28"/>
  </r>
  <r>
    <s v="United States"/>
    <x v="123"/>
    <s v="Second Class"/>
    <s v="Home Office"/>
    <s v="Furnishings"/>
    <n v="9"/>
    <n v="0"/>
    <n v="19.585799999999999"/>
    <n v="75.33"/>
  </r>
  <r>
    <s v="United States"/>
    <x v="123"/>
    <s v="Second Class"/>
    <s v="Home Office"/>
    <s v="Phones"/>
    <n v="4"/>
    <n v="0"/>
    <n v="209.62899999999999"/>
    <n v="817.8"/>
  </r>
  <r>
    <s v="United States"/>
    <x v="123"/>
    <s v="Standard Class"/>
    <s v="Consumer"/>
    <s v="Accessories"/>
    <n v="3"/>
    <n v="0"/>
    <n v="163.18979999999999"/>
    <n v="479.97"/>
  </r>
  <r>
    <s v="United States"/>
    <x v="123"/>
    <s v="Standard Class"/>
    <s v="Consumer"/>
    <s v="Appliances"/>
    <n v="13"/>
    <n v="0.30000000000000004"/>
    <n v="197.50199999999995"/>
    <n v="929.79000000000008"/>
  </r>
  <r>
    <s v="United States"/>
    <x v="123"/>
    <s v="Standard Class"/>
    <s v="Consumer"/>
    <s v="Art"/>
    <n v="16"/>
    <n v="0"/>
    <n v="80.224399999999989"/>
    <n v="281.82"/>
  </r>
  <r>
    <s v="United States"/>
    <x v="123"/>
    <s v="Standard Class"/>
    <s v="Consumer"/>
    <s v="Binders"/>
    <n v="59"/>
    <n v="0"/>
    <n v="5736.2152999999998"/>
    <n v="11584.64"/>
  </r>
  <r>
    <s v="United States"/>
    <x v="123"/>
    <s v="Standard Class"/>
    <s v="Consumer"/>
    <s v="Chairs"/>
    <n v="6"/>
    <n v="0"/>
    <n v="70.194600000000008"/>
    <n v="779.94"/>
  </r>
  <r>
    <s v="United States"/>
    <x v="123"/>
    <s v="Standard Class"/>
    <s v="Consumer"/>
    <s v="Envelopes"/>
    <n v="2"/>
    <n v="0"/>
    <n v="81.432000000000002"/>
    <n v="180.96"/>
  </r>
  <r>
    <s v="United States"/>
    <x v="123"/>
    <s v="Standard Class"/>
    <s v="Consumer"/>
    <s v="Furnishings"/>
    <n v="4"/>
    <n v="0"/>
    <n v="32.375500000000009"/>
    <n v="278.41000000000003"/>
  </r>
  <r>
    <s v="United States"/>
    <x v="123"/>
    <s v="Standard Class"/>
    <s v="Consumer"/>
    <s v="Labels"/>
    <n v="14"/>
    <n v="0"/>
    <n v="65.098600000000005"/>
    <n v="132.51000000000002"/>
  </r>
  <r>
    <s v="United States"/>
    <x v="123"/>
    <s v="Standard Class"/>
    <s v="Consumer"/>
    <s v="Paper"/>
    <n v="10"/>
    <n v="0"/>
    <n v="33.426000000000002"/>
    <n v="69.240000000000009"/>
  </r>
  <r>
    <s v="United States"/>
    <x v="123"/>
    <s v="Standard Class"/>
    <s v="Consumer"/>
    <s v="Phones"/>
    <n v="15"/>
    <n v="0"/>
    <n v="430.28179999999998"/>
    <n v="1573.5600000000002"/>
  </r>
  <r>
    <s v="United States"/>
    <x v="123"/>
    <s v="Standard Class"/>
    <s v="Consumer"/>
    <s v="Storage"/>
    <n v="11"/>
    <n v="0"/>
    <n v="53.976399999999948"/>
    <n v="812.31999999999994"/>
  </r>
  <r>
    <s v="United States"/>
    <x v="123"/>
    <s v="Standard Class"/>
    <s v="Consumer"/>
    <s v="Tables"/>
    <n v="4"/>
    <n v="0"/>
    <n v="98.524799999999971"/>
    <n v="447.84"/>
  </r>
  <r>
    <s v="United States"/>
    <x v="123"/>
    <s v="Standard Class"/>
    <s v="Corporate"/>
    <s v="Appliances"/>
    <n v="7"/>
    <n v="0.2"/>
    <n v="30.836399999999987"/>
    <n v="152.964"/>
  </r>
  <r>
    <s v="United States"/>
    <x v="123"/>
    <s v="Standard Class"/>
    <s v="Corporate"/>
    <s v="Art"/>
    <n v="2"/>
    <n v="0"/>
    <n v="1.9191999999999998"/>
    <n v="5.48"/>
  </r>
  <r>
    <s v="United States"/>
    <x v="123"/>
    <s v="Standard Class"/>
    <s v="Corporate"/>
    <s v="Binders"/>
    <n v="12"/>
    <n v="0"/>
    <n v="103.64139999999999"/>
    <n v="218.38"/>
  </r>
  <r>
    <s v="United States"/>
    <x v="123"/>
    <s v="Standard Class"/>
    <s v="Corporate"/>
    <s v="Bookcases"/>
    <n v="1"/>
    <n v="0"/>
    <n v="20.927400000000006"/>
    <n v="160.97999999999999"/>
  </r>
  <r>
    <s v="United States"/>
    <x v="123"/>
    <s v="Standard Class"/>
    <s v="Corporate"/>
    <s v="Chairs"/>
    <n v="20"/>
    <n v="0"/>
    <n v="898.3922"/>
    <n v="3941.94"/>
  </r>
  <r>
    <s v="United States"/>
    <x v="123"/>
    <s v="Standard Class"/>
    <s v="Corporate"/>
    <s v="Fasteners"/>
    <n v="1"/>
    <n v="0"/>
    <n v="3.04"/>
    <n v="6.08"/>
  </r>
  <r>
    <s v="United States"/>
    <x v="123"/>
    <s v="Standard Class"/>
    <s v="Corporate"/>
    <s v="Paper"/>
    <n v="14"/>
    <n v="0"/>
    <n v="76.611800000000002"/>
    <n v="164.42000000000002"/>
  </r>
  <r>
    <s v="United States"/>
    <x v="123"/>
    <s v="Standard Class"/>
    <s v="Corporate"/>
    <s v="Phones"/>
    <n v="7"/>
    <n v="0"/>
    <n v="64.959599999999995"/>
    <n v="223.93"/>
  </r>
  <r>
    <s v="United States"/>
    <x v="123"/>
    <s v="Standard Class"/>
    <s v="Corporate"/>
    <s v="Storage"/>
    <n v="4"/>
    <n v="0"/>
    <n v="80.239699999999999"/>
    <n v="318.35000000000002"/>
  </r>
  <r>
    <s v="United States"/>
    <x v="123"/>
    <s v="Standard Class"/>
    <s v="Corporate"/>
    <s v="Tables"/>
    <n v="8"/>
    <n v="0"/>
    <n v="368.35059999999999"/>
    <n v="2275.39"/>
  </r>
  <r>
    <s v="United States"/>
    <x v="123"/>
    <s v="Standard Class"/>
    <s v="Home Office"/>
    <s v="Accessories"/>
    <n v="7"/>
    <n v="0"/>
    <n v="11.451999999999995"/>
    <n v="114.52"/>
  </r>
  <r>
    <s v="United States"/>
    <x v="123"/>
    <s v="Standard Class"/>
    <s v="Home Office"/>
    <s v="Bookcases"/>
    <n v="3"/>
    <n v="0"/>
    <n v="57.4938"/>
    <n v="212.94"/>
  </r>
  <r>
    <s v="United States"/>
    <x v="123"/>
    <s v="Standard Class"/>
    <s v="Home Office"/>
    <s v="Chairs"/>
    <n v="2"/>
    <n v="0"/>
    <n v="146.38799999999998"/>
    <n v="487.96"/>
  </r>
  <r>
    <s v="United States"/>
    <x v="123"/>
    <s v="Standard Class"/>
    <s v="Home Office"/>
    <s v="Phones"/>
    <n v="2"/>
    <n v="0"/>
    <n v="35.634600000000006"/>
    <n v="131.97999999999999"/>
  </r>
  <r>
    <s v="United States"/>
    <x v="124"/>
    <s v="First Class"/>
    <s v="Consumer"/>
    <s v="Art"/>
    <n v="3"/>
    <n v="0"/>
    <n v="2.8535999999999988"/>
    <n v="9.84"/>
  </r>
  <r>
    <s v="United States"/>
    <x v="124"/>
    <s v="First Class"/>
    <s v="Consumer"/>
    <s v="Binders"/>
    <n v="3"/>
    <n v="0"/>
    <n v="15.524999999999999"/>
    <n v="34.5"/>
  </r>
  <r>
    <s v="United States"/>
    <x v="124"/>
    <s v="First Class"/>
    <s v="Consumer"/>
    <s v="Furnishings"/>
    <n v="2"/>
    <n v="0"/>
    <n v="3.0813999999999995"/>
    <n v="9.94"/>
  </r>
  <r>
    <s v="United States"/>
    <x v="124"/>
    <s v="Second Class"/>
    <s v="Corporate"/>
    <s v="Appliances"/>
    <n v="4"/>
    <n v="0"/>
    <n v="9.3184000000000005"/>
    <n v="33.28"/>
  </r>
  <r>
    <s v="United States"/>
    <x v="124"/>
    <s v="Second Class"/>
    <s v="Corporate"/>
    <s v="Art"/>
    <n v="9"/>
    <n v="0"/>
    <n v="11.9412"/>
    <n v="38.520000000000003"/>
  </r>
  <r>
    <s v="United States"/>
    <x v="124"/>
    <s v="Second Class"/>
    <s v="Corporate"/>
    <s v="Furnishings"/>
    <n v="9"/>
    <n v="0"/>
    <n v="102.5318"/>
    <n v="351.82000000000005"/>
  </r>
  <r>
    <s v="United States"/>
    <x v="124"/>
    <s v="Second Class"/>
    <s v="Home Office"/>
    <s v="Accessories"/>
    <n v="9"/>
    <n v="0"/>
    <n v="517.47930000000008"/>
    <n v="2249.91"/>
  </r>
  <r>
    <s v="United States"/>
    <x v="124"/>
    <s v="Second Class"/>
    <s v="Home Office"/>
    <s v="Paper"/>
    <n v="5"/>
    <n v="0"/>
    <n v="14.651"/>
    <n v="29.900000000000002"/>
  </r>
  <r>
    <s v="United States"/>
    <x v="124"/>
    <s v="Second Class"/>
    <s v="Home Office"/>
    <s v="Tables"/>
    <n v="4"/>
    <n v="0.3"/>
    <n v="-105.31639999999993"/>
    <n v="1053.164"/>
  </r>
  <r>
    <s v="United States"/>
    <x v="124"/>
    <s v="Standard Class"/>
    <s v="Consumer"/>
    <s v="Accessories"/>
    <n v="3"/>
    <n v="0"/>
    <n v="4.9500000000000011"/>
    <n v="45"/>
  </r>
  <r>
    <s v="United States"/>
    <x v="124"/>
    <s v="Standard Class"/>
    <s v="Consumer"/>
    <s v="Binders"/>
    <n v="5"/>
    <n v="0"/>
    <n v="325.19299999999993"/>
    <n v="691.9"/>
  </r>
  <r>
    <s v="United States"/>
    <x v="124"/>
    <s v="Standard Class"/>
    <s v="Consumer"/>
    <s v="Furnishings"/>
    <n v="3"/>
    <n v="0"/>
    <n v="26.648999999999997"/>
    <n v="76.14"/>
  </r>
  <r>
    <s v="United States"/>
    <x v="124"/>
    <s v="Standard Class"/>
    <s v="Consumer"/>
    <s v="Labels"/>
    <n v="4"/>
    <n v="0"/>
    <n v="7.5991999999999997"/>
    <n v="16.52"/>
  </r>
  <r>
    <s v="United States"/>
    <x v="124"/>
    <s v="Standard Class"/>
    <s v="Consumer"/>
    <s v="Phones"/>
    <n v="4"/>
    <n v="0"/>
    <n v="11.298800000000002"/>
    <n v="41.78"/>
  </r>
  <r>
    <s v="United States"/>
    <x v="124"/>
    <s v="Standard Class"/>
    <s v="Corporate"/>
    <s v="Accessories"/>
    <n v="2"/>
    <n v="0"/>
    <n v="57.592799999999997"/>
    <n v="159.97999999999999"/>
  </r>
  <r>
    <s v="United States"/>
    <x v="124"/>
    <s v="Standard Class"/>
    <s v="Corporate"/>
    <s v="Paper"/>
    <n v="6"/>
    <n v="0"/>
    <n v="16.146000000000001"/>
    <n v="35.880000000000003"/>
  </r>
  <r>
    <s v="United States"/>
    <x v="125"/>
    <s v="First Class"/>
    <s v="Consumer"/>
    <s v="Furnishings"/>
    <n v="2"/>
    <n v="0"/>
    <n v="10.567200000000001"/>
    <n v="25.16"/>
  </r>
  <r>
    <s v="United States"/>
    <x v="125"/>
    <s v="First Class"/>
    <s v="Consumer"/>
    <s v="Phones"/>
    <n v="4"/>
    <n v="0.2"/>
    <n v="47.459999999999994"/>
    <n v="126.56"/>
  </r>
  <r>
    <s v="United States"/>
    <x v="125"/>
    <s v="Standard Class"/>
    <s v="Corporate"/>
    <s v="Accessories"/>
    <n v="7"/>
    <n v="0"/>
    <n v="34.698299999999996"/>
    <n v="111.93"/>
  </r>
  <r>
    <s v="United States"/>
    <x v="126"/>
    <s v="First Class"/>
    <s v="Consumer"/>
    <s v="Art"/>
    <n v="2"/>
    <n v="0.2"/>
    <n v="2.7168000000000001"/>
    <n v="27.168000000000003"/>
  </r>
  <r>
    <s v="United States"/>
    <x v="126"/>
    <s v="First Class"/>
    <s v="Consumer"/>
    <s v="Binders"/>
    <n v="6"/>
    <n v="1.4"/>
    <n v="-16.501799999999996"/>
    <n v="23.574000000000005"/>
  </r>
  <r>
    <s v="United States"/>
    <x v="126"/>
    <s v="First Class"/>
    <s v="Consumer"/>
    <s v="Fasteners"/>
    <n v="2"/>
    <n v="0.2"/>
    <n v="1.8147999999999997"/>
    <n v="5.5840000000000005"/>
  </r>
  <r>
    <s v="United States"/>
    <x v="126"/>
    <s v="First Class"/>
    <s v="Consumer"/>
    <s v="Furnishings"/>
    <n v="4"/>
    <n v="0.2"/>
    <n v="19.084800000000005"/>
    <n v="72.703999999999994"/>
  </r>
  <r>
    <s v="United States"/>
    <x v="126"/>
    <s v="First Class"/>
    <s v="Consumer"/>
    <s v="Machines"/>
    <n v="4"/>
    <n v="0.7"/>
    <n v="-383.99040000000002"/>
    <n v="479.98800000000006"/>
  </r>
  <r>
    <s v="United States"/>
    <x v="126"/>
    <s v="First Class"/>
    <s v="Consumer"/>
    <s v="Paper"/>
    <n v="12"/>
    <n v="0.4"/>
    <n v="18.287400000000002"/>
    <n v="50.448000000000008"/>
  </r>
  <r>
    <s v="United States"/>
    <x v="126"/>
    <s v="First Class"/>
    <s v="Consumer"/>
    <s v="Phones"/>
    <n v="4"/>
    <n v="0.4"/>
    <n v="-34.314799999999991"/>
    <n v="158.37599999999998"/>
  </r>
  <r>
    <s v="United States"/>
    <x v="126"/>
    <s v="Second Class"/>
    <s v="Consumer"/>
    <s v="Accessories"/>
    <n v="6"/>
    <n v="0.2"/>
    <n v="107.98920000000001"/>
    <n v="479.952"/>
  </r>
  <r>
    <s v="United States"/>
    <x v="126"/>
    <s v="Second Class"/>
    <s v="Consumer"/>
    <s v="Art"/>
    <n v="5"/>
    <n v="0.2"/>
    <n v="1.7940000000000005"/>
    <n v="23.92"/>
  </r>
  <r>
    <s v="United States"/>
    <x v="126"/>
    <s v="Second Class"/>
    <s v="Corporate"/>
    <s v="Tables"/>
    <n v="5"/>
    <n v="0.4"/>
    <n v="-69.889999999999986"/>
    <n v="1048.3499999999999"/>
  </r>
  <r>
    <s v="United States"/>
    <x v="126"/>
    <s v="Standard Class"/>
    <s v="Consumer"/>
    <s v="Phones"/>
    <n v="5"/>
    <n v="0.2"/>
    <n v="1.375"/>
    <n v="22"/>
  </r>
  <r>
    <s v="United States"/>
    <x v="126"/>
    <s v="Standard Class"/>
    <s v="Corporate"/>
    <s v="Accessories"/>
    <n v="1"/>
    <n v="0.2"/>
    <n v="1.7054999999999998"/>
    <n v="9.0960000000000001"/>
  </r>
  <r>
    <s v="United States"/>
    <x v="127"/>
    <s v="Standard Class"/>
    <s v="Consumer"/>
    <s v="Phones"/>
    <n v="4"/>
    <n v="0"/>
    <n v="76.548399999999987"/>
    <n v="263.95999999999998"/>
  </r>
  <r>
    <s v="United States"/>
    <x v="127"/>
    <s v="Standard Class"/>
    <s v="Home Office"/>
    <s v="Binders"/>
    <n v="4"/>
    <n v="0"/>
    <n v="6.8579999999999988"/>
    <n v="15.24"/>
  </r>
  <r>
    <s v="United States"/>
    <x v="127"/>
    <s v="Standard Class"/>
    <s v="Home Office"/>
    <s v="Chairs"/>
    <n v="10"/>
    <n v="0"/>
    <n v="394.26800000000003"/>
    <n v="1408.1"/>
  </r>
  <r>
    <s v="United States"/>
    <x v="128"/>
    <s v="First Class"/>
    <s v="Consumer"/>
    <s v="Appliances"/>
    <n v="3"/>
    <n v="0.2"/>
    <n v="9.8351999999999933"/>
    <n v="98.352000000000004"/>
  </r>
  <r>
    <s v="United States"/>
    <x v="128"/>
    <s v="First Class"/>
    <s v="Consumer"/>
    <s v="Binders"/>
    <n v="7"/>
    <n v="0.7"/>
    <n v="-4.2336000000000009"/>
    <n v="6.0480000000000009"/>
  </r>
  <r>
    <s v="United States"/>
    <x v="128"/>
    <s v="First Class"/>
    <s v="Consumer"/>
    <s v="Furnishings"/>
    <n v="2"/>
    <n v="0.2"/>
    <n v="25.180800000000005"/>
    <n v="335.74400000000003"/>
  </r>
  <r>
    <s v="United States"/>
    <x v="128"/>
    <s v="Second Class"/>
    <s v="Corporate"/>
    <s v="Art"/>
    <n v="4"/>
    <n v="0.2"/>
    <n v="12.314400000000006"/>
    <n v="140.73599999999999"/>
  </r>
  <r>
    <s v="United States"/>
    <x v="128"/>
    <s v="Standard Class"/>
    <s v="Corporate"/>
    <s v="Envelopes"/>
    <n v="7"/>
    <n v="0.2"/>
    <n v="62.807499999999976"/>
    <n v="200.98400000000004"/>
  </r>
  <r>
    <s v="United States"/>
    <x v="128"/>
    <s v="Standard Class"/>
    <s v="Corporate"/>
    <s v="Paper"/>
    <n v="3"/>
    <n v="0.2"/>
    <n v="4.4849999999999994"/>
    <n v="14.352000000000002"/>
  </r>
  <r>
    <s v="United States"/>
    <x v="128"/>
    <s v="Standard Class"/>
    <s v="Corporate"/>
    <s v="Phones"/>
    <n v="2"/>
    <n v="0.2"/>
    <n v="1.3986000000000001"/>
    <n v="15.984000000000002"/>
  </r>
  <r>
    <s v="United States"/>
    <x v="128"/>
    <s v="Standard Class"/>
    <s v="Home Office"/>
    <s v="Art"/>
    <n v="3"/>
    <n v="0.2"/>
    <n v="0.46440000000000037"/>
    <n v="6.1920000000000002"/>
  </r>
  <r>
    <s v="United States"/>
    <x v="128"/>
    <s v="Standard Class"/>
    <s v="Home Office"/>
    <s v="Storage"/>
    <n v="2"/>
    <n v="0.2"/>
    <n v="4.6175999999999995"/>
    <n v="61.567999999999998"/>
  </r>
  <r>
    <s v="United States"/>
    <x v="129"/>
    <s v="First Class"/>
    <s v="Corporate"/>
    <s v="Accessories"/>
    <n v="2"/>
    <n v="0"/>
    <n v="19.7714"/>
    <n v="45.98"/>
  </r>
  <r>
    <s v="United States"/>
    <x v="129"/>
    <s v="First Class"/>
    <s v="Corporate"/>
    <s v="Binders"/>
    <n v="2"/>
    <n v="0"/>
    <n v="8.2061999999999991"/>
    <n v="17.46"/>
  </r>
  <r>
    <s v="United States"/>
    <x v="129"/>
    <s v="Standard Class"/>
    <s v="Consumer"/>
    <s v="Labels"/>
    <n v="3"/>
    <n v="0"/>
    <n v="6.8723999999999998"/>
    <n v="14.940000000000001"/>
  </r>
  <r>
    <s v="United States"/>
    <x v="129"/>
    <s v="Standard Class"/>
    <s v="Consumer"/>
    <s v="Paper"/>
    <n v="2"/>
    <n v="0"/>
    <n v="3.8519999999999994"/>
    <n v="8.56"/>
  </r>
  <r>
    <s v="United States"/>
    <x v="129"/>
    <s v="Standard Class"/>
    <s v="Consumer"/>
    <s v="Storage"/>
    <n v="5"/>
    <n v="0"/>
    <n v="14.148"/>
    <n v="52.400000000000006"/>
  </r>
  <r>
    <s v="United States"/>
    <x v="129"/>
    <s v="Standard Class"/>
    <s v="Home Office"/>
    <s v="Art"/>
    <n v="3"/>
    <n v="0"/>
    <n v="12.511800000000001"/>
    <n v="29.79"/>
  </r>
  <r>
    <s v="United States"/>
    <x v="129"/>
    <s v="Standard Class"/>
    <s v="Home Office"/>
    <s v="Labels"/>
    <n v="5"/>
    <n v="0"/>
    <n v="21.672000000000001"/>
    <n v="45.15"/>
  </r>
  <r>
    <s v="United States"/>
    <x v="130"/>
    <s v="First Class"/>
    <s v="Consumer"/>
    <s v="Art"/>
    <n v="3"/>
    <n v="0"/>
    <n v="9.702"/>
    <n v="34.650000000000006"/>
  </r>
  <r>
    <s v="United States"/>
    <x v="130"/>
    <s v="First Class"/>
    <s v="Consumer"/>
    <s v="Binders"/>
    <n v="5"/>
    <n v="0"/>
    <n v="38.376000000000005"/>
    <n v="79.95"/>
  </r>
  <r>
    <s v="United States"/>
    <x v="130"/>
    <s v="First Class"/>
    <s v="Consumer"/>
    <s v="Paper"/>
    <n v="9"/>
    <n v="0"/>
    <n v="112.86709999999999"/>
    <n v="230.87"/>
  </r>
  <r>
    <s v="United States"/>
    <x v="130"/>
    <s v="Standard Class"/>
    <s v="Consumer"/>
    <s v="Accessories"/>
    <n v="3"/>
    <n v="0"/>
    <n v="13.674000000000003"/>
    <n v="31.799999999999997"/>
  </r>
  <r>
    <s v="United States"/>
    <x v="131"/>
    <s v="Standard Class"/>
    <s v="Corporate"/>
    <s v="Accessories"/>
    <n v="3"/>
    <n v="0"/>
    <n v="18"/>
    <n v="75"/>
  </r>
  <r>
    <s v="United States"/>
    <x v="131"/>
    <s v="Standard Class"/>
    <s v="Corporate"/>
    <s v="Binders"/>
    <n v="1"/>
    <n v="0"/>
    <n v="74.690999999999988"/>
    <n v="165.98"/>
  </r>
  <r>
    <s v="United States"/>
    <x v="131"/>
    <s v="Standard Class"/>
    <s v="Corporate"/>
    <s v="Furnishings"/>
    <n v="3"/>
    <n v="0"/>
    <n v="9.3227999999999991"/>
    <n v="27.42"/>
  </r>
  <r>
    <s v="United States"/>
    <x v="132"/>
    <s v="First Class"/>
    <s v="Consumer"/>
    <s v="Paper"/>
    <n v="4"/>
    <n v="0"/>
    <n v="91.950799999999987"/>
    <n v="195.64"/>
  </r>
  <r>
    <s v="United States"/>
    <x v="132"/>
    <s v="First Class"/>
    <s v="Consumer"/>
    <s v="Phones"/>
    <n v="2"/>
    <n v="0"/>
    <n v="71.97"/>
    <n v="239.9"/>
  </r>
  <r>
    <s v="United States"/>
    <x v="132"/>
    <s v="Standard Class"/>
    <s v="Consumer"/>
    <s v="Bookcases"/>
    <n v="7"/>
    <n v="0"/>
    <n v="32.46879999999998"/>
    <n v="405.85999999999996"/>
  </r>
  <r>
    <s v="United States"/>
    <x v="132"/>
    <s v="Standard Class"/>
    <s v="Consumer"/>
    <s v="Chairs"/>
    <n v="3"/>
    <n v="0"/>
    <n v="176.80260000000001"/>
    <n v="680.01"/>
  </r>
  <r>
    <s v="United States"/>
    <x v="132"/>
    <s v="Standard Class"/>
    <s v="Corporate"/>
    <s v="Storage"/>
    <n v="2"/>
    <n v="0"/>
    <n v="8.465600000000002"/>
    <n v="32.56"/>
  </r>
  <r>
    <s v="United States"/>
    <x v="132"/>
    <s v="Standard Class"/>
    <s v="Home Office"/>
    <s v="Binders"/>
    <n v="3"/>
    <n v="0"/>
    <n v="45.839999999999996"/>
    <n v="91.679999999999993"/>
  </r>
  <r>
    <s v="United States"/>
    <x v="133"/>
    <s v="First Class"/>
    <s v="Consumer"/>
    <s v="Binders"/>
    <n v="1"/>
    <n v="0.8"/>
    <n v="-3.4122000000000003"/>
    <n v="2.0679999999999996"/>
  </r>
  <r>
    <s v="United States"/>
    <x v="133"/>
    <s v="First Class"/>
    <s v="Consumer"/>
    <s v="Paper"/>
    <n v="8"/>
    <n v="0.2"/>
    <n v="30.391999999999996"/>
    <n v="83.84"/>
  </r>
  <r>
    <s v="United States"/>
    <x v="133"/>
    <s v="Standard Class"/>
    <s v="Consumer"/>
    <s v="Fasteners"/>
    <n v="2"/>
    <n v="0.2"/>
    <n v="0.82879999999999987"/>
    <n v="2.3679999999999999"/>
  </r>
  <r>
    <s v="United States"/>
    <x v="134"/>
    <s v="Standard Class"/>
    <s v="Consumer"/>
    <s v="Labels"/>
    <n v="2"/>
    <n v="0"/>
    <n v="6.8713999999999995"/>
    <n v="14.62"/>
  </r>
  <r>
    <s v="United States"/>
    <x v="134"/>
    <s v="Standard Class"/>
    <s v="Consumer"/>
    <s v="Phones"/>
    <n v="7"/>
    <n v="0"/>
    <n v="236.23250000000002"/>
    <n v="944.93000000000006"/>
  </r>
  <r>
    <s v="United States"/>
    <x v="135"/>
    <s v="First Class"/>
    <s v="Consumer"/>
    <s v="Accessories"/>
    <n v="2"/>
    <n v="0"/>
    <n v="2.5779999999999994"/>
    <n v="25.78"/>
  </r>
  <r>
    <s v="United States"/>
    <x v="135"/>
    <s v="First Class"/>
    <s v="Consumer"/>
    <s v="Appliances"/>
    <n v="4"/>
    <n v="0"/>
    <n v="62.036799999999971"/>
    <n v="213.92"/>
  </r>
  <r>
    <s v="United States"/>
    <x v="135"/>
    <s v="First Class"/>
    <s v="Consumer"/>
    <s v="Art"/>
    <n v="5"/>
    <n v="0"/>
    <n v="10.5"/>
    <n v="37.5"/>
  </r>
  <r>
    <s v="United States"/>
    <x v="135"/>
    <s v="First Class"/>
    <s v="Consumer"/>
    <s v="Furnishings"/>
    <n v="4"/>
    <n v="0"/>
    <n v="34.812800000000003"/>
    <n v="80.959999999999994"/>
  </r>
  <r>
    <s v="United States"/>
    <x v="135"/>
    <s v="First Class"/>
    <s v="Consumer"/>
    <s v="Phones"/>
    <n v="2"/>
    <n v="0.2"/>
    <n v="34.178400000000011"/>
    <n v="455.71199999999999"/>
  </r>
  <r>
    <s v="United States"/>
    <x v="135"/>
    <s v="First Class"/>
    <s v="Consumer"/>
    <s v="Tables"/>
    <n v="5"/>
    <n v="0"/>
    <n v="311.65199999999999"/>
    <n v="1298.55"/>
  </r>
  <r>
    <s v="United States"/>
    <x v="135"/>
    <s v="Standard Class"/>
    <s v="Consumer"/>
    <s v="Binders"/>
    <n v="6"/>
    <n v="0.4"/>
    <n v="18.323399999999999"/>
    <n v="53.88000000000001"/>
  </r>
  <r>
    <s v="United States"/>
    <x v="135"/>
    <s v="Standard Class"/>
    <s v="Consumer"/>
    <s v="Fasteners"/>
    <n v="5"/>
    <n v="0"/>
    <n v="9.6039999999999992"/>
    <n v="19.600000000000001"/>
  </r>
  <r>
    <s v="United States"/>
    <x v="135"/>
    <s v="Standard Class"/>
    <s v="Consumer"/>
    <s v="Furnishings"/>
    <n v="2"/>
    <n v="0"/>
    <n v="20.537999999999997"/>
    <n v="68.459999999999994"/>
  </r>
  <r>
    <s v="United States"/>
    <x v="135"/>
    <s v="Standard Class"/>
    <s v="Consumer"/>
    <s v="Labels"/>
    <n v="2"/>
    <n v="0"/>
    <n v="3.4685999999999999"/>
    <n v="7.38"/>
  </r>
  <r>
    <s v="United States"/>
    <x v="135"/>
    <s v="Standard Class"/>
    <s v="Consumer"/>
    <s v="Paper"/>
    <n v="2"/>
    <n v="0"/>
    <n v="40.170200000000001"/>
    <n v="81.98"/>
  </r>
  <r>
    <s v="United States"/>
    <x v="135"/>
    <s v="Standard Class"/>
    <s v="Corporate"/>
    <s v="Accessories"/>
    <n v="3"/>
    <n v="0"/>
    <n v="86.385600000000011"/>
    <n v="179.97"/>
  </r>
  <r>
    <s v="United States"/>
    <x v="136"/>
    <s v="Standard Class"/>
    <s v="Corporate"/>
    <s v="Chairs"/>
    <n v="4"/>
    <n v="0.2"/>
    <n v="4.8391999999999911"/>
    <n v="387.13600000000002"/>
  </r>
  <r>
    <s v="United States"/>
    <x v="136"/>
    <s v="Standard Class"/>
    <s v="Home Office"/>
    <s v="Chairs"/>
    <n v="2"/>
    <n v="0.2"/>
    <n v="47.848000000000013"/>
    <n v="478.48"/>
  </r>
  <r>
    <s v="United States"/>
    <x v="137"/>
    <s v="First Class"/>
    <s v="Consumer"/>
    <s v="Chairs"/>
    <n v="5"/>
    <n v="0.3"/>
    <n v="-21.807999999999993"/>
    <n v="763.28"/>
  </r>
  <r>
    <s v="United States"/>
    <x v="137"/>
    <s v="First Class"/>
    <s v="Consumer"/>
    <s v="Paper"/>
    <n v="2"/>
    <n v="0.2"/>
    <n v="3.6288"/>
    <n v="10.368000000000002"/>
  </r>
  <r>
    <s v="United States"/>
    <x v="137"/>
    <s v="First Class"/>
    <s v="Consumer"/>
    <s v="Phones"/>
    <n v="7"/>
    <n v="0.4"/>
    <n v="34.044600000000017"/>
    <n v="616.64800000000002"/>
  </r>
  <r>
    <s v="United States"/>
    <x v="137"/>
    <s v="Same Day"/>
    <s v="Consumer"/>
    <s v="Paper"/>
    <n v="2"/>
    <n v="0.2"/>
    <n v="11.876799999999998"/>
    <n v="36.544000000000004"/>
  </r>
  <r>
    <s v="United States"/>
    <x v="137"/>
    <s v="Second Class"/>
    <s v="Consumer"/>
    <s v="Appliances"/>
    <n v="2"/>
    <n v="0.8"/>
    <n v="-13.580000000000002"/>
    <n v="5.4319999999999986"/>
  </r>
  <r>
    <s v="United States"/>
    <x v="137"/>
    <s v="Second Class"/>
    <s v="Consumer"/>
    <s v="Art"/>
    <n v="2"/>
    <n v="0.2"/>
    <n v="3.9679999999999964"/>
    <n v="31.744"/>
  </r>
  <r>
    <s v="United States"/>
    <x v="137"/>
    <s v="Second Class"/>
    <s v="Consumer"/>
    <s v="Storage"/>
    <n v="3"/>
    <n v="0.2"/>
    <n v="27.910800000000009"/>
    <n v="372.14400000000001"/>
  </r>
  <r>
    <s v="United States"/>
    <x v="137"/>
    <s v="Second Class"/>
    <s v="Consumer"/>
    <s v="Tables"/>
    <n v="5"/>
    <n v="0.3"/>
    <n v="-169.63700000000009"/>
    <n v="913.43000000000006"/>
  </r>
  <r>
    <s v="United States"/>
    <x v="137"/>
    <s v="Second Class"/>
    <s v="Corporate"/>
    <s v="Accessories"/>
    <n v="3"/>
    <n v="0.2"/>
    <n v="-10.797300000000011"/>
    <n v="95.976000000000013"/>
  </r>
  <r>
    <s v="United States"/>
    <x v="137"/>
    <s v="Standard Class"/>
    <s v="Consumer"/>
    <s v="Art"/>
    <n v="4"/>
    <n v="0.2"/>
    <n v="4.2408000000000001"/>
    <n v="17.856000000000002"/>
  </r>
  <r>
    <s v="United States"/>
    <x v="137"/>
    <s v="Standard Class"/>
    <s v="Consumer"/>
    <s v="Chairs"/>
    <n v="8"/>
    <n v="0.6"/>
    <n v="-2.0364000000000004"/>
    <n v="409.76599999999996"/>
  </r>
  <r>
    <s v="United States"/>
    <x v="137"/>
    <s v="Standard Class"/>
    <s v="Consumer"/>
    <s v="Fasteners"/>
    <n v="5"/>
    <n v="0.2"/>
    <n v="-3.5324999999999998"/>
    <n v="18.84"/>
  </r>
  <r>
    <s v="United States"/>
    <x v="137"/>
    <s v="Standard Class"/>
    <s v="Consumer"/>
    <s v="Furnishings"/>
    <n v="6"/>
    <n v="0.6"/>
    <n v="-34.953600000000002"/>
    <n v="63.552000000000007"/>
  </r>
  <r>
    <s v="United States"/>
    <x v="137"/>
    <s v="Standard Class"/>
    <s v="Consumer"/>
    <s v="Storage"/>
    <n v="3"/>
    <n v="0.2"/>
    <n v="-22.671600000000005"/>
    <n v="129.55199999999999"/>
  </r>
  <r>
    <s v="United States"/>
    <x v="137"/>
    <s v="Standard Class"/>
    <s v="Corporate"/>
    <s v="Envelopes"/>
    <n v="2"/>
    <n v="0.2"/>
    <n v="17.968399999999995"/>
    <n v="49.568000000000005"/>
  </r>
  <r>
    <s v="United States"/>
    <x v="137"/>
    <s v="Standard Class"/>
    <s v="Home Office"/>
    <s v="Binders"/>
    <n v="3"/>
    <n v="0.8"/>
    <n v="-6.8633999999999986"/>
    <n v="4.427999999999999"/>
  </r>
  <r>
    <s v="United States"/>
    <x v="137"/>
    <s v="Standard Class"/>
    <s v="Home Office"/>
    <s v="Labels"/>
    <n v="3"/>
    <n v="0.2"/>
    <n v="2.3409000000000004"/>
    <n v="6.9360000000000008"/>
  </r>
  <r>
    <s v="United States"/>
    <x v="138"/>
    <s v="Second Class"/>
    <s v="Consumer"/>
    <s v="Accessories"/>
    <n v="5"/>
    <n v="0"/>
    <n v="11.182499999999997"/>
    <n v="159.75"/>
  </r>
  <r>
    <s v="United States"/>
    <x v="138"/>
    <s v="Second Class"/>
    <s v="Consumer"/>
    <s v="Art"/>
    <n v="2"/>
    <n v="0"/>
    <n v="5.4895999999999994"/>
    <n v="11.68"/>
  </r>
  <r>
    <s v="United States"/>
    <x v="139"/>
    <s v="Standard Class"/>
    <s v="Home Office"/>
    <s v="Chairs"/>
    <n v="6"/>
    <n v="0.3"/>
    <n v="-172.11720000000003"/>
    <n v="634.11599999999999"/>
  </r>
  <r>
    <s v="United States"/>
    <x v="139"/>
    <s v="Standard Class"/>
    <s v="Home Office"/>
    <s v="Paper"/>
    <n v="5"/>
    <n v="0.4"/>
    <n v="8.9399999999999977"/>
    <n v="27.136000000000003"/>
  </r>
  <r>
    <s v="United States"/>
    <x v="139"/>
    <s v="Standard Class"/>
    <s v="Home Office"/>
    <s v="Storage"/>
    <n v="3"/>
    <n v="0.2"/>
    <n v="-48.954900000000002"/>
    <n v="230.376"/>
  </r>
  <r>
    <s v="United States"/>
    <x v="140"/>
    <s v="Second Class"/>
    <s v="Corporate"/>
    <s v="Binders"/>
    <n v="1"/>
    <n v="0.7"/>
    <n v="-1.3983999999999996"/>
    <n v="1.8240000000000003"/>
  </r>
  <r>
    <s v="United States"/>
    <x v="141"/>
    <s v="First Class"/>
    <s v="Consumer"/>
    <s v="Binders"/>
    <n v="5"/>
    <n v="0.2"/>
    <n v="2.351999999999999"/>
    <n v="6.7200000000000006"/>
  </r>
  <r>
    <s v="United States"/>
    <x v="141"/>
    <s v="First Class"/>
    <s v="Consumer"/>
    <s v="Tables"/>
    <n v="3"/>
    <n v="0.2"/>
    <n v="7.4693999999999932"/>
    <n v="298.77600000000001"/>
  </r>
  <r>
    <s v="United States"/>
    <x v="141"/>
    <s v="Second Class"/>
    <s v="Consumer"/>
    <s v="Accessories"/>
    <n v="2"/>
    <n v="0"/>
    <n v="57.590400000000002"/>
    <n v="119.98"/>
  </r>
  <r>
    <s v="United States"/>
    <x v="141"/>
    <s v="Second Class"/>
    <s v="Consumer"/>
    <s v="Binders"/>
    <n v="2"/>
    <n v="0.2"/>
    <n v="16.3352"/>
    <n v="46.672000000000004"/>
  </r>
  <r>
    <s v="United States"/>
    <x v="141"/>
    <s v="Second Class"/>
    <s v="Consumer"/>
    <s v="Bookcases"/>
    <n v="1"/>
    <n v="0.15"/>
    <n v="-12.688200000000002"/>
    <n v="119.83299999999998"/>
  </r>
  <r>
    <s v="United States"/>
    <x v="142"/>
    <s v="Standard Class"/>
    <s v="Consumer"/>
    <s v="Paper"/>
    <n v="3"/>
    <n v="0.2"/>
    <n v="5.6115000000000004"/>
    <n v="15.48"/>
  </r>
  <r>
    <s v="United States"/>
    <x v="142"/>
    <s v="Standard Class"/>
    <s v="Consumer"/>
    <s v="Phones"/>
    <n v="3"/>
    <n v="0.2"/>
    <n v="8.1432000000000002"/>
    <n v="108.57599999999999"/>
  </r>
  <r>
    <s v="United States"/>
    <x v="143"/>
    <s v="Second Class"/>
    <s v="Consumer"/>
    <s v="Art"/>
    <n v="3"/>
    <n v="0"/>
    <n v="15.642599999999995"/>
    <n v="53.94"/>
  </r>
  <r>
    <s v="United States"/>
    <x v="143"/>
    <s v="Second Class"/>
    <s v="Corporate"/>
    <s v="Binders"/>
    <n v="2"/>
    <n v="0.2"/>
    <n v="6.0367999999999986"/>
    <n v="17.248000000000001"/>
  </r>
  <r>
    <s v="United States"/>
    <x v="143"/>
    <s v="Standard Class"/>
    <s v="Home Office"/>
    <s v="Art"/>
    <n v="4"/>
    <n v="0"/>
    <n v="6.073599999999999"/>
    <n v="23.36"/>
  </r>
  <r>
    <s v="United States"/>
    <x v="144"/>
    <s v="Second Class"/>
    <s v="Corporate"/>
    <s v="Chairs"/>
    <n v="4"/>
    <n v="0.4"/>
    <n v="-111.96060000000008"/>
    <n v="755.13600000000008"/>
  </r>
  <r>
    <s v="United States"/>
    <x v="144"/>
    <s v="Second Class"/>
    <s v="Corporate"/>
    <s v="Labels"/>
    <n v="8"/>
    <n v="0.2"/>
    <n v="228.07919999999999"/>
    <n v="629.18400000000008"/>
  </r>
  <r>
    <s v="United States"/>
    <x v="144"/>
    <s v="Second Class"/>
    <s v="Corporate"/>
    <s v="Paper"/>
    <n v="4"/>
    <n v="0.4"/>
    <n v="22.094799999999999"/>
    <n v="63.128000000000007"/>
  </r>
  <r>
    <s v="United States"/>
    <x v="144"/>
    <s v="Second Class"/>
    <s v="Corporate"/>
    <s v="Supplies"/>
    <n v="7"/>
    <n v="0.2"/>
    <n v="-4.1761999999999997"/>
    <n v="17.584000000000003"/>
  </r>
  <r>
    <s v="United States"/>
    <x v="145"/>
    <s v="Second Class"/>
    <s v="Consumer"/>
    <s v="Chairs"/>
    <n v="3"/>
    <n v="0.3"/>
    <n v="-70.104300000000023"/>
    <n v="258.279"/>
  </r>
  <r>
    <s v="United States"/>
    <x v="145"/>
    <s v="Second Class"/>
    <s v="Consumer"/>
    <s v="Phones"/>
    <n v="1"/>
    <n v="0.2"/>
    <n v="0.89939999999999909"/>
    <n v="11.992000000000001"/>
  </r>
  <r>
    <s v="United States"/>
    <x v="145"/>
    <s v="Standard Class"/>
    <s v="Consumer"/>
    <s v="Accessories"/>
    <n v="3"/>
    <n v="0.2"/>
    <n v="-4.9004999999999974"/>
    <n v="43.56"/>
  </r>
  <r>
    <s v="United States"/>
    <x v="145"/>
    <s v="Standard Class"/>
    <s v="Consumer"/>
    <s v="Copiers"/>
    <n v="4"/>
    <n v="0.2"/>
    <n v="485.98919999999993"/>
    <n v="1439.9680000000001"/>
  </r>
  <r>
    <s v="United States"/>
    <x v="146"/>
    <s v="First Class"/>
    <s v="Consumer"/>
    <s v="Accessories"/>
    <n v="3"/>
    <n v="0"/>
    <n v="30.089999999999982"/>
    <n v="177"/>
  </r>
  <r>
    <s v="United States"/>
    <x v="146"/>
    <s v="First Class"/>
    <s v="Consumer"/>
    <s v="Art"/>
    <n v="3"/>
    <n v="0"/>
    <n v="14.263200000000001"/>
    <n v="50.94"/>
  </r>
  <r>
    <s v="United States"/>
    <x v="146"/>
    <s v="First Class"/>
    <s v="Consumer"/>
    <s v="Chairs"/>
    <n v="9"/>
    <n v="0"/>
    <n v="260.61120000000017"/>
    <n v="1628.82"/>
  </r>
  <r>
    <s v="United States"/>
    <x v="146"/>
    <s v="First Class"/>
    <s v="Consumer"/>
    <s v="Storage"/>
    <n v="7"/>
    <n v="0"/>
    <n v="22.246000000000006"/>
    <n v="79.45"/>
  </r>
  <r>
    <s v="United States"/>
    <x v="146"/>
    <s v="Second Class"/>
    <s v="Consumer"/>
    <s v="Art"/>
    <n v="2"/>
    <n v="0"/>
    <n v="6.5120000000000005"/>
    <n v="16.28"/>
  </r>
  <r>
    <s v="United States"/>
    <x v="146"/>
    <s v="Second Class"/>
    <s v="Consumer"/>
    <s v="Binders"/>
    <n v="7"/>
    <n v="0"/>
    <n v="116.39039999999999"/>
    <n v="242.48000000000002"/>
  </r>
  <r>
    <s v="United States"/>
    <x v="146"/>
    <s v="Second Class"/>
    <s v="Consumer"/>
    <s v="Bookcases"/>
    <n v="3"/>
    <n v="0"/>
    <n v="203.56440000000003"/>
    <n v="782.94"/>
  </r>
  <r>
    <s v="United States"/>
    <x v="146"/>
    <s v="Second Class"/>
    <s v="Consumer"/>
    <s v="Paper"/>
    <n v="11"/>
    <n v="0"/>
    <n v="111.14109999999998"/>
    <n v="230.69"/>
  </r>
  <r>
    <s v="United States"/>
    <x v="146"/>
    <s v="Second Class"/>
    <s v="Consumer"/>
    <s v="Phones"/>
    <n v="1"/>
    <n v="0"/>
    <n v="11.597099999999998"/>
    <n v="39.99"/>
  </r>
  <r>
    <s v="United States"/>
    <x v="146"/>
    <s v="Second Class"/>
    <s v="Home Office"/>
    <s v="Accessories"/>
    <n v="2"/>
    <n v="0"/>
    <n v="88.393200000000007"/>
    <n v="259.98"/>
  </r>
  <r>
    <s v="United States"/>
    <x v="146"/>
    <s v="Second Class"/>
    <s v="Home Office"/>
    <s v="Bookcases"/>
    <n v="1"/>
    <n v="0"/>
    <n v="32.486199999999997"/>
    <n v="170.98"/>
  </r>
  <r>
    <s v="United States"/>
    <x v="146"/>
    <s v="Second Class"/>
    <s v="Home Office"/>
    <s v="Furnishings"/>
    <n v="3"/>
    <n v="0"/>
    <n v="4.6763999999999992"/>
    <n v="38.97"/>
  </r>
  <r>
    <s v="United States"/>
    <x v="146"/>
    <s v="Second Class"/>
    <s v="Home Office"/>
    <s v="Paper"/>
    <n v="14"/>
    <n v="0"/>
    <n v="117.11519999999999"/>
    <n v="254.92000000000002"/>
  </r>
  <r>
    <s v="United States"/>
    <x v="146"/>
    <s v="Second Class"/>
    <s v="Home Office"/>
    <s v="Tables"/>
    <n v="4"/>
    <n v="0.3"/>
    <n v="0"/>
    <n v="446.06799999999998"/>
  </r>
  <r>
    <s v="United States"/>
    <x v="146"/>
    <s v="Standard Class"/>
    <s v="Consumer"/>
    <s v="Labels"/>
    <n v="3"/>
    <n v="0"/>
    <n v="10.307099999999998"/>
    <n v="21.93"/>
  </r>
  <r>
    <s v="United States"/>
    <x v="146"/>
    <s v="Standard Class"/>
    <s v="Consumer"/>
    <s v="Paper"/>
    <n v="5"/>
    <n v="0"/>
    <n v="42.047999999999995"/>
    <n v="87.6"/>
  </r>
  <r>
    <s v="United States"/>
    <x v="146"/>
    <s v="Standard Class"/>
    <s v="Corporate"/>
    <s v="Binders"/>
    <n v="1"/>
    <n v="0.2"/>
    <n v="1.3978000000000002"/>
    <n v="3.8560000000000003"/>
  </r>
  <r>
    <s v="United States"/>
    <x v="146"/>
    <s v="Standard Class"/>
    <s v="Home Office"/>
    <s v="Chairs"/>
    <n v="3"/>
    <n v="0"/>
    <n v="141.1644"/>
    <n v="542.93999999999994"/>
  </r>
  <r>
    <s v="United States"/>
    <x v="146"/>
    <s v="Standard Class"/>
    <s v="Home Office"/>
    <s v="Phones"/>
    <n v="2"/>
    <n v="0"/>
    <n v="147.47500000000002"/>
    <n v="589.9"/>
  </r>
  <r>
    <s v="United States"/>
    <x v="147"/>
    <s v="First Class"/>
    <s v="Consumer"/>
    <s v="Appliances"/>
    <n v="6"/>
    <n v="0.2"/>
    <n v="134.64319999999998"/>
    <n v="586.952"/>
  </r>
  <r>
    <s v="United States"/>
    <x v="147"/>
    <s v="First Class"/>
    <s v="Consumer"/>
    <s v="Binders"/>
    <n v="5"/>
    <n v="0"/>
    <n v="45.651199999999996"/>
    <n v="93.82"/>
  </r>
  <r>
    <s v="United States"/>
    <x v="147"/>
    <s v="First Class"/>
    <s v="Consumer"/>
    <s v="Labels"/>
    <n v="5"/>
    <n v="0.2"/>
    <n v="5.368999999999998"/>
    <n v="16.520000000000003"/>
  </r>
  <r>
    <s v="United States"/>
    <x v="147"/>
    <s v="First Class"/>
    <s v="Consumer"/>
    <s v="Paper"/>
    <n v="4"/>
    <n v="0"/>
    <n v="12.475199999999999"/>
    <n v="27.12"/>
  </r>
  <r>
    <s v="United States"/>
    <x v="147"/>
    <s v="First Class"/>
    <s v="Consumer"/>
    <s v="Tables"/>
    <n v="3"/>
    <n v="0.4"/>
    <n v="-122.87700000000004"/>
    <n v="409.59000000000003"/>
  </r>
  <r>
    <s v="United States"/>
    <x v="147"/>
    <s v="First Class"/>
    <s v="Corporate"/>
    <s v="Furnishings"/>
    <n v="8"/>
    <n v="0"/>
    <n v="16.961599999999997"/>
    <n v="48.040000000000006"/>
  </r>
  <r>
    <s v="United States"/>
    <x v="147"/>
    <s v="First Class"/>
    <s v="Corporate"/>
    <s v="Machines"/>
    <n v="2"/>
    <n v="0.2"/>
    <n v="53.271999999999991"/>
    <n v="532.72"/>
  </r>
  <r>
    <s v="United States"/>
    <x v="147"/>
    <s v="First Class"/>
    <s v="Corporate"/>
    <s v="Paper"/>
    <n v="9"/>
    <n v="0"/>
    <n v="28.795200000000001"/>
    <n v="59.72"/>
  </r>
  <r>
    <s v="United States"/>
    <x v="147"/>
    <s v="First Class"/>
    <s v="Corporate"/>
    <s v="Storage"/>
    <n v="7"/>
    <n v="0"/>
    <n v="7.9547999999999632"/>
    <n v="795.48"/>
  </r>
  <r>
    <s v="United States"/>
    <x v="147"/>
    <s v="Same Day"/>
    <s v="Consumer"/>
    <s v="Appliances"/>
    <n v="7"/>
    <n v="0"/>
    <n v="123.76909999999995"/>
    <n v="426.78999999999996"/>
  </r>
  <r>
    <s v="United States"/>
    <x v="147"/>
    <s v="Same Day"/>
    <s v="Consumer"/>
    <s v="Envelopes"/>
    <n v="3"/>
    <n v="0"/>
    <n v="5.1042000000000005"/>
    <n v="10.86"/>
  </r>
  <r>
    <s v="United States"/>
    <x v="147"/>
    <s v="Same Day"/>
    <s v="Consumer"/>
    <s v="Tables"/>
    <n v="1"/>
    <n v="0.3"/>
    <n v="-15.582599999999999"/>
    <n v="181.79699999999997"/>
  </r>
  <r>
    <s v="United States"/>
    <x v="147"/>
    <s v="Same Day"/>
    <s v="Corporate"/>
    <s v="Appliances"/>
    <n v="6"/>
    <n v="0.2"/>
    <n v="59.655599999999993"/>
    <n v="795.40800000000013"/>
  </r>
  <r>
    <s v="United States"/>
    <x v="147"/>
    <s v="Second Class"/>
    <s v="Consumer"/>
    <s v="Binders"/>
    <n v="24"/>
    <n v="0.7"/>
    <n v="52.881599999999992"/>
    <n v="143.68799999999999"/>
  </r>
  <r>
    <s v="United States"/>
    <x v="147"/>
    <s v="Second Class"/>
    <s v="Consumer"/>
    <s v="Chairs"/>
    <n v="4"/>
    <n v="0"/>
    <n v="150.38400000000001"/>
    <n v="751.92"/>
  </r>
  <r>
    <s v="United States"/>
    <x v="147"/>
    <s v="Second Class"/>
    <s v="Consumer"/>
    <s v="Paper"/>
    <n v="3"/>
    <n v="0.2"/>
    <n v="23.234999999999992"/>
    <n v="74.352000000000004"/>
  </r>
  <r>
    <s v="United States"/>
    <x v="147"/>
    <s v="Second Class"/>
    <s v="Consumer"/>
    <s v="Phones"/>
    <n v="9"/>
    <n v="0.4"/>
    <n v="231.14299999999997"/>
    <n v="842.51799999999992"/>
  </r>
  <r>
    <s v="United States"/>
    <x v="147"/>
    <s v="Second Class"/>
    <s v="Corporate"/>
    <s v="Labels"/>
    <n v="5"/>
    <n v="0"/>
    <n v="6.0029999999999992"/>
    <n v="13.049999999999999"/>
  </r>
  <r>
    <s v="United States"/>
    <x v="147"/>
    <s v="Standard Class"/>
    <s v="Consumer"/>
    <s v="Accessories"/>
    <n v="7"/>
    <n v="0.2"/>
    <n v="41.718599999999995"/>
    <n v="158.928"/>
  </r>
  <r>
    <s v="United States"/>
    <x v="147"/>
    <s v="Standard Class"/>
    <s v="Consumer"/>
    <s v="Binders"/>
    <n v="10"/>
    <n v="1.4"/>
    <n v="-53.859200000000001"/>
    <n v="84.106999999999999"/>
  </r>
  <r>
    <s v="United States"/>
    <x v="147"/>
    <s v="Standard Class"/>
    <s v="Consumer"/>
    <s v="Fasteners"/>
    <n v="13"/>
    <n v="0.2"/>
    <n v="12.776399999999999"/>
    <n v="39.311999999999998"/>
  </r>
  <r>
    <s v="United States"/>
    <x v="147"/>
    <s v="Standard Class"/>
    <s v="Consumer"/>
    <s v="Furnishings"/>
    <n v="5"/>
    <n v="0.4"/>
    <n v="34.97399999999999"/>
    <n v="548.96"/>
  </r>
  <r>
    <s v="United States"/>
    <x v="147"/>
    <s v="Standard Class"/>
    <s v="Consumer"/>
    <s v="Paper"/>
    <n v="1"/>
    <n v="0.2"/>
    <n v="1.1924999999999997"/>
    <n v="3.8159999999999998"/>
  </r>
  <r>
    <s v="United States"/>
    <x v="147"/>
    <s v="Standard Class"/>
    <s v="Consumer"/>
    <s v="Supplies"/>
    <n v="3"/>
    <n v="0"/>
    <n v="3.3755999999999986"/>
    <n v="11.64"/>
  </r>
  <r>
    <s v="United States"/>
    <x v="147"/>
    <s v="Standard Class"/>
    <s v="Consumer"/>
    <s v="Tables"/>
    <n v="2"/>
    <n v="0.4"/>
    <n v="-104.67300000000006"/>
    <n v="273.06"/>
  </r>
  <r>
    <s v="United States"/>
    <x v="147"/>
    <s v="Standard Class"/>
    <s v="Corporate"/>
    <s v="Art"/>
    <n v="2"/>
    <n v="0.2"/>
    <n v="0.30700000000000016"/>
    <n v="4.9119999999999999"/>
  </r>
  <r>
    <s v="United States"/>
    <x v="147"/>
    <s v="Standard Class"/>
    <s v="Corporate"/>
    <s v="Binders"/>
    <n v="4"/>
    <n v="0.4"/>
    <n v="10.993799999999997"/>
    <n v="34.623999999999995"/>
  </r>
  <r>
    <s v="United States"/>
    <x v="147"/>
    <s v="Standard Class"/>
    <s v="Corporate"/>
    <s v="Furnishings"/>
    <n v="6"/>
    <n v="0.2"/>
    <n v="-26.635200000000026"/>
    <n v="532.70400000000006"/>
  </r>
  <r>
    <s v="United States"/>
    <x v="147"/>
    <s v="Standard Class"/>
    <s v="Corporate"/>
    <s v="Phones"/>
    <n v="1"/>
    <n v="0"/>
    <n v="7.3451000000000004"/>
    <n v="14.99"/>
  </r>
  <r>
    <s v="United States"/>
    <x v="147"/>
    <s v="Standard Class"/>
    <s v="Corporate"/>
    <s v="Storage"/>
    <n v="14"/>
    <n v="0"/>
    <n v="203.42500000000001"/>
    <n v="1049.8699999999999"/>
  </r>
  <r>
    <s v="United States"/>
    <x v="147"/>
    <s v="Standard Class"/>
    <s v="Home Office"/>
    <s v="Chairs"/>
    <n v="3"/>
    <n v="0"/>
    <n v="251.20200000000003"/>
    <n v="897.15000000000009"/>
  </r>
  <r>
    <s v="United States"/>
    <x v="147"/>
    <s v="Standard Class"/>
    <s v="Home Office"/>
    <s v="Paper"/>
    <n v="3"/>
    <n v="0"/>
    <n v="9.3312000000000008"/>
    <n v="19.440000000000001"/>
  </r>
  <r>
    <s v="United States"/>
    <x v="148"/>
    <s v="Second Class"/>
    <s v="Consumer"/>
    <s v="Art"/>
    <n v="17"/>
    <n v="0"/>
    <n v="51.013199999999998"/>
    <n v="179.36"/>
  </r>
  <r>
    <s v="United States"/>
    <x v="148"/>
    <s v="Second Class"/>
    <s v="Consumer"/>
    <s v="Fasteners"/>
    <n v="3"/>
    <n v="0"/>
    <n v="3.4827000000000004"/>
    <n v="7.41"/>
  </r>
  <r>
    <s v="United States"/>
    <x v="148"/>
    <s v="Second Class"/>
    <s v="Consumer"/>
    <s v="Storage"/>
    <n v="4"/>
    <n v="0"/>
    <n v="162.09479999999996"/>
    <n v="704.76"/>
  </r>
  <r>
    <s v="United States"/>
    <x v="148"/>
    <s v="Standard Class"/>
    <s v="Home Office"/>
    <s v="Art"/>
    <n v="1"/>
    <n v="0"/>
    <n v="0.86799999999999988"/>
    <n v="2.48"/>
  </r>
  <r>
    <s v="United States"/>
    <x v="148"/>
    <s v="Standard Class"/>
    <s v="Home Office"/>
    <s v="Binders"/>
    <n v="5"/>
    <n v="0"/>
    <n v="12.690999999999999"/>
    <n v="25.9"/>
  </r>
  <r>
    <s v="United States"/>
    <x v="149"/>
    <s v="First Class"/>
    <s v="Corporate"/>
    <s v="Accessories"/>
    <n v="1"/>
    <n v="0"/>
    <n v="54.396599999999992"/>
    <n v="159.99"/>
  </r>
  <r>
    <s v="United States"/>
    <x v="149"/>
    <s v="Second Class"/>
    <s v="Consumer"/>
    <s v="Supplies"/>
    <n v="1"/>
    <n v="0"/>
    <n v="0.38640000000000008"/>
    <n v="12.88"/>
  </r>
  <r>
    <s v="United States"/>
    <x v="149"/>
    <s v="Standard Class"/>
    <s v="Consumer"/>
    <s v="Furnishings"/>
    <n v="9"/>
    <n v="0"/>
    <n v="114.6285"/>
    <n v="545.85"/>
  </r>
  <r>
    <s v="United States"/>
    <x v="150"/>
    <s v="First Class"/>
    <s v="Consumer"/>
    <s v="Accessories"/>
    <n v="5"/>
    <n v="0"/>
    <n v="15.378000000000004"/>
    <n v="34.950000000000003"/>
  </r>
  <r>
    <s v="United States"/>
    <x v="150"/>
    <s v="First Class"/>
    <s v="Consumer"/>
    <s v="Appliances"/>
    <n v="4"/>
    <n v="0.2"/>
    <n v="64.072799999999944"/>
    <n v="569.53599999999994"/>
  </r>
  <r>
    <s v="United States"/>
    <x v="150"/>
    <s v="First Class"/>
    <s v="Consumer"/>
    <s v="Binders"/>
    <n v="4"/>
    <n v="0"/>
    <n v="318.30160000000001"/>
    <n v="691.96"/>
  </r>
  <r>
    <s v="United States"/>
    <x v="150"/>
    <s v="First Class"/>
    <s v="Consumer"/>
    <s v="Paper"/>
    <n v="9"/>
    <n v="0.2"/>
    <n v="9.6299999999999955"/>
    <n v="30.816000000000003"/>
  </r>
  <r>
    <s v="United States"/>
    <x v="150"/>
    <s v="First Class"/>
    <s v="Consumer"/>
    <s v="Phones"/>
    <n v="2"/>
    <n v="0.2"/>
    <n v="4.4783999999999988"/>
    <n v="44.783999999999999"/>
  </r>
  <r>
    <s v="United States"/>
    <x v="150"/>
    <s v="Same Day"/>
    <s v="Consumer"/>
    <s v="Art"/>
    <n v="3"/>
    <n v="0.2"/>
    <n v="1.1555999999999984"/>
    <n v="10.272000000000002"/>
  </r>
  <r>
    <s v="United States"/>
    <x v="150"/>
    <s v="Second Class"/>
    <s v="Consumer"/>
    <s v="Appliances"/>
    <n v="3"/>
    <n v="0.2"/>
    <n v="43.713600000000014"/>
    <n v="499.58400000000006"/>
  </r>
  <r>
    <s v="United States"/>
    <x v="150"/>
    <s v="Second Class"/>
    <s v="Consumer"/>
    <s v="Binders"/>
    <n v="8"/>
    <n v="0.7"/>
    <n v="-10.617599999999999"/>
    <n v="13.272000000000002"/>
  </r>
  <r>
    <s v="United States"/>
    <x v="150"/>
    <s v="Second Class"/>
    <s v="Consumer"/>
    <s v="Chairs"/>
    <n v="2"/>
    <n v="0.2"/>
    <n v="22.529599999999995"/>
    <n v="225.29600000000002"/>
  </r>
  <r>
    <s v="United States"/>
    <x v="150"/>
    <s v="Second Class"/>
    <s v="Consumer"/>
    <s v="Furnishings"/>
    <n v="5"/>
    <n v="0.4"/>
    <n v="21.951599999999996"/>
    <n v="106.224"/>
  </r>
  <r>
    <s v="United States"/>
    <x v="150"/>
    <s v="Second Class"/>
    <s v="Consumer"/>
    <s v="Paper"/>
    <n v="16"/>
    <n v="0.60000000000000009"/>
    <n v="110.2799"/>
    <n v="308.60000000000002"/>
  </r>
  <r>
    <s v="United States"/>
    <x v="150"/>
    <s v="Second Class"/>
    <s v="Consumer"/>
    <s v="Storage"/>
    <n v="6"/>
    <n v="0.4"/>
    <n v="-81.264000000000038"/>
    <n v="406.32000000000005"/>
  </r>
  <r>
    <s v="United States"/>
    <x v="150"/>
    <s v="Second Class"/>
    <s v="Corporate"/>
    <s v="Binders"/>
    <n v="5"/>
    <n v="0.7"/>
    <n v="-5.7840000000000007"/>
    <n v="7.2300000000000022"/>
  </r>
  <r>
    <s v="United States"/>
    <x v="150"/>
    <s v="Second Class"/>
    <s v="Corporate"/>
    <s v="Furnishings"/>
    <n v="2"/>
    <n v="0.2"/>
    <n v="0.73919999999999941"/>
    <n v="4.9280000000000008"/>
  </r>
  <r>
    <s v="United States"/>
    <x v="150"/>
    <s v="Standard Class"/>
    <s v="Consumer"/>
    <s v="Accessories"/>
    <n v="2"/>
    <n v="0"/>
    <n v="171.99140000000003"/>
    <n v="399.98"/>
  </r>
  <r>
    <s v="United States"/>
    <x v="150"/>
    <s v="Standard Class"/>
    <s v="Consumer"/>
    <s v="Appliances"/>
    <n v="7"/>
    <n v="0.4"/>
    <n v="11.008000000000003"/>
    <n v="110.08000000000001"/>
  </r>
  <r>
    <s v="United States"/>
    <x v="150"/>
    <s v="Standard Class"/>
    <s v="Consumer"/>
    <s v="Art"/>
    <n v="9"/>
    <n v="0"/>
    <n v="5.3703000000000003"/>
    <n v="19.89"/>
  </r>
  <r>
    <s v="United States"/>
    <x v="150"/>
    <s v="Standard Class"/>
    <s v="Consumer"/>
    <s v="Binders"/>
    <n v="8"/>
    <n v="0.7"/>
    <n v="822.0637999999999"/>
    <n v="1822.7619999999999"/>
  </r>
  <r>
    <s v="United States"/>
    <x v="150"/>
    <s v="Standard Class"/>
    <s v="Consumer"/>
    <s v="Bookcases"/>
    <n v="4"/>
    <n v="0.2"/>
    <n v="-67.670399999999972"/>
    <n v="451.13599999999997"/>
  </r>
  <r>
    <s v="United States"/>
    <x v="150"/>
    <s v="Standard Class"/>
    <s v="Consumer"/>
    <s v="Envelopes"/>
    <n v="2"/>
    <n v="0"/>
    <n v="51.655799999999999"/>
    <n v="105.42"/>
  </r>
  <r>
    <s v="United States"/>
    <x v="150"/>
    <s v="Standard Class"/>
    <s v="Consumer"/>
    <s v="Furnishings"/>
    <n v="13"/>
    <n v="0.2"/>
    <n v="141.82160000000002"/>
    <n v="358.12199999999996"/>
  </r>
  <r>
    <s v="United States"/>
    <x v="150"/>
    <s v="Standard Class"/>
    <s v="Consumer"/>
    <s v="Paper"/>
    <n v="7"/>
    <n v="0.2"/>
    <n v="58.832799999999992"/>
    <n v="130.768"/>
  </r>
  <r>
    <s v="United States"/>
    <x v="150"/>
    <s v="Standard Class"/>
    <s v="Corporate"/>
    <s v="Accessories"/>
    <n v="9"/>
    <n v="0"/>
    <n v="78.81450000000001"/>
    <n v="204.55"/>
  </r>
  <r>
    <s v="United States"/>
    <x v="150"/>
    <s v="Standard Class"/>
    <s v="Corporate"/>
    <s v="Bookcases"/>
    <n v="8"/>
    <n v="0.2"/>
    <n v="-32.219200000000022"/>
    <n v="198.27200000000002"/>
  </r>
  <r>
    <s v="United States"/>
    <x v="150"/>
    <s v="Standard Class"/>
    <s v="Corporate"/>
    <s v="Furnishings"/>
    <n v="4"/>
    <n v="0"/>
    <n v="3.9248000000000003"/>
    <n v="8.92"/>
  </r>
  <r>
    <s v="United States"/>
    <x v="150"/>
    <s v="Standard Class"/>
    <s v="Corporate"/>
    <s v="Labels"/>
    <n v="1"/>
    <n v="0"/>
    <n v="3.4356999999999998"/>
    <n v="7.31"/>
  </r>
  <r>
    <s v="United States"/>
    <x v="150"/>
    <s v="Standard Class"/>
    <s v="Corporate"/>
    <s v="Paper"/>
    <n v="10"/>
    <n v="0.4"/>
    <n v="35.023999999999987"/>
    <n v="106.944"/>
  </r>
  <r>
    <s v="United States"/>
    <x v="150"/>
    <s v="Standard Class"/>
    <s v="Home Office"/>
    <s v="Binders"/>
    <n v="2"/>
    <n v="0"/>
    <n v="3.0575999999999999"/>
    <n v="6.24"/>
  </r>
  <r>
    <s v="United States"/>
    <x v="150"/>
    <s v="Standard Class"/>
    <s v="Home Office"/>
    <s v="Paper"/>
    <n v="8"/>
    <n v="0.4"/>
    <n v="16.9938"/>
    <n v="41.760000000000005"/>
  </r>
  <r>
    <s v="United States"/>
    <x v="151"/>
    <s v="First Class"/>
    <s v="Consumer"/>
    <s v="Fasteners"/>
    <n v="4"/>
    <n v="0"/>
    <n v="14.201999999999998"/>
    <n v="31.56"/>
  </r>
  <r>
    <s v="United States"/>
    <x v="151"/>
    <s v="First Class"/>
    <s v="Consumer"/>
    <s v="Storage"/>
    <n v="4"/>
    <n v="0"/>
    <n v="0.5583999999999989"/>
    <n v="27.92"/>
  </r>
  <r>
    <s v="United States"/>
    <x v="151"/>
    <s v="First Class"/>
    <s v="Corporate"/>
    <s v="Furnishings"/>
    <n v="3"/>
    <n v="0"/>
    <n v="21.751499999999986"/>
    <n v="127.94999999999999"/>
  </r>
  <r>
    <s v="United States"/>
    <x v="151"/>
    <s v="Second Class"/>
    <s v="Consumer"/>
    <s v="Appliances"/>
    <n v="3"/>
    <n v="0"/>
    <n v="50.584800000000008"/>
    <n v="180.66"/>
  </r>
  <r>
    <s v="United States"/>
    <x v="151"/>
    <s v="Second Class"/>
    <s v="Consumer"/>
    <s v="Binders"/>
    <n v="6"/>
    <n v="0"/>
    <n v="74.852400000000003"/>
    <n v="152.76"/>
  </r>
  <r>
    <s v="United States"/>
    <x v="151"/>
    <s v="Second Class"/>
    <s v="Consumer"/>
    <s v="Chairs"/>
    <n v="16"/>
    <n v="0"/>
    <n v="254.37539999999998"/>
    <n v="2121.8200000000002"/>
  </r>
  <r>
    <s v="United States"/>
    <x v="151"/>
    <s v="Second Class"/>
    <s v="Consumer"/>
    <s v="Phones"/>
    <n v="3"/>
    <n v="0"/>
    <n v="68.99199999999999"/>
    <n v="257.96999999999997"/>
  </r>
  <r>
    <s v="United States"/>
    <x v="151"/>
    <s v="Second Class"/>
    <s v="Consumer"/>
    <s v="Storage"/>
    <n v="6"/>
    <n v="0"/>
    <n v="19.188000000000002"/>
    <n v="191.88"/>
  </r>
  <r>
    <s v="United States"/>
    <x v="151"/>
    <s v="Second Class"/>
    <s v="Consumer"/>
    <s v="Supplies"/>
    <n v="1"/>
    <n v="0"/>
    <n v="1.9629000000000003"/>
    <n v="7.27"/>
  </r>
  <r>
    <s v="United States"/>
    <x v="151"/>
    <s v="Second Class"/>
    <s v="Home Office"/>
    <s v="Accessories"/>
    <n v="1"/>
    <n v="0"/>
    <n v="3.2399999999999984"/>
    <n v="18"/>
  </r>
  <r>
    <s v="United States"/>
    <x v="151"/>
    <s v="Standard Class"/>
    <s v="Consumer"/>
    <s v="Accessories"/>
    <n v="4"/>
    <n v="0"/>
    <n v="18.390799999999999"/>
    <n v="79.959999999999994"/>
  </r>
  <r>
    <s v="United States"/>
    <x v="151"/>
    <s v="Standard Class"/>
    <s v="Consumer"/>
    <s v="Machines"/>
    <n v="7"/>
    <n v="0"/>
    <n v="1416.7999999999997"/>
    <n v="3080"/>
  </r>
  <r>
    <s v="United States"/>
    <x v="151"/>
    <s v="Standard Class"/>
    <s v="Consumer"/>
    <s v="Paper"/>
    <n v="2"/>
    <n v="0"/>
    <n v="5.6159999999999997"/>
    <n v="12.48"/>
  </r>
  <r>
    <s v="United States"/>
    <x v="151"/>
    <s v="Standard Class"/>
    <s v="Consumer"/>
    <s v="Phones"/>
    <n v="3"/>
    <n v="0"/>
    <n v="170.51129999999998"/>
    <n v="587.97"/>
  </r>
  <r>
    <s v="United States"/>
    <x v="151"/>
    <s v="Standard Class"/>
    <s v="Corporate"/>
    <s v="Art"/>
    <n v="15"/>
    <n v="0"/>
    <n v="18.247199999999999"/>
    <n v="53.28"/>
  </r>
  <r>
    <s v="United States"/>
    <x v="151"/>
    <s v="Standard Class"/>
    <s v="Corporate"/>
    <s v="Storage"/>
    <n v="12"/>
    <n v="0"/>
    <n v="27.253199999999985"/>
    <n v="685.26"/>
  </r>
  <r>
    <s v="United States"/>
    <x v="151"/>
    <s v="Standard Class"/>
    <s v="Home Office"/>
    <s v="Paper"/>
    <n v="1"/>
    <n v="0"/>
    <n v="2.4402000000000004"/>
    <n v="4.9800000000000004"/>
  </r>
  <r>
    <s v="United States"/>
    <x v="152"/>
    <s v="First Class"/>
    <s v="Home Office"/>
    <s v="Envelopes"/>
    <n v="3"/>
    <n v="0.2"/>
    <n v="5.2026000000000003"/>
    <n v="14.352000000000002"/>
  </r>
  <r>
    <s v="United States"/>
    <x v="152"/>
    <s v="First Class"/>
    <s v="Home Office"/>
    <s v="Furnishings"/>
    <n v="3"/>
    <n v="0.2"/>
    <n v="9.832800000000006"/>
    <n v="98.328000000000003"/>
  </r>
  <r>
    <s v="United States"/>
    <x v="152"/>
    <s v="Second Class"/>
    <s v="Consumer"/>
    <s v="Binders"/>
    <n v="4"/>
    <n v="0.7"/>
    <n v="-2.5343999999999998"/>
    <n v="3.1680000000000006"/>
  </r>
  <r>
    <s v="United States"/>
    <x v="152"/>
    <s v="Second Class"/>
    <s v="Consumer"/>
    <s v="Chairs"/>
    <n v="4"/>
    <n v="0.2"/>
    <n v="-28.95679999999993"/>
    <n v="579.13599999999997"/>
  </r>
  <r>
    <s v="United States"/>
    <x v="152"/>
    <s v="Second Class"/>
    <s v="Consumer"/>
    <s v="Labels"/>
    <n v="2"/>
    <n v="0.2"/>
    <n v="3.9473999999999996"/>
    <n v="11.696"/>
  </r>
  <r>
    <s v="United States"/>
    <x v="152"/>
    <s v="Standard Class"/>
    <s v="Consumer"/>
    <s v="Accessories"/>
    <n v="2"/>
    <n v="0.2"/>
    <n v="0.59979999999999656"/>
    <n v="47.984000000000002"/>
  </r>
  <r>
    <s v="United States"/>
    <x v="152"/>
    <s v="Standard Class"/>
    <s v="Consumer"/>
    <s v="Bookcases"/>
    <n v="2"/>
    <n v="0.7"/>
    <n v="-240.78400000000005"/>
    <n v="180.58800000000005"/>
  </r>
  <r>
    <s v="United States"/>
    <x v="153"/>
    <s v="First Class"/>
    <s v="Consumer"/>
    <s v="Furnishings"/>
    <n v="3"/>
    <n v="0.2"/>
    <n v="5.7312000000000012"/>
    <n v="19.103999999999999"/>
  </r>
  <r>
    <s v="United States"/>
    <x v="153"/>
    <s v="Second Class"/>
    <s v="Consumer"/>
    <s v="Binders"/>
    <n v="4"/>
    <n v="0.7"/>
    <n v="-5.1760000000000002"/>
    <n v="7.7640000000000011"/>
  </r>
  <r>
    <s v="United States"/>
    <x v="153"/>
    <s v="Second Class"/>
    <s v="Corporate"/>
    <s v="Appliances"/>
    <n v="5"/>
    <n v="0.2"/>
    <n v="130.28849999999983"/>
    <n v="1158.1199999999999"/>
  </r>
  <r>
    <s v="United States"/>
    <x v="153"/>
    <s v="Standard Class"/>
    <s v="Consumer"/>
    <s v="Bookcases"/>
    <n v="5"/>
    <n v="0.2"/>
    <n v="-81.440999999999946"/>
    <n v="723.92"/>
  </r>
  <r>
    <s v="United States"/>
    <x v="153"/>
    <s v="Standard Class"/>
    <s v="Consumer"/>
    <s v="Phones"/>
    <n v="1"/>
    <n v="0.2"/>
    <n v="14.594999999999985"/>
    <n v="116.75999999999999"/>
  </r>
  <r>
    <s v="United States"/>
    <x v="153"/>
    <s v="Standard Class"/>
    <s v="Consumer"/>
    <s v="Storage"/>
    <n v="2"/>
    <n v="0.2"/>
    <n v="2.5163999999999991"/>
    <n v="22.368000000000002"/>
  </r>
  <r>
    <s v="United States"/>
    <x v="153"/>
    <s v="Standard Class"/>
    <s v="Consumer"/>
    <s v="Tables"/>
    <n v="12"/>
    <n v="0.9"/>
    <n v="-497.38440000000003"/>
    <n v="1288.6005"/>
  </r>
  <r>
    <s v="United States"/>
    <x v="153"/>
    <s v="Standard Class"/>
    <s v="Corporate"/>
    <s v="Phones"/>
    <n v="7"/>
    <n v="0.2"/>
    <n v="58.46399999999997"/>
    <n v="519.67999999999995"/>
  </r>
  <r>
    <s v="United States"/>
    <x v="153"/>
    <s v="Standard Class"/>
    <s v="Home Office"/>
    <s v="Accessories"/>
    <n v="12"/>
    <n v="0.4"/>
    <n v="248.26079999999999"/>
    <n v="841.34400000000005"/>
  </r>
  <r>
    <s v="United States"/>
    <x v="153"/>
    <s v="Standard Class"/>
    <s v="Home Office"/>
    <s v="Binders"/>
    <n v="8"/>
    <n v="0.7"/>
    <n v="-21.084799999999994"/>
    <n v="28.752000000000006"/>
  </r>
  <r>
    <s v="United States"/>
    <x v="153"/>
    <s v="Standard Class"/>
    <s v="Home Office"/>
    <s v="Furnishings"/>
    <n v="2"/>
    <n v="0.2"/>
    <n v="9.6832000000000011"/>
    <n v="45.568000000000005"/>
  </r>
  <r>
    <s v="United States"/>
    <x v="153"/>
    <s v="Standard Class"/>
    <s v="Home Office"/>
    <s v="Paper"/>
    <n v="2"/>
    <n v="0.2"/>
    <n v="3.6288"/>
    <n v="10.368000000000002"/>
  </r>
  <r>
    <s v="United States"/>
    <x v="153"/>
    <s v="Standard Class"/>
    <s v="Home Office"/>
    <s v="Storage"/>
    <n v="2"/>
    <n v="0.2"/>
    <n v="-29.436800000000012"/>
    <n v="147.184"/>
  </r>
  <r>
    <s v="United States"/>
    <x v="154"/>
    <s v="First Class"/>
    <s v="Consumer"/>
    <s v="Binders"/>
    <n v="1"/>
    <n v="0.8"/>
    <n v="-8.472800000000003"/>
    <n v="4.9839999999999991"/>
  </r>
  <r>
    <s v="United States"/>
    <x v="154"/>
    <s v="First Class"/>
    <s v="Consumer"/>
    <s v="Furnishings"/>
    <n v="1"/>
    <n v="0.6"/>
    <n v="-1.4413"/>
    <n v="1.988"/>
  </r>
  <r>
    <s v="United States"/>
    <x v="154"/>
    <s v="Same Day"/>
    <s v="Consumer"/>
    <s v="Accessories"/>
    <n v="1"/>
    <n v="0.2"/>
    <n v="-7.1990999999999961"/>
    <n v="63.991999999999997"/>
  </r>
  <r>
    <s v="United States"/>
    <x v="154"/>
    <s v="Same Day"/>
    <s v="Consumer"/>
    <s v="Chairs"/>
    <n v="5"/>
    <n v="0.3"/>
    <n v="-88.783999999999978"/>
    <n v="388.42999999999995"/>
  </r>
  <r>
    <s v="United States"/>
    <x v="154"/>
    <s v="Same Day"/>
    <s v="Consumer"/>
    <s v="Paper"/>
    <n v="5"/>
    <n v="0.4"/>
    <n v="8.8314000000000004"/>
    <n v="24.720000000000006"/>
  </r>
  <r>
    <s v="United States"/>
    <x v="154"/>
    <s v="Second Class"/>
    <s v="Home Office"/>
    <s v="Paper"/>
    <n v="11"/>
    <n v="0.2"/>
    <n v="130.75810000000001"/>
    <n v="360.71199999999999"/>
  </r>
  <r>
    <s v="United States"/>
    <x v="154"/>
    <s v="Second Class"/>
    <s v="Home Office"/>
    <s v="Phones"/>
    <n v="6"/>
    <n v="0.2"/>
    <n v="150.36000000000013"/>
    <n v="1718.4"/>
  </r>
  <r>
    <s v="United States"/>
    <x v="154"/>
    <s v="Standard Class"/>
    <s v="Consumer"/>
    <s v="Accessories"/>
    <n v="2"/>
    <n v="0.2"/>
    <n v="7.263999999999994"/>
    <n v="58.112000000000002"/>
  </r>
  <r>
    <s v="United States"/>
    <x v="154"/>
    <s v="Standard Class"/>
    <s v="Consumer"/>
    <s v="Appliances"/>
    <n v="4"/>
    <n v="0.8"/>
    <n v="-8.532"/>
    <n v="3.1599999999999993"/>
  </r>
  <r>
    <s v="United States"/>
    <x v="154"/>
    <s v="Standard Class"/>
    <s v="Consumer"/>
    <s v="Copiers"/>
    <n v="5"/>
    <n v="0.2"/>
    <n v="624.98749999999995"/>
    <n v="1999.96"/>
  </r>
  <r>
    <s v="United States"/>
    <x v="154"/>
    <s v="Standard Class"/>
    <s v="Consumer"/>
    <s v="Furnishings"/>
    <n v="4"/>
    <n v="0.6"/>
    <n v="-84.292799999999986"/>
    <n v="66.112000000000009"/>
  </r>
  <r>
    <s v="United States"/>
    <x v="154"/>
    <s v="Standard Class"/>
    <s v="Consumer"/>
    <s v="Phones"/>
    <n v="1"/>
    <n v="0.2"/>
    <n v="6.2995000000000019"/>
    <n v="100.792"/>
  </r>
  <r>
    <s v="United States"/>
    <x v="154"/>
    <s v="Standard Class"/>
    <s v="Corporate"/>
    <s v="Appliances"/>
    <n v="3"/>
    <n v="0.8"/>
    <n v="-67.617000000000019"/>
    <n v="24.587999999999994"/>
  </r>
  <r>
    <s v="United States"/>
    <x v="154"/>
    <s v="Standard Class"/>
    <s v="Corporate"/>
    <s v="Art"/>
    <n v="3"/>
    <n v="0.4"/>
    <n v="1.5509999999999999"/>
    <n v="14.672000000000001"/>
  </r>
  <r>
    <s v="United States"/>
    <x v="154"/>
    <s v="Standard Class"/>
    <s v="Corporate"/>
    <s v="Binders"/>
    <n v="17"/>
    <n v="2.4000000000000004"/>
    <n v="-34.513000000000005"/>
    <n v="20.735999999999997"/>
  </r>
  <r>
    <s v="United States"/>
    <x v="154"/>
    <s v="Standard Class"/>
    <s v="Corporate"/>
    <s v="Bookcases"/>
    <n v="11"/>
    <n v="0.64"/>
    <n v="-161.30140000000006"/>
    <n v="843.73039999999992"/>
  </r>
  <r>
    <s v="United States"/>
    <x v="154"/>
    <s v="Standard Class"/>
    <s v="Corporate"/>
    <s v="Labels"/>
    <n v="4"/>
    <n v="0.2"/>
    <n v="11.592000000000001"/>
    <n v="33.119999999999997"/>
  </r>
  <r>
    <s v="United States"/>
    <x v="154"/>
    <s v="Standard Class"/>
    <s v="Corporate"/>
    <s v="Paper"/>
    <n v="2"/>
    <n v="0.2"/>
    <n v="3.2871999999999999"/>
    <n v="9.3920000000000012"/>
  </r>
  <r>
    <s v="United States"/>
    <x v="154"/>
    <s v="Standard Class"/>
    <s v="Corporate"/>
    <s v="Phones"/>
    <n v="3"/>
    <n v="0.2"/>
    <n v="1.5804"/>
    <n v="21.071999999999999"/>
  </r>
  <r>
    <s v="United States"/>
    <x v="154"/>
    <s v="Standard Class"/>
    <s v="Corporate"/>
    <s v="Storage"/>
    <n v="5"/>
    <n v="0.2"/>
    <n v="-57.950999999999993"/>
    <n v="772.68000000000006"/>
  </r>
  <r>
    <s v="United States"/>
    <x v="154"/>
    <s v="Standard Class"/>
    <s v="Home Office"/>
    <s v="Appliances"/>
    <n v="5"/>
    <n v="0.8"/>
    <n v="-123.858"/>
    <n v="68.809999999999988"/>
  </r>
  <r>
    <s v="United States"/>
    <x v="154"/>
    <s v="Standard Class"/>
    <s v="Home Office"/>
    <s v="Binders"/>
    <n v="3"/>
    <n v="0.8"/>
    <n v="-3.8160000000000016"/>
    <n v="2.5439999999999996"/>
  </r>
  <r>
    <s v="United States"/>
    <x v="155"/>
    <s v="First Class"/>
    <s v="Consumer"/>
    <s v="Paper"/>
    <n v="2"/>
    <n v="0.2"/>
    <n v="26.902399999999993"/>
    <n v="76.864000000000004"/>
  </r>
  <r>
    <s v="United States"/>
    <x v="155"/>
    <s v="Standard Class"/>
    <s v="Consumer"/>
    <s v="Appliances"/>
    <n v="8"/>
    <n v="0.8"/>
    <n v="-52.958400000000012"/>
    <n v="20.767999999999997"/>
  </r>
  <r>
    <s v="United States"/>
    <x v="156"/>
    <s v="First Class"/>
    <s v="Corporate"/>
    <s v="Bookcases"/>
    <n v="1"/>
    <n v="0"/>
    <n v="20.484999999999999"/>
    <n v="81.94"/>
  </r>
  <r>
    <s v="United States"/>
    <x v="156"/>
    <s v="First Class"/>
    <s v="Home Office"/>
    <s v="Accessories"/>
    <n v="3"/>
    <n v="0"/>
    <n v="27.352799999999998"/>
    <n v="113.97"/>
  </r>
  <r>
    <s v="United States"/>
    <x v="156"/>
    <s v="First Class"/>
    <s v="Home Office"/>
    <s v="Binders"/>
    <n v="2"/>
    <n v="0"/>
    <n v="1.728"/>
    <n v="3.6"/>
  </r>
  <r>
    <s v="United States"/>
    <x v="156"/>
    <s v="First Class"/>
    <s v="Home Office"/>
    <s v="Furnishings"/>
    <n v="5"/>
    <n v="0"/>
    <n v="23.384"/>
    <n v="63.2"/>
  </r>
  <r>
    <s v="United States"/>
    <x v="156"/>
    <s v="Same Day"/>
    <s v="Corporate"/>
    <s v="Storage"/>
    <n v="3"/>
    <n v="0"/>
    <n v="10.475399999999999"/>
    <n v="40.29"/>
  </r>
  <r>
    <s v="United States"/>
    <x v="156"/>
    <s v="Second Class"/>
    <s v="Consumer"/>
    <s v="Appliances"/>
    <n v="3"/>
    <n v="0"/>
    <n v="297.64349999999996"/>
    <n v="901.94999999999993"/>
  </r>
  <r>
    <s v="United States"/>
    <x v="156"/>
    <s v="Second Class"/>
    <s v="Consumer"/>
    <s v="Furnishings"/>
    <n v="5"/>
    <n v="0"/>
    <n v="48.906000000000006"/>
    <n v="111.15"/>
  </r>
  <r>
    <s v="United States"/>
    <x v="156"/>
    <s v="Second Class"/>
    <s v="Consumer"/>
    <s v="Phones"/>
    <n v="3"/>
    <n v="0"/>
    <n v="35.864399999999996"/>
    <n v="137.94"/>
  </r>
  <r>
    <s v="United States"/>
    <x v="156"/>
    <s v="Second Class"/>
    <s v="Consumer"/>
    <s v="Tables"/>
    <n v="3"/>
    <n v="0.3"/>
    <n v="-47.058300000000003"/>
    <n v="366.00899999999996"/>
  </r>
  <r>
    <s v="United States"/>
    <x v="156"/>
    <s v="Second Class"/>
    <s v="Corporate"/>
    <s v="Binders"/>
    <n v="2"/>
    <n v="0.7"/>
    <n v="-2.0621999999999998"/>
    <n v="2.9460000000000006"/>
  </r>
  <r>
    <s v="United States"/>
    <x v="156"/>
    <s v="Second Class"/>
    <s v="Corporate"/>
    <s v="Tables"/>
    <n v="3"/>
    <n v="0.4"/>
    <n v="-29.323800000000006"/>
    <n v="79.97399999999999"/>
  </r>
  <r>
    <s v="United States"/>
    <x v="156"/>
    <s v="Standard Class"/>
    <s v="Consumer"/>
    <s v="Art"/>
    <n v="5"/>
    <n v="0"/>
    <n v="3.3784999999999989"/>
    <n v="11.65"/>
  </r>
  <r>
    <s v="United States"/>
    <x v="156"/>
    <s v="Standard Class"/>
    <s v="Consumer"/>
    <s v="Paper"/>
    <n v="1"/>
    <n v="0.2"/>
    <n v="1.8144"/>
    <n v="5.1840000000000011"/>
  </r>
  <r>
    <s v="United States"/>
    <x v="156"/>
    <s v="Standard Class"/>
    <s v="Consumer"/>
    <s v="Phones"/>
    <n v="3"/>
    <n v="0.2"/>
    <n v="-9.153000000000004"/>
    <n v="40.68"/>
  </r>
  <r>
    <s v="United States"/>
    <x v="156"/>
    <s v="Standard Class"/>
    <s v="Consumer"/>
    <s v="Tables"/>
    <n v="3"/>
    <n v="0.3"/>
    <n v="-130.0104"/>
    <n v="700.05600000000004"/>
  </r>
  <r>
    <s v="United States"/>
    <x v="156"/>
    <s v="Standard Class"/>
    <s v="Corporate"/>
    <s v="Appliances"/>
    <n v="2"/>
    <n v="0.2"/>
    <n v="2.3363999999999976"/>
    <n v="20.768000000000001"/>
  </r>
  <r>
    <s v="United States"/>
    <x v="156"/>
    <s v="Standard Class"/>
    <s v="Corporate"/>
    <s v="Binders"/>
    <n v="15"/>
    <n v="0"/>
    <n v="189.48320000000001"/>
    <n v="400.54"/>
  </r>
  <r>
    <s v="United States"/>
    <x v="156"/>
    <s v="Standard Class"/>
    <s v="Corporate"/>
    <s v="Bookcases"/>
    <n v="6"/>
    <n v="0"/>
    <n v="407.12880000000007"/>
    <n v="1565.88"/>
  </r>
  <r>
    <s v="United States"/>
    <x v="156"/>
    <s v="Standard Class"/>
    <s v="Corporate"/>
    <s v="Chairs"/>
    <n v="11"/>
    <n v="0"/>
    <n v="628.77539999999988"/>
    <n v="2344.7799999999997"/>
  </r>
  <r>
    <s v="United States"/>
    <x v="156"/>
    <s v="Standard Class"/>
    <s v="Corporate"/>
    <s v="Furnishings"/>
    <n v="7"/>
    <n v="0.2"/>
    <n v="9.6712000000000025"/>
    <n v="35.168000000000006"/>
  </r>
  <r>
    <s v="United States"/>
    <x v="156"/>
    <s v="Standard Class"/>
    <s v="Corporate"/>
    <s v="Paper"/>
    <n v="2"/>
    <n v="0"/>
    <n v="3.0267999999999997"/>
    <n v="6.58"/>
  </r>
  <r>
    <s v="United States"/>
    <x v="156"/>
    <s v="Standard Class"/>
    <s v="Corporate"/>
    <s v="Phones"/>
    <n v="14"/>
    <n v="0"/>
    <n v="109.80030000000002"/>
    <n v="534.42000000000007"/>
  </r>
  <r>
    <s v="United States"/>
    <x v="156"/>
    <s v="Standard Class"/>
    <s v="Corporate"/>
    <s v="Tables"/>
    <n v="7"/>
    <n v="0.3"/>
    <n v="-297.68479999999983"/>
    <n v="1488.4239999999998"/>
  </r>
  <r>
    <s v="United States"/>
    <x v="156"/>
    <s v="Standard Class"/>
    <s v="Home Office"/>
    <s v="Accessories"/>
    <n v="3"/>
    <n v="0"/>
    <n v="14.870699999999998"/>
    <n v="47.97"/>
  </r>
  <r>
    <s v="United States"/>
    <x v="156"/>
    <s v="Standard Class"/>
    <s v="Home Office"/>
    <s v="Art"/>
    <n v="2"/>
    <n v="0.2"/>
    <n v="0.31679999999999986"/>
    <n v="2.8160000000000003"/>
  </r>
  <r>
    <s v="United States"/>
    <x v="156"/>
    <s v="Standard Class"/>
    <s v="Home Office"/>
    <s v="Binders"/>
    <n v="7"/>
    <n v="0.7"/>
    <n v="49.006799999999998"/>
    <n v="117.804"/>
  </r>
  <r>
    <s v="United States"/>
    <x v="156"/>
    <s v="Standard Class"/>
    <s v="Home Office"/>
    <s v="Chairs"/>
    <n v="1"/>
    <n v="0"/>
    <n v="15.185000000000002"/>
    <n v="60.74"/>
  </r>
  <r>
    <s v="United States"/>
    <x v="156"/>
    <s v="Standard Class"/>
    <s v="Home Office"/>
    <s v="Furnishings"/>
    <n v="2"/>
    <n v="0"/>
    <n v="27.359200000000001"/>
    <n v="124.36"/>
  </r>
  <r>
    <s v="United States"/>
    <x v="156"/>
    <s v="Standard Class"/>
    <s v="Home Office"/>
    <s v="Labels"/>
    <n v="4"/>
    <n v="0.2"/>
    <n v="4.1999999999999993"/>
    <n v="12"/>
  </r>
  <r>
    <s v="United States"/>
    <x v="156"/>
    <s v="Standard Class"/>
    <s v="Home Office"/>
    <s v="Storage"/>
    <n v="11"/>
    <n v="0.4"/>
    <n v="247.96779999999984"/>
    <n v="1834.248"/>
  </r>
  <r>
    <s v="United States"/>
    <x v="157"/>
    <s v="First Class"/>
    <s v="Consumer"/>
    <s v="Binders"/>
    <n v="4"/>
    <n v="0.8"/>
    <n v="-145.17600000000002"/>
    <n v="96.783999999999978"/>
  </r>
  <r>
    <s v="United States"/>
    <x v="157"/>
    <s v="First Class"/>
    <s v="Consumer"/>
    <s v="Furnishings"/>
    <n v="3"/>
    <n v="0.6"/>
    <n v="-6.8094000000000037"/>
    <n v="10.476000000000001"/>
  </r>
  <r>
    <s v="United States"/>
    <x v="157"/>
    <s v="First Class"/>
    <s v="Consumer"/>
    <s v="Paper"/>
    <n v="3"/>
    <n v="0.2"/>
    <n v="20.576399999999996"/>
    <n v="63.311999999999998"/>
  </r>
  <r>
    <s v="United States"/>
    <x v="157"/>
    <s v="Same Day"/>
    <s v="Consumer"/>
    <s v="Chairs"/>
    <n v="1"/>
    <n v="0.1"/>
    <n v="6.8388000000000009"/>
    <n v="102.58200000000001"/>
  </r>
  <r>
    <s v="United States"/>
    <x v="157"/>
    <s v="Same Day"/>
    <s v="Consumer"/>
    <s v="Paper"/>
    <n v="3"/>
    <n v="0"/>
    <n v="9.6191999999999993"/>
    <n v="20.04"/>
  </r>
  <r>
    <s v="United States"/>
    <x v="157"/>
    <s v="Second Class"/>
    <s v="Consumer"/>
    <s v="Binders"/>
    <n v="2"/>
    <n v="0.2"/>
    <n v="6.0367999999999986"/>
    <n v="17.248000000000001"/>
  </r>
  <r>
    <s v="United States"/>
    <x v="157"/>
    <s v="Standard Class"/>
    <s v="Consumer"/>
    <s v="Art"/>
    <n v="3"/>
    <n v="0"/>
    <n v="14.345999999999995"/>
    <n v="47.82"/>
  </r>
  <r>
    <s v="United States"/>
    <x v="157"/>
    <s v="Standard Class"/>
    <s v="Consumer"/>
    <s v="Furnishings"/>
    <n v="3"/>
    <n v="0"/>
    <n v="64.518000000000001"/>
    <n v="322.59000000000003"/>
  </r>
  <r>
    <s v="United States"/>
    <x v="157"/>
    <s v="Standard Class"/>
    <s v="Consumer"/>
    <s v="Labels"/>
    <n v="5"/>
    <n v="0"/>
    <n v="6.0029999999999992"/>
    <n v="13.049999999999999"/>
  </r>
  <r>
    <s v="United States"/>
    <x v="157"/>
    <s v="Standard Class"/>
    <s v="Corporate"/>
    <s v="Storage"/>
    <n v="2"/>
    <n v="0.2"/>
    <n v="3.9591999999999992"/>
    <n v="45.248000000000005"/>
  </r>
  <r>
    <s v="United States"/>
    <x v="158"/>
    <s v="First Class"/>
    <s v="Corporate"/>
    <s v="Phones"/>
    <n v="4"/>
    <n v="0"/>
    <n v="22.388800000000003"/>
    <n v="79.959999999999994"/>
  </r>
  <r>
    <s v="United States"/>
    <x v="158"/>
    <s v="Same Day"/>
    <s v="Corporate"/>
    <s v="Storage"/>
    <n v="2"/>
    <n v="0"/>
    <n v="37.533999999999992"/>
    <n v="750.68"/>
  </r>
  <r>
    <s v="United States"/>
    <x v="158"/>
    <s v="Same Day"/>
    <s v="Home Office"/>
    <s v="Furnishings"/>
    <n v="2"/>
    <n v="0"/>
    <n v="7.0048000000000012"/>
    <n v="15.92"/>
  </r>
  <r>
    <s v="United States"/>
    <x v="158"/>
    <s v="Second Class"/>
    <s v="Consumer"/>
    <s v="Paper"/>
    <n v="5"/>
    <n v="0"/>
    <n v="15.593999999999999"/>
    <n v="33.9"/>
  </r>
  <r>
    <s v="United States"/>
    <x v="158"/>
    <s v="Standard Class"/>
    <s v="Consumer"/>
    <s v="Paper"/>
    <n v="1"/>
    <n v="0"/>
    <n v="50.327999999999996"/>
    <n v="104.85"/>
  </r>
  <r>
    <s v="United States"/>
    <x v="158"/>
    <s v="Standard Class"/>
    <s v="Corporate"/>
    <s v="Appliances"/>
    <n v="7"/>
    <n v="0"/>
    <n v="15.688400000000001"/>
    <n v="60.339999999999996"/>
  </r>
  <r>
    <s v="United States"/>
    <x v="158"/>
    <s v="Standard Class"/>
    <s v="Corporate"/>
    <s v="Art"/>
    <n v="7"/>
    <n v="0"/>
    <n v="5.0595999999999997"/>
    <n v="19.459999999999997"/>
  </r>
  <r>
    <s v="United States"/>
    <x v="158"/>
    <s v="Standard Class"/>
    <s v="Corporate"/>
    <s v="Binders"/>
    <n v="5"/>
    <n v="0"/>
    <n v="25.871999999999996"/>
    <n v="53.9"/>
  </r>
  <r>
    <s v="United States"/>
    <x v="159"/>
    <s v="First Class"/>
    <s v="Consumer"/>
    <s v="Appliances"/>
    <n v="4"/>
    <n v="0"/>
    <n v="45.770399999999995"/>
    <n v="176.04"/>
  </r>
  <r>
    <s v="United States"/>
    <x v="159"/>
    <s v="First Class"/>
    <s v="Consumer"/>
    <s v="Art"/>
    <n v="9"/>
    <n v="0"/>
    <n v="4.4855999999999998"/>
    <n v="16.02"/>
  </r>
  <r>
    <s v="United States"/>
    <x v="159"/>
    <s v="First Class"/>
    <s v="Consumer"/>
    <s v="Binders"/>
    <n v="4"/>
    <n v="0.2"/>
    <n v="62.74799999999999"/>
    <n v="185.92000000000002"/>
  </r>
  <r>
    <s v="United States"/>
    <x v="159"/>
    <s v="First Class"/>
    <s v="Consumer"/>
    <s v="Copiers"/>
    <n v="2"/>
    <n v="0.2"/>
    <n v="59.997999999999962"/>
    <n v="479.98400000000004"/>
  </r>
  <r>
    <s v="United States"/>
    <x v="159"/>
    <s v="First Class"/>
    <s v="Consumer"/>
    <s v="Phones"/>
    <n v="4"/>
    <n v="0.2"/>
    <n v="15.837600000000009"/>
    <n v="211.16800000000001"/>
  </r>
  <r>
    <s v="United States"/>
    <x v="159"/>
    <s v="Second Class"/>
    <s v="Consumer"/>
    <s v="Binders"/>
    <n v="14"/>
    <n v="0.60000000000000009"/>
    <n v="92.112299999999962"/>
    <n v="281.24"/>
  </r>
  <r>
    <s v="United States"/>
    <x v="159"/>
    <s v="Second Class"/>
    <s v="Consumer"/>
    <s v="Bookcases"/>
    <n v="3"/>
    <n v="0.15"/>
    <n v="11.998799999999989"/>
    <n v="254.97449999999998"/>
  </r>
  <r>
    <s v="United States"/>
    <x v="159"/>
    <s v="Second Class"/>
    <s v="Consumer"/>
    <s v="Furnishings"/>
    <n v="3"/>
    <n v="0"/>
    <n v="27.254099999999998"/>
    <n v="71.41"/>
  </r>
  <r>
    <s v="United States"/>
    <x v="159"/>
    <s v="Second Class"/>
    <s v="Consumer"/>
    <s v="Tables"/>
    <n v="23"/>
    <n v="0.60000000000000009"/>
    <n v="239.70730000000009"/>
    <n v="5072.6959999999999"/>
  </r>
  <r>
    <s v="United States"/>
    <x v="159"/>
    <s v="Standard Class"/>
    <s v="Consumer"/>
    <s v="Paper"/>
    <n v="1"/>
    <n v="0"/>
    <n v="2.6909999999999998"/>
    <n v="5.98"/>
  </r>
  <r>
    <s v="United States"/>
    <x v="159"/>
    <s v="Standard Class"/>
    <s v="Consumer"/>
    <s v="Storage"/>
    <n v="7"/>
    <n v="0"/>
    <n v="0.97719999999999807"/>
    <n v="48.86"/>
  </r>
  <r>
    <s v="United States"/>
    <x v="159"/>
    <s v="Standard Class"/>
    <s v="Corporate"/>
    <s v="Accessories"/>
    <n v="5"/>
    <n v="0"/>
    <n v="118.98299999999999"/>
    <n v="349.95"/>
  </r>
  <r>
    <s v="United States"/>
    <x v="159"/>
    <s v="Standard Class"/>
    <s v="Corporate"/>
    <s v="Appliances"/>
    <n v="2"/>
    <n v="0"/>
    <n v="11.351200000000002"/>
    <n v="40.54"/>
  </r>
  <r>
    <s v="United States"/>
    <x v="159"/>
    <s v="Standard Class"/>
    <s v="Corporate"/>
    <s v="Binders"/>
    <n v="4"/>
    <n v="0.4"/>
    <n v="4.0711999999999993"/>
    <n v="11.632000000000001"/>
  </r>
  <r>
    <s v="United States"/>
    <x v="159"/>
    <s v="Standard Class"/>
    <s v="Corporate"/>
    <s v="Paper"/>
    <n v="3"/>
    <n v="0"/>
    <n v="7.0218000000000007"/>
    <n v="14.940000000000001"/>
  </r>
  <r>
    <s v="United States"/>
    <x v="159"/>
    <s v="Standard Class"/>
    <s v="Corporate"/>
    <s v="Phones"/>
    <n v="9"/>
    <n v="0.2"/>
    <n v="141.72300000000001"/>
    <n v="377.92800000000005"/>
  </r>
  <r>
    <s v="United States"/>
    <x v="159"/>
    <s v="Standard Class"/>
    <s v="Home Office"/>
    <s v="Bookcases"/>
    <n v="2"/>
    <n v="0.15"/>
    <n v="21.293999999999993"/>
    <n v="120.666"/>
  </r>
  <r>
    <s v="United States"/>
    <x v="159"/>
    <s v="Standard Class"/>
    <s v="Home Office"/>
    <s v="Paper"/>
    <n v="7"/>
    <n v="0"/>
    <n v="80.243599999999986"/>
    <n v="168.57999999999998"/>
  </r>
  <r>
    <s v="United States"/>
    <x v="160"/>
    <s v="Second Class"/>
    <s v="Consumer"/>
    <s v="Furnishings"/>
    <n v="6"/>
    <n v="0.6"/>
    <n v="-17.443199999999997"/>
    <n v="30.336000000000006"/>
  </r>
  <r>
    <s v="United States"/>
    <x v="160"/>
    <s v="Standard Class"/>
    <s v="Home Office"/>
    <s v="Accessories"/>
    <n v="4"/>
    <n v="0.2"/>
    <n v="-1.3583999999999987"/>
    <n v="27.168000000000003"/>
  </r>
  <r>
    <s v="United States"/>
    <x v="161"/>
    <s v="Standard Class"/>
    <s v="Corporate"/>
    <s v="Bookcases"/>
    <n v="3"/>
    <n v="0"/>
    <n v="38.266800000000003"/>
    <n v="173.94"/>
  </r>
  <r>
    <s v="United States"/>
    <x v="161"/>
    <s v="Standard Class"/>
    <s v="Corporate"/>
    <s v="Phones"/>
    <n v="2"/>
    <n v="0"/>
    <n v="67.274199999999979"/>
    <n v="231.98"/>
  </r>
  <r>
    <s v="United States"/>
    <x v="162"/>
    <s v="First Class"/>
    <s v="Consumer"/>
    <s v="Art"/>
    <n v="2"/>
    <n v="0"/>
    <n v="1.7279999999999998"/>
    <n v="5.76"/>
  </r>
  <r>
    <s v="United States"/>
    <x v="162"/>
    <s v="First Class"/>
    <s v="Consumer"/>
    <s v="Fasteners"/>
    <n v="1"/>
    <n v="0"/>
    <n v="1.8010999999999999"/>
    <n v="5.81"/>
  </r>
  <r>
    <s v="United States"/>
    <x v="162"/>
    <s v="First Class"/>
    <s v="Consumer"/>
    <s v="Paper"/>
    <n v="2"/>
    <n v="0"/>
    <n v="4.2929999999999993"/>
    <n v="9.5399999999999991"/>
  </r>
  <r>
    <s v="United States"/>
    <x v="162"/>
    <s v="Same Day"/>
    <s v="Corporate"/>
    <s v="Storage"/>
    <n v="1"/>
    <n v="0"/>
    <n v="7.9895999999999994"/>
    <n v="33.29"/>
  </r>
  <r>
    <s v="United States"/>
    <x v="162"/>
    <s v="Standard Class"/>
    <s v="Corporate"/>
    <s v="Phones"/>
    <n v="2"/>
    <n v="0"/>
    <n v="74.8142"/>
    <n v="257.98"/>
  </r>
  <r>
    <s v="United States"/>
    <x v="163"/>
    <s v="First Class"/>
    <s v="Consumer"/>
    <s v="Binders"/>
    <n v="4"/>
    <n v="0.8"/>
    <n v="-32.088000000000008"/>
    <n v="18.335999999999999"/>
  </r>
  <r>
    <s v="United States"/>
    <x v="163"/>
    <s v="First Class"/>
    <s v="Consumer"/>
    <s v="Labels"/>
    <n v="5"/>
    <n v="0.2"/>
    <n v="3.3929999999999989"/>
    <n v="10.440000000000001"/>
  </r>
  <r>
    <s v="United States"/>
    <x v="163"/>
    <s v="First Class"/>
    <s v="Home Office"/>
    <s v="Furnishings"/>
    <n v="2"/>
    <n v="0.6"/>
    <n v="-7.4759999999999991"/>
    <n v="8.5440000000000005"/>
  </r>
  <r>
    <s v="United States"/>
    <x v="163"/>
    <s v="Second Class"/>
    <s v="Home Office"/>
    <s v="Art"/>
    <n v="1"/>
    <n v="0.2"/>
    <n v="3.7979999999999947"/>
    <n v="30.384"/>
  </r>
  <r>
    <s v="United States"/>
    <x v="164"/>
    <s v="Standard Class"/>
    <s v="Home Office"/>
    <s v="Accessories"/>
    <n v="12"/>
    <n v="0.4"/>
    <n v="131.38199999999995"/>
    <n v="700.70399999999995"/>
  </r>
  <r>
    <s v="United States"/>
    <x v="164"/>
    <s v="Standard Class"/>
    <s v="Home Office"/>
    <s v="Binders"/>
    <n v="2"/>
    <n v="0.7"/>
    <n v="-145.35079999999999"/>
    <n v="189.58800000000005"/>
  </r>
  <r>
    <s v="United States"/>
    <x v="164"/>
    <s v="Standard Class"/>
    <s v="Home Office"/>
    <s v="Storage"/>
    <n v="2"/>
    <n v="0.2"/>
    <n v="-0.7748000000000006"/>
    <n v="4.7679999999999998"/>
  </r>
  <r>
    <s v="United States"/>
    <x v="165"/>
    <s v="Second Class"/>
    <s v="Consumer"/>
    <s v="Appliances"/>
    <n v="4"/>
    <n v="0"/>
    <n v="50.876800000000003"/>
    <n v="195.68"/>
  </r>
  <r>
    <s v="United States"/>
    <x v="165"/>
    <s v="Second Class"/>
    <s v="Consumer"/>
    <s v="Fasteners"/>
    <n v="4"/>
    <n v="0"/>
    <n v="6.6739999999999995"/>
    <n v="14.2"/>
  </r>
  <r>
    <s v="United States"/>
    <x v="165"/>
    <s v="Second Class"/>
    <s v="Consumer"/>
    <s v="Phones"/>
    <n v="2"/>
    <n v="0"/>
    <n v="195.99440000000004"/>
    <n v="699.98"/>
  </r>
  <r>
    <s v="United States"/>
    <x v="165"/>
    <s v="Second Class"/>
    <s v="Consumer"/>
    <s v="Storage"/>
    <n v="9"/>
    <n v="0"/>
    <n v="70.178400000000025"/>
    <n v="584.82000000000005"/>
  </r>
  <r>
    <s v="United States"/>
    <x v="165"/>
    <s v="Standard Class"/>
    <s v="Consumer"/>
    <s v="Art"/>
    <n v="3"/>
    <n v="0"/>
    <n v="2.5343999999999998"/>
    <n v="5.28"/>
  </r>
  <r>
    <s v="United States"/>
    <x v="165"/>
    <s v="Standard Class"/>
    <s v="Consumer"/>
    <s v="Binders"/>
    <n v="6"/>
    <n v="0"/>
    <n v="54.691199999999995"/>
    <n v="113.94"/>
  </r>
  <r>
    <s v="United States"/>
    <x v="165"/>
    <s v="Standard Class"/>
    <s v="Consumer"/>
    <s v="Furnishings"/>
    <n v="3"/>
    <n v="0"/>
    <n v="16.614000000000001"/>
    <n v="42.599999999999994"/>
  </r>
  <r>
    <s v="United States"/>
    <x v="165"/>
    <s v="Standard Class"/>
    <s v="Consumer"/>
    <s v="Storage"/>
    <n v="4"/>
    <n v="0"/>
    <n v="5.1967999999999961"/>
    <n v="129.91999999999999"/>
  </r>
  <r>
    <s v="United States"/>
    <x v="166"/>
    <s v="Standard Class"/>
    <s v="Consumer"/>
    <s v="Furnishings"/>
    <n v="10"/>
    <n v="0.4"/>
    <n v="-25.400000000000038"/>
    <n v="404.96000000000004"/>
  </r>
  <r>
    <s v="United States"/>
    <x v="166"/>
    <s v="Standard Class"/>
    <s v="Consumer"/>
    <s v="Paper"/>
    <n v="2"/>
    <n v="0.2"/>
    <n v="2.9899999999999993"/>
    <n v="9.5680000000000014"/>
  </r>
  <r>
    <s v="United States"/>
    <x v="166"/>
    <s v="Standard Class"/>
    <s v="Consumer"/>
    <s v="Storage"/>
    <n v="2"/>
    <n v="0.2"/>
    <n v="-19.562399999999997"/>
    <n v="82.367999999999995"/>
  </r>
  <r>
    <s v="United States"/>
    <x v="166"/>
    <s v="Standard Class"/>
    <s v="Corporate"/>
    <s v="Art"/>
    <n v="8"/>
    <n v="0.2"/>
    <n v="111.30239999999998"/>
    <n v="1113.0240000000001"/>
  </r>
  <r>
    <s v="United States"/>
    <x v="166"/>
    <s v="Standard Class"/>
    <s v="Corporate"/>
    <s v="Chairs"/>
    <n v="4"/>
    <n v="0.2"/>
    <n v="99.431999999999931"/>
    <n v="883.84"/>
  </r>
  <r>
    <s v="United States"/>
    <x v="166"/>
    <s v="Standard Class"/>
    <s v="Corporate"/>
    <s v="Furnishings"/>
    <n v="4"/>
    <n v="0.2"/>
    <n v="46.631999999999977"/>
    <n v="621.7600000000001"/>
  </r>
  <r>
    <s v="United States"/>
    <x v="166"/>
    <s v="Standard Class"/>
    <s v="Corporate"/>
    <s v="Labels"/>
    <n v="2"/>
    <n v="0.2"/>
    <n v="1.9925999999999999"/>
    <n v="5.9039999999999999"/>
  </r>
  <r>
    <s v="United States"/>
    <x v="166"/>
    <s v="Standard Class"/>
    <s v="Corporate"/>
    <s v="Phones"/>
    <n v="4"/>
    <n v="0.2"/>
    <n v="62.988"/>
    <n v="167.96800000000002"/>
  </r>
  <r>
    <s v="United States"/>
    <x v="166"/>
    <s v="Standard Class"/>
    <s v="Home Office"/>
    <s v="Accessories"/>
    <n v="1"/>
    <n v="0.2"/>
    <n v="4.7987999999999964"/>
    <n v="31.992000000000004"/>
  </r>
  <r>
    <s v="United States"/>
    <x v="166"/>
    <s v="Standard Class"/>
    <s v="Home Office"/>
    <s v="Envelopes"/>
    <n v="5"/>
    <n v="0.2"/>
    <n v="3.8570000000000002"/>
    <n v="10.64"/>
  </r>
  <r>
    <s v="United States"/>
    <x v="166"/>
    <s v="Standard Class"/>
    <s v="Home Office"/>
    <s v="Furnishings"/>
    <n v="2"/>
    <n v="0.2"/>
    <n v="16.317200000000003"/>
    <n v="68.703999999999994"/>
  </r>
  <r>
    <s v="United States"/>
    <x v="166"/>
    <s v="Standard Class"/>
    <s v="Home Office"/>
    <s v="Phones"/>
    <n v="3"/>
    <n v="0.2"/>
    <n v="25.018199999999993"/>
    <n v="333.57600000000002"/>
  </r>
  <r>
    <s v="United States"/>
    <x v="166"/>
    <s v="Standard Class"/>
    <s v="Home Office"/>
    <s v="Storage"/>
    <n v="2"/>
    <n v="0.2"/>
    <n v="-6.3960000000000008"/>
    <n v="51.168000000000006"/>
  </r>
  <r>
    <s v="United States"/>
    <x v="166"/>
    <s v="Standard Class"/>
    <s v="Home Office"/>
    <s v="Tables"/>
    <n v="9"/>
    <n v="0.5"/>
    <n v="-185.71679999999998"/>
    <n v="386.91"/>
  </r>
  <r>
    <s v="United States"/>
    <x v="167"/>
    <s v="First Class"/>
    <s v="Consumer"/>
    <s v="Accessories"/>
    <n v="2"/>
    <n v="0"/>
    <n v="12.172799999999999"/>
    <n v="38.04"/>
  </r>
  <r>
    <s v="United States"/>
    <x v="167"/>
    <s v="First Class"/>
    <s v="Consumer"/>
    <s v="Furnishings"/>
    <n v="3"/>
    <n v="0"/>
    <n v="40.415999999999997"/>
    <n v="126.30000000000001"/>
  </r>
  <r>
    <s v="United States"/>
    <x v="168"/>
    <s v="Same Day"/>
    <s v="Consumer"/>
    <s v="Binders"/>
    <n v="3"/>
    <n v="0.7"/>
    <n v="-7.1147999999999989"/>
    <n v="9.7020000000000017"/>
  </r>
  <r>
    <s v="United States"/>
    <x v="168"/>
    <s v="Same Day"/>
    <s v="Consumer"/>
    <s v="Chairs"/>
    <n v="4"/>
    <n v="0.2"/>
    <n v="105.02279999999996"/>
    <n v="933.53600000000006"/>
  </r>
  <r>
    <s v="United States"/>
    <x v="168"/>
    <s v="Same Day"/>
    <s v="Consumer"/>
    <s v="Storage"/>
    <n v="4"/>
    <n v="0.2"/>
    <n v="4.2976000000000028"/>
    <n v="42.975999999999999"/>
  </r>
  <r>
    <s v="United States"/>
    <x v="168"/>
    <s v="Same Day"/>
    <s v="Home Office"/>
    <s v="Accessories"/>
    <n v="4"/>
    <n v="0.2"/>
    <n v="12.999999999999998"/>
    <n v="41.6"/>
  </r>
  <r>
    <s v="United States"/>
    <x v="168"/>
    <s v="Same Day"/>
    <s v="Home Office"/>
    <s v="Chairs"/>
    <n v="2"/>
    <n v="0.2"/>
    <n v="9.9651999999999994"/>
    <n v="113.88800000000002"/>
  </r>
  <r>
    <s v="United States"/>
    <x v="168"/>
    <s v="Same Day"/>
    <s v="Home Office"/>
    <s v="Furnishings"/>
    <n v="2"/>
    <n v="0.2"/>
    <n v="-5.6784000000000034"/>
    <n v="113.56800000000001"/>
  </r>
  <r>
    <s v="United States"/>
    <x v="168"/>
    <s v="Same Day"/>
    <s v="Home Office"/>
    <s v="Paper"/>
    <n v="5"/>
    <n v="0.2"/>
    <n v="8.3810000000000002"/>
    <n v="23.120000000000005"/>
  </r>
  <r>
    <s v="United States"/>
    <x v="168"/>
    <s v="Same Day"/>
    <s v="Home Office"/>
    <s v="Phones"/>
    <n v="4"/>
    <n v="0.4"/>
    <n v="51.091800000000021"/>
    <n v="679.904"/>
  </r>
  <r>
    <s v="United States"/>
    <x v="168"/>
    <s v="Second Class"/>
    <s v="Corporate"/>
    <s v="Storage"/>
    <n v="1"/>
    <n v="0.2"/>
    <n v="6.5434999999999981"/>
    <n v="104.69600000000001"/>
  </r>
  <r>
    <s v="United States"/>
    <x v="168"/>
    <s v="Second Class"/>
    <s v="Home Office"/>
    <s v="Paper"/>
    <n v="3"/>
    <n v="0.2"/>
    <n v="33.721199999999996"/>
    <n v="93.024000000000001"/>
  </r>
  <r>
    <s v="United States"/>
    <x v="168"/>
    <s v="Standard Class"/>
    <s v="Consumer"/>
    <s v="Accessories"/>
    <n v="10"/>
    <n v="0.4"/>
    <n v="1.5149999999999828"/>
    <n v="185.52000000000004"/>
  </r>
  <r>
    <s v="United States"/>
    <x v="168"/>
    <s v="Standard Class"/>
    <s v="Consumer"/>
    <s v="Binders"/>
    <n v="3"/>
    <n v="1.4"/>
    <n v="-54.953899999999983"/>
    <n v="81.147000000000006"/>
  </r>
  <r>
    <s v="United States"/>
    <x v="168"/>
    <s v="Standard Class"/>
    <s v="Consumer"/>
    <s v="Furnishings"/>
    <n v="4"/>
    <n v="0.2"/>
    <n v="-3.0344000000000122"/>
    <n v="121.376"/>
  </r>
  <r>
    <s v="United States"/>
    <x v="168"/>
    <s v="Standard Class"/>
    <s v="Consumer"/>
    <s v="Paper"/>
    <n v="2"/>
    <n v="0.2"/>
    <n v="2.3879999999999999"/>
    <n v="6.3680000000000003"/>
  </r>
  <r>
    <s v="United States"/>
    <x v="168"/>
    <s v="Standard Class"/>
    <s v="Consumer"/>
    <s v="Storage"/>
    <n v="3"/>
    <n v="0.4"/>
    <n v="-7.5466000000000015"/>
    <n v="45.911999999999999"/>
  </r>
  <r>
    <s v="United States"/>
    <x v="168"/>
    <s v="Standard Class"/>
    <s v="Corporate"/>
    <s v="Chairs"/>
    <n v="3"/>
    <n v="0.2"/>
    <n v="13.317599999999985"/>
    <n v="266.35200000000003"/>
  </r>
  <r>
    <s v="United States"/>
    <x v="168"/>
    <s v="Standard Class"/>
    <s v="Corporate"/>
    <s v="Fasteners"/>
    <n v="2"/>
    <n v="0.2"/>
    <n v="0.82879999999999987"/>
    <n v="2.3679999999999999"/>
  </r>
  <r>
    <s v="United States"/>
    <x v="168"/>
    <s v="Standard Class"/>
    <s v="Corporate"/>
    <s v="Paper"/>
    <n v="3"/>
    <n v="0.2"/>
    <n v="6.8903999999999979"/>
    <n v="19.008000000000003"/>
  </r>
  <r>
    <s v="United States"/>
    <x v="168"/>
    <s v="Standard Class"/>
    <s v="Corporate"/>
    <s v="Supplies"/>
    <n v="5"/>
    <n v="0.2"/>
    <n v="4.2249999999999979"/>
    <n v="33.799999999999997"/>
  </r>
  <r>
    <s v="United States"/>
    <x v="169"/>
    <s v="Second Class"/>
    <s v="Consumer"/>
    <s v="Phones"/>
    <n v="3"/>
    <n v="0.2"/>
    <n v="13.857900000000008"/>
    <n v="158.376"/>
  </r>
  <r>
    <s v="United States"/>
    <x v="170"/>
    <s v="First Class"/>
    <s v="Consumer"/>
    <s v="Appliances"/>
    <n v="3"/>
    <n v="0.2"/>
    <n v="3.0576000000000008"/>
    <n v="34.944000000000003"/>
  </r>
  <r>
    <s v="United States"/>
    <x v="171"/>
    <s v="Second Class"/>
    <s v="Consumer"/>
    <s v="Paper"/>
    <n v="2"/>
    <n v="0"/>
    <n v="7.98"/>
    <n v="15.96"/>
  </r>
  <r>
    <s v="United States"/>
    <x v="172"/>
    <s v="Standard Class"/>
    <s v="Consumer"/>
    <s v="Accessories"/>
    <n v="5"/>
    <n v="0.2"/>
    <n v="-8.1800000000000033"/>
    <n v="65.44"/>
  </r>
  <r>
    <s v="United States"/>
    <x v="172"/>
    <s v="Standard Class"/>
    <s v="Consumer"/>
    <s v="Appliances"/>
    <n v="2"/>
    <n v="0.8"/>
    <n v="-49.551600000000022"/>
    <n v="19.431999999999995"/>
  </r>
  <r>
    <s v="United States"/>
    <x v="172"/>
    <s v="Standard Class"/>
    <s v="Consumer"/>
    <s v="Binders"/>
    <n v="4"/>
    <n v="0.8"/>
    <n v="-5.8496000000000024"/>
    <n v="3.6559999999999993"/>
  </r>
  <r>
    <s v="United States"/>
    <x v="172"/>
    <s v="Standard Class"/>
    <s v="Consumer"/>
    <s v="Chairs"/>
    <n v="5"/>
    <n v="0.6"/>
    <n v="-43.494000000000014"/>
    <n v="514.42999999999995"/>
  </r>
  <r>
    <s v="United States"/>
    <x v="172"/>
    <s v="Standard Class"/>
    <s v="Consumer"/>
    <s v="Envelopes"/>
    <n v="3"/>
    <n v="0.2"/>
    <n v="9.3443999999999985"/>
    <n v="28.752000000000002"/>
  </r>
  <r>
    <s v="United States"/>
    <x v="172"/>
    <s v="Standard Class"/>
    <s v="Consumer"/>
    <s v="Furnishings"/>
    <n v="5"/>
    <n v="0.6"/>
    <n v="-11.439000000000004"/>
    <n v="14.76"/>
  </r>
  <r>
    <s v="United States"/>
    <x v="172"/>
    <s v="Standard Class"/>
    <s v="Consumer"/>
    <s v="Paper"/>
    <n v="3"/>
    <n v="0.2"/>
    <n v="9.8657999999999983"/>
    <n v="27.216000000000001"/>
  </r>
  <r>
    <s v="United States"/>
    <x v="172"/>
    <s v="Standard Class"/>
    <s v="Consumer"/>
    <s v="Phones"/>
    <n v="5"/>
    <n v="0.2"/>
    <n v="24.727499999999971"/>
    <n v="219.80000000000004"/>
  </r>
  <r>
    <s v="United States"/>
    <x v="172"/>
    <s v="Standard Class"/>
    <s v="Corporate"/>
    <s v="Furnishings"/>
    <n v="5"/>
    <n v="0.6"/>
    <n v="-29.512000000000008"/>
    <n v="38.08"/>
  </r>
  <r>
    <s v="United States"/>
    <x v="172"/>
    <s v="Standard Class"/>
    <s v="Corporate"/>
    <s v="Paper"/>
    <n v="3"/>
    <n v="0.2"/>
    <n v="6.2549999999999963"/>
    <n v="20.016000000000002"/>
  </r>
  <r>
    <s v="United States"/>
    <x v="172"/>
    <s v="Standard Class"/>
    <s v="Corporate"/>
    <s v="Storage"/>
    <n v="3"/>
    <n v="0.2"/>
    <n v="3.7224000000000004"/>
    <n v="37.224000000000004"/>
  </r>
  <r>
    <s v="United States"/>
    <x v="172"/>
    <s v="Standard Class"/>
    <s v="Home Office"/>
    <s v="Labels"/>
    <n v="2"/>
    <n v="0.2"/>
    <n v="8.879999999999999"/>
    <n v="23.680000000000003"/>
  </r>
  <r>
    <s v="United States"/>
    <x v="173"/>
    <s v="Second Class"/>
    <s v="Home Office"/>
    <s v="Paper"/>
    <n v="3"/>
    <n v="0"/>
    <n v="9.5256000000000007"/>
    <n v="19.440000000000001"/>
  </r>
  <r>
    <s v="United States"/>
    <x v="173"/>
    <s v="Standard Class"/>
    <s v="Consumer"/>
    <s v="Binders"/>
    <n v="10"/>
    <n v="0"/>
    <n v="67.913999999999987"/>
    <n v="138.6"/>
  </r>
  <r>
    <s v="United States"/>
    <x v="173"/>
    <s v="Standard Class"/>
    <s v="Consumer"/>
    <s v="Paper"/>
    <n v="7"/>
    <n v="0"/>
    <n v="16.713200000000001"/>
    <n v="35.56"/>
  </r>
  <r>
    <s v="United States"/>
    <x v="173"/>
    <s v="Standard Class"/>
    <s v="Consumer"/>
    <s v="Phones"/>
    <n v="2"/>
    <n v="0"/>
    <n v="27.434400000000011"/>
    <n v="97.98"/>
  </r>
  <r>
    <s v="United States"/>
    <x v="173"/>
    <s v="Standard Class"/>
    <s v="Corporate"/>
    <s v="Fasteners"/>
    <n v="7"/>
    <n v="0"/>
    <n v="11.679499999999999"/>
    <n v="24.849999999999998"/>
  </r>
  <r>
    <s v="United States"/>
    <x v="173"/>
    <s v="Standard Class"/>
    <s v="Corporate"/>
    <s v="Paper"/>
    <n v="2"/>
    <n v="0"/>
    <n v="100.65599999999999"/>
    <n v="209.7"/>
  </r>
  <r>
    <s v="United States"/>
    <x v="174"/>
    <s v="Standard Class"/>
    <s v="Corporate"/>
    <s v="Art"/>
    <n v="7"/>
    <n v="0.2"/>
    <n v="5.8603999999999967"/>
    <n v="33.488000000000007"/>
  </r>
  <r>
    <s v="United States"/>
    <x v="174"/>
    <s v="Standard Class"/>
    <s v="Corporate"/>
    <s v="Fasteners"/>
    <n v="5"/>
    <n v="0.2"/>
    <n v="2.9144999999999994"/>
    <n v="8.0399999999999991"/>
  </r>
  <r>
    <s v="United States"/>
    <x v="175"/>
    <s v="Standard Class"/>
    <s v="Consumer"/>
    <s v="Accessories"/>
    <n v="6"/>
    <n v="0"/>
    <n v="91.32480000000001"/>
    <n v="217.44"/>
  </r>
  <r>
    <s v="United States"/>
    <x v="175"/>
    <s v="Standard Class"/>
    <s v="Consumer"/>
    <s v="Phones"/>
    <n v="2"/>
    <n v="0.2"/>
    <n v="9.2386000000000053"/>
    <n v="105.584"/>
  </r>
  <r>
    <s v="United States"/>
    <x v="175"/>
    <s v="Standard Class"/>
    <s v="Consumer"/>
    <s v="Storage"/>
    <n v="7"/>
    <n v="0"/>
    <n v="24.382400000000001"/>
    <n v="87.08"/>
  </r>
  <r>
    <s v="United States"/>
    <x v="175"/>
    <s v="Standard Class"/>
    <s v="Home Office"/>
    <s v="Binders"/>
    <n v="2"/>
    <n v="0.2"/>
    <n v="2.2098"/>
    <n v="6.0960000000000001"/>
  </r>
  <r>
    <s v="United States"/>
    <x v="175"/>
    <s v="Standard Class"/>
    <s v="Home Office"/>
    <s v="Copiers"/>
    <n v="5"/>
    <n v="0"/>
    <n v="1379.9769999999999"/>
    <n v="2999.95"/>
  </r>
  <r>
    <s v="United States"/>
    <x v="175"/>
    <s v="Standard Class"/>
    <s v="Home Office"/>
    <s v="Paper"/>
    <n v="2"/>
    <n v="0"/>
    <n v="5.3819999999999997"/>
    <n v="11.96"/>
  </r>
  <r>
    <s v="United States"/>
    <x v="175"/>
    <s v="Standard Class"/>
    <s v="Home Office"/>
    <s v="Storage"/>
    <n v="6"/>
    <n v="0"/>
    <n v="70.192499999999981"/>
    <n v="1177.47"/>
  </r>
  <r>
    <s v="United States"/>
    <x v="176"/>
    <s v="First Class"/>
    <s v="Consumer"/>
    <s v="Envelopes"/>
    <n v="2"/>
    <n v="0.2"/>
    <n v="7.008"/>
    <n v="18.687999999999999"/>
  </r>
  <r>
    <s v="United States"/>
    <x v="176"/>
    <s v="First Class"/>
    <s v="Consumer"/>
    <s v="Furnishings"/>
    <n v="3"/>
    <n v="0.2"/>
    <n v="3.3534000000000006"/>
    <n v="11.664000000000001"/>
  </r>
  <r>
    <s v="United States"/>
    <x v="177"/>
    <s v="First Class"/>
    <s v="Consumer"/>
    <s v="Accessories"/>
    <n v="6"/>
    <n v="0"/>
    <n v="206.31600000000006"/>
    <n v="468.90000000000003"/>
  </r>
  <r>
    <s v="United States"/>
    <x v="177"/>
    <s v="Standard Class"/>
    <s v="Corporate"/>
    <s v="Furnishings"/>
    <n v="4"/>
    <n v="0"/>
    <n v="11.936400000000001"/>
    <n v="35.700000000000003"/>
  </r>
  <r>
    <s v="United States"/>
    <x v="177"/>
    <s v="Standard Class"/>
    <s v="Corporate"/>
    <s v="Paper"/>
    <n v="4"/>
    <n v="0"/>
    <n v="10.223999999999998"/>
    <n v="22.72"/>
  </r>
  <r>
    <s v="United States"/>
    <x v="178"/>
    <s v="First Class"/>
    <s v="Corporate"/>
    <s v="Art"/>
    <n v="7"/>
    <n v="0.2"/>
    <n v="8.0849999999999973"/>
    <n v="64.680000000000007"/>
  </r>
  <r>
    <s v="United States"/>
    <x v="178"/>
    <s v="First Class"/>
    <s v="Corporate"/>
    <s v="Phones"/>
    <n v="5"/>
    <n v="0.2"/>
    <n v="118.99650000000003"/>
    <n v="1359.96"/>
  </r>
  <r>
    <s v="United States"/>
    <x v="178"/>
    <s v="First Class"/>
    <s v="Corporate"/>
    <s v="Tables"/>
    <n v="3"/>
    <n v="0.4"/>
    <n v="-192.04680000000008"/>
    <n v="523.76400000000001"/>
  </r>
  <r>
    <s v="United States"/>
    <x v="178"/>
    <s v="Standard Class"/>
    <s v="Consumer"/>
    <s v="Art"/>
    <n v="1"/>
    <n v="0.2"/>
    <n v="2.4581999999999997"/>
    <n v="32.776000000000003"/>
  </r>
  <r>
    <s v="United States"/>
    <x v="178"/>
    <s v="Standard Class"/>
    <s v="Consumer"/>
    <s v="Binders"/>
    <n v="9"/>
    <n v="1.4"/>
    <n v="-45.31689999999999"/>
    <n v="59.109000000000016"/>
  </r>
  <r>
    <s v="United States"/>
    <x v="178"/>
    <s v="Standard Class"/>
    <s v="Consumer"/>
    <s v="Chairs"/>
    <n v="9"/>
    <n v="0.2"/>
    <n v="11.69100000000001"/>
    <n v="187.05600000000001"/>
  </r>
  <r>
    <s v="United States"/>
    <x v="178"/>
    <s v="Standard Class"/>
    <s v="Corporate"/>
    <s v="Accessories"/>
    <n v="3"/>
    <n v="0.2"/>
    <n v="0.33989999999999654"/>
    <n v="27.192"/>
  </r>
  <r>
    <s v="United States"/>
    <x v="178"/>
    <s v="Standard Class"/>
    <s v="Corporate"/>
    <s v="Binders"/>
    <n v="8"/>
    <n v="1.4"/>
    <n v="-12.780000000000001"/>
    <n v="16.155000000000001"/>
  </r>
  <r>
    <s v="United States"/>
    <x v="178"/>
    <s v="Standard Class"/>
    <s v="Corporate"/>
    <s v="Chairs"/>
    <n v="1"/>
    <n v="0.2"/>
    <n v="-11.069100000000006"/>
    <n v="98.391999999999996"/>
  </r>
  <r>
    <s v="United States"/>
    <x v="178"/>
    <s v="Standard Class"/>
    <s v="Corporate"/>
    <s v="Furnishings"/>
    <n v="2"/>
    <n v="0.2"/>
    <n v="1.0679999999999996"/>
    <n v="17.088000000000001"/>
  </r>
  <r>
    <s v="United States"/>
    <x v="178"/>
    <s v="Standard Class"/>
    <s v="Corporate"/>
    <s v="Supplies"/>
    <n v="2"/>
    <n v="0.2"/>
    <n v="-4.3792000000000009"/>
    <n v="20.608000000000004"/>
  </r>
  <r>
    <s v="United States"/>
    <x v="179"/>
    <s v="Standard Class"/>
    <s v="Consumer"/>
    <s v="Accessories"/>
    <n v="6"/>
    <n v="0.4"/>
    <n v="15.395399999999995"/>
    <n v="84.671999999999997"/>
  </r>
  <r>
    <s v="United States"/>
    <x v="179"/>
    <s v="Standard Class"/>
    <s v="Consumer"/>
    <s v="Bookcases"/>
    <n v="5"/>
    <n v="0.2"/>
    <n v="5.7980000000000018"/>
    <n v="231.92000000000002"/>
  </r>
  <r>
    <s v="United States"/>
    <x v="179"/>
    <s v="Standard Class"/>
    <s v="Consumer"/>
    <s v="Chairs"/>
    <n v="2"/>
    <n v="0.2"/>
    <n v="-22.138200000000012"/>
    <n v="196.78399999999999"/>
  </r>
  <r>
    <s v="United States"/>
    <x v="179"/>
    <s v="Standard Class"/>
    <s v="Consumer"/>
    <s v="Machines"/>
    <n v="2"/>
    <n v="0.5"/>
    <n v="-571.99559999999997"/>
    <n v="1299.99"/>
  </r>
  <r>
    <s v="United States"/>
    <x v="179"/>
    <s v="Standard Class"/>
    <s v="Consumer"/>
    <s v="Phones"/>
    <n v="2"/>
    <n v="0.2"/>
    <n v="31.197999999999986"/>
    <n v="249.58400000000003"/>
  </r>
  <r>
    <s v="United States"/>
    <x v="179"/>
    <s v="Standard Class"/>
    <s v="Corporate"/>
    <s v="Binders"/>
    <n v="4"/>
    <n v="0.7"/>
    <n v="-14.0928"/>
    <n v="17.616000000000003"/>
  </r>
  <r>
    <s v="United States"/>
    <x v="179"/>
    <s v="Standard Class"/>
    <s v="Home Office"/>
    <s v="Labels"/>
    <n v="4"/>
    <n v="0.2"/>
    <n v="3.3408000000000002"/>
    <n v="9.2159999999999993"/>
  </r>
  <r>
    <s v="United States"/>
    <x v="179"/>
    <s v="Standard Class"/>
    <s v="Home Office"/>
    <s v="Supplies"/>
    <n v="2"/>
    <n v="0.2"/>
    <n v="3.5059999999999967"/>
    <n v="28.048000000000002"/>
  </r>
  <r>
    <s v="United States"/>
    <x v="180"/>
    <s v="First Class"/>
    <s v="Home Office"/>
    <s v="Paper"/>
    <n v="14"/>
    <n v="0"/>
    <n v="115.5072"/>
    <n v="240.14999999999998"/>
  </r>
  <r>
    <s v="United States"/>
    <x v="180"/>
    <s v="Same Day"/>
    <s v="Consumer"/>
    <s v="Chairs"/>
    <n v="5"/>
    <n v="0"/>
    <n v="356.22500000000002"/>
    <n v="1424.9"/>
  </r>
  <r>
    <s v="United States"/>
    <x v="181"/>
    <s v="Standard Class"/>
    <s v="Consumer"/>
    <s v="Binders"/>
    <n v="8"/>
    <n v="0.7"/>
    <n v="-18.446399999999997"/>
    <n v="26.352000000000004"/>
  </r>
  <r>
    <s v="United States"/>
    <x v="181"/>
    <s v="Standard Class"/>
    <s v="Consumer"/>
    <s v="Chairs"/>
    <n v="9"/>
    <n v="0.4"/>
    <n v="136.50800000000007"/>
    <n v="1682.1759999999999"/>
  </r>
  <r>
    <s v="United States"/>
    <x v="181"/>
    <s v="Standard Class"/>
    <s v="Consumer"/>
    <s v="Envelopes"/>
    <n v="7"/>
    <n v="0.2"/>
    <n v="7.6047999999999991"/>
    <n v="21.728000000000002"/>
  </r>
  <r>
    <s v="United States"/>
    <x v="181"/>
    <s v="Standard Class"/>
    <s v="Corporate"/>
    <s v="Phones"/>
    <n v="4"/>
    <n v="0.2"/>
    <n v="25.198000000000008"/>
    <n v="403.16800000000001"/>
  </r>
  <r>
    <s v="United States"/>
    <x v="182"/>
    <s v="Second Class"/>
    <s v="Consumer"/>
    <s v="Binders"/>
    <n v="2"/>
    <n v="0.7"/>
    <n v="-2.7967999999999993"/>
    <n v="3.6480000000000006"/>
  </r>
  <r>
    <s v="United States"/>
    <x v="182"/>
    <s v="Second Class"/>
    <s v="Consumer"/>
    <s v="Phones"/>
    <n v="10"/>
    <n v="0.4"/>
    <n v="15.99199999999999"/>
    <n v="119.93999999999998"/>
  </r>
  <r>
    <s v="United States"/>
    <x v="183"/>
    <s v="Second Class"/>
    <s v="Corporate"/>
    <s v="Binders"/>
    <n v="4"/>
    <n v="0"/>
    <n v="15.68"/>
    <n v="31.36"/>
  </r>
  <r>
    <s v="United States"/>
    <x v="183"/>
    <s v="Second Class"/>
    <s v="Corporate"/>
    <s v="Furnishings"/>
    <n v="7"/>
    <n v="0"/>
    <n v="38.038000000000004"/>
    <n v="86.45"/>
  </r>
  <r>
    <s v="United States"/>
    <x v="183"/>
    <s v="Standard Class"/>
    <s v="Consumer"/>
    <s v="Envelopes"/>
    <n v="9"/>
    <n v="0"/>
    <n v="23.8581"/>
    <n v="48.69"/>
  </r>
  <r>
    <s v="United States"/>
    <x v="184"/>
    <s v="Standard Class"/>
    <s v="Corporate"/>
    <s v="Chairs"/>
    <n v="3"/>
    <n v="0"/>
    <n v="213.73500000000001"/>
    <n v="854.94"/>
  </r>
  <r>
    <s v="United States"/>
    <x v="184"/>
    <s v="Standard Class"/>
    <s v="Corporate"/>
    <s v="Furnishings"/>
    <n v="12"/>
    <n v="0"/>
    <n v="89.768400000000014"/>
    <n v="211.64999999999998"/>
  </r>
  <r>
    <s v="United States"/>
    <x v="184"/>
    <s v="Standard Class"/>
    <s v="Corporate"/>
    <s v="Labels"/>
    <n v="5"/>
    <n v="0"/>
    <n v="7.056"/>
    <n v="14.399999999999999"/>
  </r>
  <r>
    <s v="United States"/>
    <x v="184"/>
    <s v="Standard Class"/>
    <s v="Corporate"/>
    <s v="Paper"/>
    <n v="5"/>
    <n v="0"/>
    <n v="83.283999999999992"/>
    <n v="177.2"/>
  </r>
  <r>
    <s v="United States"/>
    <x v="184"/>
    <s v="Standard Class"/>
    <s v="Corporate"/>
    <s v="Phones"/>
    <n v="3"/>
    <n v="0"/>
    <n v="57.41129999999999"/>
    <n v="197.96999999999997"/>
  </r>
  <r>
    <s v="United States"/>
    <x v="185"/>
    <s v="Second Class"/>
    <s v="Consumer"/>
    <s v="Binders"/>
    <n v="6"/>
    <n v="0"/>
    <n v="20.585999999999999"/>
    <n v="43.8"/>
  </r>
  <r>
    <s v="United States"/>
    <x v="186"/>
    <s v="First Class"/>
    <s v="Corporate"/>
    <s v="Accessories"/>
    <n v="2"/>
    <n v="0.2"/>
    <n v="36.397199999999998"/>
    <n v="207.98400000000004"/>
  </r>
  <r>
    <s v="United States"/>
    <x v="186"/>
    <s v="First Class"/>
    <s v="Corporate"/>
    <s v="Paper"/>
    <n v="7"/>
    <n v="0.2"/>
    <n v="11.733400000000001"/>
    <n v="32.368000000000002"/>
  </r>
  <r>
    <s v="United States"/>
    <x v="186"/>
    <s v="First Class"/>
    <s v="Corporate"/>
    <s v="Supplies"/>
    <n v="2"/>
    <n v="0.2"/>
    <n v="1.6776"/>
    <n v="22.368000000000002"/>
  </r>
  <r>
    <s v="United States"/>
    <x v="186"/>
    <s v="Standard Class"/>
    <s v="Corporate"/>
    <s v="Envelopes"/>
    <n v="2"/>
    <n v="0.2"/>
    <n v="2.1475999999999997"/>
    <n v="6.6080000000000005"/>
  </r>
  <r>
    <s v="United States"/>
    <x v="187"/>
    <s v="Standard Class"/>
    <s v="Consumer"/>
    <s v="Appliances"/>
    <n v="5"/>
    <n v="0.2"/>
    <n v="9.2939999999999969"/>
    <n v="123.92000000000002"/>
  </r>
  <r>
    <s v="United States"/>
    <x v="187"/>
    <s v="Standard Class"/>
    <s v="Consumer"/>
    <s v="Art"/>
    <n v="5"/>
    <n v="0.4"/>
    <n v="2.7914000000000003"/>
    <n v="13.456"/>
  </r>
  <r>
    <s v="United States"/>
    <x v="187"/>
    <s v="Standard Class"/>
    <s v="Consumer"/>
    <s v="Furnishings"/>
    <n v="3"/>
    <n v="0.2"/>
    <n v="-21.470400000000026"/>
    <n v="190.84800000000001"/>
  </r>
  <r>
    <s v="United States"/>
    <x v="188"/>
    <s v="Same Day"/>
    <s v="Consumer"/>
    <s v="Chairs"/>
    <n v="5"/>
    <n v="0"/>
    <n v="40.472999999999999"/>
    <n v="149.9"/>
  </r>
  <r>
    <s v="United States"/>
    <x v="188"/>
    <s v="Second Class"/>
    <s v="Consumer"/>
    <s v="Appliances"/>
    <n v="3"/>
    <n v="0"/>
    <n v="18.660600000000002"/>
    <n v="44.43"/>
  </r>
  <r>
    <s v="United States"/>
    <x v="188"/>
    <s v="Second Class"/>
    <s v="Consumer"/>
    <s v="Art"/>
    <n v="12"/>
    <n v="0"/>
    <n v="86.732999999999961"/>
    <n v="293.75999999999993"/>
  </r>
  <r>
    <s v="United States"/>
    <x v="188"/>
    <s v="Second Class"/>
    <s v="Consumer"/>
    <s v="Chairs"/>
    <n v="1"/>
    <n v="0"/>
    <n v="75.654799999999994"/>
    <n v="290.98"/>
  </r>
  <r>
    <s v="United States"/>
    <x v="188"/>
    <s v="Second Class"/>
    <s v="Consumer"/>
    <s v="Furnishings"/>
    <n v="3"/>
    <n v="0"/>
    <n v="41.038800000000002"/>
    <n v="186.54"/>
  </r>
  <r>
    <s v="United States"/>
    <x v="188"/>
    <s v="Second Class"/>
    <s v="Consumer"/>
    <s v="Phones"/>
    <n v="5"/>
    <n v="0"/>
    <n v="58.811999999999998"/>
    <n v="226.20000000000002"/>
  </r>
  <r>
    <s v="United States"/>
    <x v="188"/>
    <s v="Standard Class"/>
    <s v="Corporate"/>
    <s v="Binders"/>
    <n v="1"/>
    <n v="0"/>
    <n v="421.58529999999996"/>
    <n v="896.99"/>
  </r>
  <r>
    <s v="United States"/>
    <x v="188"/>
    <s v="Standard Class"/>
    <s v="Corporate"/>
    <s v="Chairs"/>
    <n v="13"/>
    <n v="0"/>
    <n v="145.06959999999992"/>
    <n v="500.23999999999995"/>
  </r>
  <r>
    <s v="United States"/>
    <x v="188"/>
    <s v="Standard Class"/>
    <s v="Corporate"/>
    <s v="Paper"/>
    <n v="2"/>
    <n v="0"/>
    <n v="9.2552000000000003"/>
    <n v="20.12"/>
  </r>
  <r>
    <s v="United States"/>
    <x v="188"/>
    <s v="Standard Class"/>
    <s v="Home Office"/>
    <s v="Binders"/>
    <n v="3"/>
    <n v="0"/>
    <n v="56.550000000000004"/>
    <n v="113.10000000000001"/>
  </r>
  <r>
    <s v="United States"/>
    <x v="189"/>
    <s v="First Class"/>
    <s v="Consumer"/>
    <s v="Art"/>
    <n v="7"/>
    <n v="0.2"/>
    <n v="16.373699999999992"/>
    <n v="145.54400000000001"/>
  </r>
  <r>
    <s v="United States"/>
    <x v="189"/>
    <s v="First Class"/>
    <s v="Consumer"/>
    <s v="Bookcases"/>
    <n v="5"/>
    <n v="0.32"/>
    <n v="-14.195999999999998"/>
    <n v="241.33199999999999"/>
  </r>
  <r>
    <s v="United States"/>
    <x v="189"/>
    <s v="First Class"/>
    <s v="Consumer"/>
    <s v="Paper"/>
    <n v="1"/>
    <n v="0.2"/>
    <n v="1.8792"/>
    <n v="5.1840000000000011"/>
  </r>
  <r>
    <s v="United States"/>
    <x v="189"/>
    <s v="Standard Class"/>
    <s v="Consumer"/>
    <s v="Paper"/>
    <n v="5"/>
    <n v="0.2"/>
    <n v="9.3960000000000008"/>
    <n v="25.920000000000005"/>
  </r>
  <r>
    <s v="United States"/>
    <x v="189"/>
    <s v="Standard Class"/>
    <s v="Consumer"/>
    <s v="Storage"/>
    <n v="3"/>
    <n v="0.2"/>
    <n v="4.6746000000000016"/>
    <n v="53.424000000000007"/>
  </r>
  <r>
    <s v="United States"/>
    <x v="190"/>
    <s v="First Class"/>
    <s v="Home Office"/>
    <s v="Binders"/>
    <n v="3"/>
    <n v="0"/>
    <n v="29.285699999999999"/>
    <n v="62.31"/>
  </r>
  <r>
    <s v="United States"/>
    <x v="190"/>
    <s v="First Class"/>
    <s v="Home Office"/>
    <s v="Storage"/>
    <n v="2"/>
    <n v="0"/>
    <n v="0"/>
    <n v="122.48"/>
  </r>
  <r>
    <s v="United States"/>
    <x v="190"/>
    <s v="First Class"/>
    <s v="Home Office"/>
    <s v="Tables"/>
    <n v="9"/>
    <n v="0"/>
    <n v="593.9076"/>
    <n v="2699.58"/>
  </r>
  <r>
    <s v="United States"/>
    <x v="190"/>
    <s v="Second Class"/>
    <s v="Consumer"/>
    <s v="Tables"/>
    <n v="7"/>
    <n v="0"/>
    <n v="245.0209999999999"/>
    <n v="1441.3"/>
  </r>
  <r>
    <s v="United States"/>
    <x v="190"/>
    <s v="Standard Class"/>
    <s v="Consumer"/>
    <s v="Accessories"/>
    <n v="2"/>
    <n v="0"/>
    <n v="6.9239999999999995"/>
    <n v="23.08"/>
  </r>
  <r>
    <s v="United States"/>
    <x v="190"/>
    <s v="Standard Class"/>
    <s v="Home Office"/>
    <s v="Furnishings"/>
    <n v="2"/>
    <n v="0"/>
    <n v="14.3856"/>
    <n v="39.96"/>
  </r>
  <r>
    <s v="United States"/>
    <x v="191"/>
    <s v="Standard Class"/>
    <s v="Consumer"/>
    <s v="Accessories"/>
    <n v="4"/>
    <n v="0"/>
    <n v="23.4"/>
    <n v="52"/>
  </r>
  <r>
    <s v="United States"/>
    <x v="191"/>
    <s v="Standard Class"/>
    <s v="Consumer"/>
    <s v="Appliances"/>
    <n v="4"/>
    <n v="0"/>
    <n v="89.779200000000003"/>
    <n v="320.64"/>
  </r>
  <r>
    <s v="United States"/>
    <x v="191"/>
    <s v="Standard Class"/>
    <s v="Consumer"/>
    <s v="Binders"/>
    <n v="3"/>
    <n v="0"/>
    <n v="39.7196"/>
    <n v="86.16"/>
  </r>
  <r>
    <s v="United States"/>
    <x v="191"/>
    <s v="Standard Class"/>
    <s v="Consumer"/>
    <s v="Bookcases"/>
    <n v="5"/>
    <n v="0"/>
    <n v="126.22500000000002"/>
    <n v="504.90000000000003"/>
  </r>
  <r>
    <s v="United States"/>
    <x v="191"/>
    <s v="Standard Class"/>
    <s v="Consumer"/>
    <s v="Furnishings"/>
    <n v="6"/>
    <n v="0"/>
    <n v="76.087800000000001"/>
    <n v="185.57999999999998"/>
  </r>
  <r>
    <s v="United States"/>
    <x v="191"/>
    <s v="Standard Class"/>
    <s v="Consumer"/>
    <s v="Paper"/>
    <n v="6"/>
    <n v="0"/>
    <n v="120.51060000000001"/>
    <n v="245.94"/>
  </r>
  <r>
    <s v="United States"/>
    <x v="191"/>
    <s v="Standard Class"/>
    <s v="Consumer"/>
    <s v="Storage"/>
    <n v="4"/>
    <n v="0"/>
    <n v="0.87919999999999732"/>
    <n v="87.92"/>
  </r>
  <r>
    <s v="United States"/>
    <x v="191"/>
    <s v="Standard Class"/>
    <s v="Corporate"/>
    <s v="Accessories"/>
    <n v="6"/>
    <n v="0"/>
    <n v="105.46800000000002"/>
    <n v="239.70000000000002"/>
  </r>
  <r>
    <s v="United States"/>
    <x v="192"/>
    <s v="First Class"/>
    <s v="Corporate"/>
    <s v="Storage"/>
    <n v="5"/>
    <n v="0"/>
    <n v="10.373999999999999"/>
    <n v="39.900000000000006"/>
  </r>
  <r>
    <s v="United States"/>
    <x v="192"/>
    <s v="Standard Class"/>
    <s v="Home Office"/>
    <s v="Furnishings"/>
    <n v="7"/>
    <n v="0"/>
    <n v="21.7532"/>
    <n v="63.980000000000004"/>
  </r>
  <r>
    <s v="United States"/>
    <x v="192"/>
    <s v="Standard Class"/>
    <s v="Home Office"/>
    <s v="Phones"/>
    <n v="5"/>
    <n v="0.2"/>
    <n v="42.494999999999948"/>
    <n v="339.96000000000004"/>
  </r>
  <r>
    <s v="United States"/>
    <x v="193"/>
    <s v="First Class"/>
    <s v="Corporate"/>
    <s v="Envelopes"/>
    <n v="3"/>
    <n v="0"/>
    <n v="3.9102000000000006"/>
    <n v="7.98"/>
  </r>
  <r>
    <s v="United States"/>
    <x v="193"/>
    <s v="Standard Class"/>
    <s v="Consumer"/>
    <s v="Art"/>
    <n v="4"/>
    <n v="0"/>
    <n v="10.499999999999996"/>
    <n v="35"/>
  </r>
  <r>
    <s v="United States"/>
    <x v="193"/>
    <s v="Standard Class"/>
    <s v="Consumer"/>
    <s v="Binders"/>
    <n v="3"/>
    <n v="0.2"/>
    <n v="14.337599999999998"/>
    <n v="39.552000000000007"/>
  </r>
  <r>
    <s v="United States"/>
    <x v="193"/>
    <s v="Standard Class"/>
    <s v="Consumer"/>
    <s v="Chairs"/>
    <n v="7"/>
    <n v="0.2"/>
    <n v="76.431200000000018"/>
    <n v="726.17399999999998"/>
  </r>
  <r>
    <s v="United States"/>
    <x v="193"/>
    <s v="Standard Class"/>
    <s v="Consumer"/>
    <s v="Envelopes"/>
    <n v="5"/>
    <n v="0"/>
    <n v="19.457999999999998"/>
    <n v="41.4"/>
  </r>
  <r>
    <s v="United States"/>
    <x v="193"/>
    <s v="Standard Class"/>
    <s v="Consumer"/>
    <s v="Furnishings"/>
    <n v="3"/>
    <n v="0"/>
    <n v="11.376000000000001"/>
    <n v="28.44"/>
  </r>
  <r>
    <s v="United States"/>
    <x v="193"/>
    <s v="Standard Class"/>
    <s v="Consumer"/>
    <s v="Phones"/>
    <n v="4"/>
    <n v="0"/>
    <n v="10.389600000000002"/>
    <n v="39.96"/>
  </r>
  <r>
    <s v="United States"/>
    <x v="193"/>
    <s v="Standard Class"/>
    <s v="Corporate"/>
    <s v="Binders"/>
    <n v="20"/>
    <n v="0.4"/>
    <n v="392.66500000000008"/>
    <n v="1191.096"/>
  </r>
  <r>
    <s v="United States"/>
    <x v="193"/>
    <s v="Standard Class"/>
    <s v="Corporate"/>
    <s v="Copiers"/>
    <n v="2"/>
    <n v="0.2"/>
    <n v="89.996999999999986"/>
    <n v="479.98400000000004"/>
  </r>
  <r>
    <s v="United States"/>
    <x v="194"/>
    <s v="First Class"/>
    <s v="Corporate"/>
    <s v="Binders"/>
    <n v="2"/>
    <n v="0.2"/>
    <n v="2.0047999999999995"/>
    <n v="5.7280000000000006"/>
  </r>
  <r>
    <s v="United States"/>
    <x v="194"/>
    <s v="First Class"/>
    <s v="Corporate"/>
    <s v="Furnishings"/>
    <n v="5"/>
    <n v="0"/>
    <n v="70.72199999999998"/>
    <n v="196.45"/>
  </r>
  <r>
    <s v="United States"/>
    <x v="194"/>
    <s v="First Class"/>
    <s v="Corporate"/>
    <s v="Tables"/>
    <n v="6"/>
    <n v="0"/>
    <n v="320.31720000000001"/>
    <n v="1685.88"/>
  </r>
  <r>
    <s v="United States"/>
    <x v="194"/>
    <s v="Same Day"/>
    <s v="Corporate"/>
    <s v="Labels"/>
    <n v="8"/>
    <n v="0"/>
    <n v="14.034999999999998"/>
    <n v="30.099999999999998"/>
  </r>
  <r>
    <s v="United States"/>
    <x v="194"/>
    <s v="Same Day"/>
    <s v="Corporate"/>
    <s v="Paper"/>
    <n v="7"/>
    <n v="0"/>
    <n v="21.772800000000004"/>
    <n v="45.36"/>
  </r>
  <r>
    <s v="United States"/>
    <x v="194"/>
    <s v="Same Day"/>
    <s v="Corporate"/>
    <s v="Storage"/>
    <n v="3"/>
    <n v="0"/>
    <n v="14.984999999999992"/>
    <n v="83.25"/>
  </r>
  <r>
    <s v="United States"/>
    <x v="194"/>
    <s v="Second Class"/>
    <s v="Consumer"/>
    <s v="Art"/>
    <n v="4"/>
    <n v="0"/>
    <n v="4.6997999999999989"/>
    <n v="16.73"/>
  </r>
  <r>
    <s v="United States"/>
    <x v="194"/>
    <s v="Second Class"/>
    <s v="Consumer"/>
    <s v="Bookcases"/>
    <n v="2"/>
    <n v="0"/>
    <n v="41.913600000000002"/>
    <n v="261.95999999999998"/>
  </r>
  <r>
    <s v="United States"/>
    <x v="194"/>
    <s v="Second Class"/>
    <s v="Consumer"/>
    <s v="Chairs"/>
    <n v="3"/>
    <n v="0"/>
    <n v="219.58199999999997"/>
    <n v="731.93999999999994"/>
  </r>
  <r>
    <s v="United States"/>
    <x v="194"/>
    <s v="Second Class"/>
    <s v="Consumer"/>
    <s v="Fasteners"/>
    <n v="4"/>
    <n v="0"/>
    <n v="9.6"/>
    <n v="20"/>
  </r>
  <r>
    <s v="United States"/>
    <x v="194"/>
    <s v="Second Class"/>
    <s v="Consumer"/>
    <s v="Furnishings"/>
    <n v="5"/>
    <n v="0"/>
    <n v="9.1580000000000013"/>
    <n v="24.1"/>
  </r>
  <r>
    <s v="United States"/>
    <x v="194"/>
    <s v="Second Class"/>
    <s v="Consumer"/>
    <s v="Tables"/>
    <n v="3"/>
    <n v="0"/>
    <n v="160.15860000000001"/>
    <n v="842.94"/>
  </r>
  <r>
    <s v="United States"/>
    <x v="194"/>
    <s v="Second Class"/>
    <s v="Corporate"/>
    <s v="Accessories"/>
    <n v="9"/>
    <n v="0"/>
    <n v="517.47930000000008"/>
    <n v="2249.91"/>
  </r>
  <r>
    <s v="United States"/>
    <x v="194"/>
    <s v="Second Class"/>
    <s v="Corporate"/>
    <s v="Binders"/>
    <n v="27"/>
    <n v="0"/>
    <n v="284.20349999999996"/>
    <n v="608.87"/>
  </r>
  <r>
    <s v="United States"/>
    <x v="194"/>
    <s v="Second Class"/>
    <s v="Corporate"/>
    <s v="Chairs"/>
    <n v="4"/>
    <n v="0"/>
    <n v="292.77599999999995"/>
    <n v="975.92"/>
  </r>
  <r>
    <s v="United States"/>
    <x v="194"/>
    <s v="Second Class"/>
    <s v="Corporate"/>
    <s v="Envelopes"/>
    <n v="2"/>
    <n v="0"/>
    <n v="2.6068000000000002"/>
    <n v="5.32"/>
  </r>
  <r>
    <s v="United States"/>
    <x v="194"/>
    <s v="Second Class"/>
    <s v="Corporate"/>
    <s v="Storage"/>
    <n v="4"/>
    <n v="0"/>
    <n v="16.7776"/>
    <n v="59.92"/>
  </r>
  <r>
    <s v="United States"/>
    <x v="194"/>
    <s v="Second Class"/>
    <s v="Home Office"/>
    <s v="Envelopes"/>
    <n v="4"/>
    <n v="0"/>
    <n v="40.561599999999999"/>
    <n v="89.36"/>
  </r>
  <r>
    <s v="United States"/>
    <x v="194"/>
    <s v="Second Class"/>
    <s v="Home Office"/>
    <s v="Furnishings"/>
    <n v="5"/>
    <n v="0"/>
    <n v="25.620000000000005"/>
    <n v="61"/>
  </r>
  <r>
    <s v="United States"/>
    <x v="194"/>
    <s v="Second Class"/>
    <s v="Home Office"/>
    <s v="Phones"/>
    <n v="7"/>
    <n v="0"/>
    <n v="188.1404"/>
    <n v="671.93"/>
  </r>
  <r>
    <s v="United States"/>
    <x v="194"/>
    <s v="Standard Class"/>
    <s v="Consumer"/>
    <s v="Appliances"/>
    <n v="6"/>
    <n v="0"/>
    <n v="87.057000000000016"/>
    <n v="316.38"/>
  </r>
  <r>
    <s v="United States"/>
    <x v="194"/>
    <s v="Standard Class"/>
    <s v="Consumer"/>
    <s v="Art"/>
    <n v="2"/>
    <n v="0"/>
    <n v="11.117599999999999"/>
    <n v="42.76"/>
  </r>
  <r>
    <s v="United States"/>
    <x v="194"/>
    <s v="Standard Class"/>
    <s v="Consumer"/>
    <s v="Binders"/>
    <n v="6"/>
    <n v="0"/>
    <n v="770.78160000000003"/>
    <n v="1605.7"/>
  </r>
  <r>
    <s v="United States"/>
    <x v="194"/>
    <s v="Standard Class"/>
    <s v="Consumer"/>
    <s v="Chairs"/>
    <n v="4"/>
    <n v="0"/>
    <n v="70.980000000000018"/>
    <n v="283.92"/>
  </r>
  <r>
    <s v="United States"/>
    <x v="194"/>
    <s v="Standard Class"/>
    <s v="Consumer"/>
    <s v="Envelopes"/>
    <n v="1"/>
    <n v="0"/>
    <n v="4.9081999999999999"/>
    <n v="10.67"/>
  </r>
  <r>
    <s v="United States"/>
    <x v="194"/>
    <s v="Standard Class"/>
    <s v="Consumer"/>
    <s v="Furnishings"/>
    <n v="22"/>
    <n v="0"/>
    <n v="270.74849999999998"/>
    <n v="1197.1699999999998"/>
  </r>
  <r>
    <s v="United States"/>
    <x v="194"/>
    <s v="Standard Class"/>
    <s v="Consumer"/>
    <s v="Paper"/>
    <n v="8"/>
    <n v="0"/>
    <n v="74.198899999999995"/>
    <n v="157.87"/>
  </r>
  <r>
    <s v="United States"/>
    <x v="194"/>
    <s v="Standard Class"/>
    <s v="Consumer"/>
    <s v="Storage"/>
    <n v="3"/>
    <n v="0"/>
    <n v="9.8901000000000039"/>
    <n v="36.630000000000003"/>
  </r>
  <r>
    <s v="United States"/>
    <x v="194"/>
    <s v="Standard Class"/>
    <s v="Corporate"/>
    <s v="Storage"/>
    <n v="6"/>
    <n v="0"/>
    <n v="0"/>
    <n v="828.83999999999992"/>
  </r>
  <r>
    <s v="United States"/>
    <x v="194"/>
    <s v="Standard Class"/>
    <s v="Home Office"/>
    <s v="Art"/>
    <n v="2"/>
    <n v="0"/>
    <n v="1.4796000000000005"/>
    <n v="5.48"/>
  </r>
  <r>
    <s v="United States"/>
    <x v="194"/>
    <s v="Standard Class"/>
    <s v="Home Office"/>
    <s v="Binders"/>
    <n v="2"/>
    <n v="0"/>
    <n v="274.49099999999999"/>
    <n v="609.98"/>
  </r>
  <r>
    <s v="United States"/>
    <x v="194"/>
    <s v="Standard Class"/>
    <s v="Home Office"/>
    <s v="Chairs"/>
    <n v="9"/>
    <n v="0"/>
    <n v="746.40779999999972"/>
    <n v="2573.8200000000002"/>
  </r>
  <r>
    <s v="United States"/>
    <x v="194"/>
    <s v="Standard Class"/>
    <s v="Home Office"/>
    <s v="Fasteners"/>
    <n v="4"/>
    <n v="0"/>
    <n v="0.31119999999999948"/>
    <n v="31.12"/>
  </r>
  <r>
    <s v="United States"/>
    <x v="194"/>
    <s v="Standard Class"/>
    <s v="Home Office"/>
    <s v="Furnishings"/>
    <n v="2"/>
    <n v="0"/>
    <n v="11.583600000000001"/>
    <n v="27.58"/>
  </r>
  <r>
    <s v="United States"/>
    <x v="194"/>
    <s v="Standard Class"/>
    <s v="Home Office"/>
    <s v="Paper"/>
    <n v="1"/>
    <n v="0"/>
    <n v="3.0084"/>
    <n v="6.54"/>
  </r>
  <r>
    <s v="United States"/>
    <x v="194"/>
    <s v="Standard Class"/>
    <s v="Home Office"/>
    <s v="Phones"/>
    <n v="6"/>
    <n v="0"/>
    <n v="317.78339999999997"/>
    <n v="1147.94"/>
  </r>
  <r>
    <s v="United States"/>
    <x v="195"/>
    <s v="Standard Class"/>
    <s v="Consumer"/>
    <s v="Art"/>
    <n v="7"/>
    <n v="0.2"/>
    <n v="1.0730999999999993"/>
    <n v="12.263999999999999"/>
  </r>
  <r>
    <s v="United States"/>
    <x v="195"/>
    <s v="Standard Class"/>
    <s v="Consumer"/>
    <s v="Furnishings"/>
    <n v="4"/>
    <n v="0.2"/>
    <n v="19.084800000000005"/>
    <n v="72.703999999999994"/>
  </r>
  <r>
    <s v="United States"/>
    <x v="195"/>
    <s v="Standard Class"/>
    <s v="Consumer"/>
    <s v="Storage"/>
    <n v="3"/>
    <n v="0.2"/>
    <n v="-54.588000000000008"/>
    <n v="218.35200000000003"/>
  </r>
  <r>
    <s v="United States"/>
    <x v="195"/>
    <s v="Standard Class"/>
    <s v="Home Office"/>
    <s v="Binders"/>
    <n v="8"/>
    <n v="1.4"/>
    <n v="-10.956599999999998"/>
    <n v="16.218000000000004"/>
  </r>
  <r>
    <s v="United States"/>
    <x v="196"/>
    <s v="Standard Class"/>
    <s v="Corporate"/>
    <s v="Accessories"/>
    <n v="1"/>
    <n v="0"/>
    <n v="34.996499999999997"/>
    <n v="99.99"/>
  </r>
  <r>
    <s v="United States"/>
    <x v="196"/>
    <s v="Standard Class"/>
    <s v="Corporate"/>
    <s v="Binders"/>
    <n v="6"/>
    <n v="0.2"/>
    <n v="81.744"/>
    <n v="251.52"/>
  </r>
  <r>
    <s v="United States"/>
    <x v="196"/>
    <s v="Standard Class"/>
    <s v="Corporate"/>
    <s v="Bookcases"/>
    <n v="5"/>
    <n v="0.15"/>
    <n v="19.997999999999976"/>
    <n v="424.95749999999992"/>
  </r>
  <r>
    <s v="United States"/>
    <x v="196"/>
    <s v="Standard Class"/>
    <s v="Corporate"/>
    <s v="Chairs"/>
    <n v="6"/>
    <n v="0.2"/>
    <n v="-38.211600000000033"/>
    <n v="436.70400000000006"/>
  </r>
  <r>
    <s v="United States"/>
    <x v="197"/>
    <s v="First Class"/>
    <s v="Consumer"/>
    <s v="Furnishings"/>
    <n v="3"/>
    <n v="0.2"/>
    <n v="5.7750000000000021"/>
    <n v="21"/>
  </r>
  <r>
    <s v="United States"/>
    <x v="197"/>
    <s v="First Class"/>
    <s v="Consumer"/>
    <s v="Machines"/>
    <n v="5"/>
    <n v="1"/>
    <n v="-9.1791000000000054"/>
    <n v="152.98500000000001"/>
  </r>
  <r>
    <s v="United States"/>
    <x v="197"/>
    <s v="First Class"/>
    <s v="Home Office"/>
    <s v="Binders"/>
    <n v="8"/>
    <n v="0.7"/>
    <n v="-331.95999999999992"/>
    <n v="398.35200000000003"/>
  </r>
  <r>
    <s v="United States"/>
    <x v="197"/>
    <s v="First Class"/>
    <s v="Home Office"/>
    <s v="Fasteners"/>
    <n v="2"/>
    <n v="0.2"/>
    <n v="2.3976000000000002"/>
    <n v="7.104000000000001"/>
  </r>
  <r>
    <s v="United States"/>
    <x v="197"/>
    <s v="First Class"/>
    <s v="Home Office"/>
    <s v="Phones"/>
    <n v="3"/>
    <n v="0.2"/>
    <n v="13.857900000000008"/>
    <n v="158.376"/>
  </r>
  <r>
    <s v="United States"/>
    <x v="197"/>
    <s v="First Class"/>
    <s v="Home Office"/>
    <s v="Storage"/>
    <n v="5"/>
    <n v="0.2"/>
    <n v="5.3970000000000073"/>
    <n v="61.68"/>
  </r>
  <r>
    <s v="United States"/>
    <x v="197"/>
    <s v="Second Class"/>
    <s v="Consumer"/>
    <s v="Art"/>
    <n v="8"/>
    <n v="0.2"/>
    <n v="5.0335999999999999"/>
    <n v="30.975999999999999"/>
  </r>
  <r>
    <s v="United States"/>
    <x v="197"/>
    <s v="Second Class"/>
    <s v="Consumer"/>
    <s v="Binders"/>
    <n v="4"/>
    <n v="0.7"/>
    <n v="-4.49"/>
    <n v="5.3880000000000008"/>
  </r>
  <r>
    <s v="United States"/>
    <x v="197"/>
    <s v="Second Class"/>
    <s v="Corporate"/>
    <s v="Chairs"/>
    <n v="9"/>
    <n v="0.2"/>
    <n v="101.38319999999999"/>
    <n v="1013.8320000000001"/>
  </r>
  <r>
    <s v="United States"/>
    <x v="197"/>
    <s v="Second Class"/>
    <s v="Corporate"/>
    <s v="Fasteners"/>
    <n v="2"/>
    <n v="0.2"/>
    <n v="0.66959999999999997"/>
    <n v="1.984"/>
  </r>
  <r>
    <s v="United States"/>
    <x v="197"/>
    <s v="Standard Class"/>
    <s v="Consumer"/>
    <s v="Appliances"/>
    <n v="5"/>
    <n v="0.2"/>
    <n v="1.1200000000000001"/>
    <n v="17.920000000000002"/>
  </r>
  <r>
    <s v="United States"/>
    <x v="197"/>
    <s v="Standard Class"/>
    <s v="Consumer"/>
    <s v="Furnishings"/>
    <n v="1"/>
    <n v="0.2"/>
    <n v="4.0383000000000013"/>
    <n v="15.384"/>
  </r>
  <r>
    <s v="United States"/>
    <x v="197"/>
    <s v="Standard Class"/>
    <s v="Consumer"/>
    <s v="Paper"/>
    <n v="3"/>
    <n v="0.2"/>
    <n v="5.4432"/>
    <n v="15.552000000000003"/>
  </r>
  <r>
    <s v="United States"/>
    <x v="197"/>
    <s v="Standard Class"/>
    <s v="Corporate"/>
    <s v="Supplies"/>
    <n v="7"/>
    <n v="0.2"/>
    <n v="5.1281999999999996"/>
    <n v="45.584000000000003"/>
  </r>
  <r>
    <s v="United States"/>
    <x v="197"/>
    <s v="Standard Class"/>
    <s v="Home Office"/>
    <s v="Appliances"/>
    <n v="2"/>
    <n v="0.2"/>
    <n v="4.2384000000000022"/>
    <n v="42.384"/>
  </r>
  <r>
    <s v="United States"/>
    <x v="197"/>
    <s v="Standard Class"/>
    <s v="Home Office"/>
    <s v="Bookcases"/>
    <n v="5"/>
    <n v="0.2"/>
    <n v="8.4979999999999762"/>
    <n v="339.92000000000007"/>
  </r>
  <r>
    <s v="United States"/>
    <x v="197"/>
    <s v="Standard Class"/>
    <s v="Home Office"/>
    <s v="Paper"/>
    <n v="4"/>
    <n v="0.2"/>
    <n v="3.4215999999999993"/>
    <n v="10.528"/>
  </r>
  <r>
    <s v="United States"/>
    <x v="198"/>
    <s v="Same Day"/>
    <s v="Consumer"/>
    <s v="Phones"/>
    <n v="1"/>
    <n v="0.2"/>
    <n v="2.7143999999999995"/>
    <n v="36.192"/>
  </r>
  <r>
    <s v="United States"/>
    <x v="198"/>
    <s v="Standard Class"/>
    <s v="Consumer"/>
    <s v="Binders"/>
    <n v="4"/>
    <n v="0.7"/>
    <n v="-3.8100000000000005"/>
    <n v="4.572000000000001"/>
  </r>
  <r>
    <s v="United States"/>
    <x v="199"/>
    <s v="Standard Class"/>
    <s v="Consumer"/>
    <s v="Binders"/>
    <n v="5"/>
    <n v="0.8"/>
    <n v="-4.4639999999999995"/>
    <n v="2.879999999999999"/>
  </r>
  <r>
    <s v="United States"/>
    <x v="199"/>
    <s v="Standard Class"/>
    <s v="Consumer"/>
    <s v="Bookcases"/>
    <n v="9"/>
    <n v="0.6"/>
    <n v="-178.6775999999999"/>
    <n v="1298.374"/>
  </r>
  <r>
    <s v="United States"/>
    <x v="199"/>
    <s v="Standard Class"/>
    <s v="Consumer"/>
    <s v="Phones"/>
    <n v="2"/>
    <n v="0.2"/>
    <n v="13.438599999999994"/>
    <n v="153.584"/>
  </r>
  <r>
    <s v="United States"/>
    <x v="199"/>
    <s v="Standard Class"/>
    <s v="Corporate"/>
    <s v="Chairs"/>
    <n v="3"/>
    <n v="0.3"/>
    <n v="-7.7094000000001017"/>
    <n v="539.65800000000002"/>
  </r>
  <r>
    <s v="United States"/>
    <x v="199"/>
    <s v="Standard Class"/>
    <s v="Corporate"/>
    <s v="Paper"/>
    <n v="7"/>
    <n v="0.2"/>
    <n v="12.175799999999999"/>
    <n v="37.463999999999999"/>
  </r>
  <r>
    <s v="United States"/>
    <x v="199"/>
    <s v="Standard Class"/>
    <s v="Home Office"/>
    <s v="Binders"/>
    <n v="2"/>
    <n v="0.8"/>
    <n v="-4.7040000000000006"/>
    <n v="3.1359999999999992"/>
  </r>
  <r>
    <s v="United States"/>
    <x v="200"/>
    <s v="First Class"/>
    <s v="Consumer"/>
    <s v="Accessories"/>
    <n v="3"/>
    <n v="0.2"/>
    <n v="-4.6409999999999982"/>
    <n v="53.040000000000006"/>
  </r>
  <r>
    <s v="United States"/>
    <x v="200"/>
    <s v="First Class"/>
    <s v="Consumer"/>
    <s v="Furnishings"/>
    <n v="1"/>
    <n v="0.2"/>
    <n v="3.0338000000000003"/>
    <n v="11.032"/>
  </r>
  <r>
    <s v="United States"/>
    <x v="200"/>
    <s v="Standard Class"/>
    <s v="Corporate"/>
    <s v="Binders"/>
    <n v="7"/>
    <n v="0.7"/>
    <n v="-3.4649999999999999"/>
    <n v="4.1580000000000004"/>
  </r>
  <r>
    <s v="United States"/>
    <x v="200"/>
    <s v="Standard Class"/>
    <s v="Corporate"/>
    <s v="Paper"/>
    <n v="3"/>
    <n v="0.2"/>
    <n v="6.6177000000000001"/>
    <n v="19.608000000000001"/>
  </r>
  <r>
    <s v="United States"/>
    <x v="201"/>
    <s v="Second Class"/>
    <s v="Consumer"/>
    <s v="Labels"/>
    <n v="2"/>
    <n v="0"/>
    <n v="3.5999999999999996"/>
    <n v="7.5"/>
  </r>
  <r>
    <s v="United States"/>
    <x v="201"/>
    <s v="Standard Class"/>
    <s v="Home Office"/>
    <s v="Fasteners"/>
    <n v="7"/>
    <n v="0"/>
    <n v="9.1979999999999986"/>
    <n v="20.439999999999998"/>
  </r>
  <r>
    <s v="United States"/>
    <x v="201"/>
    <s v="Standard Class"/>
    <s v="Home Office"/>
    <s v="Paper"/>
    <n v="2"/>
    <n v="0"/>
    <n v="53.860799999999998"/>
    <n v="109.92"/>
  </r>
  <r>
    <s v="United States"/>
    <x v="202"/>
    <s v="First Class"/>
    <s v="Consumer"/>
    <s v="Appliances"/>
    <n v="5"/>
    <n v="0.2"/>
    <n v="17.126999999999988"/>
    <n v="152.24"/>
  </r>
  <r>
    <s v="United States"/>
    <x v="202"/>
    <s v="First Class"/>
    <s v="Consumer"/>
    <s v="Paper"/>
    <n v="5"/>
    <n v="0.2"/>
    <n v="29.691999999999993"/>
    <n v="91.360000000000014"/>
  </r>
  <r>
    <s v="United States"/>
    <x v="202"/>
    <s v="Second Class"/>
    <s v="Consumer"/>
    <s v="Paper"/>
    <n v="6"/>
    <n v="0.2"/>
    <n v="11.222399999999999"/>
    <n v="32.064"/>
  </r>
  <r>
    <s v="United States"/>
    <x v="202"/>
    <s v="Second Class"/>
    <s v="Consumer"/>
    <s v="Storage"/>
    <n v="1"/>
    <n v="0.2"/>
    <n v="0.99520000000000008"/>
    <n v="9.952"/>
  </r>
  <r>
    <s v="United States"/>
    <x v="202"/>
    <s v="Second Class"/>
    <s v="Home Office"/>
    <s v="Binders"/>
    <n v="5"/>
    <n v="0.7"/>
    <n v="-7.6799999999999962"/>
    <n v="11.520000000000001"/>
  </r>
  <r>
    <s v="United States"/>
    <x v="202"/>
    <s v="Standard Class"/>
    <s v="Consumer"/>
    <s v="Furnishings"/>
    <n v="4"/>
    <n v="0.2"/>
    <n v="16.854399999999984"/>
    <n v="337.08800000000002"/>
  </r>
  <r>
    <s v="United States"/>
    <x v="202"/>
    <s v="Standard Class"/>
    <s v="Consumer"/>
    <s v="Paper"/>
    <n v="6"/>
    <n v="0.4"/>
    <n v="9.6714000000000002"/>
    <n v="27.504000000000005"/>
  </r>
  <r>
    <s v="United States"/>
    <x v="202"/>
    <s v="Standard Class"/>
    <s v="Corporate"/>
    <s v="Labels"/>
    <n v="4"/>
    <n v="0.2"/>
    <n v="3.3408000000000002"/>
    <n v="9.2159999999999993"/>
  </r>
  <r>
    <s v="United States"/>
    <x v="202"/>
    <s v="Standard Class"/>
    <s v="Home Office"/>
    <s v="Binders"/>
    <n v="3"/>
    <n v="0.7"/>
    <n v="-11.417999999999999"/>
    <n v="15.570000000000004"/>
  </r>
  <r>
    <s v="United States"/>
    <x v="202"/>
    <s v="Standard Class"/>
    <s v="Home Office"/>
    <s v="Phones"/>
    <n v="5"/>
    <n v="0.2"/>
    <n v="38.396000000000015"/>
    <n v="383.96000000000004"/>
  </r>
  <r>
    <s v="United States"/>
    <x v="203"/>
    <s v="Standard Class"/>
    <s v="Home Office"/>
    <s v="Bookcases"/>
    <n v="2"/>
    <n v="0"/>
    <n v="60.391999999999996"/>
    <n v="301.95999999999998"/>
  </r>
  <r>
    <s v="United States"/>
    <x v="204"/>
    <s v="Same Day"/>
    <s v="Consumer"/>
    <s v="Storage"/>
    <n v="3"/>
    <n v="0.2"/>
    <n v="7.4571000000000041"/>
    <n v="85.224000000000004"/>
  </r>
  <r>
    <s v="United States"/>
    <x v="204"/>
    <s v="Standard Class"/>
    <s v="Consumer"/>
    <s v="Paper"/>
    <n v="1"/>
    <n v="0.2"/>
    <n v="15.534399999999998"/>
    <n v="44.384"/>
  </r>
  <r>
    <s v="United States"/>
    <x v="204"/>
    <s v="Standard Class"/>
    <s v="Consumer"/>
    <s v="Supplies"/>
    <n v="1"/>
    <n v="0.2"/>
    <n v="-0.66240000000000021"/>
    <n v="2.9440000000000004"/>
  </r>
  <r>
    <s v="United States"/>
    <x v="205"/>
    <s v="First Class"/>
    <s v="Corporate"/>
    <s v="Accessories"/>
    <n v="2"/>
    <n v="0"/>
    <n v="1.558799999999998"/>
    <n v="25.98"/>
  </r>
  <r>
    <s v="United States"/>
    <x v="205"/>
    <s v="First Class"/>
    <s v="Corporate"/>
    <s v="Supplies"/>
    <n v="4"/>
    <n v="0"/>
    <n v="9.5448000000000093"/>
    <n v="477.24"/>
  </r>
  <r>
    <s v="United States"/>
    <x v="205"/>
    <s v="Second Class"/>
    <s v="Corporate"/>
    <s v="Art"/>
    <n v="7"/>
    <n v="0"/>
    <n v="4.1768999999999998"/>
    <n v="15.469999999999999"/>
  </r>
  <r>
    <s v="United States"/>
    <x v="205"/>
    <s v="Second Class"/>
    <s v="Corporate"/>
    <s v="Binders"/>
    <n v="2"/>
    <n v="0"/>
    <n v="3.4367999999999999"/>
    <n v="7.16"/>
  </r>
  <r>
    <s v="United States"/>
    <x v="206"/>
    <s v="Standard Class"/>
    <s v="Consumer"/>
    <s v="Accessories"/>
    <n v="1"/>
    <n v="0"/>
    <n v="2.9989999999999988"/>
    <n v="29.99"/>
  </r>
  <r>
    <s v="United States"/>
    <x v="206"/>
    <s v="Standard Class"/>
    <s v="Home Office"/>
    <s v="Fasteners"/>
    <n v="6"/>
    <n v="0"/>
    <n v="14.399999999999999"/>
    <n v="30"/>
  </r>
  <r>
    <s v="United States"/>
    <x v="206"/>
    <s v="Standard Class"/>
    <s v="Home Office"/>
    <s v="Furnishings"/>
    <n v="4"/>
    <n v="0"/>
    <n v="31.983999999999995"/>
    <n v="159.91999999999999"/>
  </r>
  <r>
    <s v="United States"/>
    <x v="206"/>
    <s v="Standard Class"/>
    <s v="Home Office"/>
    <s v="Paper"/>
    <n v="4"/>
    <n v="0"/>
    <n v="12.700800000000001"/>
    <n v="25.92"/>
  </r>
  <r>
    <s v="United States"/>
    <x v="207"/>
    <s v="First Class"/>
    <s v="Consumer"/>
    <s v="Art"/>
    <n v="12"/>
    <n v="0.60000000000000009"/>
    <n v="12.525000000000002"/>
    <n v="97.08"/>
  </r>
  <r>
    <s v="United States"/>
    <x v="207"/>
    <s v="First Class"/>
    <s v="Consumer"/>
    <s v="Binders"/>
    <n v="11"/>
    <n v="2.4000000000000004"/>
    <n v="-2295.2772000000004"/>
    <n v="1529.8199999999995"/>
  </r>
  <r>
    <s v="United States"/>
    <x v="207"/>
    <s v="First Class"/>
    <s v="Consumer"/>
    <s v="Chairs"/>
    <n v="8"/>
    <n v="0.6"/>
    <n v="-59.248800000000173"/>
    <n v="1090.4879999999998"/>
  </r>
  <r>
    <s v="United States"/>
    <x v="207"/>
    <s v="First Class"/>
    <s v="Consumer"/>
    <s v="Fasteners"/>
    <n v="6"/>
    <n v="0.2"/>
    <n v="1.8467999999999996"/>
    <n v="5.4719999999999995"/>
  </r>
  <r>
    <s v="United States"/>
    <x v="207"/>
    <s v="First Class"/>
    <s v="Consumer"/>
    <s v="Furnishings"/>
    <n v="9"/>
    <n v="0.6"/>
    <n v="-20.730599999999995"/>
    <n v="75.384000000000015"/>
  </r>
  <r>
    <s v="United States"/>
    <x v="207"/>
    <s v="First Class"/>
    <s v="Consumer"/>
    <s v="Labels"/>
    <n v="2"/>
    <n v="0.2"/>
    <n v="1.6704000000000001"/>
    <n v="4.6079999999999997"/>
  </r>
  <r>
    <s v="United States"/>
    <x v="207"/>
    <s v="First Class"/>
    <s v="Consumer"/>
    <s v="Paper"/>
    <n v="28"/>
    <n v="1.2"/>
    <n v="137.07219999999998"/>
    <n v="413.64800000000002"/>
  </r>
  <r>
    <s v="United States"/>
    <x v="207"/>
    <s v="First Class"/>
    <s v="Consumer"/>
    <s v="Phones"/>
    <n v="11"/>
    <n v="0.60000000000000009"/>
    <n v="27.251300000000008"/>
    <n v="273.51199999999994"/>
  </r>
  <r>
    <s v="United States"/>
    <x v="207"/>
    <s v="First Class"/>
    <s v="Consumer"/>
    <s v="Storage"/>
    <n v="3"/>
    <n v="0.4"/>
    <n v="2.6248000000000009"/>
    <n v="28.944000000000003"/>
  </r>
  <r>
    <s v="United States"/>
    <x v="207"/>
    <s v="First Class"/>
    <s v="Corporate"/>
    <s v="Accessories"/>
    <n v="6"/>
    <n v="0.4"/>
    <n v="40.525799999999997"/>
    <n v="199.17600000000002"/>
  </r>
  <r>
    <s v="United States"/>
    <x v="207"/>
    <s v="First Class"/>
    <s v="Corporate"/>
    <s v="Art"/>
    <n v="2"/>
    <n v="0.2"/>
    <n v="6.2243999999999957"/>
    <n v="55.328000000000003"/>
  </r>
  <r>
    <s v="United States"/>
    <x v="207"/>
    <s v="First Class"/>
    <s v="Corporate"/>
    <s v="Binders"/>
    <n v="8"/>
    <n v="2.4000000000000004"/>
    <n v="-57.799800000000005"/>
    <n v="34.109999999999992"/>
  </r>
  <r>
    <s v="United States"/>
    <x v="207"/>
    <s v="First Class"/>
    <s v="Corporate"/>
    <s v="Bookcases"/>
    <n v="6"/>
    <n v="0.32"/>
    <n v="-36.117600000000152"/>
    <n v="1227.9983999999999"/>
  </r>
  <r>
    <s v="United States"/>
    <x v="207"/>
    <s v="First Class"/>
    <s v="Corporate"/>
    <s v="Envelopes"/>
    <n v="3"/>
    <n v="0.2"/>
    <n v="26.952599999999997"/>
    <n v="74.352000000000004"/>
  </r>
  <r>
    <s v="United States"/>
    <x v="207"/>
    <s v="First Class"/>
    <s v="Corporate"/>
    <s v="Furnishings"/>
    <n v="10"/>
    <n v="1.7999999999999998"/>
    <n v="-18.965399999999999"/>
    <n v="35.840000000000003"/>
  </r>
  <r>
    <s v="United States"/>
    <x v="207"/>
    <s v="First Class"/>
    <s v="Corporate"/>
    <s v="Paper"/>
    <n v="7"/>
    <n v="0.4"/>
    <n v="17.123399999999997"/>
    <n v="47.952000000000005"/>
  </r>
  <r>
    <s v="United States"/>
    <x v="207"/>
    <s v="First Class"/>
    <s v="Corporate"/>
    <s v="Phones"/>
    <n v="7"/>
    <n v="0.2"/>
    <n v="118.29299999999989"/>
    <n v="946.34400000000005"/>
  </r>
  <r>
    <s v="United States"/>
    <x v="207"/>
    <s v="First Class"/>
    <s v="Corporate"/>
    <s v="Storage"/>
    <n v="3"/>
    <n v="0.2"/>
    <n v="2.724000000000002"/>
    <n v="27.240000000000002"/>
  </r>
  <r>
    <s v="United States"/>
    <x v="207"/>
    <s v="First Class"/>
    <s v="Home Office"/>
    <s v="Accessories"/>
    <n v="6"/>
    <n v="0.4"/>
    <n v="18.501999999999999"/>
    <n v="147.488"/>
  </r>
  <r>
    <s v="United States"/>
    <x v="207"/>
    <s v="First Class"/>
    <s v="Home Office"/>
    <s v="Art"/>
    <n v="9"/>
    <n v="0.4"/>
    <n v="56.184900000000006"/>
    <n v="197.304"/>
  </r>
  <r>
    <s v="United States"/>
    <x v="207"/>
    <s v="First Class"/>
    <s v="Home Office"/>
    <s v="Binders"/>
    <n v="17"/>
    <n v="3.2"/>
    <n v="-90.956400000000031"/>
    <n v="57.399999999999991"/>
  </r>
  <r>
    <s v="United States"/>
    <x v="207"/>
    <s v="First Class"/>
    <s v="Home Office"/>
    <s v="Bookcases"/>
    <n v="5"/>
    <n v="0.64"/>
    <n v="-84.697800000000001"/>
    <n v="472.53199999999993"/>
  </r>
  <r>
    <s v="United States"/>
    <x v="207"/>
    <s v="First Class"/>
    <s v="Home Office"/>
    <s v="Paper"/>
    <n v="7"/>
    <n v="0.4"/>
    <n v="83.209699999999998"/>
    <n v="229.54400000000001"/>
  </r>
  <r>
    <s v="United States"/>
    <x v="207"/>
    <s v="First Class"/>
    <s v="Home Office"/>
    <s v="Phones"/>
    <n v="7"/>
    <n v="0.4"/>
    <n v="-72.909000000000049"/>
    <n v="635.11200000000008"/>
  </r>
  <r>
    <s v="United States"/>
    <x v="207"/>
    <s v="First Class"/>
    <s v="Home Office"/>
    <s v="Storage"/>
    <n v="9"/>
    <n v="0.2"/>
    <n v="7.5527999999999977"/>
    <n v="151.05600000000001"/>
  </r>
  <r>
    <s v="United States"/>
    <x v="207"/>
    <s v="First Class"/>
    <s v="Home Office"/>
    <s v="Tables"/>
    <n v="1"/>
    <n v="0.3"/>
    <n v="-22.948000000000008"/>
    <n v="200.79500000000002"/>
  </r>
  <r>
    <s v="United States"/>
    <x v="207"/>
    <s v="Same Day"/>
    <s v="Consumer"/>
    <s v="Accessories"/>
    <n v="7"/>
    <n v="0.4"/>
    <n v="47.194400000000016"/>
    <n v="383.94400000000002"/>
  </r>
  <r>
    <s v="United States"/>
    <x v="207"/>
    <s v="Same Day"/>
    <s v="Consumer"/>
    <s v="Appliances"/>
    <n v="4"/>
    <n v="0.8"/>
    <n v="-85.238399999999999"/>
    <n v="32.783999999999992"/>
  </r>
  <r>
    <s v="United States"/>
    <x v="207"/>
    <s v="Same Day"/>
    <s v="Consumer"/>
    <s v="Binders"/>
    <n v="3"/>
    <n v="1.6"/>
    <n v="-7.9672000000000001"/>
    <n v="4.9099999999999984"/>
  </r>
  <r>
    <s v="United States"/>
    <x v="207"/>
    <s v="Same Day"/>
    <s v="Consumer"/>
    <s v="Furnishings"/>
    <n v="11"/>
    <n v="1.7999999999999998"/>
    <n v="-24.538599999999995"/>
    <n v="34.671999999999997"/>
  </r>
  <r>
    <s v="United States"/>
    <x v="207"/>
    <s v="Same Day"/>
    <s v="Consumer"/>
    <s v="Paper"/>
    <n v="14"/>
    <n v="0.60000000000000009"/>
    <n v="128.51159999999999"/>
    <n v="351.88800000000003"/>
  </r>
  <r>
    <s v="United States"/>
    <x v="207"/>
    <s v="Same Day"/>
    <s v="Consumer"/>
    <s v="Phones"/>
    <n v="8"/>
    <n v="0.4"/>
    <n v="-4.4185999999999908"/>
    <n v="135.136"/>
  </r>
  <r>
    <s v="United States"/>
    <x v="207"/>
    <s v="Same Day"/>
    <s v="Consumer"/>
    <s v="Storage"/>
    <n v="17"/>
    <n v="0.60000000000000009"/>
    <n v="-74.698800000000034"/>
    <n v="548.5440000000001"/>
  </r>
  <r>
    <s v="United States"/>
    <x v="207"/>
    <s v="Second Class"/>
    <s v="Consumer"/>
    <s v="Accessories"/>
    <n v="6"/>
    <n v="0.60000000000000009"/>
    <n v="-5.252200000000002"/>
    <n v="107.76"/>
  </r>
  <r>
    <s v="United States"/>
    <x v="207"/>
    <s v="Second Class"/>
    <s v="Consumer"/>
    <s v="Appliances"/>
    <n v="9"/>
    <n v="1.6"/>
    <n v="-1009.172"/>
    <n v="391.8839999999999"/>
  </r>
  <r>
    <s v="United States"/>
    <x v="207"/>
    <s v="Second Class"/>
    <s v="Consumer"/>
    <s v="Binders"/>
    <n v="18"/>
    <n v="3.2"/>
    <n v="-75.454000000000008"/>
    <n v="47.489999999999988"/>
  </r>
  <r>
    <s v="United States"/>
    <x v="207"/>
    <s v="Second Class"/>
    <s v="Consumer"/>
    <s v="Bookcases"/>
    <n v="4"/>
    <n v="0.32"/>
    <n v="-317.15280000000007"/>
    <n v="2396.2655999999997"/>
  </r>
  <r>
    <s v="United States"/>
    <x v="207"/>
    <s v="Second Class"/>
    <s v="Consumer"/>
    <s v="Chairs"/>
    <n v="5"/>
    <n v="0.89999999999999991"/>
    <n v="-49.917800000000014"/>
    <n v="249.70400000000001"/>
  </r>
  <r>
    <s v="United States"/>
    <x v="207"/>
    <s v="Second Class"/>
    <s v="Consumer"/>
    <s v="Envelopes"/>
    <n v="8"/>
    <n v="0.4"/>
    <n v="26.1096"/>
    <n v="71.711999999999989"/>
  </r>
  <r>
    <s v="United States"/>
    <x v="207"/>
    <s v="Second Class"/>
    <s v="Consumer"/>
    <s v="Fasteners"/>
    <n v="4"/>
    <n v="0.2"/>
    <n v="7.8899999999999979"/>
    <n v="25.248000000000001"/>
  </r>
  <r>
    <s v="United States"/>
    <x v="207"/>
    <s v="Second Class"/>
    <s v="Consumer"/>
    <s v="Furnishings"/>
    <n v="16"/>
    <n v="3"/>
    <n v="-60.343399999999995"/>
    <n v="90.052000000000007"/>
  </r>
  <r>
    <s v="United States"/>
    <x v="207"/>
    <s v="Second Class"/>
    <s v="Consumer"/>
    <s v="Paper"/>
    <n v="26"/>
    <n v="1.2"/>
    <n v="48.899499999999989"/>
    <n v="147.78400000000002"/>
  </r>
  <r>
    <s v="United States"/>
    <x v="207"/>
    <s v="Second Class"/>
    <s v="Consumer"/>
    <s v="Phones"/>
    <n v="19"/>
    <n v="0.60000000000000009"/>
    <n v="482.6"/>
    <n v="2254.3040000000001"/>
  </r>
  <r>
    <s v="United States"/>
    <x v="207"/>
    <s v="Second Class"/>
    <s v="Consumer"/>
    <s v="Storage"/>
    <n v="13"/>
    <n v="0.8"/>
    <n v="-22.252200000000006"/>
    <n v="238.56"/>
  </r>
  <r>
    <s v="United States"/>
    <x v="207"/>
    <s v="Second Class"/>
    <s v="Consumer"/>
    <s v="Supplies"/>
    <n v="1"/>
    <n v="0.2"/>
    <n v="0.36499999999999977"/>
    <n v="2.92"/>
  </r>
  <r>
    <s v="United States"/>
    <x v="207"/>
    <s v="Second Class"/>
    <s v="Consumer"/>
    <s v="Tables"/>
    <n v="12"/>
    <n v="0.89999999999999991"/>
    <n v="-262.01300000000009"/>
    <n v="1446.62"/>
  </r>
  <r>
    <s v="United States"/>
    <x v="207"/>
    <s v="Second Class"/>
    <s v="Corporate"/>
    <s v="Accessories"/>
    <n v="9"/>
    <n v="0.4"/>
    <n v="26.953800000000005"/>
    <n v="219.57600000000002"/>
  </r>
  <r>
    <s v="United States"/>
    <x v="207"/>
    <s v="Second Class"/>
    <s v="Corporate"/>
    <s v="Appliances"/>
    <n v="8"/>
    <n v="1.6"/>
    <n v="-94.880400000000023"/>
    <n v="37.207999999999991"/>
  </r>
  <r>
    <s v="United States"/>
    <x v="207"/>
    <s v="Second Class"/>
    <s v="Corporate"/>
    <s v="Binders"/>
    <n v="4"/>
    <n v="0.8"/>
    <n v="-53.072000000000017"/>
    <n v="34.239999999999988"/>
  </r>
  <r>
    <s v="United States"/>
    <x v="207"/>
    <s v="Second Class"/>
    <s v="Corporate"/>
    <s v="Bookcases"/>
    <n v="10"/>
    <n v="0.32"/>
    <n v="-137.97600000000008"/>
    <n v="781.86399999999992"/>
  </r>
  <r>
    <s v="United States"/>
    <x v="207"/>
    <s v="Second Class"/>
    <s v="Corporate"/>
    <s v="Chairs"/>
    <n v="5"/>
    <n v="0.6"/>
    <n v="-54.772400000000005"/>
    <n v="829.43"/>
  </r>
  <r>
    <s v="United States"/>
    <x v="207"/>
    <s v="Second Class"/>
    <s v="Corporate"/>
    <s v="Fasteners"/>
    <n v="8"/>
    <n v="0.2"/>
    <n v="5.3352000000000004"/>
    <n v="15.808000000000002"/>
  </r>
  <r>
    <s v="United States"/>
    <x v="207"/>
    <s v="Second Class"/>
    <s v="Corporate"/>
    <s v="Furnishings"/>
    <n v="5"/>
    <n v="1.2"/>
    <n v="-4.577399999999999"/>
    <n v="11.879999999999999"/>
  </r>
  <r>
    <s v="United States"/>
    <x v="207"/>
    <s v="Second Class"/>
    <s v="Corporate"/>
    <s v="Labels"/>
    <n v="9"/>
    <n v="0.2"/>
    <n v="14.741999999999997"/>
    <n v="45.36"/>
  </r>
  <r>
    <s v="United States"/>
    <x v="207"/>
    <s v="Second Class"/>
    <s v="Corporate"/>
    <s v="Machines"/>
    <n v="13"/>
    <n v="1.2000000000000002"/>
    <n v="-712.2318000000007"/>
    <n v="6177.0720000000001"/>
  </r>
  <r>
    <s v="United States"/>
    <x v="207"/>
    <s v="Second Class"/>
    <s v="Corporate"/>
    <s v="Paper"/>
    <n v="28"/>
    <n v="1"/>
    <n v="142.87229999999997"/>
    <n v="420.92000000000007"/>
  </r>
  <r>
    <s v="United States"/>
    <x v="207"/>
    <s v="Second Class"/>
    <s v="Corporate"/>
    <s v="Phones"/>
    <n v="9"/>
    <n v="0.60000000000000009"/>
    <n v="90.509399999999971"/>
    <n v="873.33600000000001"/>
  </r>
  <r>
    <s v="United States"/>
    <x v="207"/>
    <s v="Second Class"/>
    <s v="Corporate"/>
    <s v="Storage"/>
    <n v="10"/>
    <n v="0.60000000000000009"/>
    <n v="-8.7487999999999992"/>
    <n v="203.87200000000001"/>
  </r>
  <r>
    <s v="United States"/>
    <x v="207"/>
    <s v="Second Class"/>
    <s v="Home Office"/>
    <s v="Accessories"/>
    <n v="8"/>
    <n v="0.4"/>
    <n v="98.580500000000001"/>
    <n v="418.25600000000003"/>
  </r>
  <r>
    <s v="United States"/>
    <x v="207"/>
    <s v="Second Class"/>
    <s v="Home Office"/>
    <s v="Appliances"/>
    <n v="10"/>
    <n v="1.6"/>
    <n v="-185.6686"/>
    <n v="73.707999999999984"/>
  </r>
  <r>
    <s v="United States"/>
    <x v="207"/>
    <s v="Second Class"/>
    <s v="Home Office"/>
    <s v="Art"/>
    <n v="11"/>
    <n v="0.4"/>
    <n v="7.1637999999999993"/>
    <n v="21.176000000000002"/>
  </r>
  <r>
    <s v="United States"/>
    <x v="207"/>
    <s v="Second Class"/>
    <s v="Home Office"/>
    <s v="Binders"/>
    <n v="15"/>
    <n v="2.4000000000000004"/>
    <n v="-26.159400000000005"/>
    <n v="15.931999999999997"/>
  </r>
  <r>
    <s v="United States"/>
    <x v="207"/>
    <s v="Second Class"/>
    <s v="Home Office"/>
    <s v="Chairs"/>
    <n v="10"/>
    <n v="0.89999999999999991"/>
    <n v="-205.14360000000011"/>
    <n v="1298.3600000000001"/>
  </r>
  <r>
    <s v="United States"/>
    <x v="207"/>
    <s v="Second Class"/>
    <s v="Home Office"/>
    <s v="Furnishings"/>
    <n v="14"/>
    <n v="2.4"/>
    <n v="-88.12299999999999"/>
    <n v="125.38"/>
  </r>
  <r>
    <s v="United States"/>
    <x v="207"/>
    <s v="Second Class"/>
    <s v="Home Office"/>
    <s v="Labels"/>
    <n v="1"/>
    <n v="0.2"/>
    <n v="0.86239999999999983"/>
    <n v="2.4640000000000004"/>
  </r>
  <r>
    <s v="United States"/>
    <x v="207"/>
    <s v="Second Class"/>
    <s v="Home Office"/>
    <s v="Paper"/>
    <n v="6"/>
    <n v="0.4"/>
    <n v="15.584399999999999"/>
    <n v="45.024000000000001"/>
  </r>
  <r>
    <s v="United States"/>
    <x v="207"/>
    <s v="Second Class"/>
    <s v="Home Office"/>
    <s v="Phones"/>
    <n v="11"/>
    <n v="0.4"/>
    <n v="100.48100000000008"/>
    <n v="1535.72"/>
  </r>
  <r>
    <s v="United States"/>
    <x v="207"/>
    <s v="Second Class"/>
    <s v="Home Office"/>
    <s v="Storage"/>
    <n v="17"/>
    <n v="0.60000000000000009"/>
    <n v="21.264799999999997"/>
    <n v="234.62400000000002"/>
  </r>
  <r>
    <s v="United States"/>
    <x v="207"/>
    <s v="Standard Class"/>
    <s v="Consumer"/>
    <s v="Accessories"/>
    <n v="36"/>
    <n v="2.1999999999999997"/>
    <n v="231.57559999999989"/>
    <n v="1413.0880000000002"/>
  </r>
  <r>
    <s v="United States"/>
    <x v="207"/>
    <s v="Standard Class"/>
    <s v="Consumer"/>
    <s v="Appliances"/>
    <n v="22"/>
    <n v="6.3999999999999995"/>
    <n v="-749.42980000000011"/>
    <n v="288.83999999999997"/>
  </r>
  <r>
    <s v="United States"/>
    <x v="207"/>
    <s v="Standard Class"/>
    <s v="Consumer"/>
    <s v="Art"/>
    <n v="49"/>
    <n v="2.4"/>
    <n v="49.298399999999987"/>
    <n v="401.77599999999995"/>
  </r>
  <r>
    <s v="United States"/>
    <x v="207"/>
    <s v="Standard Class"/>
    <s v="Consumer"/>
    <s v="Binders"/>
    <n v="118"/>
    <n v="24.800000000000011"/>
    <n v="-4131.0941000000021"/>
    <n v="2476.2819999999988"/>
  </r>
  <r>
    <s v="United States"/>
    <x v="207"/>
    <s v="Standard Class"/>
    <s v="Consumer"/>
    <s v="Bookcases"/>
    <n v="15"/>
    <n v="0.96"/>
    <n v="-273.25440000000015"/>
    <n v="2593.9959999999996"/>
  </r>
  <r>
    <s v="United States"/>
    <x v="207"/>
    <s v="Standard Class"/>
    <s v="Consumer"/>
    <s v="Chairs"/>
    <n v="30"/>
    <n v="2.6999999999999997"/>
    <n v="-170.49720000000011"/>
    <n v="4244.8139999999994"/>
  </r>
  <r>
    <s v="United States"/>
    <x v="207"/>
    <s v="Standard Class"/>
    <s v="Consumer"/>
    <s v="Envelopes"/>
    <n v="17"/>
    <n v="0.8"/>
    <n v="301.90859999999992"/>
    <n v="894.54399999999998"/>
  </r>
  <r>
    <s v="United States"/>
    <x v="207"/>
    <s v="Standard Class"/>
    <s v="Consumer"/>
    <s v="Fasteners"/>
    <n v="17"/>
    <n v="0.60000000000000009"/>
    <n v="25.074300000000001"/>
    <n v="71.016000000000005"/>
  </r>
  <r>
    <s v="United States"/>
    <x v="207"/>
    <s v="Standard Class"/>
    <s v="Consumer"/>
    <s v="Furnishings"/>
    <n v="28"/>
    <n v="5.3999999999999995"/>
    <n v="-267.29379999999998"/>
    <n v="265.93600000000004"/>
  </r>
  <r>
    <s v="United States"/>
    <x v="207"/>
    <s v="Standard Class"/>
    <s v="Consumer"/>
    <s v="Labels"/>
    <n v="1"/>
    <n v="0.2"/>
    <n v="0.67859999999999987"/>
    <n v="2.0880000000000001"/>
  </r>
  <r>
    <s v="United States"/>
    <x v="207"/>
    <s v="Standard Class"/>
    <s v="Consumer"/>
    <s v="Machines"/>
    <n v="8"/>
    <n v="0.8"/>
    <n v="-166.18050000000011"/>
    <n v="1286.7599999999998"/>
  </r>
  <r>
    <s v="United States"/>
    <x v="207"/>
    <s v="Standard Class"/>
    <s v="Consumer"/>
    <s v="Paper"/>
    <n v="70"/>
    <n v="3.4000000000000008"/>
    <n v="422.76949999999994"/>
    <n v="1213.6640000000002"/>
  </r>
  <r>
    <s v="United States"/>
    <x v="207"/>
    <s v="Standard Class"/>
    <s v="Consumer"/>
    <s v="Phones"/>
    <n v="43"/>
    <n v="2.4"/>
    <n v="347.3116999999998"/>
    <n v="3163.4479999999999"/>
  </r>
  <r>
    <s v="United States"/>
    <x v="207"/>
    <s v="Standard Class"/>
    <s v="Consumer"/>
    <s v="Storage"/>
    <n v="29"/>
    <n v="1.9999999999999998"/>
    <n v="-233.20660000000012"/>
    <n v="1456.1360000000004"/>
  </r>
  <r>
    <s v="United States"/>
    <x v="207"/>
    <s v="Standard Class"/>
    <s v="Consumer"/>
    <s v="Supplies"/>
    <n v="7"/>
    <n v="0.2"/>
    <n v="3.5623000000000022"/>
    <n v="40.711999999999996"/>
  </r>
  <r>
    <s v="United States"/>
    <x v="207"/>
    <s v="Standard Class"/>
    <s v="Consumer"/>
    <s v="Tables"/>
    <n v="16"/>
    <n v="0.89999999999999991"/>
    <n v="-269.17780000000016"/>
    <n v="1751.827"/>
  </r>
  <r>
    <s v="United States"/>
    <x v="207"/>
    <s v="Standard Class"/>
    <s v="Corporate"/>
    <s v="Accessories"/>
    <n v="8"/>
    <n v="0.4"/>
    <n v="22.671400000000002"/>
    <n v="223.47200000000004"/>
  </r>
  <r>
    <s v="United States"/>
    <x v="207"/>
    <s v="Standard Class"/>
    <s v="Corporate"/>
    <s v="Appliances"/>
    <n v="12"/>
    <n v="2.4000000000000004"/>
    <n v="-497.42520000000002"/>
    <n v="188.91199999999998"/>
  </r>
  <r>
    <s v="United States"/>
    <x v="207"/>
    <s v="Standard Class"/>
    <s v="Corporate"/>
    <s v="Art"/>
    <n v="7"/>
    <n v="0.60000000000000009"/>
    <n v="2.9659999999999984"/>
    <n v="16.176000000000002"/>
  </r>
  <r>
    <s v="United States"/>
    <x v="207"/>
    <s v="Standard Class"/>
    <s v="Corporate"/>
    <s v="Binders"/>
    <n v="16"/>
    <n v="3.2"/>
    <n v="-83.521900000000016"/>
    <n v="55.253999999999984"/>
  </r>
  <r>
    <s v="United States"/>
    <x v="207"/>
    <s v="Standard Class"/>
    <s v="Corporate"/>
    <s v="Bookcases"/>
    <n v="4"/>
    <n v="0.64"/>
    <n v="-127.01609999999997"/>
    <n v="437.19239999999996"/>
  </r>
  <r>
    <s v="United States"/>
    <x v="207"/>
    <s v="Standard Class"/>
    <s v="Corporate"/>
    <s v="Chairs"/>
    <n v="18"/>
    <n v="1.2"/>
    <n v="-307.29490000000004"/>
    <n v="1359.2669999999998"/>
  </r>
  <r>
    <s v="United States"/>
    <x v="207"/>
    <s v="Standard Class"/>
    <s v="Corporate"/>
    <s v="Copiers"/>
    <n v="5"/>
    <n v="0.2"/>
    <n v="569.99050000000011"/>
    <n v="2399.96"/>
  </r>
  <r>
    <s v="United States"/>
    <x v="207"/>
    <s v="Standard Class"/>
    <s v="Corporate"/>
    <s v="Envelopes"/>
    <n v="7"/>
    <n v="0.2"/>
    <n v="69.964999999999975"/>
    <n v="223.88799999999998"/>
  </r>
  <r>
    <s v="United States"/>
    <x v="207"/>
    <s v="Standard Class"/>
    <s v="Corporate"/>
    <s v="Fasteners"/>
    <n v="10"/>
    <n v="0.4"/>
    <n v="10.6204"/>
    <n v="35.744000000000007"/>
  </r>
  <r>
    <s v="United States"/>
    <x v="207"/>
    <s v="Standard Class"/>
    <s v="Corporate"/>
    <s v="Furnishings"/>
    <n v="23"/>
    <n v="3.6"/>
    <n v="-198.01000000000002"/>
    <n v="304.76"/>
  </r>
  <r>
    <s v="United States"/>
    <x v="207"/>
    <s v="Standard Class"/>
    <s v="Corporate"/>
    <s v="Labels"/>
    <n v="13"/>
    <n v="0.8"/>
    <n v="24.040300000000002"/>
    <n v="66.352000000000004"/>
  </r>
  <r>
    <s v="United States"/>
    <x v="207"/>
    <s v="Standard Class"/>
    <s v="Corporate"/>
    <s v="Machines"/>
    <n v="3"/>
    <n v="0.4"/>
    <n v="-121.27049999999997"/>
    <n v="559.71"/>
  </r>
  <r>
    <s v="United States"/>
    <x v="207"/>
    <s v="Standard Class"/>
    <s v="Corporate"/>
    <s v="Paper"/>
    <n v="45"/>
    <n v="2.4"/>
    <n v="141.8871"/>
    <n v="410.1760000000001"/>
  </r>
  <r>
    <s v="United States"/>
    <x v="207"/>
    <s v="Standard Class"/>
    <s v="Corporate"/>
    <s v="Phones"/>
    <n v="17"/>
    <n v="0.60000000000000009"/>
    <n v="178.24589999999989"/>
    <n v="1227.6400000000001"/>
  </r>
  <r>
    <s v="United States"/>
    <x v="207"/>
    <s v="Standard Class"/>
    <s v="Corporate"/>
    <s v="Storage"/>
    <n v="9"/>
    <n v="0.8"/>
    <n v="71.629400000000018"/>
    <n v="1712.3680000000002"/>
  </r>
  <r>
    <s v="United States"/>
    <x v="207"/>
    <s v="Standard Class"/>
    <s v="Corporate"/>
    <s v="Supplies"/>
    <n v="6"/>
    <n v="0.2"/>
    <n v="-3.123000000000002"/>
    <n v="16.656000000000002"/>
  </r>
  <r>
    <s v="United States"/>
    <x v="207"/>
    <s v="Standard Class"/>
    <s v="Corporate"/>
    <s v="Tables"/>
    <n v="9"/>
    <n v="0.6"/>
    <n v="-70.891799999999961"/>
    <n v="446.733"/>
  </r>
  <r>
    <s v="United States"/>
    <x v="207"/>
    <s v="Standard Class"/>
    <s v="Home Office"/>
    <s v="Appliances"/>
    <n v="7"/>
    <n v="1.6"/>
    <n v="-265.49670000000003"/>
    <n v="101.65399999999998"/>
  </r>
  <r>
    <s v="United States"/>
    <x v="207"/>
    <s v="Standard Class"/>
    <s v="Home Office"/>
    <s v="Art"/>
    <n v="6"/>
    <n v="0.4"/>
    <n v="1.548"/>
    <n v="14.256"/>
  </r>
  <r>
    <s v="United States"/>
    <x v="207"/>
    <s v="Standard Class"/>
    <s v="Home Office"/>
    <s v="Binders"/>
    <n v="19"/>
    <n v="4"/>
    <n v="-73.337000000000018"/>
    <n v="46.503999999999991"/>
  </r>
  <r>
    <s v="United States"/>
    <x v="207"/>
    <s v="Standard Class"/>
    <s v="Home Office"/>
    <s v="Bookcases"/>
    <n v="5"/>
    <n v="0.64"/>
    <n v="-144.20760000000004"/>
    <n v="832.9319999999999"/>
  </r>
  <r>
    <s v="United States"/>
    <x v="207"/>
    <s v="Standard Class"/>
    <s v="Home Office"/>
    <s v="Chairs"/>
    <n v="10"/>
    <n v="0.89999999999999991"/>
    <n v="-107.6544"/>
    <n v="561.70799999999997"/>
  </r>
  <r>
    <s v="United States"/>
    <x v="207"/>
    <s v="Standard Class"/>
    <s v="Home Office"/>
    <s v="Envelopes"/>
    <n v="12"/>
    <n v="0.60000000000000009"/>
    <n v="43.582499999999996"/>
    <n v="137.52799999999999"/>
  </r>
  <r>
    <s v="United States"/>
    <x v="207"/>
    <s v="Standard Class"/>
    <s v="Home Office"/>
    <s v="Fasteners"/>
    <n v="9"/>
    <n v="0.2"/>
    <n v="4.2659999999999973"/>
    <n v="28.44"/>
  </r>
  <r>
    <s v="United States"/>
    <x v="207"/>
    <s v="Standard Class"/>
    <s v="Home Office"/>
    <s v="Furnishings"/>
    <n v="2"/>
    <n v="0.6"/>
    <n v="-22.238800000000001"/>
    <n v="16.784000000000002"/>
  </r>
  <r>
    <s v="United States"/>
    <x v="207"/>
    <s v="Standard Class"/>
    <s v="Home Office"/>
    <s v="Labels"/>
    <n v="12"/>
    <n v="0.4"/>
    <n v="42.710999999999984"/>
    <n v="123.92000000000002"/>
  </r>
  <r>
    <s v="United States"/>
    <x v="207"/>
    <s v="Standard Class"/>
    <s v="Home Office"/>
    <s v="Paper"/>
    <n v="17"/>
    <n v="0.8"/>
    <n v="24.656399999999998"/>
    <n v="75.168000000000006"/>
  </r>
  <r>
    <s v="United States"/>
    <x v="207"/>
    <s v="Standard Class"/>
    <s v="Home Office"/>
    <s v="Phones"/>
    <n v="4"/>
    <n v="0.2"/>
    <n v="41.756399999999957"/>
    <n v="371.16800000000001"/>
  </r>
  <r>
    <s v="United States"/>
    <x v="207"/>
    <s v="Standard Class"/>
    <s v="Home Office"/>
    <s v="Storage"/>
    <n v="5"/>
    <n v="0.2"/>
    <n v="14.307499999999997"/>
    <n v="228.92"/>
  </r>
  <r>
    <s v="United States"/>
    <x v="207"/>
    <s v="Standard Class"/>
    <s v="Home Office"/>
    <s v="Supplies"/>
    <n v="11"/>
    <n v="0.4"/>
    <n v="-15.728999999999999"/>
    <n v="74.672000000000011"/>
  </r>
  <r>
    <s v="United States"/>
    <x v="208"/>
    <s v="Same Day"/>
    <s v="Corporate"/>
    <s v="Copiers"/>
    <n v="5"/>
    <n v="0.2"/>
    <n v="839.9860000000001"/>
    <n v="2399.96"/>
  </r>
  <r>
    <s v="United States"/>
    <x v="208"/>
    <s v="Second Class"/>
    <s v="Home Office"/>
    <s v="Envelopes"/>
    <n v="1"/>
    <n v="0"/>
    <n v="5.7509999999999994"/>
    <n v="12.78"/>
  </r>
  <r>
    <s v="United States"/>
    <x v="208"/>
    <s v="Standard Class"/>
    <s v="Consumer"/>
    <s v="Art"/>
    <n v="8"/>
    <n v="0"/>
    <n v="25.898399999999995"/>
    <n v="95.92"/>
  </r>
  <r>
    <s v="United States"/>
    <x v="208"/>
    <s v="Standard Class"/>
    <s v="Corporate"/>
    <s v="Art"/>
    <n v="1"/>
    <n v="0"/>
    <n v="1.2505999999999999"/>
    <n v="3.38"/>
  </r>
  <r>
    <s v="United States"/>
    <x v="208"/>
    <s v="Standard Class"/>
    <s v="Corporate"/>
    <s v="Labels"/>
    <n v="2"/>
    <n v="0"/>
    <n v="2.4011999999999998"/>
    <n v="5.22"/>
  </r>
  <r>
    <s v="United States"/>
    <x v="208"/>
    <s v="Standard Class"/>
    <s v="Corporate"/>
    <s v="Paper"/>
    <n v="2"/>
    <n v="0"/>
    <n v="4.7519999999999998"/>
    <n v="10.56"/>
  </r>
  <r>
    <s v="United States"/>
    <x v="209"/>
    <s v="First Class"/>
    <s v="Corporate"/>
    <s v="Chairs"/>
    <n v="5"/>
    <n v="0.3"/>
    <n v="0"/>
    <n v="528.42999999999995"/>
  </r>
  <r>
    <s v="United States"/>
    <x v="209"/>
    <s v="First Class"/>
    <s v="Corporate"/>
    <s v="Paper"/>
    <n v="8"/>
    <n v="0.2"/>
    <n v="14.5152"/>
    <n v="41.472000000000008"/>
  </r>
  <r>
    <s v="United States"/>
    <x v="209"/>
    <s v="Same Day"/>
    <s v="Consumer"/>
    <s v="Accessories"/>
    <n v="2"/>
    <n v="0"/>
    <n v="7.25"/>
    <n v="29"/>
  </r>
  <r>
    <s v="United States"/>
    <x v="209"/>
    <s v="Second Class"/>
    <s v="Corporate"/>
    <s v="Accessories"/>
    <n v="4"/>
    <n v="0"/>
    <n v="527.98400000000004"/>
    <n v="1319.96"/>
  </r>
  <r>
    <s v="United States"/>
    <x v="209"/>
    <s v="Second Class"/>
    <s v="Home Office"/>
    <s v="Accessories"/>
    <n v="2"/>
    <n v="0.2"/>
    <n v="10.397399999999998"/>
    <n v="63.984000000000009"/>
  </r>
  <r>
    <s v="United States"/>
    <x v="209"/>
    <s v="Second Class"/>
    <s v="Home Office"/>
    <s v="Art"/>
    <n v="2"/>
    <n v="0.2"/>
    <n v="6.1572000000000031"/>
    <n v="70.367999999999995"/>
  </r>
  <r>
    <s v="United States"/>
    <x v="209"/>
    <s v="Second Class"/>
    <s v="Home Office"/>
    <s v="Fasteners"/>
    <n v="2"/>
    <n v="0"/>
    <n v="1.1945999999999999"/>
    <n v="3.62"/>
  </r>
  <r>
    <s v="United States"/>
    <x v="209"/>
    <s v="Second Class"/>
    <s v="Home Office"/>
    <s v="Paper"/>
    <n v="8"/>
    <n v="0"/>
    <n v="348.08639999999997"/>
    <n v="725.18"/>
  </r>
  <r>
    <s v="United States"/>
    <x v="209"/>
    <s v="Second Class"/>
    <s v="Home Office"/>
    <s v="Phones"/>
    <n v="3"/>
    <n v="0.2"/>
    <n v="24.124199999999998"/>
    <n v="98.472000000000008"/>
  </r>
  <r>
    <s v="United States"/>
    <x v="209"/>
    <s v="Standard Class"/>
    <s v="Consumer"/>
    <s v="Appliances"/>
    <n v="2"/>
    <n v="0.8"/>
    <n v="-38.821200000000012"/>
    <n v="15.223999999999997"/>
  </r>
  <r>
    <s v="United States"/>
    <x v="209"/>
    <s v="Standard Class"/>
    <s v="Consumer"/>
    <s v="Art"/>
    <n v="4"/>
    <n v="0.2"/>
    <n v="2.2287999999999988"/>
    <n v="12.736000000000001"/>
  </r>
  <r>
    <s v="United States"/>
    <x v="209"/>
    <s v="Standard Class"/>
    <s v="Consumer"/>
    <s v="Binders"/>
    <n v="26"/>
    <n v="2.4000000000000004"/>
    <n v="-50.641700000000014"/>
    <n v="30.647999999999993"/>
  </r>
  <r>
    <s v="United States"/>
    <x v="209"/>
    <s v="Standard Class"/>
    <s v="Consumer"/>
    <s v="Chairs"/>
    <n v="4"/>
    <n v="0.3"/>
    <n v="-26.635199999999998"/>
    <n v="310.74399999999997"/>
  </r>
  <r>
    <s v="United States"/>
    <x v="209"/>
    <s v="Standard Class"/>
    <s v="Consumer"/>
    <s v="Furnishings"/>
    <n v="10"/>
    <n v="1.7999999999999998"/>
    <n v="-316.0437"/>
    <n v="274.71600000000001"/>
  </r>
  <r>
    <s v="United States"/>
    <x v="209"/>
    <s v="Standard Class"/>
    <s v="Consumer"/>
    <s v="Paper"/>
    <n v="7"/>
    <n v="0.2"/>
    <n v="12.700800000000001"/>
    <n v="36.288000000000011"/>
  </r>
  <r>
    <s v="United States"/>
    <x v="209"/>
    <s v="Standard Class"/>
    <s v="Consumer"/>
    <s v="Phones"/>
    <n v="3"/>
    <n v="0.2"/>
    <n v="17.998199999999997"/>
    <n v="239.976"/>
  </r>
  <r>
    <s v="United States"/>
    <x v="209"/>
    <s v="Standard Class"/>
    <s v="Consumer"/>
    <s v="Storage"/>
    <n v="14"/>
    <n v="0.4"/>
    <n v="-120.48960000000005"/>
    <n v="671.64800000000002"/>
  </r>
  <r>
    <s v="United States"/>
    <x v="209"/>
    <s v="Standard Class"/>
    <s v="Consumer"/>
    <s v="Tables"/>
    <n v="6"/>
    <n v="0.6"/>
    <n v="-158.57600000000005"/>
    <n v="821.35199999999986"/>
  </r>
  <r>
    <s v="United States"/>
    <x v="209"/>
    <s v="Standard Class"/>
    <s v="Corporate"/>
    <s v="Art"/>
    <n v="11"/>
    <n v="0"/>
    <n v="64.591799999999978"/>
    <n v="216.60999999999999"/>
  </r>
  <r>
    <s v="United States"/>
    <x v="209"/>
    <s v="Standard Class"/>
    <s v="Corporate"/>
    <s v="Binders"/>
    <n v="10"/>
    <n v="1.6"/>
    <n v="-7.9211000000000098"/>
    <n v="39.037999999999997"/>
  </r>
  <r>
    <s v="United States"/>
    <x v="209"/>
    <s v="Standard Class"/>
    <s v="Corporate"/>
    <s v="Bookcases"/>
    <n v="7"/>
    <n v="0.32"/>
    <n v="-225.09759999999991"/>
    <n v="956.6647999999999"/>
  </r>
  <r>
    <s v="United States"/>
    <x v="209"/>
    <s v="Standard Class"/>
    <s v="Corporate"/>
    <s v="Chairs"/>
    <n v="8"/>
    <n v="0.3"/>
    <n v="-69.311999999999898"/>
    <n v="1212.9599999999998"/>
  </r>
  <r>
    <s v="United States"/>
    <x v="209"/>
    <s v="Standard Class"/>
    <s v="Corporate"/>
    <s v="Phones"/>
    <n v="13"/>
    <n v="0.4"/>
    <n v="138.14029999999997"/>
    <n v="1475.8960000000002"/>
  </r>
  <r>
    <s v="United States"/>
    <x v="210"/>
    <s v="Standard Class"/>
    <s v="Consumer"/>
    <s v="Appliances"/>
    <n v="3"/>
    <n v="0"/>
    <n v="218.25179999999997"/>
    <n v="839.43000000000006"/>
  </r>
  <r>
    <s v="United States"/>
    <x v="210"/>
    <s v="Standard Class"/>
    <s v="Home Office"/>
    <s v="Binders"/>
    <n v="3"/>
    <n v="0"/>
    <n v="757.41120000000001"/>
    <n v="1577.94"/>
  </r>
  <r>
    <s v="United States"/>
    <x v="211"/>
    <s v="First Class"/>
    <s v="Consumer"/>
    <s v="Binders"/>
    <n v="3"/>
    <n v="0"/>
    <n v="496.78649999999993"/>
    <n v="1103.97"/>
  </r>
  <r>
    <s v="United States"/>
    <x v="211"/>
    <s v="First Class"/>
    <s v="Consumer"/>
    <s v="Labels"/>
    <n v="1"/>
    <n v="0"/>
    <n v="1.7343"/>
    <n v="3.69"/>
  </r>
  <r>
    <s v="United States"/>
    <x v="211"/>
    <s v="First Class"/>
    <s v="Corporate"/>
    <s v="Appliances"/>
    <n v="3"/>
    <n v="0"/>
    <n v="15.938399999999998"/>
    <n v="54.96"/>
  </r>
  <r>
    <s v="United States"/>
    <x v="211"/>
    <s v="First Class"/>
    <s v="Corporate"/>
    <s v="Storage"/>
    <n v="10"/>
    <n v="0"/>
    <n v="63.178799999999967"/>
    <n v="1295.46"/>
  </r>
  <r>
    <s v="United States"/>
    <x v="211"/>
    <s v="Second Class"/>
    <s v="Consumer"/>
    <s v="Art"/>
    <n v="8"/>
    <n v="0"/>
    <n v="8.2687999999999988"/>
    <n v="24.32"/>
  </r>
  <r>
    <s v="United States"/>
    <x v="211"/>
    <s v="Second Class"/>
    <s v="Consumer"/>
    <s v="Storage"/>
    <n v="2"/>
    <n v="0"/>
    <n v="11.451599999999985"/>
    <n v="190.86"/>
  </r>
  <r>
    <s v="United States"/>
    <x v="211"/>
    <s v="Second Class"/>
    <s v="Corporate"/>
    <s v="Accessories"/>
    <n v="4"/>
    <n v="0"/>
    <n v="30.713599999999992"/>
    <n v="123.86"/>
  </r>
  <r>
    <s v="United States"/>
    <x v="211"/>
    <s v="Second Class"/>
    <s v="Corporate"/>
    <s v="Appliances"/>
    <n v="8"/>
    <n v="0"/>
    <n v="793.71599999999989"/>
    <n v="2405.1999999999998"/>
  </r>
  <r>
    <s v="United States"/>
    <x v="211"/>
    <s v="Second Class"/>
    <s v="Corporate"/>
    <s v="Binders"/>
    <n v="2"/>
    <n v="0"/>
    <n v="8.69"/>
    <n v="17.38"/>
  </r>
  <r>
    <s v="United States"/>
    <x v="211"/>
    <s v="Second Class"/>
    <s v="Corporate"/>
    <s v="Chairs"/>
    <n v="6"/>
    <n v="0"/>
    <n v="539.24639999999999"/>
    <n v="1925.88"/>
  </r>
  <r>
    <s v="United States"/>
    <x v="211"/>
    <s v="Second Class"/>
    <s v="Home Office"/>
    <s v="Copiers"/>
    <n v="2"/>
    <n v="0"/>
    <n v="449.99099999999999"/>
    <n v="999.98"/>
  </r>
  <r>
    <s v="United States"/>
    <x v="211"/>
    <s v="Standard Class"/>
    <s v="Consumer"/>
    <s v="Accessories"/>
    <n v="2"/>
    <n v="0"/>
    <n v="29.518599999999999"/>
    <n v="79.78"/>
  </r>
  <r>
    <s v="United States"/>
    <x v="211"/>
    <s v="Standard Class"/>
    <s v="Consumer"/>
    <s v="Binders"/>
    <n v="11"/>
    <n v="0"/>
    <n v="65.5184"/>
    <n v="136.28"/>
  </r>
  <r>
    <s v="United States"/>
    <x v="211"/>
    <s v="Standard Class"/>
    <s v="Consumer"/>
    <s v="Labels"/>
    <n v="12"/>
    <n v="0"/>
    <n v="72.299400000000006"/>
    <n v="145.59000000000003"/>
  </r>
  <r>
    <s v="United States"/>
    <x v="211"/>
    <s v="Standard Class"/>
    <s v="Consumer"/>
    <s v="Paper"/>
    <n v="5"/>
    <n v="0"/>
    <n v="15.387"/>
    <n v="33.450000000000003"/>
  </r>
  <r>
    <s v="United States"/>
    <x v="211"/>
    <s v="Standard Class"/>
    <s v="Corporate"/>
    <s v="Art"/>
    <n v="7"/>
    <n v="0"/>
    <n v="35.260400000000004"/>
    <n v="125.92999999999999"/>
  </r>
  <r>
    <s v="United States"/>
    <x v="211"/>
    <s v="Standard Class"/>
    <s v="Home Office"/>
    <s v="Binders"/>
    <n v="1"/>
    <n v="0"/>
    <n v="78.195399999999992"/>
    <n v="169.99"/>
  </r>
  <r>
    <s v="United States"/>
    <x v="211"/>
    <s v="Standard Class"/>
    <s v="Home Office"/>
    <s v="Paper"/>
    <n v="4"/>
    <n v="0"/>
    <n v="12.441600000000001"/>
    <n v="25.92"/>
  </r>
  <r>
    <s v="United States"/>
    <x v="211"/>
    <s v="Standard Class"/>
    <s v="Home Office"/>
    <s v="Storage"/>
    <n v="4"/>
    <n v="0"/>
    <n v="13.317600000000027"/>
    <n v="443.92"/>
  </r>
  <r>
    <s v="United States"/>
    <x v="212"/>
    <s v="First Class"/>
    <s v="Consumer"/>
    <s v="Furnishings"/>
    <n v="2"/>
    <n v="0"/>
    <n v="15.468000000000004"/>
    <n v="128.9"/>
  </r>
  <r>
    <s v="United States"/>
    <x v="212"/>
    <s v="First Class"/>
    <s v="Consumer"/>
    <s v="Paper"/>
    <n v="9"/>
    <n v="0"/>
    <n v="28.857599999999998"/>
    <n v="60.12"/>
  </r>
  <r>
    <s v="United States"/>
    <x v="212"/>
    <s v="First Class"/>
    <s v="Consumer"/>
    <s v="Storage"/>
    <n v="3"/>
    <n v="0"/>
    <n v="8.6390999999999956"/>
    <n v="29.79"/>
  </r>
  <r>
    <s v="United States"/>
    <x v="212"/>
    <s v="First Class"/>
    <s v="Corporate"/>
    <s v="Art"/>
    <n v="1"/>
    <n v="0"/>
    <n v="1.5548000000000002"/>
    <n v="5.98"/>
  </r>
  <r>
    <s v="United States"/>
    <x v="212"/>
    <s v="First Class"/>
    <s v="Corporate"/>
    <s v="Paper"/>
    <n v="2"/>
    <n v="0"/>
    <n v="4.0571999999999999"/>
    <n v="8.82"/>
  </r>
  <r>
    <s v="United States"/>
    <x v="212"/>
    <s v="Second Class"/>
    <s v="Corporate"/>
    <s v="Appliances"/>
    <n v="4"/>
    <n v="0"/>
    <n v="96.575999999999993"/>
    <n v="321.92"/>
  </r>
  <r>
    <s v="United States"/>
    <x v="212"/>
    <s v="Second Class"/>
    <s v="Corporate"/>
    <s v="Binders"/>
    <n v="2"/>
    <n v="0.2"/>
    <n v="294.54879999999991"/>
    <n v="841.5680000000001"/>
  </r>
  <r>
    <s v="United States"/>
    <x v="212"/>
    <s v="Second Class"/>
    <s v="Corporate"/>
    <s v="Chairs"/>
    <n v="3"/>
    <n v="0.2"/>
    <n v="23.027999999999992"/>
    <n v="230.28000000000003"/>
  </r>
  <r>
    <s v="United States"/>
    <x v="212"/>
    <s v="Second Class"/>
    <s v="Corporate"/>
    <s v="Copiers"/>
    <n v="2"/>
    <n v="0.2"/>
    <n v="329.99400000000003"/>
    <n v="879.98400000000004"/>
  </r>
  <r>
    <s v="United States"/>
    <x v="212"/>
    <s v="Second Class"/>
    <s v="Corporate"/>
    <s v="Furnishings"/>
    <n v="2"/>
    <n v="0"/>
    <n v="99.23"/>
    <n v="198.46"/>
  </r>
  <r>
    <s v="United States"/>
    <x v="212"/>
    <s v="Second Class"/>
    <s v="Corporate"/>
    <s v="Paper"/>
    <n v="3"/>
    <n v="0"/>
    <n v="56.977199999999996"/>
    <n v="116.28"/>
  </r>
  <r>
    <s v="United States"/>
    <x v="212"/>
    <s v="Second Class"/>
    <s v="Corporate"/>
    <s v="Storage"/>
    <n v="5"/>
    <n v="0"/>
    <n v="17.744999999999962"/>
    <n v="354.90000000000003"/>
  </r>
  <r>
    <s v="United States"/>
    <x v="212"/>
    <s v="Second Class"/>
    <s v="Corporate"/>
    <s v="Supplies"/>
    <n v="5"/>
    <n v="0"/>
    <n v="8.2359999999999989"/>
    <n v="28.4"/>
  </r>
  <r>
    <s v="United States"/>
    <x v="212"/>
    <s v="Standard Class"/>
    <s v="Consumer"/>
    <s v="Appliances"/>
    <n v="4"/>
    <n v="0"/>
    <n v="16.295999999999999"/>
    <n v="54.32"/>
  </r>
  <r>
    <s v="United States"/>
    <x v="212"/>
    <s v="Standard Class"/>
    <s v="Consumer"/>
    <s v="Paper"/>
    <n v="3"/>
    <n v="0"/>
    <n v="10.7301"/>
    <n v="22.830000000000002"/>
  </r>
  <r>
    <s v="United States"/>
    <x v="212"/>
    <s v="Standard Class"/>
    <s v="Consumer"/>
    <s v="Phones"/>
    <n v="3"/>
    <n v="0.2"/>
    <n v="14.758199999999995"/>
    <n v="196.77600000000001"/>
  </r>
  <r>
    <s v="United States"/>
    <x v="213"/>
    <s v="Second Class"/>
    <s v="Corporate"/>
    <s v="Paper"/>
    <n v="1"/>
    <n v="0"/>
    <n v="4.4954999999999998"/>
    <n v="9.99"/>
  </r>
  <r>
    <s v="United States"/>
    <x v="214"/>
    <s v="Second Class"/>
    <s v="Consumer"/>
    <s v="Paper"/>
    <n v="5"/>
    <n v="0.2"/>
    <n v="79.691999999999979"/>
    <n v="219.84000000000003"/>
  </r>
  <r>
    <s v="United States"/>
    <x v="214"/>
    <s v="Standard Class"/>
    <s v="Consumer"/>
    <s v="Appliances"/>
    <n v="1"/>
    <n v="0.8"/>
    <n v="-153.20240000000001"/>
    <n v="58.923999999999985"/>
  </r>
  <r>
    <s v="United States"/>
    <x v="214"/>
    <s v="Standard Class"/>
    <s v="Consumer"/>
    <s v="Labels"/>
    <n v="2"/>
    <n v="0.2"/>
    <n v="1.764"/>
    <n v="5.04"/>
  </r>
  <r>
    <s v="United States"/>
    <x v="214"/>
    <s v="Standard Class"/>
    <s v="Consumer"/>
    <s v="Phones"/>
    <n v="3"/>
    <n v="0.2"/>
    <n v="7.7679000000000009"/>
    <n v="88.77600000000001"/>
  </r>
  <r>
    <s v="United States"/>
    <x v="214"/>
    <s v="Standard Class"/>
    <s v="Consumer"/>
    <s v="Storage"/>
    <n v="6"/>
    <n v="0.4"/>
    <n v="-6.9552000000000032"/>
    <n v="31.608000000000001"/>
  </r>
  <r>
    <s v="United States"/>
    <x v="214"/>
    <s v="Standard Class"/>
    <s v="Consumer"/>
    <s v="Supplies"/>
    <n v="2"/>
    <n v="0.2"/>
    <n v="-34.758000000000017"/>
    <n v="185.376"/>
  </r>
  <r>
    <s v="United States"/>
    <x v="214"/>
    <s v="Standard Class"/>
    <s v="Corporate"/>
    <s v="Labels"/>
    <n v="4"/>
    <n v="0.2"/>
    <n v="5.1791999999999998"/>
    <n v="15.936000000000002"/>
  </r>
  <r>
    <s v="United States"/>
    <x v="215"/>
    <s v="First Class"/>
    <s v="Consumer"/>
    <s v="Accessories"/>
    <n v="3"/>
    <n v="0"/>
    <n v="163.18979999999999"/>
    <n v="479.97"/>
  </r>
  <r>
    <s v="United States"/>
    <x v="215"/>
    <s v="First Class"/>
    <s v="Consumer"/>
    <s v="Labels"/>
    <n v="2"/>
    <n v="0"/>
    <n v="6.8713999999999995"/>
    <n v="14.62"/>
  </r>
  <r>
    <s v="United States"/>
    <x v="215"/>
    <s v="First Class"/>
    <s v="Consumer"/>
    <s v="Paper"/>
    <n v="3"/>
    <n v="0"/>
    <n v="9.3312000000000008"/>
    <n v="19.440000000000001"/>
  </r>
  <r>
    <s v="United States"/>
    <x v="215"/>
    <s v="Second Class"/>
    <s v="Consumer"/>
    <s v="Accessories"/>
    <n v="3"/>
    <n v="0"/>
    <n v="16.2486"/>
    <n v="47.79"/>
  </r>
  <r>
    <s v="United States"/>
    <x v="215"/>
    <s v="Second Class"/>
    <s v="Consumer"/>
    <s v="Art"/>
    <n v="2"/>
    <n v="0.2"/>
    <n v="1.702399999999999"/>
    <n v="9.7280000000000015"/>
  </r>
  <r>
    <s v="United States"/>
    <x v="215"/>
    <s v="Second Class"/>
    <s v="Consumer"/>
    <s v="Binders"/>
    <n v="4"/>
    <n v="0"/>
    <n v="2504.2215999999999"/>
    <n v="5443.96"/>
  </r>
  <r>
    <s v="United States"/>
    <x v="215"/>
    <s v="Second Class"/>
    <s v="Consumer"/>
    <s v="Chairs"/>
    <n v="7"/>
    <n v="0"/>
    <n v="297.90480000000002"/>
    <n v="1169.07"/>
  </r>
  <r>
    <s v="United States"/>
    <x v="215"/>
    <s v="Second Class"/>
    <s v="Consumer"/>
    <s v="Paper"/>
    <n v="11"/>
    <n v="0.2"/>
    <n v="35.064499999999995"/>
    <n v="78.543999999999997"/>
  </r>
  <r>
    <s v="United States"/>
    <x v="215"/>
    <s v="Second Class"/>
    <s v="Consumer"/>
    <s v="Storage"/>
    <n v="9"/>
    <n v="0.2"/>
    <n v="6.9794999999999909"/>
    <n v="111.67200000000001"/>
  </r>
  <r>
    <s v="United States"/>
    <x v="215"/>
    <s v="Second Class"/>
    <s v="Home Office"/>
    <s v="Accessories"/>
    <n v="3"/>
    <n v="0"/>
    <n v="257.98710000000005"/>
    <n v="599.97"/>
  </r>
  <r>
    <s v="United States"/>
    <x v="215"/>
    <s v="Second Class"/>
    <s v="Home Office"/>
    <s v="Binders"/>
    <n v="8"/>
    <n v="0"/>
    <n v="22.0032"/>
    <n v="45.84"/>
  </r>
  <r>
    <s v="United States"/>
    <x v="215"/>
    <s v="Second Class"/>
    <s v="Home Office"/>
    <s v="Phones"/>
    <n v="6"/>
    <n v="0"/>
    <n v="95.271900000000002"/>
    <n v="416.93999999999994"/>
  </r>
  <r>
    <s v="United States"/>
    <x v="215"/>
    <s v="Standard Class"/>
    <s v="Consumer"/>
    <s v="Accessories"/>
    <n v="7"/>
    <n v="0.2"/>
    <n v="41.426000000000002"/>
    <n v="173.14400000000001"/>
  </r>
  <r>
    <s v="United States"/>
    <x v="215"/>
    <s v="Standard Class"/>
    <s v="Consumer"/>
    <s v="Appliances"/>
    <n v="6"/>
    <n v="0.30000000000000004"/>
    <n v="39.686399999999999"/>
    <n v="121.16900000000001"/>
  </r>
  <r>
    <s v="United States"/>
    <x v="215"/>
    <s v="Standard Class"/>
    <s v="Consumer"/>
    <s v="Art"/>
    <n v="20"/>
    <n v="0.2"/>
    <n v="121.7654"/>
    <n v="473.18799999999999"/>
  </r>
  <r>
    <s v="United States"/>
    <x v="215"/>
    <s v="Standard Class"/>
    <s v="Consumer"/>
    <s v="Binders"/>
    <n v="4"/>
    <n v="0"/>
    <n v="21.059999999999995"/>
    <n v="46.8"/>
  </r>
  <r>
    <s v="United States"/>
    <x v="215"/>
    <s v="Standard Class"/>
    <s v="Consumer"/>
    <s v="Chairs"/>
    <n v="2"/>
    <n v="0.2"/>
    <n v="-23.576400000000007"/>
    <n v="209.56799999999998"/>
  </r>
  <r>
    <s v="United States"/>
    <x v="215"/>
    <s v="Standard Class"/>
    <s v="Consumer"/>
    <s v="Fasteners"/>
    <n v="4"/>
    <n v="0"/>
    <n v="5.2559999999999993"/>
    <n v="11.68"/>
  </r>
  <r>
    <s v="United States"/>
    <x v="215"/>
    <s v="Standard Class"/>
    <s v="Consumer"/>
    <s v="Furnishings"/>
    <n v="6"/>
    <n v="0"/>
    <n v="58.687200000000011"/>
    <n v="133.38"/>
  </r>
  <r>
    <s v="United States"/>
    <x v="215"/>
    <s v="Standard Class"/>
    <s v="Consumer"/>
    <s v="Paper"/>
    <n v="5"/>
    <n v="0"/>
    <n v="32.094999999999999"/>
    <n v="65.5"/>
  </r>
  <r>
    <s v="United States"/>
    <x v="215"/>
    <s v="Standard Class"/>
    <s v="Consumer"/>
    <s v="Phones"/>
    <n v="7"/>
    <n v="0"/>
    <n v="234.02469999999994"/>
    <n v="784.6"/>
  </r>
  <r>
    <s v="United States"/>
    <x v="215"/>
    <s v="Standard Class"/>
    <s v="Consumer"/>
    <s v="Storage"/>
    <n v="9"/>
    <n v="0.2"/>
    <n v="45.727599999999981"/>
    <n v="207.84999999999997"/>
  </r>
  <r>
    <s v="United States"/>
    <x v="215"/>
    <s v="Standard Class"/>
    <s v="Consumer"/>
    <s v="Tables"/>
    <n v="14"/>
    <n v="0.4"/>
    <n v="139.49120000000016"/>
    <n v="3365.0360000000001"/>
  </r>
  <r>
    <s v="United States"/>
    <x v="215"/>
    <s v="Standard Class"/>
    <s v="Corporate"/>
    <s v="Accessories"/>
    <n v="8"/>
    <n v="0"/>
    <n v="62.400000000000006"/>
    <n v="160"/>
  </r>
  <r>
    <s v="United States"/>
    <x v="215"/>
    <s v="Standard Class"/>
    <s v="Corporate"/>
    <s v="Appliances"/>
    <n v="6"/>
    <n v="0.1"/>
    <n v="56.827799999999975"/>
    <n v="239.81400000000002"/>
  </r>
  <r>
    <s v="United States"/>
    <x v="215"/>
    <s v="Standard Class"/>
    <s v="Corporate"/>
    <s v="Art"/>
    <n v="13"/>
    <n v="0"/>
    <n v="66.613999999999976"/>
    <n v="226.01999999999998"/>
  </r>
  <r>
    <s v="United States"/>
    <x v="215"/>
    <s v="Standard Class"/>
    <s v="Corporate"/>
    <s v="Binders"/>
    <n v="6"/>
    <n v="0"/>
    <n v="28.591700000000003"/>
    <n v="59.17"/>
  </r>
  <r>
    <s v="United States"/>
    <x v="215"/>
    <s v="Standard Class"/>
    <s v="Corporate"/>
    <s v="Chairs"/>
    <n v="2"/>
    <n v="0"/>
    <n v="32.633199999999988"/>
    <n v="191.96"/>
  </r>
  <r>
    <s v="United States"/>
    <x v="215"/>
    <s v="Standard Class"/>
    <s v="Corporate"/>
    <s v="Furnishings"/>
    <n v="13"/>
    <n v="0.2"/>
    <n v="192.40100000000007"/>
    <n v="698.63199999999995"/>
  </r>
  <r>
    <s v="United States"/>
    <x v="215"/>
    <s v="Standard Class"/>
    <s v="Corporate"/>
    <s v="Labels"/>
    <n v="3"/>
    <n v="0"/>
    <n v="97.544399999999996"/>
    <n v="199.23000000000002"/>
  </r>
  <r>
    <s v="United States"/>
    <x v="215"/>
    <s v="Standard Class"/>
    <s v="Corporate"/>
    <s v="Paper"/>
    <n v="11"/>
    <n v="0"/>
    <n v="91.187999999999988"/>
    <n v="189.04000000000002"/>
  </r>
  <r>
    <s v="United States"/>
    <x v="215"/>
    <s v="Standard Class"/>
    <s v="Corporate"/>
    <s v="Tables"/>
    <n v="11"/>
    <n v="0"/>
    <n v="529.8981"/>
    <n v="2370.5699999999997"/>
  </r>
  <r>
    <s v="United States"/>
    <x v="215"/>
    <s v="Standard Class"/>
    <s v="Home Office"/>
    <s v="Accessories"/>
    <n v="12"/>
    <n v="0"/>
    <n v="940.96640000000025"/>
    <n v="2548.73"/>
  </r>
  <r>
    <s v="United States"/>
    <x v="215"/>
    <s v="Standard Class"/>
    <s v="Home Office"/>
    <s v="Art"/>
    <n v="14"/>
    <n v="0"/>
    <n v="32.550400000000003"/>
    <n v="117.83999999999999"/>
  </r>
  <r>
    <s v="United States"/>
    <x v="215"/>
    <s v="Standard Class"/>
    <s v="Home Office"/>
    <s v="Binders"/>
    <n v="19"/>
    <n v="0"/>
    <n v="296.63420000000002"/>
    <n v="631.17999999999995"/>
  </r>
  <r>
    <s v="United States"/>
    <x v="215"/>
    <s v="Standard Class"/>
    <s v="Home Office"/>
    <s v="Fasteners"/>
    <n v="3"/>
    <n v="0"/>
    <n v="0.23339999999999961"/>
    <n v="23.34"/>
  </r>
  <r>
    <s v="United States"/>
    <x v="215"/>
    <s v="Standard Class"/>
    <s v="Home Office"/>
    <s v="Furnishings"/>
    <n v="8"/>
    <n v="0"/>
    <n v="16.083600000000001"/>
    <n v="52.4"/>
  </r>
  <r>
    <s v="United States"/>
    <x v="215"/>
    <s v="Standard Class"/>
    <s v="Home Office"/>
    <s v="Machines"/>
    <n v="3"/>
    <n v="0.1"/>
    <n v="152.08829999999998"/>
    <n v="350.97300000000007"/>
  </r>
  <r>
    <s v="United States"/>
    <x v="215"/>
    <s v="Standard Class"/>
    <s v="Home Office"/>
    <s v="Paper"/>
    <n v="21"/>
    <n v="0"/>
    <n v="186.14739999999998"/>
    <n v="403.42"/>
  </r>
  <r>
    <s v="United States"/>
    <x v="215"/>
    <s v="Standard Class"/>
    <s v="Home Office"/>
    <s v="Phones"/>
    <n v="12"/>
    <n v="0"/>
    <n v="557.66339999999991"/>
    <n v="2022.7199999999998"/>
  </r>
  <r>
    <s v="United States"/>
    <x v="215"/>
    <s v="Standard Class"/>
    <s v="Home Office"/>
    <s v="Storage"/>
    <n v="4"/>
    <n v="0"/>
    <n v="87.762399999999985"/>
    <n v="379.24"/>
  </r>
  <r>
    <s v="United States"/>
    <x v="215"/>
    <s v="Standard Class"/>
    <s v="Home Office"/>
    <s v="Supplies"/>
    <n v="4"/>
    <n v="0"/>
    <n v="21.035999999999994"/>
    <n v="70.12"/>
  </r>
  <r>
    <s v="United States"/>
    <x v="216"/>
    <s v="First Class"/>
    <s v="Consumer"/>
    <s v="Accessories"/>
    <n v="3"/>
    <n v="0.2"/>
    <n v="-17.996400000000019"/>
    <n v="119.97600000000001"/>
  </r>
  <r>
    <s v="United States"/>
    <x v="216"/>
    <s v="First Class"/>
    <s v="Consumer"/>
    <s v="Art"/>
    <n v="2"/>
    <n v="0.2"/>
    <n v="6.0059999999999993"/>
    <n v="18.48"/>
  </r>
  <r>
    <s v="United States"/>
    <x v="216"/>
    <s v="First Class"/>
    <s v="Consumer"/>
    <s v="Binders"/>
    <n v="1"/>
    <n v="0.7"/>
    <n v="-13.363000000000003"/>
    <n v="17.430000000000003"/>
  </r>
  <r>
    <s v="United States"/>
    <x v="216"/>
    <s v="First Class"/>
    <s v="Consumer"/>
    <s v="Envelopes"/>
    <n v="1"/>
    <n v="0.2"/>
    <n v="7.3385999999999996"/>
    <n v="21.744"/>
  </r>
  <r>
    <s v="United States"/>
    <x v="216"/>
    <s v="First Class"/>
    <s v="Consumer"/>
    <s v="Furnishings"/>
    <n v="1"/>
    <n v="0.2"/>
    <n v="6.0381999999999998"/>
    <n v="34.504000000000005"/>
  </r>
  <r>
    <s v="United States"/>
    <x v="216"/>
    <s v="First Class"/>
    <s v="Consumer"/>
    <s v="Labels"/>
    <n v="3"/>
    <n v="0.2"/>
    <n v="4.9139999999999988"/>
    <n v="15.120000000000001"/>
  </r>
  <r>
    <s v="United States"/>
    <x v="216"/>
    <s v="First Class"/>
    <s v="Consumer"/>
    <s v="Paper"/>
    <n v="3"/>
    <n v="0.2"/>
    <n v="88.073999999999984"/>
    <n v="251.64"/>
  </r>
  <r>
    <s v="United States"/>
    <x v="216"/>
    <s v="First Class"/>
    <s v="Consumer"/>
    <s v="Phones"/>
    <n v="8"/>
    <n v="0.4"/>
    <n v="5.4906000000000024"/>
    <n v="55.896000000000001"/>
  </r>
  <r>
    <s v="United States"/>
    <x v="216"/>
    <s v="First Class"/>
    <s v="Consumer"/>
    <s v="Storage"/>
    <n v="5"/>
    <n v="0.2"/>
    <n v="5.9184999999999981"/>
    <n v="67.64"/>
  </r>
  <r>
    <s v="United States"/>
    <x v="216"/>
    <s v="First Class"/>
    <s v="Corporate"/>
    <s v="Binders"/>
    <n v="11"/>
    <n v="1.4"/>
    <n v="-33.687599999999989"/>
    <n v="44.51400000000001"/>
  </r>
  <r>
    <s v="United States"/>
    <x v="216"/>
    <s v="First Class"/>
    <s v="Corporate"/>
    <s v="Chairs"/>
    <n v="5"/>
    <n v="0.4"/>
    <n v="-2.722800000000035"/>
    <n v="414.98400000000004"/>
  </r>
  <r>
    <s v="United States"/>
    <x v="216"/>
    <s v="First Class"/>
    <s v="Corporate"/>
    <s v="Envelopes"/>
    <n v="3"/>
    <n v="0.2"/>
    <n v="22.015799999999999"/>
    <n v="65.231999999999999"/>
  </r>
  <r>
    <s v="United States"/>
    <x v="216"/>
    <s v="First Class"/>
    <s v="Corporate"/>
    <s v="Furnishings"/>
    <n v="4"/>
    <n v="0.4"/>
    <n v="6.8477999999999959"/>
    <n v="52.656000000000006"/>
  </r>
  <r>
    <s v="United States"/>
    <x v="216"/>
    <s v="First Class"/>
    <s v="Corporate"/>
    <s v="Machines"/>
    <n v="2"/>
    <n v="0.5"/>
    <n v="-27.827999999999975"/>
    <n v="695.7"/>
  </r>
  <r>
    <s v="United States"/>
    <x v="216"/>
    <s v="First Class"/>
    <s v="Corporate"/>
    <s v="Paper"/>
    <n v="4"/>
    <n v="0.4"/>
    <n v="43.707999999999998"/>
    <n v="124.88"/>
  </r>
  <r>
    <s v="United States"/>
    <x v="216"/>
    <s v="Same Day"/>
    <s v="Consumer"/>
    <s v="Art"/>
    <n v="2"/>
    <n v="0.2"/>
    <n v="1.1119999999999999"/>
    <n v="4.4479999999999995"/>
  </r>
  <r>
    <s v="United States"/>
    <x v="216"/>
    <s v="Same Day"/>
    <s v="Consumer"/>
    <s v="Furnishings"/>
    <n v="4"/>
    <n v="0.2"/>
    <n v="6.0411999999999964"/>
    <n v="43.936000000000007"/>
  </r>
  <r>
    <s v="United States"/>
    <x v="216"/>
    <s v="Same Day"/>
    <s v="Consumer"/>
    <s v="Paper"/>
    <n v="7"/>
    <n v="0.60000000000000009"/>
    <n v="16.684199999999997"/>
    <n v="48"/>
  </r>
  <r>
    <s v="United States"/>
    <x v="216"/>
    <s v="Same Day"/>
    <s v="Consumer"/>
    <s v="Phones"/>
    <n v="5"/>
    <n v="0.2"/>
    <n v="51.497499999999974"/>
    <n v="823.96000000000015"/>
  </r>
  <r>
    <s v="United States"/>
    <x v="216"/>
    <s v="Same Day"/>
    <s v="Consumer"/>
    <s v="Storage"/>
    <n v="2"/>
    <n v="0.2"/>
    <n v="-0.7748000000000006"/>
    <n v="4.7679999999999998"/>
  </r>
  <r>
    <s v="United States"/>
    <x v="216"/>
    <s v="Same Day"/>
    <s v="Home Office"/>
    <s v="Accessories"/>
    <n v="4"/>
    <n v="0.2"/>
    <n v="31.995999999999974"/>
    <n v="255.96799999999999"/>
  </r>
  <r>
    <s v="United States"/>
    <x v="216"/>
    <s v="Second Class"/>
    <s v="Consumer"/>
    <s v="Accessories"/>
    <n v="2"/>
    <n v="0.4"/>
    <n v="29.196599999999997"/>
    <n v="127.98400000000001"/>
  </r>
  <r>
    <s v="United States"/>
    <x v="216"/>
    <s v="Second Class"/>
    <s v="Consumer"/>
    <s v="Appliances"/>
    <n v="2"/>
    <n v="0.2"/>
    <n v="6.5339999999999971"/>
    <n v="34.848000000000006"/>
  </r>
  <r>
    <s v="United States"/>
    <x v="216"/>
    <s v="Second Class"/>
    <s v="Consumer"/>
    <s v="Art"/>
    <n v="3"/>
    <n v="0.2"/>
    <n v="0.3822000000000001"/>
    <n v="4.3680000000000003"/>
  </r>
  <r>
    <s v="United States"/>
    <x v="216"/>
    <s v="Second Class"/>
    <s v="Consumer"/>
    <s v="Binders"/>
    <n v="8"/>
    <n v="0.7"/>
    <n v="-8.2367999999999988"/>
    <n v="11.232000000000001"/>
  </r>
  <r>
    <s v="United States"/>
    <x v="216"/>
    <s v="Second Class"/>
    <s v="Consumer"/>
    <s v="Bookcases"/>
    <n v="4"/>
    <n v="0.2"/>
    <n v="-7.7727999999999895"/>
    <n v="155.45600000000002"/>
  </r>
  <r>
    <s v="United States"/>
    <x v="216"/>
    <s v="Second Class"/>
    <s v="Consumer"/>
    <s v="Furnishings"/>
    <n v="3"/>
    <n v="0.2"/>
    <n v="-2.2758000000000109"/>
    <n v="91.032000000000011"/>
  </r>
  <r>
    <s v="United States"/>
    <x v="216"/>
    <s v="Second Class"/>
    <s v="Consumer"/>
    <s v="Paper"/>
    <n v="3"/>
    <n v="0.2"/>
    <n v="3.2099999999999982"/>
    <n v="10.272000000000002"/>
  </r>
  <r>
    <s v="United States"/>
    <x v="216"/>
    <s v="Second Class"/>
    <s v="Consumer"/>
    <s v="Phones"/>
    <n v="5"/>
    <n v="0.2"/>
    <n v="1.375"/>
    <n v="22"/>
  </r>
  <r>
    <s v="United States"/>
    <x v="216"/>
    <s v="Second Class"/>
    <s v="Corporate"/>
    <s v="Accessories"/>
    <n v="15"/>
    <n v="0.4"/>
    <n v="193.07579999999993"/>
    <n v="908.5920000000001"/>
  </r>
  <r>
    <s v="United States"/>
    <x v="216"/>
    <s v="Second Class"/>
    <s v="Corporate"/>
    <s v="Appliances"/>
    <n v="3"/>
    <n v="0.2"/>
    <n v="1.8207000000000013"/>
    <n v="20.808"/>
  </r>
  <r>
    <s v="United States"/>
    <x v="216"/>
    <s v="Second Class"/>
    <s v="Corporate"/>
    <s v="Art"/>
    <n v="2"/>
    <n v="0.2"/>
    <n v="0.59039999999999915"/>
    <n v="5.2480000000000002"/>
  </r>
  <r>
    <s v="United States"/>
    <x v="216"/>
    <s v="Second Class"/>
    <s v="Corporate"/>
    <s v="Binders"/>
    <n v="3"/>
    <n v="0.7"/>
    <n v="-3.0933000000000002"/>
    <n v="4.4190000000000005"/>
  </r>
  <r>
    <s v="United States"/>
    <x v="216"/>
    <s v="Second Class"/>
    <s v="Corporate"/>
    <s v="Chairs"/>
    <n v="3"/>
    <n v="0.2"/>
    <n v="-19.105800000000016"/>
    <n v="218.35200000000003"/>
  </r>
  <r>
    <s v="United States"/>
    <x v="216"/>
    <s v="Second Class"/>
    <s v="Corporate"/>
    <s v="Furnishings"/>
    <n v="5"/>
    <n v="0.2"/>
    <n v="1.8479999999999985"/>
    <n v="12.320000000000002"/>
  </r>
  <r>
    <s v="United States"/>
    <x v="216"/>
    <s v="Second Class"/>
    <s v="Corporate"/>
    <s v="Labels"/>
    <n v="3"/>
    <n v="0.2"/>
    <n v="2.0358000000000001"/>
    <n v="6.2640000000000002"/>
  </r>
  <r>
    <s v="United States"/>
    <x v="216"/>
    <s v="Second Class"/>
    <s v="Corporate"/>
    <s v="Phones"/>
    <n v="5"/>
    <n v="0.4"/>
    <n v="-0.51569999999999983"/>
    <n v="83.160000000000011"/>
  </r>
  <r>
    <s v="United States"/>
    <x v="216"/>
    <s v="Second Class"/>
    <s v="Home Office"/>
    <s v="Accessories"/>
    <n v="7"/>
    <n v="0.2"/>
    <n v="50.383200000000016"/>
    <n v="167.94400000000002"/>
  </r>
  <r>
    <s v="United States"/>
    <x v="216"/>
    <s v="Second Class"/>
    <s v="Home Office"/>
    <s v="Chairs"/>
    <n v="5"/>
    <n v="0.2"/>
    <n v="131.27849999999995"/>
    <n v="1166.92"/>
  </r>
  <r>
    <s v="United States"/>
    <x v="216"/>
    <s v="Second Class"/>
    <s v="Home Office"/>
    <s v="Envelopes"/>
    <n v="2"/>
    <n v="0.2"/>
    <n v="4.4311999999999996"/>
    <n v="12.224"/>
  </r>
  <r>
    <s v="United States"/>
    <x v="216"/>
    <s v="Second Class"/>
    <s v="Home Office"/>
    <s v="Paper"/>
    <n v="5"/>
    <n v="0.4"/>
    <n v="59.743199999999987"/>
    <n v="172"/>
  </r>
  <r>
    <s v="United States"/>
    <x v="216"/>
    <s v="Standard Class"/>
    <s v="Consumer"/>
    <s v="Accessories"/>
    <n v="8"/>
    <n v="0.60000000000000009"/>
    <n v="-15.325199999999993"/>
    <n v="294.50400000000002"/>
  </r>
  <r>
    <s v="United States"/>
    <x v="216"/>
    <s v="Standard Class"/>
    <s v="Consumer"/>
    <s v="Appliances"/>
    <n v="4"/>
    <n v="0.2"/>
    <n v="156.33799999999997"/>
    <n v="962.07999999999993"/>
  </r>
  <r>
    <s v="United States"/>
    <x v="216"/>
    <s v="Standard Class"/>
    <s v="Consumer"/>
    <s v="Art"/>
    <n v="5"/>
    <n v="0.4"/>
    <n v="4.7392000000000003"/>
    <n v="56.96"/>
  </r>
  <r>
    <s v="United States"/>
    <x v="216"/>
    <s v="Standard Class"/>
    <s v="Consumer"/>
    <s v="Binders"/>
    <n v="24"/>
    <n v="4.9000000000000004"/>
    <n v="-117.52669999999996"/>
    <n v="155.21100000000001"/>
  </r>
  <r>
    <s v="United States"/>
    <x v="216"/>
    <s v="Standard Class"/>
    <s v="Consumer"/>
    <s v="Chairs"/>
    <n v="6"/>
    <n v="0.4"/>
    <n v="10.2592"/>
    <n v="2906.5120000000002"/>
  </r>
  <r>
    <s v="United States"/>
    <x v="216"/>
    <s v="Standard Class"/>
    <s v="Consumer"/>
    <s v="Envelopes"/>
    <n v="4"/>
    <n v="0.2"/>
    <n v="13.127999999999998"/>
    <n v="35.008000000000003"/>
  </r>
  <r>
    <s v="United States"/>
    <x v="216"/>
    <s v="Standard Class"/>
    <s v="Consumer"/>
    <s v="Furnishings"/>
    <n v="6"/>
    <n v="0.4"/>
    <n v="-38.626800000000046"/>
    <n v="488.30399999999997"/>
  </r>
  <r>
    <s v="United States"/>
    <x v="216"/>
    <s v="Standard Class"/>
    <s v="Consumer"/>
    <s v="Labels"/>
    <n v="1"/>
    <n v="0.2"/>
    <n v="1.0499999999999998"/>
    <n v="3"/>
  </r>
  <r>
    <s v="United States"/>
    <x v="216"/>
    <s v="Standard Class"/>
    <s v="Consumer"/>
    <s v="Paper"/>
    <n v="31"/>
    <n v="1.4"/>
    <n v="231.66259999999994"/>
    <n v="676.37600000000009"/>
  </r>
  <r>
    <s v="United States"/>
    <x v="216"/>
    <s v="Standard Class"/>
    <s v="Consumer"/>
    <s v="Phones"/>
    <n v="9"/>
    <n v="0.60000000000000009"/>
    <n v="126.82039999999996"/>
    <n v="1065.4319999999998"/>
  </r>
  <r>
    <s v="United States"/>
    <x v="216"/>
    <s v="Standard Class"/>
    <s v="Consumer"/>
    <s v="Storage"/>
    <n v="8"/>
    <n v="0.4"/>
    <n v="-339.43000000000006"/>
    <n v="1827.616"/>
  </r>
  <r>
    <s v="United States"/>
    <x v="216"/>
    <s v="Standard Class"/>
    <s v="Consumer"/>
    <s v="Supplies"/>
    <n v="4"/>
    <n v="0.4"/>
    <n v="1.8523999999999987"/>
    <n v="16.096"/>
  </r>
  <r>
    <s v="United States"/>
    <x v="216"/>
    <s v="Standard Class"/>
    <s v="Consumer"/>
    <s v="Tables"/>
    <n v="10"/>
    <n v="0.85000000000000009"/>
    <n v="-757.40820000000008"/>
    <n v="1878.2980000000002"/>
  </r>
  <r>
    <s v="United States"/>
    <x v="216"/>
    <s v="Standard Class"/>
    <s v="Corporate"/>
    <s v="Art"/>
    <n v="5"/>
    <n v="0.60000000000000009"/>
    <n v="2.7612000000000005"/>
    <n v="21.167999999999999"/>
  </r>
  <r>
    <s v="United States"/>
    <x v="216"/>
    <s v="Standard Class"/>
    <s v="Corporate"/>
    <s v="Binders"/>
    <n v="30"/>
    <n v="4.2"/>
    <n v="-139.79879999999994"/>
    <n v="191.14200000000002"/>
  </r>
  <r>
    <s v="United States"/>
    <x v="216"/>
    <s v="Standard Class"/>
    <s v="Corporate"/>
    <s v="Chairs"/>
    <n v="1"/>
    <n v="0.2"/>
    <n v="-12.147000000000009"/>
    <n v="64.784000000000006"/>
  </r>
  <r>
    <s v="United States"/>
    <x v="216"/>
    <s v="Standard Class"/>
    <s v="Corporate"/>
    <s v="Fasteners"/>
    <n v="11"/>
    <n v="0.2"/>
    <n v="11.814"/>
    <n v="31.504000000000005"/>
  </r>
  <r>
    <s v="United States"/>
    <x v="216"/>
    <s v="Standard Class"/>
    <s v="Corporate"/>
    <s v="Furnishings"/>
    <n v="4"/>
    <n v="0.4"/>
    <n v="9.7164000000000037"/>
    <n v="34.903999999999996"/>
  </r>
  <r>
    <s v="United States"/>
    <x v="216"/>
    <s v="Standard Class"/>
    <s v="Corporate"/>
    <s v="Labels"/>
    <n v="3"/>
    <n v="0.4"/>
    <n v="3.3083999999999998"/>
    <n v="9.6479999999999997"/>
  </r>
  <r>
    <s v="United States"/>
    <x v="216"/>
    <s v="Standard Class"/>
    <s v="Corporate"/>
    <s v="Paper"/>
    <n v="10"/>
    <n v="0.60000000000000009"/>
    <n v="45.583999999999996"/>
    <n v="130.24"/>
  </r>
  <r>
    <s v="United States"/>
    <x v="216"/>
    <s v="Standard Class"/>
    <s v="Corporate"/>
    <s v="Phones"/>
    <n v="14"/>
    <n v="0.60000000000000009"/>
    <n v="15.793200000000002"/>
    <n v="197.12799999999999"/>
  </r>
  <r>
    <s v="United States"/>
    <x v="216"/>
    <s v="Standard Class"/>
    <s v="Corporate"/>
    <s v="Storage"/>
    <n v="10"/>
    <n v="0.4"/>
    <n v="62.925999999999839"/>
    <n v="1461.0880000000002"/>
  </r>
  <r>
    <s v="United States"/>
    <x v="216"/>
    <s v="Standard Class"/>
    <s v="Corporate"/>
    <s v="Tables"/>
    <n v="10"/>
    <n v="0.9"/>
    <n v="-587.3184"/>
    <n v="1105.3130000000001"/>
  </r>
  <r>
    <s v="United States"/>
    <x v="216"/>
    <s v="Standard Class"/>
    <s v="Home Office"/>
    <s v="Accessories"/>
    <n v="3"/>
    <n v="0.2"/>
    <n v="38.395199999999988"/>
    <n v="191.976"/>
  </r>
  <r>
    <s v="United States"/>
    <x v="216"/>
    <s v="Standard Class"/>
    <s v="Home Office"/>
    <s v="Art"/>
    <n v="5"/>
    <n v="0.4"/>
    <n v="2.2212000000000001"/>
    <n v="24.271999999999998"/>
  </r>
  <r>
    <s v="United States"/>
    <x v="216"/>
    <s v="Standard Class"/>
    <s v="Home Office"/>
    <s v="Fasteners"/>
    <n v="3"/>
    <n v="0.2"/>
    <n v="5.9174999999999986"/>
    <n v="18.936"/>
  </r>
  <r>
    <s v="United States"/>
    <x v="216"/>
    <s v="Standard Class"/>
    <s v="Home Office"/>
    <s v="Furnishings"/>
    <n v="5"/>
    <n v="0.4"/>
    <n v="23.370599999999992"/>
    <n v="153.12"/>
  </r>
  <r>
    <s v="United States"/>
    <x v="216"/>
    <s v="Standard Class"/>
    <s v="Home Office"/>
    <s v="Machines"/>
    <n v="10"/>
    <n v="1"/>
    <n v="-1827.5044000000021"/>
    <n v="23459.78"/>
  </r>
  <r>
    <s v="United States"/>
    <x v="216"/>
    <s v="Standard Class"/>
    <s v="Home Office"/>
    <s v="Paper"/>
    <n v="11"/>
    <n v="0.60000000000000009"/>
    <n v="41.002199999999995"/>
    <n v="117.512"/>
  </r>
  <r>
    <s v="United States"/>
    <x v="216"/>
    <s v="Standard Class"/>
    <s v="Home Office"/>
    <s v="Phones"/>
    <n v="6"/>
    <n v="0.4"/>
    <n v="50.376599999999996"/>
    <n v="718.35200000000009"/>
  </r>
  <r>
    <s v="United States"/>
    <x v="217"/>
    <s v="Standard Class"/>
    <s v="Consumer"/>
    <s v="Phones"/>
    <n v="7"/>
    <n v="0"/>
    <n v="1228.1787000000004"/>
    <n v="4548.8100000000004"/>
  </r>
  <r>
    <s v="United States"/>
    <x v="217"/>
    <s v="Standard Class"/>
    <s v="Corporate"/>
    <s v="Accessories"/>
    <n v="2"/>
    <n v="0"/>
    <n v="57.592799999999997"/>
    <n v="159.97999999999999"/>
  </r>
  <r>
    <s v="United States"/>
    <x v="218"/>
    <s v="Standard Class"/>
    <s v="Home Office"/>
    <s v="Furnishings"/>
    <n v="2"/>
    <n v="0"/>
    <n v="8.6619999999999919"/>
    <n v="86.62"/>
  </r>
  <r>
    <s v="United States"/>
    <x v="219"/>
    <s v="Second Class"/>
    <s v="Consumer"/>
    <s v="Binders"/>
    <n v="7"/>
    <n v="0.7"/>
    <n v="-63.109199999999987"/>
    <n v="86.058000000000007"/>
  </r>
  <r>
    <s v="United States"/>
    <x v="219"/>
    <s v="Second Class"/>
    <s v="Consumer"/>
    <s v="Envelopes"/>
    <n v="3"/>
    <n v="0.2"/>
    <n v="7.6283999999999974"/>
    <n v="23.472000000000001"/>
  </r>
  <r>
    <s v="United States"/>
    <x v="219"/>
    <s v="Second Class"/>
    <s v="Consumer"/>
    <s v="Paper"/>
    <n v="3"/>
    <n v="0.2"/>
    <n v="3.2099999999999982"/>
    <n v="10.272000000000002"/>
  </r>
  <r>
    <s v="United States"/>
    <x v="219"/>
    <s v="Second Class"/>
    <s v="Consumer"/>
    <s v="Phones"/>
    <n v="2"/>
    <n v="0.2"/>
    <n v="6.7990000000000066"/>
    <n v="108.78399999999999"/>
  </r>
  <r>
    <s v="United States"/>
    <x v="219"/>
    <s v="Standard Class"/>
    <s v="Consumer"/>
    <s v="Appliances"/>
    <n v="2"/>
    <n v="0.2"/>
    <n v="29.142400000000009"/>
    <n v="333.05600000000004"/>
  </r>
  <r>
    <s v="United States"/>
    <x v="219"/>
    <s v="Standard Class"/>
    <s v="Consumer"/>
    <s v="Art"/>
    <n v="3"/>
    <n v="0.2"/>
    <n v="0.47519999999999984"/>
    <n v="4.2240000000000002"/>
  </r>
  <r>
    <s v="United States"/>
    <x v="219"/>
    <s v="Standard Class"/>
    <s v="Consumer"/>
    <s v="Binders"/>
    <n v="7"/>
    <n v="1.4"/>
    <n v="-6.4161999999999999"/>
    <n v="8.4780000000000015"/>
  </r>
  <r>
    <s v="United States"/>
    <x v="219"/>
    <s v="Standard Class"/>
    <s v="Consumer"/>
    <s v="Envelopes"/>
    <n v="3"/>
    <n v="0.2"/>
    <n v="6.6467999999999989"/>
    <n v="18.335999999999999"/>
  </r>
  <r>
    <s v="United States"/>
    <x v="219"/>
    <s v="Standard Class"/>
    <s v="Consumer"/>
    <s v="Paper"/>
    <n v="11"/>
    <n v="0.4"/>
    <n v="20.480799999999999"/>
    <n v="61.184000000000012"/>
  </r>
  <r>
    <s v="United States"/>
    <x v="219"/>
    <s v="Standard Class"/>
    <s v="Consumer"/>
    <s v="Phones"/>
    <n v="2"/>
    <n v="0.2"/>
    <n v="6.9990000000000059"/>
    <n v="111.98399999999999"/>
  </r>
  <r>
    <s v="United States"/>
    <x v="220"/>
    <s v="First Class"/>
    <s v="Consumer"/>
    <s v="Phones"/>
    <n v="2"/>
    <n v="0"/>
    <n v="17.993999999999993"/>
    <n v="59.98"/>
  </r>
  <r>
    <s v="United States"/>
    <x v="220"/>
    <s v="Same Day"/>
    <s v="Home Office"/>
    <s v="Binders"/>
    <n v="10"/>
    <n v="0"/>
    <n v="58.428399999999996"/>
    <n v="117.62"/>
  </r>
  <r>
    <s v="United States"/>
    <x v="220"/>
    <s v="Standard Class"/>
    <s v="Consumer"/>
    <s v="Art"/>
    <n v="10"/>
    <n v="0"/>
    <n v="8.4484999999999975"/>
    <n v="29.589999999999996"/>
  </r>
  <r>
    <s v="United States"/>
    <x v="220"/>
    <s v="Standard Class"/>
    <s v="Consumer"/>
    <s v="Bookcases"/>
    <n v="9"/>
    <n v="0"/>
    <n v="172.48140000000001"/>
    <n v="638.82000000000005"/>
  </r>
  <r>
    <s v="United States"/>
    <x v="220"/>
    <s v="Standard Class"/>
    <s v="Consumer"/>
    <s v="Chairs"/>
    <n v="3"/>
    <n v="0"/>
    <n v="224.2673999999999"/>
    <n v="1067.94"/>
  </r>
  <r>
    <s v="United States"/>
    <x v="220"/>
    <s v="Standard Class"/>
    <s v="Consumer"/>
    <s v="Envelopes"/>
    <n v="3"/>
    <n v="0"/>
    <n v="10.969799999999999"/>
    <n v="23.34"/>
  </r>
  <r>
    <s v="United States"/>
    <x v="220"/>
    <s v="Standard Class"/>
    <s v="Consumer"/>
    <s v="Furnishings"/>
    <n v="4"/>
    <n v="0"/>
    <n v="11.579999999999998"/>
    <n v="38.6"/>
  </r>
  <r>
    <s v="United States"/>
    <x v="220"/>
    <s v="Standard Class"/>
    <s v="Consumer"/>
    <s v="Paper"/>
    <n v="5"/>
    <n v="0"/>
    <n v="114.95999999999998"/>
    <n v="239.5"/>
  </r>
  <r>
    <s v="United States"/>
    <x v="220"/>
    <s v="Standard Class"/>
    <s v="Consumer"/>
    <s v="Phones"/>
    <n v="7"/>
    <n v="0"/>
    <n v="181.98179999999999"/>
    <n v="699.93"/>
  </r>
  <r>
    <s v="United States"/>
    <x v="221"/>
    <s v="Second Class"/>
    <s v="Consumer"/>
    <s v="Art"/>
    <n v="1"/>
    <n v="0.2"/>
    <n v="0.15480000000000005"/>
    <n v="2.0640000000000001"/>
  </r>
  <r>
    <s v="United States"/>
    <x v="222"/>
    <s v="Second Class"/>
    <s v="Consumer"/>
    <s v="Labels"/>
    <n v="2"/>
    <n v="0.2"/>
    <n v="2.0999999999999996"/>
    <n v="6"/>
  </r>
  <r>
    <s v="United States"/>
    <x v="223"/>
    <s v="Same Day"/>
    <s v="Consumer"/>
    <s v="Accessories"/>
    <n v="2"/>
    <n v="0"/>
    <n v="15.1158"/>
    <n v="71.98"/>
  </r>
  <r>
    <s v="United States"/>
    <x v="223"/>
    <s v="Same Day"/>
    <s v="Consumer"/>
    <s v="Appliances"/>
    <n v="2"/>
    <n v="0"/>
    <n v="4.6818000000000008"/>
    <n v="17.34"/>
  </r>
  <r>
    <s v="United States"/>
    <x v="224"/>
    <s v="First Class"/>
    <s v="Home Office"/>
    <s v="Accessories"/>
    <n v="5"/>
    <n v="0"/>
    <n v="143.982"/>
    <n v="399.95"/>
  </r>
  <r>
    <s v="United States"/>
    <x v="224"/>
    <s v="Standard Class"/>
    <s v="Consumer"/>
    <s v="Art"/>
    <n v="1"/>
    <n v="0"/>
    <n v="4.4939999999999998"/>
    <n v="14.98"/>
  </r>
  <r>
    <s v="United States"/>
    <x v="224"/>
    <s v="Standard Class"/>
    <s v="Consumer"/>
    <s v="Bookcases"/>
    <n v="3"/>
    <n v="0"/>
    <n v="97.45859999999999"/>
    <n v="512.93999999999994"/>
  </r>
  <r>
    <s v="United States"/>
    <x v="224"/>
    <s v="Standard Class"/>
    <s v="Consumer"/>
    <s v="Chairs"/>
    <n v="7"/>
    <n v="0"/>
    <n v="189.40460000000002"/>
    <n v="860.93"/>
  </r>
  <r>
    <s v="United States"/>
    <x v="224"/>
    <s v="Standard Class"/>
    <s v="Consumer"/>
    <s v="Furnishings"/>
    <n v="6"/>
    <n v="0"/>
    <n v="82.077600000000004"/>
    <n v="373.08"/>
  </r>
  <r>
    <s v="United States"/>
    <x v="224"/>
    <s v="Standard Class"/>
    <s v="Consumer"/>
    <s v="Phones"/>
    <n v="5"/>
    <n v="0"/>
    <n v="223.28549999999993"/>
    <n v="769.95"/>
  </r>
  <r>
    <s v="United States"/>
    <x v="224"/>
    <s v="Standard Class"/>
    <s v="Corporate"/>
    <s v="Accessories"/>
    <n v="5"/>
    <n v="0"/>
    <n v="26.590499999999988"/>
    <n v="139.94999999999999"/>
  </r>
  <r>
    <s v="United States"/>
    <x v="224"/>
    <s v="Standard Class"/>
    <s v="Corporate"/>
    <s v="Phones"/>
    <n v="5"/>
    <n v="0"/>
    <n v="260.78000000000003"/>
    <n v="834.95"/>
  </r>
  <r>
    <s v="United States"/>
    <x v="225"/>
    <s v="Second Class"/>
    <s v="Consumer"/>
    <s v="Accessories"/>
    <n v="3"/>
    <n v="0.2"/>
    <n v="-8.9970000000000034"/>
    <n v="71.975999999999999"/>
  </r>
  <r>
    <s v="United States"/>
    <x v="225"/>
    <s v="Second Class"/>
    <s v="Consumer"/>
    <s v="Appliances"/>
    <n v="5"/>
    <n v="0.2"/>
    <n v="6.0449999999999946"/>
    <n v="48.36"/>
  </r>
  <r>
    <s v="United States"/>
    <x v="225"/>
    <s v="Second Class"/>
    <s v="Consumer"/>
    <s v="Art"/>
    <n v="3"/>
    <n v="0.2"/>
    <n v="1.7519999999999998"/>
    <n v="14.015999999999998"/>
  </r>
  <r>
    <s v="United States"/>
    <x v="225"/>
    <s v="Second Class"/>
    <s v="Consumer"/>
    <s v="Paper"/>
    <n v="3"/>
    <n v="0"/>
    <n v="9.3312000000000008"/>
    <n v="19.440000000000001"/>
  </r>
  <r>
    <s v="United States"/>
    <x v="225"/>
    <s v="Second Class"/>
    <s v="Consumer"/>
    <s v="Phones"/>
    <n v="6"/>
    <n v="0.60000000000000009"/>
    <n v="-17.998500000000003"/>
    <n v="179.958"/>
  </r>
  <r>
    <s v="United States"/>
    <x v="225"/>
    <s v="Standard Class"/>
    <s v="Consumer"/>
    <s v="Accessories"/>
    <n v="2"/>
    <n v="0"/>
    <n v="10.5"/>
    <n v="50"/>
  </r>
  <r>
    <s v="United States"/>
    <x v="225"/>
    <s v="Standard Class"/>
    <s v="Consumer"/>
    <s v="Binders"/>
    <n v="2"/>
    <n v="0.2"/>
    <n v="7.8191999999999995"/>
    <n v="23.168000000000003"/>
  </r>
  <r>
    <s v="United States"/>
    <x v="225"/>
    <s v="Standard Class"/>
    <s v="Consumer"/>
    <s v="Envelopes"/>
    <n v="3"/>
    <n v="0"/>
    <n v="77.483699999999999"/>
    <n v="158.13"/>
  </r>
  <r>
    <s v="United States"/>
    <x v="225"/>
    <s v="Standard Class"/>
    <s v="Consumer"/>
    <s v="Furnishings"/>
    <n v="2"/>
    <n v="0"/>
    <n v="99.23"/>
    <n v="198.46"/>
  </r>
  <r>
    <s v="United States"/>
    <x v="225"/>
    <s v="Standard Class"/>
    <s v="Consumer"/>
    <s v="Labels"/>
    <n v="8"/>
    <n v="0"/>
    <n v="385.37520000000001"/>
    <n v="786.48"/>
  </r>
  <r>
    <s v="United States"/>
    <x v="225"/>
    <s v="Standard Class"/>
    <s v="Consumer"/>
    <s v="Phones"/>
    <n v="5"/>
    <n v="0.2"/>
    <n v="4.3600000000000012"/>
    <n v="43.6"/>
  </r>
  <r>
    <s v="United States"/>
    <x v="225"/>
    <s v="Standard Class"/>
    <s v="Corporate"/>
    <s v="Appliances"/>
    <n v="6"/>
    <n v="0.2"/>
    <n v="16.894799999999996"/>
    <n v="103.96799999999999"/>
  </r>
  <r>
    <s v="United States"/>
    <x v="226"/>
    <s v="First Class"/>
    <s v="Consumer"/>
    <s v="Binders"/>
    <n v="4"/>
    <n v="0"/>
    <n v="13.063999999999998"/>
    <n v="28.4"/>
  </r>
  <r>
    <s v="United States"/>
    <x v="226"/>
    <s v="First Class"/>
    <s v="Consumer"/>
    <s v="Furnishings"/>
    <n v="3"/>
    <n v="0"/>
    <n v="34.070399999999999"/>
    <n v="212.94"/>
  </r>
  <r>
    <s v="United States"/>
    <x v="227"/>
    <s v="Standard Class"/>
    <s v="Consumer"/>
    <s v="Phones"/>
    <n v="2"/>
    <n v="0.2"/>
    <n v="84.598199999999878"/>
    <n v="751.98400000000004"/>
  </r>
  <r>
    <s v="United States"/>
    <x v="228"/>
    <s v="First Class"/>
    <s v="Consumer"/>
    <s v="Furnishings"/>
    <n v="5"/>
    <n v="0.2"/>
    <n v="14.449499999999986"/>
    <n v="88.920000000000016"/>
  </r>
  <r>
    <s v="United States"/>
    <x v="228"/>
    <s v="First Class"/>
    <s v="Corporate"/>
    <s v="Storage"/>
    <n v="3"/>
    <n v="0.2"/>
    <n v="-24.588000000000001"/>
    <n v="98.352000000000004"/>
  </r>
  <r>
    <s v="United States"/>
    <x v="228"/>
    <s v="First Class"/>
    <s v="Corporate"/>
    <s v="Tables"/>
    <n v="3"/>
    <n v="0.4"/>
    <n v="-147.8655"/>
    <n v="328.59000000000003"/>
  </r>
  <r>
    <s v="United States"/>
    <x v="228"/>
    <s v="First Class"/>
    <s v="Home Office"/>
    <s v="Binders"/>
    <n v="7"/>
    <n v="1.4"/>
    <n v="-48.13559999999999"/>
    <n v="61.596000000000004"/>
  </r>
  <r>
    <s v="United States"/>
    <x v="228"/>
    <s v="First Class"/>
    <s v="Home Office"/>
    <s v="Furnishings"/>
    <n v="5"/>
    <n v="0.60000000000000009"/>
    <n v="8.8254999999999981"/>
    <n v="41.224000000000004"/>
  </r>
  <r>
    <s v="United States"/>
    <x v="228"/>
    <s v="First Class"/>
    <s v="Home Office"/>
    <s v="Paper"/>
    <n v="4"/>
    <n v="0.2"/>
    <n v="7.2576000000000001"/>
    <n v="20.736000000000004"/>
  </r>
  <r>
    <s v="United States"/>
    <x v="228"/>
    <s v="First Class"/>
    <s v="Home Office"/>
    <s v="Tables"/>
    <n v="7"/>
    <n v="0.4"/>
    <n v="-1002.7836000000001"/>
    <n v="2314.116"/>
  </r>
  <r>
    <s v="United States"/>
    <x v="228"/>
    <s v="Second Class"/>
    <s v="Consumer"/>
    <s v="Appliances"/>
    <n v="2"/>
    <n v="0.2"/>
    <n v="8.7168000000000063"/>
    <n v="87.168000000000006"/>
  </r>
  <r>
    <s v="United States"/>
    <x v="228"/>
    <s v="Second Class"/>
    <s v="Consumer"/>
    <s v="Art"/>
    <n v="2"/>
    <n v="0.2"/>
    <n v="8.3328000000000024"/>
    <n v="31.744"/>
  </r>
  <r>
    <s v="United States"/>
    <x v="228"/>
    <s v="Second Class"/>
    <s v="Consumer"/>
    <s v="Paper"/>
    <n v="3"/>
    <n v="0.2"/>
    <n v="4.1147999999999998"/>
    <n v="12.192"/>
  </r>
  <r>
    <s v="United States"/>
    <x v="228"/>
    <s v="Second Class"/>
    <s v="Corporate"/>
    <s v="Chairs"/>
    <n v="3"/>
    <n v="0.2"/>
    <n v="-35.36460000000001"/>
    <n v="314.35199999999998"/>
  </r>
  <r>
    <s v="United States"/>
    <x v="228"/>
    <s v="Second Class"/>
    <s v="Corporate"/>
    <s v="Paper"/>
    <n v="7"/>
    <n v="0.2"/>
    <n v="10.109400000000001"/>
    <n v="27.888000000000002"/>
  </r>
  <r>
    <s v="United States"/>
    <x v="228"/>
    <s v="Standard Class"/>
    <s v="Consumer"/>
    <s v="Accessories"/>
    <n v="4"/>
    <n v="0.2"/>
    <n v="-1.119600000000009"/>
    <n v="89.567999999999998"/>
  </r>
  <r>
    <s v="United States"/>
    <x v="228"/>
    <s v="Standard Class"/>
    <s v="Consumer"/>
    <s v="Art"/>
    <n v="7"/>
    <n v="0.4"/>
    <n v="7.6076000000000015"/>
    <n v="76.663999999999987"/>
  </r>
  <r>
    <s v="United States"/>
    <x v="228"/>
    <s v="Standard Class"/>
    <s v="Consumer"/>
    <s v="Chairs"/>
    <n v="3"/>
    <n v="0.2"/>
    <n v="-10.918799999999983"/>
    <n v="218.376"/>
  </r>
  <r>
    <s v="United States"/>
    <x v="228"/>
    <s v="Standard Class"/>
    <s v="Consumer"/>
    <s v="Furnishings"/>
    <n v="3"/>
    <n v="0.2"/>
    <n v="6.5903999999999989"/>
    <n v="32.952000000000005"/>
  </r>
  <r>
    <s v="United States"/>
    <x v="228"/>
    <s v="Standard Class"/>
    <s v="Consumer"/>
    <s v="Labels"/>
    <n v="5"/>
    <n v="0.2"/>
    <n v="22.199999999999996"/>
    <n v="59.20000000000001"/>
  </r>
  <r>
    <s v="United States"/>
    <x v="228"/>
    <s v="Standard Class"/>
    <s v="Consumer"/>
    <s v="Paper"/>
    <n v="3"/>
    <n v="0.2"/>
    <n v="5.4432"/>
    <n v="15.552000000000003"/>
  </r>
  <r>
    <s v="United States"/>
    <x v="228"/>
    <s v="Standard Class"/>
    <s v="Corporate"/>
    <s v="Art"/>
    <n v="3"/>
    <n v="0.2"/>
    <n v="0.3822000000000001"/>
    <n v="4.3680000000000003"/>
  </r>
  <r>
    <s v="United States"/>
    <x v="228"/>
    <s v="Standard Class"/>
    <s v="Home Office"/>
    <s v="Labels"/>
    <n v="2"/>
    <n v="0.2"/>
    <n v="1.6704000000000001"/>
    <n v="4.6079999999999997"/>
  </r>
  <r>
    <s v="United States"/>
    <x v="229"/>
    <s v="Second Class"/>
    <s v="Consumer"/>
    <s v="Binders"/>
    <n v="3"/>
    <n v="0"/>
    <n v="28.410000000000004"/>
    <n v="56.820000000000007"/>
  </r>
  <r>
    <s v="United States"/>
    <x v="229"/>
    <s v="Standard Class"/>
    <s v="Corporate"/>
    <s v="Accessories"/>
    <n v="5"/>
    <n v="0"/>
    <n v="174.98249999999999"/>
    <n v="499.95"/>
  </r>
  <r>
    <s v="United States"/>
    <x v="229"/>
    <s v="Standard Class"/>
    <s v="Corporate"/>
    <s v="Art"/>
    <n v="1"/>
    <n v="0"/>
    <n v="1.0335999999999999"/>
    <n v="3.04"/>
  </r>
  <r>
    <s v="United States"/>
    <x v="229"/>
    <s v="Standard Class"/>
    <s v="Corporate"/>
    <s v="Chairs"/>
    <n v="2"/>
    <n v="0"/>
    <n v="50.490000000000009"/>
    <n v="201.96"/>
  </r>
  <r>
    <s v="United States"/>
    <x v="229"/>
    <s v="Standard Class"/>
    <s v="Corporate"/>
    <s v="Furnishings"/>
    <n v="11"/>
    <n v="0"/>
    <n v="17.160000000000004"/>
    <n v="68.64"/>
  </r>
  <r>
    <s v="United States"/>
    <x v="230"/>
    <s v="Standard Class"/>
    <s v="Home Office"/>
    <s v="Accessories"/>
    <n v="3"/>
    <n v="0"/>
    <n v="85.490999999999957"/>
    <n v="284.96999999999997"/>
  </r>
  <r>
    <s v="United States"/>
    <x v="230"/>
    <s v="Standard Class"/>
    <s v="Home Office"/>
    <s v="Binders"/>
    <n v="5"/>
    <n v="0.2"/>
    <n v="28.896000000000001"/>
    <n v="82.56"/>
  </r>
  <r>
    <s v="United States"/>
    <x v="231"/>
    <s v="First Class"/>
    <s v="Consumer"/>
    <s v="Binders"/>
    <n v="2"/>
    <n v="0.8"/>
    <n v="-26.227200000000003"/>
    <n v="16.391999999999996"/>
  </r>
  <r>
    <s v="United States"/>
    <x v="231"/>
    <s v="First Class"/>
    <s v="Consumer"/>
    <s v="Furnishings"/>
    <n v="9"/>
    <n v="0.6"/>
    <n v="4.5810000000000013"/>
    <n v="55.849999999999994"/>
  </r>
  <r>
    <s v="United States"/>
    <x v="231"/>
    <s v="First Class"/>
    <s v="Consumer"/>
    <s v="Phones"/>
    <n v="2"/>
    <n v="0"/>
    <n v="18.873000000000005"/>
    <n v="69.900000000000006"/>
  </r>
  <r>
    <s v="United States"/>
    <x v="231"/>
    <s v="Second Class"/>
    <s v="Corporate"/>
    <s v="Appliances"/>
    <n v="2"/>
    <n v="0"/>
    <n v="10.5504"/>
    <n v="37.68"/>
  </r>
  <r>
    <s v="United States"/>
    <x v="231"/>
    <s v="Second Class"/>
    <s v="Corporate"/>
    <s v="Art"/>
    <n v="7"/>
    <n v="0"/>
    <n v="5.5566000000000004"/>
    <n v="20.58"/>
  </r>
  <r>
    <s v="United States"/>
    <x v="231"/>
    <s v="Second Class"/>
    <s v="Corporate"/>
    <s v="Binders"/>
    <n v="2"/>
    <n v="0"/>
    <n v="8.69"/>
    <n v="17.38"/>
  </r>
  <r>
    <s v="United States"/>
    <x v="231"/>
    <s v="Second Class"/>
    <s v="Corporate"/>
    <s v="Envelopes"/>
    <n v="8"/>
    <n v="0"/>
    <n v="129.38399999999999"/>
    <n v="287.52"/>
  </r>
  <r>
    <s v="United States"/>
    <x v="231"/>
    <s v="Second Class"/>
    <s v="Corporate"/>
    <s v="Paper"/>
    <n v="2"/>
    <n v="0"/>
    <n v="8.9909999999999997"/>
    <n v="19.98"/>
  </r>
  <r>
    <s v="United States"/>
    <x v="231"/>
    <s v="Standard Class"/>
    <s v="Consumer"/>
    <s v="Furnishings"/>
    <n v="5"/>
    <n v="0"/>
    <n v="31.586999999999961"/>
    <n v="526.45000000000005"/>
  </r>
  <r>
    <s v="United States"/>
    <x v="232"/>
    <s v="First Class"/>
    <s v="Corporate"/>
    <s v="Accessories"/>
    <n v="4"/>
    <n v="0"/>
    <n v="18.064800000000002"/>
    <n v="46.32"/>
  </r>
  <r>
    <s v="United States"/>
    <x v="233"/>
    <s v="First Class"/>
    <s v="Consumer"/>
    <s v="Art"/>
    <n v="5"/>
    <n v="0"/>
    <n v="21.227999999999998"/>
    <n v="73.2"/>
  </r>
  <r>
    <s v="United States"/>
    <x v="233"/>
    <s v="First Class"/>
    <s v="Consumer"/>
    <s v="Binders"/>
    <n v="1"/>
    <n v="0"/>
    <n v="1.8672"/>
    <n v="3.89"/>
  </r>
  <r>
    <s v="United States"/>
    <x v="233"/>
    <s v="First Class"/>
    <s v="Consumer"/>
    <s v="Bookcases"/>
    <n v="2"/>
    <n v="0"/>
    <n v="33.874400000000009"/>
    <n v="241.96"/>
  </r>
  <r>
    <s v="United States"/>
    <x v="233"/>
    <s v="First Class"/>
    <s v="Consumer"/>
    <s v="Furnishings"/>
    <n v="3"/>
    <n v="0"/>
    <n v="3.0438000000000001"/>
    <n v="8.01"/>
  </r>
  <r>
    <s v="United States"/>
    <x v="233"/>
    <s v="First Class"/>
    <s v="Consumer"/>
    <s v="Labels"/>
    <n v="3"/>
    <n v="0"/>
    <n v="5.2028999999999996"/>
    <n v="11.07"/>
  </r>
  <r>
    <s v="United States"/>
    <x v="233"/>
    <s v="First Class"/>
    <s v="Consumer"/>
    <s v="Paper"/>
    <n v="4"/>
    <n v="0"/>
    <n v="12.441600000000001"/>
    <n v="25.92"/>
  </r>
  <r>
    <s v="United States"/>
    <x v="233"/>
    <s v="First Class"/>
    <s v="Consumer"/>
    <s v="Supplies"/>
    <n v="2"/>
    <n v="0"/>
    <n v="33.312400000000025"/>
    <n v="1665.62"/>
  </r>
  <r>
    <s v="United States"/>
    <x v="233"/>
    <s v="First Class"/>
    <s v="Consumer"/>
    <s v="Tables"/>
    <n v="4"/>
    <n v="0"/>
    <n v="346.03960000000006"/>
    <n v="1504.52"/>
  </r>
  <r>
    <s v="United States"/>
    <x v="233"/>
    <s v="Second Class"/>
    <s v="Consumer"/>
    <s v="Bookcases"/>
    <n v="3"/>
    <n v="0"/>
    <n v="23.318400000000011"/>
    <n v="145.74"/>
  </r>
  <r>
    <s v="United States"/>
    <x v="233"/>
    <s v="Second Class"/>
    <s v="Consumer"/>
    <s v="Furnishings"/>
    <n v="5"/>
    <n v="0"/>
    <n v="7.3919999999999995"/>
    <n v="15.4"/>
  </r>
  <r>
    <s v="United States"/>
    <x v="233"/>
    <s v="Second Class"/>
    <s v="Consumer"/>
    <s v="Phones"/>
    <n v="3"/>
    <n v="0"/>
    <n v="8.4563999999999986"/>
    <n v="29.160000000000004"/>
  </r>
  <r>
    <s v="United States"/>
    <x v="233"/>
    <s v="Second Class"/>
    <s v="Consumer"/>
    <s v="Storage"/>
    <n v="5"/>
    <n v="0"/>
    <n v="21.164000000000005"/>
    <n v="81.400000000000006"/>
  </r>
  <r>
    <s v="United States"/>
    <x v="233"/>
    <s v="Second Class"/>
    <s v="Consumer"/>
    <s v="Tables"/>
    <n v="1"/>
    <n v="0"/>
    <n v="22.354800000000004"/>
    <n v="85.98"/>
  </r>
  <r>
    <s v="United States"/>
    <x v="233"/>
    <s v="Standard Class"/>
    <s v="Consumer"/>
    <s v="Chairs"/>
    <n v="10"/>
    <n v="0"/>
    <n v="215.79879999999994"/>
    <n v="750.38"/>
  </r>
  <r>
    <s v="United States"/>
    <x v="233"/>
    <s v="Standard Class"/>
    <s v="Consumer"/>
    <s v="Fasteners"/>
    <n v="3"/>
    <n v="0"/>
    <n v="0"/>
    <n v="5.9399999999999995"/>
  </r>
  <r>
    <s v="United States"/>
    <x v="233"/>
    <s v="Standard Class"/>
    <s v="Consumer"/>
    <s v="Machines"/>
    <n v="3"/>
    <n v="0"/>
    <n v="239.98500000000001"/>
    <n v="479.97"/>
  </r>
  <r>
    <s v="United States"/>
    <x v="233"/>
    <s v="Standard Class"/>
    <s v="Consumer"/>
    <s v="Paper"/>
    <n v="6"/>
    <n v="0"/>
    <n v="135.98419999999999"/>
    <n v="283.17999999999995"/>
  </r>
  <r>
    <s v="United States"/>
    <x v="233"/>
    <s v="Standard Class"/>
    <s v="Consumer"/>
    <s v="Storage"/>
    <n v="1"/>
    <n v="0"/>
    <n v="18.766999999999996"/>
    <n v="375.34"/>
  </r>
  <r>
    <s v="United States"/>
    <x v="233"/>
    <s v="Standard Class"/>
    <s v="Corporate"/>
    <s v="Accessories"/>
    <n v="2"/>
    <n v="0"/>
    <n v="42.991400000000006"/>
    <n v="99.98"/>
  </r>
  <r>
    <s v="United States"/>
    <x v="233"/>
    <s v="Standard Class"/>
    <s v="Corporate"/>
    <s v="Art"/>
    <n v="7"/>
    <n v="0"/>
    <n v="15.714799999999999"/>
    <n v="55.36"/>
  </r>
  <r>
    <s v="United States"/>
    <x v="233"/>
    <s v="Standard Class"/>
    <s v="Corporate"/>
    <s v="Binders"/>
    <n v="9"/>
    <n v="0"/>
    <n v="348.03229999999996"/>
    <n v="770.35"/>
  </r>
  <r>
    <s v="United States"/>
    <x v="233"/>
    <s v="Standard Class"/>
    <s v="Corporate"/>
    <s v="Copiers"/>
    <n v="5"/>
    <n v="0"/>
    <n v="8399.9759999999987"/>
    <n v="17499.949999999997"/>
  </r>
  <r>
    <s v="United States"/>
    <x v="233"/>
    <s v="Standard Class"/>
    <s v="Corporate"/>
    <s v="Paper"/>
    <n v="5"/>
    <n v="0"/>
    <n v="15.681600000000001"/>
    <n v="32.400000000000006"/>
  </r>
  <r>
    <s v="United States"/>
    <x v="233"/>
    <s v="Standard Class"/>
    <s v="Corporate"/>
    <s v="Storage"/>
    <n v="7"/>
    <n v="0"/>
    <n v="14.173999999999992"/>
    <n v="265.02999999999997"/>
  </r>
  <r>
    <s v="United States"/>
    <x v="233"/>
    <s v="Standard Class"/>
    <s v="Home Office"/>
    <s v="Furnishings"/>
    <n v="5"/>
    <n v="0"/>
    <n v="31.586999999999961"/>
    <n v="526.45000000000005"/>
  </r>
  <r>
    <s v="United States"/>
    <x v="234"/>
    <s v="Second Class"/>
    <s v="Corporate"/>
    <s v="Paper"/>
    <n v="6"/>
    <n v="0"/>
    <n v="15.335999999999999"/>
    <n v="34.08"/>
  </r>
  <r>
    <s v="United States"/>
    <x v="234"/>
    <s v="Second Class"/>
    <s v="Corporate"/>
    <s v="Phones"/>
    <n v="5"/>
    <n v="0.2"/>
    <n v="3.4964999999999993"/>
    <n v="39.960000000000008"/>
  </r>
  <r>
    <s v="United States"/>
    <x v="234"/>
    <s v="Standard Class"/>
    <s v="Home Office"/>
    <s v="Bookcases"/>
    <n v="2"/>
    <n v="0.15"/>
    <n v="16.798599999999979"/>
    <n v="203.98299999999998"/>
  </r>
  <r>
    <s v="United States"/>
    <x v="234"/>
    <s v="Standard Class"/>
    <s v="Home Office"/>
    <s v="Paper"/>
    <n v="2"/>
    <n v="0"/>
    <n v="6.3504000000000005"/>
    <n v="12.96"/>
  </r>
  <r>
    <s v="United States"/>
    <x v="235"/>
    <s v="Second Class"/>
    <s v="Consumer"/>
    <s v="Binders"/>
    <n v="3"/>
    <n v="0"/>
    <n v="8.6112000000000002"/>
    <n v="17.940000000000001"/>
  </r>
  <r>
    <s v="United States"/>
    <x v="235"/>
    <s v="Second Class"/>
    <s v="Consumer"/>
    <s v="Chairs"/>
    <n v="2"/>
    <n v="0"/>
    <n v="12.990000000000002"/>
    <n v="51.96"/>
  </r>
  <r>
    <s v="United States"/>
    <x v="235"/>
    <s v="Second Class"/>
    <s v="Home Office"/>
    <s v="Binders"/>
    <n v="11"/>
    <n v="0"/>
    <n v="219.65459999999999"/>
    <n v="477.51"/>
  </r>
  <r>
    <s v="United States"/>
    <x v="236"/>
    <s v="Standard Class"/>
    <s v="Consumer"/>
    <s v="Chairs"/>
    <n v="5"/>
    <n v="0.2"/>
    <n v="17.745000000000019"/>
    <n v="283.92"/>
  </r>
  <r>
    <s v="United States"/>
    <x v="237"/>
    <s v="First Class"/>
    <s v="Consumer"/>
    <s v="Appliances"/>
    <n v="3"/>
    <n v="0"/>
    <n v="152.02319999999997"/>
    <n v="542.93999999999994"/>
  </r>
  <r>
    <s v="United States"/>
    <x v="237"/>
    <s v="First Class"/>
    <s v="Consumer"/>
    <s v="Furnishings"/>
    <n v="4"/>
    <n v="0"/>
    <n v="19.7712"/>
    <n v="54.92"/>
  </r>
  <r>
    <s v="United States"/>
    <x v="237"/>
    <s v="Standard Class"/>
    <s v="Home Office"/>
    <s v="Chairs"/>
    <n v="4"/>
    <n v="0.2"/>
    <n v="102.95279999999988"/>
    <n v="915.13600000000008"/>
  </r>
  <r>
    <s v="United States"/>
    <x v="237"/>
    <s v="Standard Class"/>
    <s v="Home Office"/>
    <s v="Labels"/>
    <n v="2"/>
    <n v="0"/>
    <n v="2.9567999999999999"/>
    <n v="6.16"/>
  </r>
  <r>
    <s v="United States"/>
    <x v="237"/>
    <s v="Standard Class"/>
    <s v="Home Office"/>
    <s v="Paper"/>
    <n v="4"/>
    <n v="0"/>
    <n v="49.82739999999999"/>
    <n v="106.38"/>
  </r>
  <r>
    <s v="United States"/>
    <x v="238"/>
    <s v="First Class"/>
    <s v="Corporate"/>
    <s v="Accessories"/>
    <n v="2"/>
    <n v="0.2"/>
    <n v="53.199999999999989"/>
    <n v="170.24"/>
  </r>
  <r>
    <s v="United States"/>
    <x v="238"/>
    <s v="First Class"/>
    <s v="Corporate"/>
    <s v="Art"/>
    <n v="2"/>
    <n v="0.2"/>
    <n v="7.5959999999999894"/>
    <n v="60.768000000000001"/>
  </r>
  <r>
    <s v="United States"/>
    <x v="238"/>
    <s v="First Class"/>
    <s v="Corporate"/>
    <s v="Binders"/>
    <n v="12"/>
    <n v="2.0999999999999996"/>
    <n v="-91.757000000000005"/>
    <n v="115.93800000000002"/>
  </r>
  <r>
    <s v="United States"/>
    <x v="238"/>
    <s v="First Class"/>
    <s v="Corporate"/>
    <s v="Chairs"/>
    <n v="5"/>
    <n v="0.2"/>
    <n v="-182.63700000000017"/>
    <n v="1123.92"/>
  </r>
  <r>
    <s v="United States"/>
    <x v="238"/>
    <s v="First Class"/>
    <s v="Corporate"/>
    <s v="Furnishings"/>
    <n v="9"/>
    <n v="0.60000000000000009"/>
    <n v="14.178000000000001"/>
    <n v="73.680000000000007"/>
  </r>
  <r>
    <s v="United States"/>
    <x v="238"/>
    <s v="First Class"/>
    <s v="Corporate"/>
    <s v="Labels"/>
    <n v="4"/>
    <n v="0.2"/>
    <n v="3.9851999999999999"/>
    <n v="11.808"/>
  </r>
  <r>
    <s v="United States"/>
    <x v="238"/>
    <s v="First Class"/>
    <s v="Corporate"/>
    <s v="Phones"/>
    <n v="5"/>
    <n v="0.4"/>
    <n v="59.545899999999968"/>
    <n v="573.56000000000006"/>
  </r>
  <r>
    <s v="United States"/>
    <x v="238"/>
    <s v="First Class"/>
    <s v="Corporate"/>
    <s v="Storage"/>
    <n v="9"/>
    <n v="0.60000000000000009"/>
    <n v="74.935999999999993"/>
    <n v="1626.5920000000001"/>
  </r>
  <r>
    <s v="United States"/>
    <x v="238"/>
    <s v="Same Day"/>
    <s v="Consumer"/>
    <s v="Art"/>
    <n v="2"/>
    <n v="0.2"/>
    <n v="2.271199999999999"/>
    <n v="10.688000000000001"/>
  </r>
  <r>
    <s v="United States"/>
    <x v="238"/>
    <s v="Same Day"/>
    <s v="Consumer"/>
    <s v="Phones"/>
    <n v="9"/>
    <n v="0.4"/>
    <n v="-12.2521"/>
    <n v="67.768000000000001"/>
  </r>
  <r>
    <s v="United States"/>
    <x v="238"/>
    <s v="Second Class"/>
    <s v="Consumer"/>
    <s v="Copiers"/>
    <n v="2"/>
    <n v="0.2"/>
    <n v="89.996999999999986"/>
    <n v="479.98400000000004"/>
  </r>
  <r>
    <s v="United States"/>
    <x v="238"/>
    <s v="Standard Class"/>
    <s v="Corporate"/>
    <s v="Tables"/>
    <n v="7"/>
    <n v="0.45"/>
    <n v="-255.58750000000009"/>
    <n v="562.29250000000013"/>
  </r>
  <r>
    <s v="United States"/>
    <x v="238"/>
    <s v="Standard Class"/>
    <s v="Home Office"/>
    <s v="Chairs"/>
    <n v="3"/>
    <n v="0.2"/>
    <n v="42.746999999999986"/>
    <n v="683.95200000000011"/>
  </r>
  <r>
    <s v="United States"/>
    <x v="238"/>
    <s v="Standard Class"/>
    <s v="Home Office"/>
    <s v="Furnishings"/>
    <n v="3"/>
    <n v="0.2"/>
    <n v="5.1407999999999916"/>
    <n v="45.695999999999998"/>
  </r>
  <r>
    <s v="United States"/>
    <x v="239"/>
    <s v="First Class"/>
    <s v="Home Office"/>
    <s v="Chairs"/>
    <n v="6"/>
    <n v="0"/>
    <n v="38.970000000000006"/>
    <n v="155.88"/>
  </r>
  <r>
    <s v="United States"/>
    <x v="239"/>
    <s v="Second Class"/>
    <s v="Home Office"/>
    <s v="Appliances"/>
    <n v="5"/>
    <n v="0"/>
    <n v="496.07249999999993"/>
    <n v="1503.25"/>
  </r>
  <r>
    <s v="United States"/>
    <x v="239"/>
    <s v="Second Class"/>
    <s v="Home Office"/>
    <s v="Chairs"/>
    <n v="7"/>
    <n v="0"/>
    <n v="580.53939999999989"/>
    <n v="2001.8600000000001"/>
  </r>
  <r>
    <s v="United States"/>
    <x v="239"/>
    <s v="Second Class"/>
    <s v="Home Office"/>
    <s v="Paper"/>
    <n v="10"/>
    <n v="0"/>
    <n v="36.381600000000006"/>
    <n v="73.800000000000011"/>
  </r>
  <r>
    <s v="United States"/>
    <x v="239"/>
    <s v="Second Class"/>
    <s v="Home Office"/>
    <s v="Storage"/>
    <n v="2"/>
    <n v="0"/>
    <n v="41.680000000000007"/>
    <n v="166.72"/>
  </r>
  <r>
    <s v="United States"/>
    <x v="239"/>
    <s v="Standard Class"/>
    <s v="Consumer"/>
    <s v="Appliances"/>
    <n v="2"/>
    <n v="0"/>
    <n v="36.574200000000005"/>
    <n v="93.78"/>
  </r>
  <r>
    <s v="United States"/>
    <x v="239"/>
    <s v="Standard Class"/>
    <s v="Consumer"/>
    <s v="Art"/>
    <n v="16"/>
    <n v="0"/>
    <n v="15.3872"/>
    <n v="41.68"/>
  </r>
  <r>
    <s v="United States"/>
    <x v="239"/>
    <s v="Standard Class"/>
    <s v="Consumer"/>
    <s v="Binders"/>
    <n v="16"/>
    <n v="0"/>
    <n v="42.320399999999999"/>
    <n v="89.28"/>
  </r>
  <r>
    <s v="United States"/>
    <x v="239"/>
    <s v="Standard Class"/>
    <s v="Consumer"/>
    <s v="Envelopes"/>
    <n v="2"/>
    <n v="0"/>
    <n v="7.4871999999999996"/>
    <n v="15.28"/>
  </r>
  <r>
    <s v="United States"/>
    <x v="239"/>
    <s v="Standard Class"/>
    <s v="Consumer"/>
    <s v="Fasteners"/>
    <n v="7"/>
    <n v="0"/>
    <n v="16.8"/>
    <n v="35"/>
  </r>
  <r>
    <s v="United States"/>
    <x v="239"/>
    <s v="Standard Class"/>
    <s v="Consumer"/>
    <s v="Paper"/>
    <n v="7"/>
    <n v="0"/>
    <n v="23.59"/>
    <n v="47.18"/>
  </r>
  <r>
    <s v="United States"/>
    <x v="239"/>
    <s v="Standard Class"/>
    <s v="Consumer"/>
    <s v="Supplies"/>
    <n v="4"/>
    <n v="0"/>
    <n v="10.799599999999998"/>
    <n v="37.24"/>
  </r>
  <r>
    <s v="United States"/>
    <x v="240"/>
    <s v="First Class"/>
    <s v="Consumer"/>
    <s v="Binders"/>
    <n v="3"/>
    <n v="0.7"/>
    <n v="-5.5338000000000012"/>
    <n v="7.218"/>
  </r>
  <r>
    <s v="United States"/>
    <x v="240"/>
    <s v="First Class"/>
    <s v="Consumer"/>
    <s v="Fasteners"/>
    <n v="4"/>
    <n v="0"/>
    <n v="0.2992000000000008"/>
    <n v="14.96"/>
  </r>
  <r>
    <s v="United States"/>
    <x v="240"/>
    <s v="First Class"/>
    <s v="Consumer"/>
    <s v="Supplies"/>
    <n v="4"/>
    <n v="0.2"/>
    <n v="2.0399999999999991"/>
    <n v="27.200000000000003"/>
  </r>
  <r>
    <s v="United States"/>
    <x v="240"/>
    <s v="First Class"/>
    <s v="Corporate"/>
    <s v="Art"/>
    <n v="3"/>
    <n v="0"/>
    <n v="2.4138000000000006"/>
    <n v="8.94"/>
  </r>
  <r>
    <s v="United States"/>
    <x v="240"/>
    <s v="First Class"/>
    <s v="Corporate"/>
    <s v="Furnishings"/>
    <n v="4"/>
    <n v="0.2"/>
    <n v="9.1775999999999982"/>
    <n v="45.888000000000005"/>
  </r>
  <r>
    <s v="United States"/>
    <x v="240"/>
    <s v="First Class"/>
    <s v="Corporate"/>
    <s v="Paper"/>
    <n v="2"/>
    <n v="0"/>
    <n v="18.211199999999998"/>
    <n v="37.94"/>
  </r>
  <r>
    <s v="United States"/>
    <x v="240"/>
    <s v="First Class"/>
    <s v="Home Office"/>
    <s v="Binders"/>
    <n v="4"/>
    <n v="0.7"/>
    <n v="-53.743199999999973"/>
    <n v="76.77600000000001"/>
  </r>
  <r>
    <s v="United States"/>
    <x v="240"/>
    <s v="Second Class"/>
    <s v="Consumer"/>
    <s v="Furnishings"/>
    <n v="5"/>
    <n v="0"/>
    <n v="39.564000000000007"/>
    <n v="94.2"/>
  </r>
  <r>
    <s v="United States"/>
    <x v="240"/>
    <s v="Second Class"/>
    <s v="Corporate"/>
    <s v="Binders"/>
    <n v="1"/>
    <n v="0"/>
    <n v="9.4700000000000006"/>
    <n v="18.940000000000001"/>
  </r>
  <r>
    <s v="United States"/>
    <x v="240"/>
    <s v="Second Class"/>
    <s v="Corporate"/>
    <s v="Chairs"/>
    <n v="2"/>
    <n v="0"/>
    <n v="27.057799999999986"/>
    <n v="245.98"/>
  </r>
  <r>
    <s v="United States"/>
    <x v="240"/>
    <s v="Second Class"/>
    <s v="Home Office"/>
    <s v="Art"/>
    <n v="1"/>
    <n v="0.2"/>
    <n v="1.0269000000000001"/>
    <n v="3.9119999999999999"/>
  </r>
  <r>
    <s v="United States"/>
    <x v="240"/>
    <s v="Second Class"/>
    <s v="Home Office"/>
    <s v="Phones"/>
    <n v="8"/>
    <n v="0.4"/>
    <n v="-81.664000000000044"/>
    <n v="445.44"/>
  </r>
  <r>
    <s v="United States"/>
    <x v="240"/>
    <s v="Standard Class"/>
    <s v="Consumer"/>
    <s v="Accessories"/>
    <n v="3"/>
    <n v="0"/>
    <n v="4.9500000000000011"/>
    <n v="45"/>
  </r>
  <r>
    <s v="United States"/>
    <x v="240"/>
    <s v="Standard Class"/>
    <s v="Consumer"/>
    <s v="Art"/>
    <n v="7"/>
    <n v="0"/>
    <n v="7.3433999999999999"/>
    <n v="20.659999999999997"/>
  </r>
  <r>
    <s v="United States"/>
    <x v="240"/>
    <s v="Standard Class"/>
    <s v="Consumer"/>
    <s v="Binders"/>
    <n v="3"/>
    <n v="0.7"/>
    <n v="-7.9067999999999969"/>
    <n v="10.782000000000002"/>
  </r>
  <r>
    <s v="United States"/>
    <x v="240"/>
    <s v="Standard Class"/>
    <s v="Consumer"/>
    <s v="Bookcases"/>
    <n v="8"/>
    <n v="0.15"/>
    <n v="153.52919999999983"/>
    <n v="2412.3990000000003"/>
  </r>
  <r>
    <s v="United States"/>
    <x v="240"/>
    <s v="Standard Class"/>
    <s v="Consumer"/>
    <s v="Fasteners"/>
    <n v="5"/>
    <n v="0"/>
    <n v="8.7710000000000008"/>
    <n v="17.899999999999999"/>
  </r>
  <r>
    <s v="United States"/>
    <x v="240"/>
    <s v="Standard Class"/>
    <s v="Consumer"/>
    <s v="Furnishings"/>
    <n v="8"/>
    <n v="0"/>
    <n v="26.435200000000002"/>
    <n v="65.56"/>
  </r>
  <r>
    <s v="United States"/>
    <x v="240"/>
    <s v="Standard Class"/>
    <s v="Consumer"/>
    <s v="Phones"/>
    <n v="7"/>
    <n v="0"/>
    <n v="357.19110000000001"/>
    <n v="1322.93"/>
  </r>
  <r>
    <s v="United States"/>
    <x v="240"/>
    <s v="Standard Class"/>
    <s v="Corporate"/>
    <s v="Accessories"/>
    <n v="1"/>
    <n v="0"/>
    <n v="32.4"/>
    <n v="90"/>
  </r>
  <r>
    <s v="United States"/>
    <x v="240"/>
    <s v="Standard Class"/>
    <s v="Corporate"/>
    <s v="Art"/>
    <n v="16"/>
    <n v="0.4"/>
    <n v="9.4990000000000023"/>
    <n v="58.592000000000006"/>
  </r>
  <r>
    <s v="United States"/>
    <x v="240"/>
    <s v="Standard Class"/>
    <s v="Corporate"/>
    <s v="Binders"/>
    <n v="12"/>
    <n v="0"/>
    <n v="109.99600000000001"/>
    <n v="221.51"/>
  </r>
  <r>
    <s v="United States"/>
    <x v="240"/>
    <s v="Standard Class"/>
    <s v="Corporate"/>
    <s v="Chairs"/>
    <n v="4"/>
    <n v="0"/>
    <n v="143.62880000000001"/>
    <n v="512.96"/>
  </r>
  <r>
    <s v="United States"/>
    <x v="240"/>
    <s v="Standard Class"/>
    <s v="Corporate"/>
    <s v="Envelopes"/>
    <n v="8"/>
    <n v="0.2"/>
    <n v="31.866399999999999"/>
    <n v="75.567999999999998"/>
  </r>
  <r>
    <s v="United States"/>
    <x v="240"/>
    <s v="Standard Class"/>
    <s v="Corporate"/>
    <s v="Furnishings"/>
    <n v="7"/>
    <n v="0"/>
    <n v="22.246800000000004"/>
    <n v="57.360000000000007"/>
  </r>
  <r>
    <s v="United States"/>
    <x v="240"/>
    <s v="Standard Class"/>
    <s v="Corporate"/>
    <s v="Machines"/>
    <n v="7"/>
    <n v="0"/>
    <n v="2365.9817999999996"/>
    <n v="9099.93"/>
  </r>
  <r>
    <s v="United States"/>
    <x v="240"/>
    <s v="Standard Class"/>
    <s v="Corporate"/>
    <s v="Paper"/>
    <n v="5"/>
    <n v="0"/>
    <n v="45.527999999999992"/>
    <n v="94.85"/>
  </r>
  <r>
    <s v="United States"/>
    <x v="240"/>
    <s v="Standard Class"/>
    <s v="Corporate"/>
    <s v="Phones"/>
    <n v="8"/>
    <n v="0.4"/>
    <n v="77.746400000000008"/>
    <n v="547.12799999999993"/>
  </r>
  <r>
    <s v="United States"/>
    <x v="240"/>
    <s v="Standard Class"/>
    <s v="Corporate"/>
    <s v="Storage"/>
    <n v="2"/>
    <n v="0"/>
    <n v="0"/>
    <n v="81.96"/>
  </r>
  <r>
    <s v="United States"/>
    <x v="240"/>
    <s v="Standard Class"/>
    <s v="Corporate"/>
    <s v="Tables"/>
    <n v="2"/>
    <n v="0.4"/>
    <n v="-231.41160000000008"/>
    <n v="661.17600000000004"/>
  </r>
  <r>
    <s v="United States"/>
    <x v="240"/>
    <s v="Standard Class"/>
    <s v="Home Office"/>
    <s v="Appliances"/>
    <n v="2"/>
    <n v="0.2"/>
    <n v="16.156799999999997"/>
    <n v="161.56800000000001"/>
  </r>
  <r>
    <s v="United States"/>
    <x v="240"/>
    <s v="Standard Class"/>
    <s v="Home Office"/>
    <s v="Art"/>
    <n v="6"/>
    <n v="0"/>
    <n v="83.867999999999967"/>
    <n v="289.20000000000005"/>
  </r>
  <r>
    <s v="United States"/>
    <x v="240"/>
    <s v="Standard Class"/>
    <s v="Home Office"/>
    <s v="Binders"/>
    <n v="7"/>
    <n v="0.7"/>
    <n v="15.948"/>
    <n v="51.696000000000005"/>
  </r>
  <r>
    <s v="United States"/>
    <x v="240"/>
    <s v="Standard Class"/>
    <s v="Home Office"/>
    <s v="Chairs"/>
    <n v="8"/>
    <n v="0.2"/>
    <n v="-97.176000000000073"/>
    <n v="518.27200000000005"/>
  </r>
  <r>
    <s v="United States"/>
    <x v="240"/>
    <s v="Standard Class"/>
    <s v="Home Office"/>
    <s v="Furnishings"/>
    <n v="1"/>
    <n v="0"/>
    <n v="3.3504"/>
    <n v="6.98"/>
  </r>
  <r>
    <s v="United States"/>
    <x v="240"/>
    <s v="Standard Class"/>
    <s v="Home Office"/>
    <s v="Machines"/>
    <n v="1"/>
    <n v="0.2"/>
    <n v="38.609999999999957"/>
    <n v="343.20000000000005"/>
  </r>
  <r>
    <s v="United States"/>
    <x v="240"/>
    <s v="Standard Class"/>
    <s v="Home Office"/>
    <s v="Paper"/>
    <n v="19"/>
    <n v="0.60000000000000009"/>
    <n v="27.059400000000004"/>
    <n v="75.920000000000016"/>
  </r>
  <r>
    <s v="United States"/>
    <x v="240"/>
    <s v="Standard Class"/>
    <s v="Home Office"/>
    <s v="Phones"/>
    <n v="6"/>
    <n v="0.2"/>
    <n v="20.097000000000008"/>
    <n v="321.55200000000002"/>
  </r>
  <r>
    <s v="United States"/>
    <x v="241"/>
    <s v="First Class"/>
    <s v="Consumer"/>
    <s v="Chairs"/>
    <n v="1"/>
    <n v="0.3"/>
    <n v="0"/>
    <n v="170.78599999999997"/>
  </r>
  <r>
    <s v="United States"/>
    <x v="241"/>
    <s v="First Class"/>
    <s v="Consumer"/>
    <s v="Fasteners"/>
    <n v="5"/>
    <n v="0"/>
    <n v="3.5970000000000004"/>
    <n v="10.9"/>
  </r>
  <r>
    <s v="United States"/>
    <x v="241"/>
    <s v="First Class"/>
    <s v="Consumer"/>
    <s v="Paper"/>
    <n v="10"/>
    <n v="0.60000000000000009"/>
    <n v="77.904799999999994"/>
    <n v="216.99200000000002"/>
  </r>
  <r>
    <s v="United States"/>
    <x v="241"/>
    <s v="First Class"/>
    <s v="Consumer"/>
    <s v="Storage"/>
    <n v="9"/>
    <n v="0.4"/>
    <n v="-28.924199999999995"/>
    <n v="212.43200000000002"/>
  </r>
  <r>
    <s v="United States"/>
    <x v="241"/>
    <s v="First Class"/>
    <s v="Home Office"/>
    <s v="Art"/>
    <n v="9"/>
    <n v="0.2"/>
    <n v="2.6964000000000006"/>
    <n v="30.816000000000003"/>
  </r>
  <r>
    <s v="United States"/>
    <x v="241"/>
    <s v="First Class"/>
    <s v="Home Office"/>
    <s v="Furnishings"/>
    <n v="6"/>
    <n v="0.2"/>
    <n v="12.892799999999998"/>
    <n v="60.672000000000011"/>
  </r>
  <r>
    <s v="United States"/>
    <x v="241"/>
    <s v="Second Class"/>
    <s v="Consumer"/>
    <s v="Accessories"/>
    <n v="2"/>
    <n v="0.2"/>
    <n v="0.5"/>
    <n v="40"/>
  </r>
  <r>
    <s v="United States"/>
    <x v="241"/>
    <s v="Second Class"/>
    <s v="Consumer"/>
    <s v="Appliances"/>
    <n v="8"/>
    <n v="0.2"/>
    <n v="64.627199999999988"/>
    <n v="646.27200000000005"/>
  </r>
  <r>
    <s v="United States"/>
    <x v="241"/>
    <s v="Second Class"/>
    <s v="Consumer"/>
    <s v="Binders"/>
    <n v="2"/>
    <n v="0.2"/>
    <n v="5.8914"/>
    <n v="17.456"/>
  </r>
  <r>
    <s v="United States"/>
    <x v="241"/>
    <s v="Second Class"/>
    <s v="Consumer"/>
    <s v="Paper"/>
    <n v="2"/>
    <n v="0.2"/>
    <n v="3.7584"/>
    <n v="10.368000000000002"/>
  </r>
  <r>
    <s v="United States"/>
    <x v="241"/>
    <s v="Second Class"/>
    <s v="Consumer"/>
    <s v="Storage"/>
    <n v="2"/>
    <n v="0.2"/>
    <n v="-55.256"/>
    <n v="221.024"/>
  </r>
  <r>
    <s v="United States"/>
    <x v="241"/>
    <s v="Second Class"/>
    <s v="Home Office"/>
    <s v="Binders"/>
    <n v="13"/>
    <n v="1.1000000000000001"/>
    <n v="25.295200000000001"/>
    <n v="112.36100000000002"/>
  </r>
  <r>
    <s v="United States"/>
    <x v="241"/>
    <s v="Second Class"/>
    <s v="Home Office"/>
    <s v="Furnishings"/>
    <n v="4"/>
    <n v="0.2"/>
    <n v="7.7000000000000028"/>
    <n v="28"/>
  </r>
  <r>
    <s v="United States"/>
    <x v="241"/>
    <s v="Second Class"/>
    <s v="Home Office"/>
    <s v="Paper"/>
    <n v="13"/>
    <n v="0.60000000000000009"/>
    <n v="26.359199999999994"/>
    <n v="75.808000000000007"/>
  </r>
  <r>
    <s v="United States"/>
    <x v="241"/>
    <s v="Second Class"/>
    <s v="Home Office"/>
    <s v="Tables"/>
    <n v="2"/>
    <n v="0.4"/>
    <n v="-103.98819999999998"/>
    <n v="215.148"/>
  </r>
  <r>
    <s v="United States"/>
    <x v="241"/>
    <s v="Standard Class"/>
    <s v="Consumer"/>
    <s v="Accessories"/>
    <n v="5"/>
    <n v="0.4"/>
    <n v="7.2491999999999956"/>
    <n v="87.096000000000004"/>
  </r>
  <r>
    <s v="United States"/>
    <x v="241"/>
    <s v="Standard Class"/>
    <s v="Consumer"/>
    <s v="Binders"/>
    <n v="15"/>
    <n v="2.8"/>
    <n v="-323.10890000000006"/>
    <n v="480.1110000000001"/>
  </r>
  <r>
    <s v="United States"/>
    <x v="241"/>
    <s v="Standard Class"/>
    <s v="Consumer"/>
    <s v="Chairs"/>
    <n v="4"/>
    <n v="0.5"/>
    <n v="33.674999999999976"/>
    <n v="434.17400000000004"/>
  </r>
  <r>
    <s v="United States"/>
    <x v="241"/>
    <s v="Standard Class"/>
    <s v="Consumer"/>
    <s v="Furnishings"/>
    <n v="1"/>
    <n v="0.2"/>
    <n v="1.7591000000000001"/>
    <n v="20.103999999999999"/>
  </r>
  <r>
    <s v="United States"/>
    <x v="241"/>
    <s v="Standard Class"/>
    <s v="Consumer"/>
    <s v="Machines"/>
    <n v="5"/>
    <n v="0.7"/>
    <n v="-6599.978000000001"/>
    <n v="4499.9850000000006"/>
  </r>
  <r>
    <s v="United States"/>
    <x v="241"/>
    <s v="Standard Class"/>
    <s v="Consumer"/>
    <s v="Storage"/>
    <n v="2"/>
    <n v="0.2"/>
    <n v="1.4672000000000001"/>
    <n v="16.768000000000001"/>
  </r>
  <r>
    <s v="United States"/>
    <x v="241"/>
    <s v="Standard Class"/>
    <s v="Consumer"/>
    <s v="Supplies"/>
    <n v="3"/>
    <n v="0.2"/>
    <n v="-64.427400000000006"/>
    <n v="286.34400000000005"/>
  </r>
  <r>
    <s v="United States"/>
    <x v="241"/>
    <s v="Standard Class"/>
    <s v="Corporate"/>
    <s v="Accessories"/>
    <n v="4"/>
    <n v="0.2"/>
    <n v="-6.1879999999999988"/>
    <n v="70.720000000000013"/>
  </r>
  <r>
    <s v="United States"/>
    <x v="241"/>
    <s v="Standard Class"/>
    <s v="Corporate"/>
    <s v="Binders"/>
    <n v="16"/>
    <n v="2.0999999999999996"/>
    <n v="-103.11329999999998"/>
    <n v="129.25500000000002"/>
  </r>
  <r>
    <s v="United States"/>
    <x v="241"/>
    <s v="Standard Class"/>
    <s v="Corporate"/>
    <s v="Paper"/>
    <n v="7"/>
    <n v="0.2"/>
    <n v="83.209699999999998"/>
    <n v="229.54400000000001"/>
  </r>
  <r>
    <s v="United States"/>
    <x v="241"/>
    <s v="Standard Class"/>
    <s v="Corporate"/>
    <s v="Phones"/>
    <n v="3"/>
    <n v="0.8"/>
    <n v="-28.332100000000011"/>
    <n v="151.52999999999997"/>
  </r>
  <r>
    <s v="United States"/>
    <x v="241"/>
    <s v="Standard Class"/>
    <s v="Corporate"/>
    <s v="Storage"/>
    <n v="3"/>
    <n v="0.2"/>
    <n v="-43.729199999999992"/>
    <n v="194.35200000000003"/>
  </r>
  <r>
    <s v="United States"/>
    <x v="241"/>
    <s v="Standard Class"/>
    <s v="Home Office"/>
    <s v="Accessories"/>
    <n v="2"/>
    <n v="0.2"/>
    <n v="0.47279999999999966"/>
    <n v="3.1520000000000001"/>
  </r>
  <r>
    <s v="United States"/>
    <x v="241"/>
    <s v="Standard Class"/>
    <s v="Home Office"/>
    <s v="Appliances"/>
    <n v="6"/>
    <n v="0.2"/>
    <n v="1.2527999999999988"/>
    <n v="16.704000000000001"/>
  </r>
  <r>
    <s v="United States"/>
    <x v="241"/>
    <s v="Standard Class"/>
    <s v="Home Office"/>
    <s v="Paper"/>
    <n v="4"/>
    <n v="0.2"/>
    <n v="11.102399999999996"/>
    <n v="32.896000000000001"/>
  </r>
  <r>
    <s v="United States"/>
    <x v="241"/>
    <s v="Standard Class"/>
    <s v="Home Office"/>
    <s v="Phones"/>
    <n v="3"/>
    <n v="0.4"/>
    <n v="-253.43369999999993"/>
    <n v="1169.694"/>
  </r>
  <r>
    <s v="United States"/>
    <x v="242"/>
    <s v="First Class"/>
    <s v="Consumer"/>
    <s v="Furnishings"/>
    <n v="5"/>
    <n v="0"/>
    <n v="32.159999999999997"/>
    <n v="67"/>
  </r>
  <r>
    <s v="United States"/>
    <x v="242"/>
    <s v="Same Day"/>
    <s v="Consumer"/>
    <s v="Appliances"/>
    <n v="2"/>
    <n v="0.1"/>
    <n v="107.34599999999996"/>
    <n v="644.07600000000002"/>
  </r>
  <r>
    <s v="United States"/>
    <x v="242"/>
    <s v="Same Day"/>
    <s v="Consumer"/>
    <s v="Binders"/>
    <n v="2"/>
    <n v="0"/>
    <n v="5.8695999999999993"/>
    <n v="12.76"/>
  </r>
  <r>
    <s v="United States"/>
    <x v="242"/>
    <s v="Same Day"/>
    <s v="Consumer"/>
    <s v="Copiers"/>
    <n v="2"/>
    <n v="0"/>
    <n v="209.99299999999999"/>
    <n v="599.98"/>
  </r>
  <r>
    <s v="United States"/>
    <x v="242"/>
    <s v="Same Day"/>
    <s v="Consumer"/>
    <s v="Fasteners"/>
    <n v="2"/>
    <n v="0"/>
    <n v="2.6279999999999997"/>
    <n v="5.84"/>
  </r>
  <r>
    <s v="United States"/>
    <x v="242"/>
    <s v="Same Day"/>
    <s v="Consumer"/>
    <s v="Phones"/>
    <n v="1"/>
    <n v="0"/>
    <n v="0.43799999999999883"/>
    <n v="10.95"/>
  </r>
  <r>
    <s v="United States"/>
    <x v="242"/>
    <s v="Second Class"/>
    <s v="Home Office"/>
    <s v="Bookcases"/>
    <n v="2"/>
    <n v="0"/>
    <n v="41.133199999999988"/>
    <n v="241.96"/>
  </r>
  <r>
    <s v="United States"/>
    <x v="242"/>
    <s v="Second Class"/>
    <s v="Home Office"/>
    <s v="Labels"/>
    <n v="9"/>
    <n v="0"/>
    <n v="13.3056"/>
    <n v="27.72"/>
  </r>
  <r>
    <s v="United States"/>
    <x v="243"/>
    <s v="Same Day"/>
    <s v="Consumer"/>
    <s v="Labels"/>
    <n v="1"/>
    <n v="0.2"/>
    <n v="4.4399999999999995"/>
    <n v="11.840000000000002"/>
  </r>
  <r>
    <s v="United States"/>
    <x v="243"/>
    <s v="Second Class"/>
    <s v="Corporate"/>
    <s v="Accessories"/>
    <n v="2"/>
    <n v="0.2"/>
    <n v="14.395200000000004"/>
    <n v="47.984000000000002"/>
  </r>
  <r>
    <s v="United States"/>
    <x v="243"/>
    <s v="Second Class"/>
    <s v="Corporate"/>
    <s v="Binders"/>
    <n v="3"/>
    <n v="0.8"/>
    <n v="-3.6576000000000004"/>
    <n v="2.2859999999999996"/>
  </r>
  <r>
    <s v="United States"/>
    <x v="243"/>
    <s v="Second Class"/>
    <s v="Corporate"/>
    <s v="Envelopes"/>
    <n v="3"/>
    <n v="0.2"/>
    <n v="4.7066999999999997"/>
    <n v="12.984000000000002"/>
  </r>
  <r>
    <s v="United States"/>
    <x v="243"/>
    <s v="Second Class"/>
    <s v="Corporate"/>
    <s v="Phones"/>
    <n v="5"/>
    <n v="0.4"/>
    <n v="47.806500000000007"/>
    <n v="546.36000000000013"/>
  </r>
  <r>
    <s v="United States"/>
    <x v="243"/>
    <s v="Standard Class"/>
    <s v="Consumer"/>
    <s v="Accessories"/>
    <n v="6"/>
    <n v="0.4"/>
    <n v="33.746999999999986"/>
    <n v="223.17599999999999"/>
  </r>
  <r>
    <s v="United States"/>
    <x v="243"/>
    <s v="Standard Class"/>
    <s v="Consumer"/>
    <s v="Art"/>
    <n v="3"/>
    <n v="0.4"/>
    <n v="2.3584000000000001"/>
    <n v="25.216000000000001"/>
  </r>
  <r>
    <s v="United States"/>
    <x v="243"/>
    <s v="Standard Class"/>
    <s v="Consumer"/>
    <s v="Binders"/>
    <n v="7"/>
    <n v="0.8"/>
    <n v="-11.000500000000008"/>
    <n v="6.2859999999999987"/>
  </r>
  <r>
    <s v="United States"/>
    <x v="243"/>
    <s v="Standard Class"/>
    <s v="Consumer"/>
    <s v="Furnishings"/>
    <n v="5"/>
    <n v="0.6"/>
    <n v="-150.41399999999999"/>
    <n v="139.91999999999999"/>
  </r>
  <r>
    <s v="United States"/>
    <x v="243"/>
    <s v="Standard Class"/>
    <s v="Consumer"/>
    <s v="Paper"/>
    <n v="2"/>
    <n v="0.2"/>
    <n v="3.0043999999999995"/>
    <n v="8.2880000000000003"/>
  </r>
  <r>
    <s v="United States"/>
    <x v="244"/>
    <s v="Second Class"/>
    <s v="Consumer"/>
    <s v="Paper"/>
    <n v="4"/>
    <n v="0"/>
    <n v="23.086399999999998"/>
    <n v="49.12"/>
  </r>
  <r>
    <s v="United States"/>
    <x v="244"/>
    <s v="Standard Class"/>
    <s v="Consumer"/>
    <s v="Furnishings"/>
    <n v="3"/>
    <n v="0"/>
    <n v="17.375399999999999"/>
    <n v="41.37"/>
  </r>
  <r>
    <s v="United States"/>
    <x v="244"/>
    <s v="Standard Class"/>
    <s v="Home Office"/>
    <s v="Art"/>
    <n v="2"/>
    <n v="0"/>
    <n v="3.4775999999999998"/>
    <n v="8.2799999999999994"/>
  </r>
  <r>
    <s v="United States"/>
    <x v="245"/>
    <s v="Second Class"/>
    <s v="Consumer"/>
    <s v="Furnishings"/>
    <n v="4"/>
    <n v="0"/>
    <n v="29.145599999999995"/>
    <n v="80.959999999999994"/>
  </r>
  <r>
    <s v="United States"/>
    <x v="245"/>
    <s v="Second Class"/>
    <s v="Consumer"/>
    <s v="Paper"/>
    <n v="4"/>
    <n v="0"/>
    <n v="12.441600000000001"/>
    <n v="25.92"/>
  </r>
  <r>
    <s v="United States"/>
    <x v="245"/>
    <s v="Second Class"/>
    <s v="Corporate"/>
    <s v="Paper"/>
    <n v="7"/>
    <n v="0"/>
    <n v="64.816000000000003"/>
    <n v="130.28"/>
  </r>
  <r>
    <s v="United States"/>
    <x v="245"/>
    <s v="Standard Class"/>
    <s v="Consumer"/>
    <s v="Appliances"/>
    <n v="5"/>
    <n v="0"/>
    <n v="18.820999999999994"/>
    <n v="64.900000000000006"/>
  </r>
  <r>
    <s v="United States"/>
    <x v="245"/>
    <s v="Standard Class"/>
    <s v="Consumer"/>
    <s v="Binders"/>
    <n v="17"/>
    <n v="0.60000000000000009"/>
    <n v="42.645399999999988"/>
    <n v="119.92"/>
  </r>
  <r>
    <s v="United States"/>
    <x v="245"/>
    <s v="Standard Class"/>
    <s v="Consumer"/>
    <s v="Bookcases"/>
    <n v="2"/>
    <n v="0"/>
    <n v="41.168399999999991"/>
    <n v="141.96"/>
  </r>
  <r>
    <s v="United States"/>
    <x v="245"/>
    <s v="Standard Class"/>
    <s v="Consumer"/>
    <s v="Paper"/>
    <n v="6"/>
    <n v="0"/>
    <n v="19.238399999999999"/>
    <n v="40.08"/>
  </r>
  <r>
    <s v="United States"/>
    <x v="245"/>
    <s v="Standard Class"/>
    <s v="Consumer"/>
    <s v="Phones"/>
    <n v="9"/>
    <n v="0.2"/>
    <n v="70.195499999999981"/>
    <n v="1123.1280000000002"/>
  </r>
  <r>
    <s v="United States"/>
    <x v="245"/>
    <s v="Standard Class"/>
    <s v="Corporate"/>
    <s v="Appliances"/>
    <n v="4"/>
    <n v="0"/>
    <n v="8.3916000000000004"/>
    <n v="31.08"/>
  </r>
  <r>
    <s v="United States"/>
    <x v="245"/>
    <s v="Standard Class"/>
    <s v="Home Office"/>
    <s v="Binders"/>
    <n v="3"/>
    <n v="0.2"/>
    <n v="25.579799999999992"/>
    <n v="75.792000000000002"/>
  </r>
  <r>
    <s v="United States"/>
    <x v="246"/>
    <s v="Standard Class"/>
    <s v="Corporate"/>
    <s v="Appliances"/>
    <n v="3"/>
    <n v="0"/>
    <n v="36.287699999999987"/>
    <n v="125.13"/>
  </r>
  <r>
    <s v="United States"/>
    <x v="246"/>
    <s v="Standard Class"/>
    <s v="Corporate"/>
    <s v="Furnishings"/>
    <n v="2"/>
    <n v="0"/>
    <n v="9.8856000000000002"/>
    <n v="27.46"/>
  </r>
  <r>
    <s v="United States"/>
    <x v="247"/>
    <s v="First Class"/>
    <s v="Consumer"/>
    <s v="Binders"/>
    <n v="6"/>
    <n v="0"/>
    <n v="16.955999999999996"/>
    <n v="37.68"/>
  </r>
  <r>
    <s v="United States"/>
    <x v="247"/>
    <s v="First Class"/>
    <s v="Corporate"/>
    <s v="Art"/>
    <n v="2"/>
    <n v="0"/>
    <n v="3.7200000000000006"/>
    <n v="14.88"/>
  </r>
  <r>
    <s v="United States"/>
    <x v="247"/>
    <s v="Same Day"/>
    <s v="Corporate"/>
    <s v="Phones"/>
    <n v="5"/>
    <n v="0"/>
    <n v="241.10939999999999"/>
    <n v="829.82999999999993"/>
  </r>
  <r>
    <s v="United States"/>
    <x v="247"/>
    <s v="Same Day"/>
    <s v="Home Office"/>
    <s v="Binders"/>
    <n v="3"/>
    <n v="0"/>
    <n v="5.1551999999999998"/>
    <n v="10.74"/>
  </r>
  <r>
    <s v="United States"/>
    <x v="247"/>
    <s v="Second Class"/>
    <s v="Consumer"/>
    <s v="Accessories"/>
    <n v="9"/>
    <n v="0"/>
    <n v="221.20920000000001"/>
    <n v="548.88"/>
  </r>
  <r>
    <s v="United States"/>
    <x v="247"/>
    <s v="Second Class"/>
    <s v="Consumer"/>
    <s v="Appliances"/>
    <n v="7"/>
    <n v="0"/>
    <n v="38.171799999999983"/>
    <n v="133.67000000000002"/>
  </r>
  <r>
    <s v="United States"/>
    <x v="247"/>
    <s v="Second Class"/>
    <s v="Consumer"/>
    <s v="Art"/>
    <n v="8"/>
    <n v="0"/>
    <n v="16.811999999999998"/>
    <n v="50.58"/>
  </r>
  <r>
    <s v="United States"/>
    <x v="247"/>
    <s v="Second Class"/>
    <s v="Consumer"/>
    <s v="Binders"/>
    <n v="7"/>
    <n v="0"/>
    <n v="210.49419999999998"/>
    <n v="447.85999999999996"/>
  </r>
  <r>
    <s v="United States"/>
    <x v="247"/>
    <s v="Second Class"/>
    <s v="Consumer"/>
    <s v="Machines"/>
    <n v="2"/>
    <n v="0"/>
    <n v="22.653000000000006"/>
    <n v="83.9"/>
  </r>
  <r>
    <s v="United States"/>
    <x v="247"/>
    <s v="Standard Class"/>
    <s v="Consumer"/>
    <s v="Appliances"/>
    <n v="9"/>
    <n v="0"/>
    <n v="166.06979999999999"/>
    <n v="638.73"/>
  </r>
  <r>
    <s v="United States"/>
    <x v="247"/>
    <s v="Standard Class"/>
    <s v="Consumer"/>
    <s v="Art"/>
    <n v="3"/>
    <n v="0"/>
    <n v="2.5055999999999998"/>
    <n v="8.64"/>
  </r>
  <r>
    <s v="United States"/>
    <x v="247"/>
    <s v="Standard Class"/>
    <s v="Consumer"/>
    <s v="Binders"/>
    <n v="3"/>
    <n v="0"/>
    <n v="7.9085999999999999"/>
    <n v="16.14"/>
  </r>
  <r>
    <s v="United States"/>
    <x v="247"/>
    <s v="Standard Class"/>
    <s v="Consumer"/>
    <s v="Chairs"/>
    <n v="4"/>
    <n v="0"/>
    <n v="244.24959999999999"/>
    <n v="872.32"/>
  </r>
  <r>
    <s v="United States"/>
    <x v="247"/>
    <s v="Standard Class"/>
    <s v="Consumer"/>
    <s v="Fasteners"/>
    <n v="5"/>
    <n v="0"/>
    <n v="10.434000000000001"/>
    <n v="22.200000000000003"/>
  </r>
  <r>
    <s v="United States"/>
    <x v="247"/>
    <s v="Standard Class"/>
    <s v="Consumer"/>
    <s v="Labels"/>
    <n v="5"/>
    <n v="0"/>
    <n v="57.909500000000001"/>
    <n v="125.81"/>
  </r>
  <r>
    <s v="United States"/>
    <x v="247"/>
    <s v="Standard Class"/>
    <s v="Consumer"/>
    <s v="Paper"/>
    <n v="9"/>
    <n v="0"/>
    <n v="25.477200000000003"/>
    <n v="55.320000000000007"/>
  </r>
  <r>
    <s v="United States"/>
    <x v="247"/>
    <s v="Standard Class"/>
    <s v="Consumer"/>
    <s v="Tables"/>
    <n v="2"/>
    <n v="0.3"/>
    <n v="-38.849999999999994"/>
    <n v="194.25"/>
  </r>
  <r>
    <s v="United States"/>
    <x v="247"/>
    <s v="Standard Class"/>
    <s v="Corporate"/>
    <s v="Art"/>
    <n v="2"/>
    <n v="0"/>
    <n v="2.0039999999999996"/>
    <n v="6.68"/>
  </r>
  <r>
    <s v="United States"/>
    <x v="247"/>
    <s v="Standard Class"/>
    <s v="Corporate"/>
    <s v="Binders"/>
    <n v="1"/>
    <n v="0"/>
    <n v="182.3553"/>
    <n v="387.99"/>
  </r>
  <r>
    <s v="United States"/>
    <x v="247"/>
    <s v="Standard Class"/>
    <s v="Corporate"/>
    <s v="Furnishings"/>
    <n v="15"/>
    <n v="0"/>
    <n v="42.134600000000006"/>
    <n v="121.74000000000001"/>
  </r>
  <r>
    <s v="United States"/>
    <x v="247"/>
    <s v="Standard Class"/>
    <s v="Corporate"/>
    <s v="Paper"/>
    <n v="1"/>
    <n v="0"/>
    <n v="3.1104000000000003"/>
    <n v="6.48"/>
  </r>
  <r>
    <s v="United States"/>
    <x v="247"/>
    <s v="Standard Class"/>
    <s v="Corporate"/>
    <s v="Phones"/>
    <n v="10"/>
    <n v="0"/>
    <n v="58.66"/>
    <n v="209.5"/>
  </r>
  <r>
    <s v="United States"/>
    <x v="247"/>
    <s v="Standard Class"/>
    <s v="Corporate"/>
    <s v="Storage"/>
    <n v="6"/>
    <n v="0"/>
    <n v="20.992200000000004"/>
    <n v="78.960000000000008"/>
  </r>
  <r>
    <s v="United States"/>
    <x v="247"/>
    <s v="Standard Class"/>
    <s v="Home Office"/>
    <s v="Appliances"/>
    <n v="6"/>
    <n v="0"/>
    <n v="68.846399999999988"/>
    <n v="245.88"/>
  </r>
  <r>
    <s v="United States"/>
    <x v="247"/>
    <s v="Standard Class"/>
    <s v="Home Office"/>
    <s v="Art"/>
    <n v="2"/>
    <n v="0"/>
    <n v="16.268800000000002"/>
    <n v="39.68"/>
  </r>
  <r>
    <s v="United States"/>
    <x v="247"/>
    <s v="Standard Class"/>
    <s v="Home Office"/>
    <s v="Binders"/>
    <n v="12"/>
    <n v="0"/>
    <n v="269.80340000000001"/>
    <n v="552.76"/>
  </r>
  <r>
    <s v="United States"/>
    <x v="247"/>
    <s v="Standard Class"/>
    <s v="Home Office"/>
    <s v="Copiers"/>
    <n v="2"/>
    <n v="0"/>
    <n v="467.99220000000003"/>
    <n v="1199.98"/>
  </r>
  <r>
    <s v="United States"/>
    <x v="247"/>
    <s v="Standard Class"/>
    <s v="Home Office"/>
    <s v="Fasteners"/>
    <n v="6"/>
    <n v="0"/>
    <n v="8.121599999999999"/>
    <n v="17.28"/>
  </r>
  <r>
    <s v="United States"/>
    <x v="247"/>
    <s v="Standard Class"/>
    <s v="Home Office"/>
    <s v="Labels"/>
    <n v="5"/>
    <n v="0"/>
    <n v="24.84"/>
    <n v="51.75"/>
  </r>
  <r>
    <s v="United States"/>
    <x v="247"/>
    <s v="Standard Class"/>
    <s v="Home Office"/>
    <s v="Paper"/>
    <n v="3"/>
    <n v="0"/>
    <n v="8.7906000000000013"/>
    <n v="17.940000000000001"/>
  </r>
  <r>
    <s v="United States"/>
    <x v="247"/>
    <s v="Standard Class"/>
    <s v="Home Office"/>
    <s v="Storage"/>
    <n v="1"/>
    <n v="0"/>
    <n v="2.2155000000000058"/>
    <n v="73.849999999999994"/>
  </r>
  <r>
    <s v="United States"/>
    <x v="247"/>
    <s v="Standard Class"/>
    <s v="Home Office"/>
    <s v="Supplies"/>
    <n v="3"/>
    <n v="0"/>
    <n v="6.6846000000000005"/>
    <n v="25.71"/>
  </r>
  <r>
    <s v="United States"/>
    <x v="247"/>
    <s v="Standard Class"/>
    <s v="Home Office"/>
    <s v="Tables"/>
    <n v="2"/>
    <n v="0.3"/>
    <n v="-52.658199999999965"/>
    <n v="526.58199999999999"/>
  </r>
  <r>
    <s v="United States"/>
    <x v="248"/>
    <s v="Same Day"/>
    <s v="Consumer"/>
    <s v="Storage"/>
    <n v="3"/>
    <n v="0"/>
    <n v="23.316299999999984"/>
    <n v="333.09000000000003"/>
  </r>
  <r>
    <s v="United States"/>
    <x v="248"/>
    <s v="Same Day"/>
    <s v="Consumer"/>
    <s v="Tables"/>
    <n v="2"/>
    <n v="0"/>
    <n v="54.775599999999997"/>
    <n v="248.98"/>
  </r>
  <r>
    <s v="United States"/>
    <x v="248"/>
    <s v="Standard Class"/>
    <s v="Consumer"/>
    <s v="Appliances"/>
    <n v="6"/>
    <n v="0"/>
    <n v="155.72699999999998"/>
    <n v="471.90000000000003"/>
  </r>
  <r>
    <s v="United States"/>
    <x v="248"/>
    <s v="Standard Class"/>
    <s v="Consumer"/>
    <s v="Art"/>
    <n v="2"/>
    <n v="0"/>
    <n v="1.6896"/>
    <n v="3.52"/>
  </r>
  <r>
    <s v="United States"/>
    <x v="249"/>
    <s v="Second Class"/>
    <s v="Consumer"/>
    <s v="Fasteners"/>
    <n v="4"/>
    <n v="0"/>
    <n v="2.3311999999999999"/>
    <n v="4.96"/>
  </r>
  <r>
    <s v="United States"/>
    <x v="250"/>
    <s v="Second Class"/>
    <s v="Consumer"/>
    <s v="Art"/>
    <n v="7"/>
    <n v="0.2"/>
    <n v="5.8750999999999962"/>
    <n v="67.144000000000005"/>
  </r>
  <r>
    <s v="United States"/>
    <x v="250"/>
    <s v="Second Class"/>
    <s v="Consumer"/>
    <s v="Chairs"/>
    <n v="3"/>
    <n v="0.3"/>
    <n v="-32.664599999999993"/>
    <n v="254.05799999999999"/>
  </r>
  <r>
    <s v="United States"/>
    <x v="250"/>
    <s v="Standard Class"/>
    <s v="Home Office"/>
    <s v="Art"/>
    <n v="7"/>
    <n v="0.2"/>
    <n v="3.9003999999999985"/>
    <n v="22.288"/>
  </r>
  <r>
    <s v="United States"/>
    <x v="250"/>
    <s v="Standard Class"/>
    <s v="Home Office"/>
    <s v="Chairs"/>
    <n v="3"/>
    <n v="0.3"/>
    <n v="-14.638799999999947"/>
    <n v="512.35799999999995"/>
  </r>
  <r>
    <s v="United States"/>
    <x v="250"/>
    <s v="Standard Class"/>
    <s v="Home Office"/>
    <s v="Fasteners"/>
    <n v="2"/>
    <n v="0.2"/>
    <n v="0.56679999999999997"/>
    <n v="3.4880000000000004"/>
  </r>
  <r>
    <s v="United States"/>
    <x v="250"/>
    <s v="Standard Class"/>
    <s v="Home Office"/>
    <s v="Paper"/>
    <n v="3"/>
    <n v="0.2"/>
    <n v="5.6111999999999993"/>
    <n v="16.032"/>
  </r>
  <r>
    <s v="United States"/>
    <x v="251"/>
    <s v="Standard Class"/>
    <s v="Consumer"/>
    <s v="Paper"/>
    <n v="5"/>
    <n v="0.2"/>
    <n v="59.435499999999998"/>
    <n v="163.96"/>
  </r>
  <r>
    <s v="United States"/>
    <x v="251"/>
    <s v="Standard Class"/>
    <s v="Consumer"/>
    <s v="Storage"/>
    <n v="6"/>
    <n v="0.2"/>
    <n v="6.3719999999999999"/>
    <n v="84.960000000000008"/>
  </r>
  <r>
    <s v="United States"/>
    <x v="251"/>
    <s v="Standard Class"/>
    <s v="Home Office"/>
    <s v="Phones"/>
    <n v="3"/>
    <n v="0.2"/>
    <n v="17.998199999999997"/>
    <n v="239.976"/>
  </r>
  <r>
    <s v="United States"/>
    <x v="252"/>
    <s v="First Class"/>
    <s v="Home Office"/>
    <s v="Copiers"/>
    <n v="5"/>
    <n v="0"/>
    <n v="449.9849999999999"/>
    <n v="1499.95"/>
  </r>
  <r>
    <s v="United States"/>
    <x v="252"/>
    <s v="Standard Class"/>
    <s v="Corporate"/>
    <s v="Phones"/>
    <n v="3"/>
    <n v="0.2"/>
    <n v="1.6776"/>
    <n v="16.776000000000003"/>
  </r>
  <r>
    <s v="United States"/>
    <x v="253"/>
    <s v="Standard Class"/>
    <s v="Consumer"/>
    <s v="Labels"/>
    <n v="1"/>
    <n v="0"/>
    <n v="1.512"/>
    <n v="3.15"/>
  </r>
  <r>
    <s v="United States"/>
    <x v="253"/>
    <s v="Standard Class"/>
    <s v="Consumer"/>
    <s v="Paper"/>
    <n v="4"/>
    <n v="0"/>
    <n v="10.223999999999998"/>
    <n v="22.72"/>
  </r>
  <r>
    <s v="United States"/>
    <x v="253"/>
    <s v="Standard Class"/>
    <s v="Corporate"/>
    <s v="Binders"/>
    <n v="7"/>
    <n v="0"/>
    <n v="37.443100000000001"/>
    <n v="75.77"/>
  </r>
  <r>
    <s v="United States"/>
    <x v="253"/>
    <s v="Standard Class"/>
    <s v="Corporate"/>
    <s v="Paper"/>
    <n v="3"/>
    <n v="0"/>
    <n v="5.1464999999999996"/>
    <n v="10.95"/>
  </r>
  <r>
    <s v="United States"/>
    <x v="253"/>
    <s v="Standard Class"/>
    <s v="Corporate"/>
    <s v="Storage"/>
    <n v="5"/>
    <n v="0"/>
    <n v="25.175999999999998"/>
    <n v="104.9"/>
  </r>
  <r>
    <s v="United States"/>
    <x v="254"/>
    <s v="Standard Class"/>
    <s v="Consumer"/>
    <s v="Binders"/>
    <n v="1"/>
    <n v="0.2"/>
    <n v="3.3543999999999996"/>
    <n v="9.5840000000000014"/>
  </r>
  <r>
    <s v="United States"/>
    <x v="254"/>
    <s v="Standard Class"/>
    <s v="Home Office"/>
    <s v="Accessories"/>
    <n v="2"/>
    <n v="0"/>
    <n v="14.955599999999997"/>
    <n v="67.98"/>
  </r>
  <r>
    <s v="United States"/>
    <x v="254"/>
    <s v="Standard Class"/>
    <s v="Home Office"/>
    <s v="Binders"/>
    <n v="4"/>
    <n v="0"/>
    <n v="17.310199999999998"/>
    <n v="38.1"/>
  </r>
  <r>
    <s v="United States"/>
    <x v="255"/>
    <s v="First Class"/>
    <s v="Corporate"/>
    <s v="Appliances"/>
    <n v="6"/>
    <n v="0.1"/>
    <n v="29.7408"/>
    <n v="167.292"/>
  </r>
  <r>
    <s v="United States"/>
    <x v="255"/>
    <s v="Standard Class"/>
    <s v="Corporate"/>
    <s v="Art"/>
    <n v="1"/>
    <n v="0"/>
    <n v="7.5370999999999988"/>
    <n v="25.99"/>
  </r>
  <r>
    <s v="United States"/>
    <x v="255"/>
    <s v="Standard Class"/>
    <s v="Corporate"/>
    <s v="Bookcases"/>
    <n v="4"/>
    <n v="0"/>
    <n v="31.091200000000015"/>
    <n v="194.32"/>
  </r>
  <r>
    <s v="United States"/>
    <x v="256"/>
    <s v="Standard Class"/>
    <s v="Corporate"/>
    <s v="Accessories"/>
    <n v="7"/>
    <n v="0"/>
    <n v="49.604800000000012"/>
    <n v="115.36"/>
  </r>
  <r>
    <s v="United States"/>
    <x v="257"/>
    <s v="Standard Class"/>
    <s v="Corporate"/>
    <s v="Paper"/>
    <n v="1"/>
    <n v="0"/>
    <n v="26.630399999999998"/>
    <n v="55.48"/>
  </r>
  <r>
    <s v="United States"/>
    <x v="258"/>
    <s v="First Class"/>
    <s v="Consumer"/>
    <s v="Accessories"/>
    <n v="12"/>
    <n v="0"/>
    <n v="210.02430000000004"/>
    <n v="530.16"/>
  </r>
  <r>
    <s v="United States"/>
    <x v="258"/>
    <s v="First Class"/>
    <s v="Consumer"/>
    <s v="Binders"/>
    <n v="6"/>
    <n v="0"/>
    <n v="36.388799999999996"/>
    <n v="75.81"/>
  </r>
  <r>
    <s v="United States"/>
    <x v="258"/>
    <s v="First Class"/>
    <s v="Consumer"/>
    <s v="Paper"/>
    <n v="5"/>
    <n v="0"/>
    <n v="34.392600000000002"/>
    <n v="72.900000000000006"/>
  </r>
  <r>
    <s v="United States"/>
    <x v="258"/>
    <s v="Second Class"/>
    <s v="Consumer"/>
    <s v="Art"/>
    <n v="2"/>
    <n v="0"/>
    <n v="4.3524000000000003"/>
    <n v="11.16"/>
  </r>
  <r>
    <s v="United States"/>
    <x v="258"/>
    <s v="Second Class"/>
    <s v="Consumer"/>
    <s v="Paper"/>
    <n v="5"/>
    <n v="0"/>
    <n v="63.192"/>
    <n v="129.36000000000001"/>
  </r>
  <r>
    <s v="United States"/>
    <x v="258"/>
    <s v="Second Class"/>
    <s v="Corporate"/>
    <s v="Envelopes"/>
    <n v="3"/>
    <n v="0"/>
    <n v="85.981799999999993"/>
    <n v="182.94"/>
  </r>
  <r>
    <s v="United States"/>
    <x v="258"/>
    <s v="Second Class"/>
    <s v="Corporate"/>
    <s v="Paper"/>
    <n v="2"/>
    <n v="0"/>
    <n v="20.6816"/>
    <n v="44.96"/>
  </r>
  <r>
    <s v="United States"/>
    <x v="258"/>
    <s v="Second Class"/>
    <s v="Corporate"/>
    <s v="Phones"/>
    <n v="3"/>
    <n v="0"/>
    <n v="148.49099999999996"/>
    <n v="494.97"/>
  </r>
  <r>
    <s v="United States"/>
    <x v="258"/>
    <s v="Second Class"/>
    <s v="Corporate"/>
    <s v="Storage"/>
    <n v="8"/>
    <n v="0"/>
    <n v="32.089599999999976"/>
    <n v="430"/>
  </r>
  <r>
    <s v="United States"/>
    <x v="258"/>
    <s v="Standard Class"/>
    <s v="Consumer"/>
    <s v="Art"/>
    <n v="4"/>
    <n v="0"/>
    <n v="4.1415999999999986"/>
    <n v="13.36"/>
  </r>
  <r>
    <s v="United States"/>
    <x v="258"/>
    <s v="Standard Class"/>
    <s v="Consumer"/>
    <s v="Binders"/>
    <n v="5"/>
    <n v="0"/>
    <n v="70.007999999999996"/>
    <n v="145.85000000000002"/>
  </r>
  <r>
    <s v="United States"/>
    <x v="258"/>
    <s v="Standard Class"/>
    <s v="Consumer"/>
    <s v="Furnishings"/>
    <n v="6"/>
    <n v="0"/>
    <n v="9.1020000000000021"/>
    <n v="22.200000000000003"/>
  </r>
  <r>
    <s v="United States"/>
    <x v="258"/>
    <s v="Standard Class"/>
    <s v="Consumer"/>
    <s v="Paper"/>
    <n v="2"/>
    <n v="0"/>
    <n v="18.781199999999998"/>
    <n v="39.96"/>
  </r>
  <r>
    <s v="United States"/>
    <x v="258"/>
    <s v="Standard Class"/>
    <s v="Consumer"/>
    <s v="Phones"/>
    <n v="7"/>
    <n v="0"/>
    <n v="229.30180000000001"/>
    <n v="881.93"/>
  </r>
  <r>
    <s v="United States"/>
    <x v="258"/>
    <s v="Standard Class"/>
    <s v="Corporate"/>
    <s v="Accessories"/>
    <n v="4"/>
    <n v="0"/>
    <n v="122.38559999999998"/>
    <n v="339.96"/>
  </r>
  <r>
    <s v="United States"/>
    <x v="258"/>
    <s v="Standard Class"/>
    <s v="Corporate"/>
    <s v="Binders"/>
    <n v="4"/>
    <n v="0"/>
    <n v="8.2615999999999996"/>
    <n v="17.96"/>
  </r>
  <r>
    <s v="United States"/>
    <x v="258"/>
    <s v="Standard Class"/>
    <s v="Corporate"/>
    <s v="Fasteners"/>
    <n v="7"/>
    <n v="0"/>
    <n v="4.5611999999999995"/>
    <n v="12.67"/>
  </r>
  <r>
    <s v="United States"/>
    <x v="258"/>
    <s v="Standard Class"/>
    <s v="Corporate"/>
    <s v="Paper"/>
    <n v="5"/>
    <n v="0"/>
    <n v="52.531999999999996"/>
    <n v="114.2"/>
  </r>
  <r>
    <s v="United States"/>
    <x v="259"/>
    <s v="Second Class"/>
    <s v="Consumer"/>
    <s v="Bookcases"/>
    <n v="1"/>
    <n v="0.7"/>
    <n v="-98.801799999999986"/>
    <n v="72.294000000000011"/>
  </r>
  <r>
    <s v="United States"/>
    <x v="260"/>
    <s v="Standard Class"/>
    <s v="Consumer"/>
    <s v="Supplies"/>
    <n v="7"/>
    <n v="0"/>
    <n v="28.216999999999992"/>
    <n v="97.3"/>
  </r>
  <r>
    <s v="United States"/>
    <x v="260"/>
    <s v="Standard Class"/>
    <s v="Corporate"/>
    <s v="Art"/>
    <n v="2"/>
    <n v="0"/>
    <n v="16.268800000000002"/>
    <n v="39.68"/>
  </r>
  <r>
    <s v="United States"/>
    <x v="261"/>
    <s v="Standard Class"/>
    <s v="Consumer"/>
    <s v="Accessories"/>
    <n v="12"/>
    <n v="0"/>
    <n v="6.6239999999999952"/>
    <n v="82.800000000000011"/>
  </r>
  <r>
    <s v="United States"/>
    <x v="261"/>
    <s v="Standard Class"/>
    <s v="Consumer"/>
    <s v="Binders"/>
    <n v="6"/>
    <n v="0.4"/>
    <n v="31.332799999999999"/>
    <n v="95.135999999999996"/>
  </r>
  <r>
    <s v="United States"/>
    <x v="261"/>
    <s v="Standard Class"/>
    <s v="Consumer"/>
    <s v="Storage"/>
    <n v="3"/>
    <n v="0"/>
    <n v="9.0063999999999975"/>
    <n v="102.34"/>
  </r>
  <r>
    <s v="United States"/>
    <x v="262"/>
    <s v="First Class"/>
    <s v="Corporate"/>
    <s v="Chairs"/>
    <n v="16"/>
    <n v="0.30000000000000004"/>
    <n v="175.20359999999991"/>
    <n v="1789.5240000000003"/>
  </r>
  <r>
    <s v="United States"/>
    <x v="262"/>
    <s v="First Class"/>
    <s v="Home Office"/>
    <s v="Paper"/>
    <n v="12"/>
    <n v="0"/>
    <n v="36.928799999999995"/>
    <n v="80.28"/>
  </r>
  <r>
    <s v="United States"/>
    <x v="262"/>
    <s v="Same Day"/>
    <s v="Consumer"/>
    <s v="Phones"/>
    <n v="3"/>
    <n v="0"/>
    <n v="352.30649999999997"/>
    <n v="1214.8499999999999"/>
  </r>
  <r>
    <s v="United States"/>
    <x v="262"/>
    <s v="Same Day"/>
    <s v="Home Office"/>
    <s v="Chairs"/>
    <n v="8"/>
    <n v="0.2"/>
    <n v="256.78399999999976"/>
    <n v="2054.2720000000004"/>
  </r>
  <r>
    <s v="United States"/>
    <x v="262"/>
    <s v="Same Day"/>
    <s v="Home Office"/>
    <s v="Envelopes"/>
    <n v="2"/>
    <n v="0"/>
    <n v="10.8682"/>
    <n v="22.18"/>
  </r>
  <r>
    <s v="United States"/>
    <x v="262"/>
    <s v="Same Day"/>
    <s v="Home Office"/>
    <s v="Paper"/>
    <n v="2"/>
    <n v="0"/>
    <n v="6.2208000000000006"/>
    <n v="12.96"/>
  </r>
  <r>
    <s v="United States"/>
    <x v="262"/>
    <s v="Second Class"/>
    <s v="Consumer"/>
    <s v="Binders"/>
    <n v="3"/>
    <n v="0.2"/>
    <n v="6.3336000000000006"/>
    <n v="17.472000000000001"/>
  </r>
  <r>
    <s v="United States"/>
    <x v="262"/>
    <s v="Second Class"/>
    <s v="Consumer"/>
    <s v="Fasteners"/>
    <n v="1"/>
    <n v="0"/>
    <n v="3.5504999999999995"/>
    <n v="7.89"/>
  </r>
  <r>
    <s v="United States"/>
    <x v="262"/>
    <s v="Second Class"/>
    <s v="Consumer"/>
    <s v="Paper"/>
    <n v="18"/>
    <n v="0"/>
    <n v="88.513600000000011"/>
    <n v="180.64"/>
  </r>
  <r>
    <s v="United States"/>
    <x v="262"/>
    <s v="Second Class"/>
    <s v="Consumer"/>
    <s v="Phones"/>
    <n v="5"/>
    <n v="0"/>
    <n v="43.175999999999995"/>
    <n v="89.949999999999989"/>
  </r>
  <r>
    <s v="United States"/>
    <x v="262"/>
    <s v="Second Class"/>
    <s v="Consumer"/>
    <s v="Storage"/>
    <n v="14"/>
    <n v="0"/>
    <n v="45.206399999999988"/>
    <n v="214.8"/>
  </r>
  <r>
    <s v="United States"/>
    <x v="262"/>
    <s v="Second Class"/>
    <s v="Consumer"/>
    <s v="Supplies"/>
    <n v="9"/>
    <n v="0"/>
    <n v="34.121899999999989"/>
    <n v="117.41"/>
  </r>
  <r>
    <s v="United States"/>
    <x v="262"/>
    <s v="Second Class"/>
    <s v="Corporate"/>
    <s v="Labels"/>
    <n v="3"/>
    <n v="0"/>
    <n v="4.0749000000000004"/>
    <n v="8.67"/>
  </r>
  <r>
    <s v="United States"/>
    <x v="262"/>
    <s v="Second Class"/>
    <s v="Corporate"/>
    <s v="Supplies"/>
    <n v="3"/>
    <n v="0"/>
    <n v="6.6846000000000005"/>
    <n v="25.71"/>
  </r>
  <r>
    <s v="United States"/>
    <x v="262"/>
    <s v="Second Class"/>
    <s v="Home Office"/>
    <s v="Fasteners"/>
    <n v="6"/>
    <n v="0"/>
    <n v="0.3024"/>
    <n v="7.5600000000000005"/>
  </r>
  <r>
    <s v="United States"/>
    <x v="262"/>
    <s v="Standard Class"/>
    <s v="Consumer"/>
    <s v="Accessories"/>
    <n v="4"/>
    <n v="0"/>
    <n v="39.5428"/>
    <n v="91.96"/>
  </r>
  <r>
    <s v="United States"/>
    <x v="262"/>
    <s v="Standard Class"/>
    <s v="Consumer"/>
    <s v="Appliances"/>
    <n v="8"/>
    <n v="0"/>
    <n v="175.51099999999997"/>
    <n v="595.24"/>
  </r>
  <r>
    <s v="United States"/>
    <x v="262"/>
    <s v="Standard Class"/>
    <s v="Consumer"/>
    <s v="Art"/>
    <n v="19"/>
    <n v="0"/>
    <n v="54.213000000000008"/>
    <n v="171.89"/>
  </r>
  <r>
    <s v="United States"/>
    <x v="262"/>
    <s v="Standard Class"/>
    <s v="Consumer"/>
    <s v="Binders"/>
    <n v="4"/>
    <n v="0.4"/>
    <n v="278.26799999999997"/>
    <n v="742.04800000000012"/>
  </r>
  <r>
    <s v="United States"/>
    <x v="262"/>
    <s v="Standard Class"/>
    <s v="Consumer"/>
    <s v="Bookcases"/>
    <n v="1"/>
    <n v="0.2"/>
    <n v="-22.098000000000013"/>
    <n v="176.78399999999999"/>
  </r>
  <r>
    <s v="United States"/>
    <x v="262"/>
    <s v="Standard Class"/>
    <s v="Consumer"/>
    <s v="Chairs"/>
    <n v="4"/>
    <n v="0.2"/>
    <n v="60.391999999999939"/>
    <n v="483.13599999999997"/>
  </r>
  <r>
    <s v="United States"/>
    <x v="262"/>
    <s v="Standard Class"/>
    <s v="Consumer"/>
    <s v="Copiers"/>
    <n v="3"/>
    <n v="0.2"/>
    <n v="161.99189999999999"/>
    <n v="479.97600000000006"/>
  </r>
  <r>
    <s v="United States"/>
    <x v="262"/>
    <s v="Standard Class"/>
    <s v="Consumer"/>
    <s v="Fasteners"/>
    <n v="3"/>
    <n v="0"/>
    <n v="1.7918999999999998"/>
    <n v="5.43"/>
  </r>
  <r>
    <s v="United States"/>
    <x v="262"/>
    <s v="Standard Class"/>
    <s v="Consumer"/>
    <s v="Furnishings"/>
    <n v="6"/>
    <n v="0"/>
    <n v="9.8207999999999984"/>
    <n v="31.68"/>
  </r>
  <r>
    <s v="United States"/>
    <x v="262"/>
    <s v="Standard Class"/>
    <s v="Consumer"/>
    <s v="Labels"/>
    <n v="15"/>
    <n v="0"/>
    <n v="60.298400000000001"/>
    <n v="127.14"/>
  </r>
  <r>
    <s v="United States"/>
    <x v="262"/>
    <s v="Standard Class"/>
    <s v="Consumer"/>
    <s v="Paper"/>
    <n v="16"/>
    <n v="0"/>
    <n v="149.82159999999999"/>
    <n v="316.52999999999997"/>
  </r>
  <r>
    <s v="United States"/>
    <x v="262"/>
    <s v="Standard Class"/>
    <s v="Consumer"/>
    <s v="Phones"/>
    <n v="21"/>
    <n v="0.60000000000000009"/>
    <n v="200.59119999999999"/>
    <n v="919.096"/>
  </r>
  <r>
    <s v="United States"/>
    <x v="262"/>
    <s v="Standard Class"/>
    <s v="Consumer"/>
    <s v="Storage"/>
    <n v="6"/>
    <n v="0"/>
    <n v="83.843999999999937"/>
    <n v="1676.88"/>
  </r>
  <r>
    <s v="United States"/>
    <x v="262"/>
    <s v="Standard Class"/>
    <s v="Consumer"/>
    <s v="Supplies"/>
    <n v="4"/>
    <n v="0"/>
    <n v="16.123999999999995"/>
    <n v="55.6"/>
  </r>
  <r>
    <s v="United States"/>
    <x v="262"/>
    <s v="Standard Class"/>
    <s v="Consumer"/>
    <s v="Tables"/>
    <n v="4"/>
    <n v="0.4"/>
    <n v="-14.760300000000049"/>
    <n v="405.45600000000002"/>
  </r>
  <r>
    <s v="United States"/>
    <x v="262"/>
    <s v="Standard Class"/>
    <s v="Corporate"/>
    <s v="Appliances"/>
    <n v="2"/>
    <n v="0"/>
    <n v="4.1950000000000003"/>
    <n v="16.78"/>
  </r>
  <r>
    <s v="United States"/>
    <x v="262"/>
    <s v="Standard Class"/>
    <s v="Corporate"/>
    <s v="Art"/>
    <n v="1"/>
    <n v="0"/>
    <n v="0.79380000000000006"/>
    <n v="2.94"/>
  </r>
  <r>
    <s v="United States"/>
    <x v="262"/>
    <s v="Standard Class"/>
    <s v="Corporate"/>
    <s v="Binders"/>
    <n v="11"/>
    <n v="0.4"/>
    <n v="59.333499999999994"/>
    <n v="173.99199999999999"/>
  </r>
  <r>
    <s v="United States"/>
    <x v="262"/>
    <s v="Standard Class"/>
    <s v="Corporate"/>
    <s v="Fasteners"/>
    <n v="2"/>
    <n v="0"/>
    <n v="3.58"/>
    <n v="7.16"/>
  </r>
  <r>
    <s v="United States"/>
    <x v="262"/>
    <s v="Standard Class"/>
    <s v="Corporate"/>
    <s v="Labels"/>
    <n v="4"/>
    <n v="0"/>
    <n v="19.872"/>
    <n v="41.4"/>
  </r>
  <r>
    <s v="United States"/>
    <x v="262"/>
    <s v="Standard Class"/>
    <s v="Corporate"/>
    <s v="Paper"/>
    <n v="8"/>
    <n v="0"/>
    <n v="38.1892"/>
    <n v="80.84"/>
  </r>
  <r>
    <s v="United States"/>
    <x v="262"/>
    <s v="Standard Class"/>
    <s v="Corporate"/>
    <s v="Supplies"/>
    <n v="2"/>
    <n v="0"/>
    <n v="4.4564000000000004"/>
    <n v="17.14"/>
  </r>
  <r>
    <s v="United States"/>
    <x v="262"/>
    <s v="Standard Class"/>
    <s v="Corporate"/>
    <s v="Tables"/>
    <n v="3"/>
    <n v="0.4"/>
    <n v="-347.11740000000009"/>
    <n v="991.76400000000012"/>
  </r>
  <r>
    <s v="United States"/>
    <x v="263"/>
    <s v="First Class"/>
    <s v="Consumer"/>
    <s v="Chairs"/>
    <n v="4"/>
    <n v="0.2"/>
    <n v="54.352799999999945"/>
    <n v="483.13599999999997"/>
  </r>
  <r>
    <s v="United States"/>
    <x v="263"/>
    <s v="First Class"/>
    <s v="Consumer"/>
    <s v="Furnishings"/>
    <n v="3"/>
    <n v="0.2"/>
    <n v="-13.317600000000013"/>
    <n v="266.35200000000003"/>
  </r>
  <r>
    <s v="United States"/>
    <x v="263"/>
    <s v="Standard Class"/>
    <s v="Corporate"/>
    <s v="Accessories"/>
    <n v="3"/>
    <n v="0.2"/>
    <n v="-6.2100000000000151"/>
    <n v="165.60000000000002"/>
  </r>
  <r>
    <s v="United States"/>
    <x v="264"/>
    <s v="Second Class"/>
    <s v="Consumer"/>
    <s v="Appliances"/>
    <n v="2"/>
    <n v="0"/>
    <n v="22.074799999999996"/>
    <n v="76.12"/>
  </r>
  <r>
    <s v="United States"/>
    <x v="264"/>
    <s v="Second Class"/>
    <s v="Consumer"/>
    <s v="Fasteners"/>
    <n v="3"/>
    <n v="0"/>
    <n v="9.120000000000001"/>
    <n v="18.240000000000002"/>
  </r>
  <r>
    <s v="United States"/>
    <x v="264"/>
    <s v="Second Class"/>
    <s v="Consumer"/>
    <s v="Furnishings"/>
    <n v="5"/>
    <n v="0"/>
    <n v="7.7034999999999982"/>
    <n v="24.849999999999998"/>
  </r>
  <r>
    <s v="United States"/>
    <x v="265"/>
    <s v="Same Day"/>
    <s v="Corporate"/>
    <s v="Accessories"/>
    <n v="6"/>
    <n v="0.2"/>
    <n v="76.790399999999977"/>
    <n v="383.952"/>
  </r>
  <r>
    <s v="United States"/>
    <x v="265"/>
    <s v="Same Day"/>
    <s v="Corporate"/>
    <s v="Binders"/>
    <n v="3"/>
    <n v="0.7"/>
    <n v="-14.331299999999992"/>
    <n v="18.693000000000001"/>
  </r>
  <r>
    <s v="United States"/>
    <x v="265"/>
    <s v="Second Class"/>
    <s v="Corporate"/>
    <s v="Tables"/>
    <n v="8"/>
    <n v="0.4"/>
    <n v="-734.52639999999997"/>
    <n v="1421.664"/>
  </r>
  <r>
    <s v="United States"/>
    <x v="265"/>
    <s v="Standard Class"/>
    <s v="Consumer"/>
    <s v="Furnishings"/>
    <n v="4"/>
    <n v="0.2"/>
    <n v="8.5567999999999991"/>
    <n v="48.896000000000001"/>
  </r>
  <r>
    <s v="United States"/>
    <x v="265"/>
    <s v="Standard Class"/>
    <s v="Home Office"/>
    <s v="Fasteners"/>
    <n v="2"/>
    <n v="0.2"/>
    <n v="1.7138000000000002"/>
    <n v="7.2160000000000002"/>
  </r>
  <r>
    <s v="United States"/>
    <x v="265"/>
    <s v="Standard Class"/>
    <s v="Home Office"/>
    <s v="Furnishings"/>
    <n v="7"/>
    <n v="0.2"/>
    <n v="11.626299999999999"/>
    <n v="54.711999999999996"/>
  </r>
  <r>
    <s v="United States"/>
    <x v="265"/>
    <s v="Standard Class"/>
    <s v="Home Office"/>
    <s v="Paper"/>
    <n v="2"/>
    <n v="0.2"/>
    <n v="15.489999999999997"/>
    <n v="49.568000000000005"/>
  </r>
  <r>
    <s v="United States"/>
    <x v="265"/>
    <s v="Standard Class"/>
    <s v="Home Office"/>
    <s v="Phones"/>
    <n v="1"/>
    <n v="0.4"/>
    <n v="-0.64350000000000018"/>
    <n v="2.97"/>
  </r>
  <r>
    <s v="United States"/>
    <x v="265"/>
    <s v="Standard Class"/>
    <s v="Home Office"/>
    <s v="Storage"/>
    <n v="2"/>
    <n v="0.2"/>
    <n v="2.4009999999999998"/>
    <n v="27.439999999999998"/>
  </r>
  <r>
    <s v="United States"/>
    <x v="266"/>
    <s v="First Class"/>
    <s v="Consumer"/>
    <s v="Accessories"/>
    <n v="30"/>
    <n v="0"/>
    <n v="1163.1370999999999"/>
    <n v="3438.82"/>
  </r>
  <r>
    <s v="United States"/>
    <x v="266"/>
    <s v="First Class"/>
    <s v="Consumer"/>
    <s v="Appliances"/>
    <n v="13"/>
    <n v="0"/>
    <n v="518.7414"/>
    <n v="1413.18"/>
  </r>
  <r>
    <s v="United States"/>
    <x v="266"/>
    <s v="First Class"/>
    <s v="Consumer"/>
    <s v="Art"/>
    <n v="37"/>
    <n v="0"/>
    <n v="110.9363"/>
    <n v="385.56"/>
  </r>
  <r>
    <s v="United States"/>
    <x v="266"/>
    <s v="First Class"/>
    <s v="Consumer"/>
    <s v="Binders"/>
    <n v="21"/>
    <n v="1.2"/>
    <n v="358.89929999999987"/>
    <n v="1049.7359999999999"/>
  </r>
  <r>
    <s v="United States"/>
    <x v="266"/>
    <s v="First Class"/>
    <s v="Consumer"/>
    <s v="Bookcases"/>
    <n v="2"/>
    <n v="0.15"/>
    <n v="14.097999999999999"/>
    <n v="239.66599999999997"/>
  </r>
  <r>
    <s v="United States"/>
    <x v="266"/>
    <s v="First Class"/>
    <s v="Consumer"/>
    <s v="Chairs"/>
    <n v="17"/>
    <n v="1"/>
    <n v="-110.45980000000009"/>
    <n v="4201.2160000000003"/>
  </r>
  <r>
    <s v="United States"/>
    <x v="266"/>
    <s v="First Class"/>
    <s v="Consumer"/>
    <s v="Envelopes"/>
    <n v="3"/>
    <n v="0"/>
    <n v="10.4832"/>
    <n v="21.84"/>
  </r>
  <r>
    <s v="United States"/>
    <x v="266"/>
    <s v="First Class"/>
    <s v="Consumer"/>
    <s v="Fasteners"/>
    <n v="2"/>
    <n v="0"/>
    <n v="7.9200000000000159E-2"/>
    <n v="3.96"/>
  </r>
  <r>
    <s v="United States"/>
    <x v="266"/>
    <s v="First Class"/>
    <s v="Consumer"/>
    <s v="Furnishings"/>
    <n v="11"/>
    <n v="0"/>
    <n v="57.718799999999987"/>
    <n v="130.37"/>
  </r>
  <r>
    <s v="United States"/>
    <x v="266"/>
    <s v="First Class"/>
    <s v="Consumer"/>
    <s v="Labels"/>
    <n v="13"/>
    <n v="0"/>
    <n v="52.023699999999991"/>
    <n v="110.21"/>
  </r>
  <r>
    <s v="United States"/>
    <x v="266"/>
    <s v="First Class"/>
    <s v="Consumer"/>
    <s v="Paper"/>
    <n v="34"/>
    <n v="0"/>
    <n v="200.34799999999996"/>
    <n v="415.04"/>
  </r>
  <r>
    <s v="United States"/>
    <x v="266"/>
    <s v="First Class"/>
    <s v="Consumer"/>
    <s v="Phones"/>
    <n v="11"/>
    <n v="0.60000000000000009"/>
    <n v="84.778400000000005"/>
    <n v="933.51200000000006"/>
  </r>
  <r>
    <s v="United States"/>
    <x v="266"/>
    <s v="First Class"/>
    <s v="Consumer"/>
    <s v="Storage"/>
    <n v="5"/>
    <n v="0"/>
    <n v="67.827999999999989"/>
    <n v="245.17000000000002"/>
  </r>
  <r>
    <s v="United States"/>
    <x v="266"/>
    <s v="First Class"/>
    <s v="Consumer"/>
    <s v="Supplies"/>
    <n v="9"/>
    <n v="0"/>
    <n v="5.8348000000000004"/>
    <n v="46.22"/>
  </r>
  <r>
    <s v="United States"/>
    <x v="266"/>
    <s v="First Class"/>
    <s v="Corporate"/>
    <s v="Accessories"/>
    <n v="10"/>
    <n v="0"/>
    <n v="162.66119999999995"/>
    <n v="494.21"/>
  </r>
  <r>
    <s v="United States"/>
    <x v="266"/>
    <s v="First Class"/>
    <s v="Corporate"/>
    <s v="Binders"/>
    <n v="19"/>
    <n v="1.2"/>
    <n v="35.892799999999994"/>
    <n v="112.096"/>
  </r>
  <r>
    <s v="United States"/>
    <x v="266"/>
    <s v="First Class"/>
    <s v="Corporate"/>
    <s v="Bookcases"/>
    <n v="9"/>
    <n v="0.3"/>
    <n v="-11.096100000000028"/>
    <n v="922.97250000000008"/>
  </r>
  <r>
    <s v="United States"/>
    <x v="266"/>
    <s v="First Class"/>
    <s v="Corporate"/>
    <s v="Fasteners"/>
    <n v="5"/>
    <n v="0"/>
    <n v="8.7945000000000011"/>
    <n v="22.549999999999997"/>
  </r>
  <r>
    <s v="United States"/>
    <x v="266"/>
    <s v="First Class"/>
    <s v="Corporate"/>
    <s v="Furnishings"/>
    <n v="4"/>
    <n v="0"/>
    <n v="41.075999999999993"/>
    <n v="136.91999999999999"/>
  </r>
  <r>
    <s v="United States"/>
    <x v="266"/>
    <s v="First Class"/>
    <s v="Corporate"/>
    <s v="Labels"/>
    <n v="4"/>
    <n v="0"/>
    <n v="13.742799999999999"/>
    <n v="29.24"/>
  </r>
  <r>
    <s v="United States"/>
    <x v="266"/>
    <s v="First Class"/>
    <s v="Corporate"/>
    <s v="Paper"/>
    <n v="30"/>
    <n v="0"/>
    <n v="227.53130000000002"/>
    <n v="470.49"/>
  </r>
  <r>
    <s v="United States"/>
    <x v="266"/>
    <s v="First Class"/>
    <s v="Corporate"/>
    <s v="Phones"/>
    <n v="25"/>
    <n v="1"/>
    <n v="335.61020000000025"/>
    <n v="3522.8399999999997"/>
  </r>
  <r>
    <s v="United States"/>
    <x v="266"/>
    <s v="First Class"/>
    <s v="Corporate"/>
    <s v="Storage"/>
    <n v="16"/>
    <n v="0"/>
    <n v="380.34860000000003"/>
    <n v="1763.15"/>
  </r>
  <r>
    <s v="United States"/>
    <x v="266"/>
    <s v="First Class"/>
    <s v="Corporate"/>
    <s v="Supplies"/>
    <n v="6"/>
    <n v="0"/>
    <n v="17.779400000000031"/>
    <n v="498.38"/>
  </r>
  <r>
    <s v="United States"/>
    <x v="266"/>
    <s v="First Class"/>
    <s v="Corporate"/>
    <s v="Tables"/>
    <n v="11"/>
    <n v="0.8"/>
    <n v="39.148799999999902"/>
    <n v="1308.9359999999999"/>
  </r>
  <r>
    <s v="United States"/>
    <x v="266"/>
    <s v="First Class"/>
    <s v="Home Office"/>
    <s v="Accessories"/>
    <n v="8"/>
    <n v="0"/>
    <n v="44.601499999999952"/>
    <n v="421.85"/>
  </r>
  <r>
    <s v="United States"/>
    <x v="266"/>
    <s v="First Class"/>
    <s v="Home Office"/>
    <s v="Art"/>
    <n v="3"/>
    <n v="0"/>
    <n v="3.4668000000000005"/>
    <n v="12.84"/>
  </r>
  <r>
    <s v="United States"/>
    <x v="266"/>
    <s v="First Class"/>
    <s v="Home Office"/>
    <s v="Binders"/>
    <n v="5"/>
    <n v="0.4"/>
    <n v="38.2104"/>
    <n v="102.28800000000001"/>
  </r>
  <r>
    <s v="United States"/>
    <x v="266"/>
    <s v="First Class"/>
    <s v="Home Office"/>
    <s v="Bookcases"/>
    <n v="7"/>
    <n v="0.3"/>
    <n v="110.71180000000005"/>
    <n v="2011.8309999999999"/>
  </r>
  <r>
    <s v="United States"/>
    <x v="266"/>
    <s v="First Class"/>
    <s v="Home Office"/>
    <s v="Chairs"/>
    <n v="6"/>
    <n v="0.4"/>
    <n v="18.11760000000001"/>
    <n v="843.10399999999993"/>
  </r>
  <r>
    <s v="United States"/>
    <x v="266"/>
    <s v="First Class"/>
    <s v="Home Office"/>
    <s v="Copiers"/>
    <n v="6"/>
    <n v="0.2"/>
    <n v="1007.9831999999999"/>
    <n v="2879.9520000000002"/>
  </r>
  <r>
    <s v="United States"/>
    <x v="266"/>
    <s v="First Class"/>
    <s v="Home Office"/>
    <s v="Fasteners"/>
    <n v="2"/>
    <n v="0"/>
    <n v="2.5279999999999996"/>
    <n v="7.9"/>
  </r>
  <r>
    <s v="United States"/>
    <x v="266"/>
    <s v="First Class"/>
    <s v="Home Office"/>
    <s v="Furnishings"/>
    <n v="5"/>
    <n v="0"/>
    <n v="26.732700000000001"/>
    <n v="89.13"/>
  </r>
  <r>
    <s v="United States"/>
    <x v="266"/>
    <s v="First Class"/>
    <s v="Home Office"/>
    <s v="Labels"/>
    <n v="2"/>
    <n v="0"/>
    <n v="14.8"/>
    <n v="29.6"/>
  </r>
  <r>
    <s v="United States"/>
    <x v="266"/>
    <s v="First Class"/>
    <s v="Home Office"/>
    <s v="Machines"/>
    <n v="3"/>
    <n v="0.2"/>
    <n v="377.72999999999956"/>
    <n v="3357.6000000000004"/>
  </r>
  <r>
    <s v="United States"/>
    <x v="266"/>
    <s v="First Class"/>
    <s v="Home Office"/>
    <s v="Paper"/>
    <n v="5"/>
    <n v="0"/>
    <n v="7.1519999999999992"/>
    <n v="14.9"/>
  </r>
  <r>
    <s v="United States"/>
    <x v="266"/>
    <s v="First Class"/>
    <s v="Home Office"/>
    <s v="Phones"/>
    <n v="19"/>
    <n v="0.8"/>
    <n v="448.45470000000017"/>
    <n v="5083.5600000000013"/>
  </r>
  <r>
    <s v="United States"/>
    <x v="266"/>
    <s v="Same Day"/>
    <s v="Consumer"/>
    <s v="Art"/>
    <n v="2"/>
    <n v="0"/>
    <n v="2.0671999999999997"/>
    <n v="6.08"/>
  </r>
  <r>
    <s v="United States"/>
    <x v="266"/>
    <s v="Same Day"/>
    <s v="Consumer"/>
    <s v="Paper"/>
    <n v="8"/>
    <n v="0"/>
    <n v="94.72290000000001"/>
    <n v="198.37"/>
  </r>
  <r>
    <s v="United States"/>
    <x v="266"/>
    <s v="Same Day"/>
    <s v="Consumer"/>
    <s v="Phones"/>
    <n v="1"/>
    <n v="0.2"/>
    <n v="18.539099999999991"/>
    <n v="164.79200000000003"/>
  </r>
  <r>
    <s v="United States"/>
    <x v="266"/>
    <s v="Same Day"/>
    <s v="Consumer"/>
    <s v="Storage"/>
    <n v="2"/>
    <n v="0"/>
    <n v="3.8939999999999912"/>
    <n v="77.88"/>
  </r>
  <r>
    <s v="United States"/>
    <x v="266"/>
    <s v="Same Day"/>
    <s v="Consumer"/>
    <s v="Tables"/>
    <n v="4"/>
    <n v="0.4"/>
    <n v="7.3247999999999998"/>
    <n v="435.16800000000006"/>
  </r>
  <r>
    <s v="United States"/>
    <x v="266"/>
    <s v="Same Day"/>
    <s v="Corporate"/>
    <s v="Appliances"/>
    <n v="3"/>
    <n v="0"/>
    <n v="22.251600000000003"/>
    <n v="79.47"/>
  </r>
  <r>
    <s v="United States"/>
    <x v="266"/>
    <s v="Same Day"/>
    <s v="Corporate"/>
    <s v="Art"/>
    <n v="6"/>
    <n v="0"/>
    <n v="5.04"/>
    <n v="10.08"/>
  </r>
  <r>
    <s v="United States"/>
    <x v="266"/>
    <s v="Same Day"/>
    <s v="Corporate"/>
    <s v="Binders"/>
    <n v="15"/>
    <n v="1"/>
    <n v="42.535499999999992"/>
    <n v="126.98400000000001"/>
  </r>
  <r>
    <s v="United States"/>
    <x v="266"/>
    <s v="Same Day"/>
    <s v="Corporate"/>
    <s v="Chairs"/>
    <n v="3"/>
    <n v="0.2"/>
    <n v="27.176400000000015"/>
    <n v="362.35199999999998"/>
  </r>
  <r>
    <s v="United States"/>
    <x v="266"/>
    <s v="Same Day"/>
    <s v="Corporate"/>
    <s v="Fasteners"/>
    <n v="5"/>
    <n v="0"/>
    <n v="8.9499999999999993"/>
    <n v="17.899999999999999"/>
  </r>
  <r>
    <s v="United States"/>
    <x v="266"/>
    <s v="Same Day"/>
    <s v="Corporate"/>
    <s v="Furnishings"/>
    <n v="4"/>
    <n v="0"/>
    <n v="8.0967999999999982"/>
    <n v="27.92"/>
  </r>
  <r>
    <s v="United States"/>
    <x v="266"/>
    <s v="Same Day"/>
    <s v="Corporate"/>
    <s v="Paper"/>
    <n v="4"/>
    <n v="0"/>
    <n v="10.9374"/>
    <n v="23.34"/>
  </r>
  <r>
    <s v="United States"/>
    <x v="266"/>
    <s v="Same Day"/>
    <s v="Corporate"/>
    <s v="Supplies"/>
    <n v="2"/>
    <n v="0"/>
    <n v="11.585999999999984"/>
    <n v="231.72"/>
  </r>
  <r>
    <s v="United States"/>
    <x v="266"/>
    <s v="Same Day"/>
    <s v="Corporate"/>
    <s v="Tables"/>
    <n v="7"/>
    <n v="0.2"/>
    <n v="-14.987700000000061"/>
    <n v="399.67200000000003"/>
  </r>
  <r>
    <s v="United States"/>
    <x v="266"/>
    <s v="Same Day"/>
    <s v="Home Office"/>
    <s v="Appliances"/>
    <n v="2"/>
    <n v="0"/>
    <n v="31.018399999999986"/>
    <n v="106.96"/>
  </r>
  <r>
    <s v="United States"/>
    <x v="266"/>
    <s v="Same Day"/>
    <s v="Home Office"/>
    <s v="Art"/>
    <n v="4"/>
    <n v="0"/>
    <n v="3.36"/>
    <n v="6.72"/>
  </r>
  <r>
    <s v="United States"/>
    <x v="266"/>
    <s v="Same Day"/>
    <s v="Home Office"/>
    <s v="Binders"/>
    <n v="1"/>
    <n v="0.2"/>
    <n v="2.1546000000000003"/>
    <n v="6.3840000000000003"/>
  </r>
  <r>
    <s v="United States"/>
    <x v="266"/>
    <s v="Same Day"/>
    <s v="Home Office"/>
    <s v="Bookcases"/>
    <n v="5"/>
    <n v="0.15"/>
    <n v="35.245000000000005"/>
    <n v="599.16499999999996"/>
  </r>
  <r>
    <s v="United States"/>
    <x v="266"/>
    <s v="Same Day"/>
    <s v="Home Office"/>
    <s v="Furnishings"/>
    <n v="4"/>
    <n v="0"/>
    <n v="76.9816"/>
    <n v="187.76"/>
  </r>
  <r>
    <s v="United States"/>
    <x v="266"/>
    <s v="Same Day"/>
    <s v="Home Office"/>
    <s v="Storage"/>
    <n v="4"/>
    <n v="0"/>
    <n v="125.14319999999998"/>
    <n v="481.32"/>
  </r>
  <r>
    <s v="United States"/>
    <x v="266"/>
    <s v="Second Class"/>
    <s v="Consumer"/>
    <s v="Accessories"/>
    <n v="29"/>
    <n v="0"/>
    <n v="610.3383"/>
    <n v="1754.8200000000002"/>
  </r>
  <r>
    <s v="United States"/>
    <x v="266"/>
    <s v="Second Class"/>
    <s v="Consumer"/>
    <s v="Appliances"/>
    <n v="10"/>
    <n v="0"/>
    <n v="195.9935999999999"/>
    <n v="671.3599999999999"/>
  </r>
  <r>
    <s v="United States"/>
    <x v="266"/>
    <s v="Second Class"/>
    <s v="Consumer"/>
    <s v="Art"/>
    <n v="30"/>
    <n v="0"/>
    <n v="103.98320000000001"/>
    <n v="378.47999999999996"/>
  </r>
  <r>
    <s v="United States"/>
    <x v="266"/>
    <s v="Second Class"/>
    <s v="Consumer"/>
    <s v="Binders"/>
    <n v="51"/>
    <n v="3.600000000000001"/>
    <n v="768.63409999999999"/>
    <n v="2217.232"/>
  </r>
  <r>
    <s v="United States"/>
    <x v="266"/>
    <s v="Second Class"/>
    <s v="Consumer"/>
    <s v="Bookcases"/>
    <n v="10"/>
    <n v="0.3"/>
    <n v="33.539599999999993"/>
    <n v="780.98"/>
  </r>
  <r>
    <s v="United States"/>
    <x v="266"/>
    <s v="Second Class"/>
    <s v="Consumer"/>
    <s v="Chairs"/>
    <n v="11"/>
    <n v="0.60000000000000009"/>
    <n v="-18.844600000000057"/>
    <n v="677.45600000000002"/>
  </r>
  <r>
    <s v="United States"/>
    <x v="266"/>
    <s v="Second Class"/>
    <s v="Consumer"/>
    <s v="Copiers"/>
    <n v="11"/>
    <n v="0.60000000000000009"/>
    <n v="1496.9701"/>
    <n v="4399.9120000000003"/>
  </r>
  <r>
    <s v="United States"/>
    <x v="266"/>
    <s v="Second Class"/>
    <s v="Consumer"/>
    <s v="Fasteners"/>
    <n v="6"/>
    <n v="0"/>
    <n v="10.74"/>
    <n v="21.48"/>
  </r>
  <r>
    <s v="United States"/>
    <x v="266"/>
    <s v="Second Class"/>
    <s v="Consumer"/>
    <s v="Furnishings"/>
    <n v="13"/>
    <n v="0"/>
    <n v="211.45739999999998"/>
    <n v="750.3"/>
  </r>
  <r>
    <s v="United States"/>
    <x v="266"/>
    <s v="Second Class"/>
    <s v="Consumer"/>
    <s v="Labels"/>
    <n v="20"/>
    <n v="0"/>
    <n v="43.969199999999994"/>
    <n v="94.38"/>
  </r>
  <r>
    <s v="United States"/>
    <x v="266"/>
    <s v="Second Class"/>
    <s v="Consumer"/>
    <s v="Paper"/>
    <n v="69"/>
    <n v="0"/>
    <n v="382.76529999999997"/>
    <n v="808.03000000000009"/>
  </r>
  <r>
    <s v="United States"/>
    <x v="266"/>
    <s v="Second Class"/>
    <s v="Consumer"/>
    <s v="Phones"/>
    <n v="15"/>
    <n v="0.8"/>
    <n v="109.77500000000001"/>
    <n v="1260.616"/>
  </r>
  <r>
    <s v="United States"/>
    <x v="266"/>
    <s v="Second Class"/>
    <s v="Consumer"/>
    <s v="Storage"/>
    <n v="20"/>
    <n v="0"/>
    <n v="518.73219999999992"/>
    <n v="1998.42"/>
  </r>
  <r>
    <s v="United States"/>
    <x v="266"/>
    <s v="Second Class"/>
    <s v="Consumer"/>
    <s v="Tables"/>
    <n v="2"/>
    <n v="0.2"/>
    <n v="-15.098000000000013"/>
    <n v="241.56799999999998"/>
  </r>
  <r>
    <s v="United States"/>
    <x v="266"/>
    <s v="Second Class"/>
    <s v="Corporate"/>
    <s v="Accessories"/>
    <n v="18"/>
    <n v="0"/>
    <n v="287.3066"/>
    <n v="1058.6199999999999"/>
  </r>
  <r>
    <s v="United States"/>
    <x v="266"/>
    <s v="Second Class"/>
    <s v="Corporate"/>
    <s v="Appliances"/>
    <n v="10"/>
    <n v="0"/>
    <n v="42.938199999999995"/>
    <n v="152.30000000000001"/>
  </r>
  <r>
    <s v="United States"/>
    <x v="266"/>
    <s v="Second Class"/>
    <s v="Corporate"/>
    <s v="Art"/>
    <n v="12"/>
    <n v="0"/>
    <n v="42.931400000000004"/>
    <n v="151.29"/>
  </r>
  <r>
    <s v="United States"/>
    <x v="266"/>
    <s v="Second Class"/>
    <s v="Corporate"/>
    <s v="Binders"/>
    <n v="32"/>
    <n v="1.9999999999999998"/>
    <n v="125.27369999999998"/>
    <n v="357.92"/>
  </r>
  <r>
    <s v="United States"/>
    <x v="266"/>
    <s v="Second Class"/>
    <s v="Corporate"/>
    <s v="Chairs"/>
    <n v="8"/>
    <n v="0.8"/>
    <n v="24.418399999999977"/>
    <n v="693.00800000000004"/>
  </r>
  <r>
    <s v="United States"/>
    <x v="266"/>
    <s v="Second Class"/>
    <s v="Corporate"/>
    <s v="Envelopes"/>
    <n v="3"/>
    <n v="0"/>
    <n v="122.148"/>
    <n v="271.44"/>
  </r>
  <r>
    <s v="United States"/>
    <x v="266"/>
    <s v="Second Class"/>
    <s v="Corporate"/>
    <s v="Furnishings"/>
    <n v="16"/>
    <n v="0"/>
    <n v="46.410800000000009"/>
    <n v="346.76"/>
  </r>
  <r>
    <s v="United States"/>
    <x v="266"/>
    <s v="Second Class"/>
    <s v="Corporate"/>
    <s v="Labels"/>
    <n v="4"/>
    <n v="0"/>
    <n v="11.683199999999999"/>
    <n v="24.439999999999998"/>
  </r>
  <r>
    <s v="United States"/>
    <x v="266"/>
    <s v="Second Class"/>
    <s v="Corporate"/>
    <s v="Paper"/>
    <n v="11"/>
    <n v="0"/>
    <n v="71.615200000000002"/>
    <n v="150.28"/>
  </r>
  <r>
    <s v="United States"/>
    <x v="266"/>
    <s v="Second Class"/>
    <s v="Corporate"/>
    <s v="Phones"/>
    <n v="17"/>
    <n v="1.2"/>
    <n v="99.826300000000032"/>
    <n v="1371.808"/>
  </r>
  <r>
    <s v="United States"/>
    <x v="266"/>
    <s v="Second Class"/>
    <s v="Corporate"/>
    <s v="Storage"/>
    <n v="19"/>
    <n v="0"/>
    <n v="77.192199999999929"/>
    <n v="1600.3500000000001"/>
  </r>
  <r>
    <s v="United States"/>
    <x v="266"/>
    <s v="Second Class"/>
    <s v="Corporate"/>
    <s v="Tables"/>
    <n v="10"/>
    <n v="1"/>
    <n v="-71.756800000000041"/>
    <n v="1946.904"/>
  </r>
  <r>
    <s v="United States"/>
    <x v="266"/>
    <s v="Second Class"/>
    <s v="Home Office"/>
    <s v="Accessories"/>
    <n v="2"/>
    <n v="0"/>
    <n v="47.993999999999986"/>
    <n v="159.97999999999999"/>
  </r>
  <r>
    <s v="United States"/>
    <x v="266"/>
    <s v="Second Class"/>
    <s v="Home Office"/>
    <s v="Appliances"/>
    <n v="12"/>
    <n v="0"/>
    <n v="103.38720000000001"/>
    <n v="321.79999999999995"/>
  </r>
  <r>
    <s v="United States"/>
    <x v="266"/>
    <s v="Second Class"/>
    <s v="Home Office"/>
    <s v="Art"/>
    <n v="2"/>
    <n v="0"/>
    <n v="2.7899999999999991"/>
    <n v="11.16"/>
  </r>
  <r>
    <s v="United States"/>
    <x v="266"/>
    <s v="Second Class"/>
    <s v="Home Office"/>
    <s v="Binders"/>
    <n v="5"/>
    <n v="0.2"/>
    <n v="46.224999999999987"/>
    <n v="147.91999999999999"/>
  </r>
  <r>
    <s v="United States"/>
    <x v="266"/>
    <s v="Second Class"/>
    <s v="Home Office"/>
    <s v="Chairs"/>
    <n v="5"/>
    <n v="0.4"/>
    <n v="80.062200000000018"/>
    <n v="973.64800000000002"/>
  </r>
  <r>
    <s v="United States"/>
    <x v="266"/>
    <s v="Second Class"/>
    <s v="Home Office"/>
    <s v="Furnishings"/>
    <n v="12"/>
    <n v="0"/>
    <n v="171.1044"/>
    <n v="784.98"/>
  </r>
  <r>
    <s v="United States"/>
    <x v="266"/>
    <s v="Second Class"/>
    <s v="Home Office"/>
    <s v="Labels"/>
    <n v="4"/>
    <n v="0"/>
    <n v="5.4332000000000003"/>
    <n v="11.56"/>
  </r>
  <r>
    <s v="United States"/>
    <x v="266"/>
    <s v="Second Class"/>
    <s v="Home Office"/>
    <s v="Paper"/>
    <n v="22"/>
    <n v="0"/>
    <n v="229.8356"/>
    <n v="485.16"/>
  </r>
  <r>
    <s v="United States"/>
    <x v="266"/>
    <s v="Second Class"/>
    <s v="Home Office"/>
    <s v="Phones"/>
    <n v="17"/>
    <n v="0.4"/>
    <n v="124.30799999999996"/>
    <n v="1465.4639999999999"/>
  </r>
  <r>
    <s v="United States"/>
    <x v="266"/>
    <s v="Second Class"/>
    <s v="Home Office"/>
    <s v="Storage"/>
    <n v="26"/>
    <n v="0"/>
    <n v="93.111900000000077"/>
    <n v="1376.41"/>
  </r>
  <r>
    <s v="United States"/>
    <x v="266"/>
    <s v="Second Class"/>
    <s v="Home Office"/>
    <s v="Supplies"/>
    <n v="4"/>
    <n v="0"/>
    <n v="4.5007999999999981"/>
    <n v="15.52"/>
  </r>
  <r>
    <s v="United States"/>
    <x v="266"/>
    <s v="Second Class"/>
    <s v="Home Office"/>
    <s v="Tables"/>
    <n v="9"/>
    <n v="0.2"/>
    <n v="22.408199999999994"/>
    <n v="896.32799999999997"/>
  </r>
  <r>
    <s v="United States"/>
    <x v="266"/>
    <s v="Standard Class"/>
    <s v="Consumer"/>
    <s v="Accessories"/>
    <n v="43"/>
    <n v="0"/>
    <n v="1314.7586999999999"/>
    <n v="4090.389999999999"/>
  </r>
  <r>
    <s v="United States"/>
    <x v="266"/>
    <s v="Standard Class"/>
    <s v="Consumer"/>
    <s v="Appliances"/>
    <n v="26"/>
    <n v="0"/>
    <n v="257.88819999999998"/>
    <n v="878.98"/>
  </r>
  <r>
    <s v="United States"/>
    <x v="266"/>
    <s v="Standard Class"/>
    <s v="Consumer"/>
    <s v="Art"/>
    <n v="76"/>
    <n v="0"/>
    <n v="114.03279999999999"/>
    <n v="379.78999999999996"/>
  </r>
  <r>
    <s v="United States"/>
    <x v="266"/>
    <s v="Standard Class"/>
    <s v="Consumer"/>
    <s v="Binders"/>
    <n v="115"/>
    <n v="5.4000000000000021"/>
    <n v="1469.0896999999998"/>
    <n v="4135.1200000000008"/>
  </r>
  <r>
    <s v="United States"/>
    <x v="266"/>
    <s v="Standard Class"/>
    <s v="Consumer"/>
    <s v="Bookcases"/>
    <n v="26"/>
    <n v="0.75"/>
    <n v="289.86789999999974"/>
    <n v="5309.5844999999999"/>
  </r>
  <r>
    <s v="United States"/>
    <x v="266"/>
    <s v="Standard Class"/>
    <s v="Consumer"/>
    <s v="Chairs"/>
    <n v="55"/>
    <n v="3.0000000000000004"/>
    <n v="114.94209999999993"/>
    <n v="4749.9040000000005"/>
  </r>
  <r>
    <s v="United States"/>
    <x v="266"/>
    <s v="Standard Class"/>
    <s v="Consumer"/>
    <s v="Copiers"/>
    <n v="2"/>
    <n v="0.2"/>
    <n v="59.997999999999962"/>
    <n v="479.98400000000004"/>
  </r>
  <r>
    <s v="United States"/>
    <x v="266"/>
    <s v="Standard Class"/>
    <s v="Consumer"/>
    <s v="Envelopes"/>
    <n v="10"/>
    <n v="0"/>
    <n v="225.59509999999997"/>
    <n v="490.89"/>
  </r>
  <r>
    <s v="United States"/>
    <x v="266"/>
    <s v="Standard Class"/>
    <s v="Consumer"/>
    <s v="Fasteners"/>
    <n v="31"/>
    <n v="0"/>
    <n v="49.019299999999994"/>
    <n v="124.01000000000002"/>
  </r>
  <r>
    <s v="United States"/>
    <x v="266"/>
    <s v="Standard Class"/>
    <s v="Consumer"/>
    <s v="Furnishings"/>
    <n v="129"/>
    <n v="0"/>
    <n v="1119.6188000000002"/>
    <n v="3363.5599999999995"/>
  </r>
  <r>
    <s v="United States"/>
    <x v="266"/>
    <s v="Standard Class"/>
    <s v="Consumer"/>
    <s v="Labels"/>
    <n v="31"/>
    <n v="0"/>
    <n v="88.760299999999987"/>
    <n v="187.55"/>
  </r>
  <r>
    <s v="United States"/>
    <x v="266"/>
    <s v="Standard Class"/>
    <s v="Consumer"/>
    <s v="Machines"/>
    <n v="37"/>
    <n v="1.7999999999999998"/>
    <n v="1399.2376999999992"/>
    <n v="9600.0400000000009"/>
  </r>
  <r>
    <s v="United States"/>
    <x v="266"/>
    <s v="Standard Class"/>
    <s v="Consumer"/>
    <s v="Paper"/>
    <n v="162"/>
    <n v="0"/>
    <n v="1263.4203000000002"/>
    <n v="2661.31"/>
  </r>
  <r>
    <s v="United States"/>
    <x v="266"/>
    <s v="Standard Class"/>
    <s v="Consumer"/>
    <s v="Phones"/>
    <n v="114"/>
    <n v="5.0000000000000018"/>
    <n v="834.1900999999998"/>
    <n v="9498.32"/>
  </r>
  <r>
    <s v="United States"/>
    <x v="266"/>
    <s v="Standard Class"/>
    <s v="Consumer"/>
    <s v="Storage"/>
    <n v="87"/>
    <n v="0"/>
    <n v="820.23139999999967"/>
    <n v="6158.04"/>
  </r>
  <r>
    <s v="United States"/>
    <x v="266"/>
    <s v="Standard Class"/>
    <s v="Consumer"/>
    <s v="Supplies"/>
    <n v="4"/>
    <n v="0"/>
    <n v="1.5456000000000003"/>
    <n v="51.52"/>
  </r>
  <r>
    <s v="United States"/>
    <x v="266"/>
    <s v="Standard Class"/>
    <s v="Consumer"/>
    <s v="Tables"/>
    <n v="42"/>
    <n v="2.1999999999999997"/>
    <n v="-27.392900000000409"/>
    <n v="7945.8240000000014"/>
  </r>
  <r>
    <s v="United States"/>
    <x v="266"/>
    <s v="Standard Class"/>
    <s v="Corporate"/>
    <s v="Accessories"/>
    <n v="75"/>
    <n v="0"/>
    <n v="1813.8552999999995"/>
    <n v="6256.78"/>
  </r>
  <r>
    <s v="United States"/>
    <x v="266"/>
    <s v="Standard Class"/>
    <s v="Corporate"/>
    <s v="Appliances"/>
    <n v="46"/>
    <n v="0"/>
    <n v="663.70629999999994"/>
    <n v="2244.9799999999996"/>
  </r>
  <r>
    <s v="United States"/>
    <x v="266"/>
    <s v="Standard Class"/>
    <s v="Corporate"/>
    <s v="Art"/>
    <n v="40"/>
    <n v="0"/>
    <n v="65.70859999999999"/>
    <n v="214.51999999999998"/>
  </r>
  <r>
    <s v="United States"/>
    <x v="266"/>
    <s v="Standard Class"/>
    <s v="Corporate"/>
    <s v="Binders"/>
    <n v="36"/>
    <n v="1.9999999999999998"/>
    <n v="164.99259999999998"/>
    <n v="503.27200000000005"/>
  </r>
  <r>
    <s v="United States"/>
    <x v="266"/>
    <s v="Standard Class"/>
    <s v="Corporate"/>
    <s v="Bookcases"/>
    <n v="2"/>
    <n v="0.15"/>
    <n v="27.356800000000007"/>
    <n v="290.666"/>
  </r>
  <r>
    <s v="United States"/>
    <x v="266"/>
    <s v="Standard Class"/>
    <s v="Corporate"/>
    <s v="Chairs"/>
    <n v="45"/>
    <n v="2.1999999999999997"/>
    <n v="469.11739999999975"/>
    <n v="4871.7280000000001"/>
  </r>
  <r>
    <s v="United States"/>
    <x v="266"/>
    <s v="Standard Class"/>
    <s v="Corporate"/>
    <s v="Envelopes"/>
    <n v="15"/>
    <n v="0"/>
    <n v="175.02639999999997"/>
    <n v="372.04999999999995"/>
  </r>
  <r>
    <s v="United States"/>
    <x v="266"/>
    <s v="Standard Class"/>
    <s v="Corporate"/>
    <s v="Fasteners"/>
    <n v="3"/>
    <n v="0"/>
    <n v="5.2164000000000001"/>
    <n v="11.34"/>
  </r>
  <r>
    <s v="United States"/>
    <x v="266"/>
    <s v="Standard Class"/>
    <s v="Corporate"/>
    <s v="Furnishings"/>
    <n v="43"/>
    <n v="0"/>
    <n v="228.76480000000001"/>
    <n v="857.84999999999991"/>
  </r>
  <r>
    <s v="United States"/>
    <x v="266"/>
    <s v="Standard Class"/>
    <s v="Corporate"/>
    <s v="Labels"/>
    <n v="10"/>
    <n v="0"/>
    <n v="14.558100000000001"/>
    <n v="30.509999999999998"/>
  </r>
  <r>
    <s v="United States"/>
    <x v="266"/>
    <s v="Standard Class"/>
    <s v="Corporate"/>
    <s v="Machines"/>
    <n v="3"/>
    <n v="0.2"/>
    <n v="177.19799999999998"/>
    <n v="506.28"/>
  </r>
  <r>
    <s v="United States"/>
    <x v="266"/>
    <s v="Standard Class"/>
    <s v="Corporate"/>
    <s v="Paper"/>
    <n v="68"/>
    <n v="0"/>
    <n v="261.81120000000004"/>
    <n v="555.04"/>
  </r>
  <r>
    <s v="United States"/>
    <x v="266"/>
    <s v="Standard Class"/>
    <s v="Corporate"/>
    <s v="Phones"/>
    <n v="39"/>
    <n v="2.8000000000000003"/>
    <n v="225.60900000000009"/>
    <n v="2769.2880000000005"/>
  </r>
  <r>
    <s v="United States"/>
    <x v="266"/>
    <s v="Standard Class"/>
    <s v="Corporate"/>
    <s v="Storage"/>
    <n v="40"/>
    <n v="0"/>
    <n v="551.16499999999996"/>
    <n v="3213.9500000000003"/>
  </r>
  <r>
    <s v="United States"/>
    <x v="266"/>
    <s v="Standard Class"/>
    <s v="Corporate"/>
    <s v="Supplies"/>
    <n v="15"/>
    <n v="0"/>
    <n v="60.711899999999957"/>
    <n v="690.84999999999991"/>
  </r>
  <r>
    <s v="United States"/>
    <x v="266"/>
    <s v="Standard Class"/>
    <s v="Corporate"/>
    <s v="Tables"/>
    <n v="25"/>
    <n v="1"/>
    <n v="195.18839999999989"/>
    <n v="4710.7920000000013"/>
  </r>
  <r>
    <s v="United States"/>
    <x v="266"/>
    <s v="Standard Class"/>
    <s v="Home Office"/>
    <s v="Accessories"/>
    <n v="21"/>
    <n v="0"/>
    <n v="222.64"/>
    <n v="787.58"/>
  </r>
  <r>
    <s v="United States"/>
    <x v="266"/>
    <s v="Standard Class"/>
    <s v="Home Office"/>
    <s v="Appliances"/>
    <n v="22"/>
    <n v="0"/>
    <n v="757.20639999999992"/>
    <n v="2708.2999999999997"/>
  </r>
  <r>
    <s v="United States"/>
    <x v="266"/>
    <s v="Standard Class"/>
    <s v="Home Office"/>
    <s v="Art"/>
    <n v="42"/>
    <n v="0"/>
    <n v="78.546399999999991"/>
    <n v="271.59000000000003"/>
  </r>
  <r>
    <s v="United States"/>
    <x v="266"/>
    <s v="Standard Class"/>
    <s v="Home Office"/>
    <s v="Binders"/>
    <n v="60"/>
    <n v="2.4"/>
    <n v="359.84219999999999"/>
    <n v="1002.272"/>
  </r>
  <r>
    <s v="United States"/>
    <x v="266"/>
    <s v="Standard Class"/>
    <s v="Home Office"/>
    <s v="Chairs"/>
    <n v="3"/>
    <n v="0.4"/>
    <n v="-31.625399999999985"/>
    <n v="282.20799999999997"/>
  </r>
  <r>
    <s v="United States"/>
    <x v="266"/>
    <s v="Standard Class"/>
    <s v="Home Office"/>
    <s v="Copiers"/>
    <n v="8"/>
    <n v="0.4"/>
    <n v="1139.982"/>
    <n v="3839.9360000000001"/>
  </r>
  <r>
    <s v="United States"/>
    <x v="266"/>
    <s v="Standard Class"/>
    <s v="Home Office"/>
    <s v="Fasteners"/>
    <n v="7"/>
    <n v="0"/>
    <n v="0"/>
    <n v="13.86"/>
  </r>
  <r>
    <s v="United States"/>
    <x v="266"/>
    <s v="Standard Class"/>
    <s v="Home Office"/>
    <s v="Furnishings"/>
    <n v="15"/>
    <n v="0"/>
    <n v="39.212299999999999"/>
    <n v="111.80999999999997"/>
  </r>
  <r>
    <s v="United States"/>
    <x v="266"/>
    <s v="Standard Class"/>
    <s v="Home Office"/>
    <s v="Labels"/>
    <n v="15"/>
    <n v="0"/>
    <n v="42.707800000000006"/>
    <n v="87.710000000000008"/>
  </r>
  <r>
    <s v="United States"/>
    <x v="266"/>
    <s v="Standard Class"/>
    <s v="Home Office"/>
    <s v="Paper"/>
    <n v="41"/>
    <n v="0"/>
    <n v="271.87259999999998"/>
    <n v="564.43999999999994"/>
  </r>
  <r>
    <s v="United States"/>
    <x v="266"/>
    <s v="Standard Class"/>
    <s v="Home Office"/>
    <s v="Phones"/>
    <n v="39"/>
    <n v="1.9999999999999998"/>
    <n v="301.05540000000008"/>
    <n v="3432.8320000000003"/>
  </r>
  <r>
    <s v="United States"/>
    <x v="266"/>
    <s v="Standard Class"/>
    <s v="Home Office"/>
    <s v="Storage"/>
    <n v="22"/>
    <n v="0"/>
    <n v="255.00959999999995"/>
    <n v="1875.13"/>
  </r>
  <r>
    <s v="United States"/>
    <x v="266"/>
    <s v="Standard Class"/>
    <s v="Home Office"/>
    <s v="Tables"/>
    <n v="8"/>
    <n v="0.4"/>
    <n v="-163.04520000000011"/>
    <n v="1518"/>
  </r>
  <r>
    <s v="United States"/>
    <x v="267"/>
    <s v="First Class"/>
    <s v="Consumer"/>
    <s v="Accessories"/>
    <n v="6"/>
    <n v="0.2"/>
    <n v="56.566200000000009"/>
    <n v="196.75200000000001"/>
  </r>
  <r>
    <s v="United States"/>
    <x v="267"/>
    <s v="First Class"/>
    <s v="Consumer"/>
    <s v="Art"/>
    <n v="5"/>
    <n v="0"/>
    <n v="45.487000000000002"/>
    <n v="174.95000000000002"/>
  </r>
  <r>
    <s v="United States"/>
    <x v="267"/>
    <s v="First Class"/>
    <s v="Consumer"/>
    <s v="Binders"/>
    <n v="8"/>
    <n v="0.7"/>
    <n v="-7.3231999999999999"/>
    <n v="9.5520000000000014"/>
  </r>
  <r>
    <s v="United States"/>
    <x v="267"/>
    <s v="First Class"/>
    <s v="Consumer"/>
    <s v="Bookcases"/>
    <n v="3"/>
    <n v="0.7"/>
    <n v="-152.9847"/>
    <n v="89.991000000000014"/>
  </r>
  <r>
    <s v="United States"/>
    <x v="267"/>
    <s v="First Class"/>
    <s v="Consumer"/>
    <s v="Envelopes"/>
    <n v="9"/>
    <n v="0.2"/>
    <n v="7.4339999999999993"/>
    <n v="21.240000000000002"/>
  </r>
  <r>
    <s v="United States"/>
    <x v="267"/>
    <s v="First Class"/>
    <s v="Consumer"/>
    <s v="Paper"/>
    <n v="3"/>
    <n v="0"/>
    <n v="36.404399999999995"/>
    <n v="79.14"/>
  </r>
  <r>
    <s v="United States"/>
    <x v="267"/>
    <s v="First Class"/>
    <s v="Consumer"/>
    <s v="Storage"/>
    <n v="13"/>
    <n v="0"/>
    <n v="319.32799999999997"/>
    <n v="1174.56"/>
  </r>
  <r>
    <s v="United States"/>
    <x v="267"/>
    <s v="First Class"/>
    <s v="Corporate"/>
    <s v="Appliances"/>
    <n v="3"/>
    <n v="0"/>
    <n v="62.531999999999982"/>
    <n v="208.44"/>
  </r>
  <r>
    <s v="United States"/>
    <x v="267"/>
    <s v="First Class"/>
    <s v="Corporate"/>
    <s v="Supplies"/>
    <n v="2"/>
    <n v="0"/>
    <n v="0.77280000000000015"/>
    <n v="25.76"/>
  </r>
  <r>
    <s v="United States"/>
    <x v="267"/>
    <s v="Same Day"/>
    <s v="Consumer"/>
    <s v="Fasteners"/>
    <n v="3"/>
    <n v="0"/>
    <n v="5.2625999999999999"/>
    <n v="10.74"/>
  </r>
  <r>
    <s v="United States"/>
    <x v="267"/>
    <s v="Same Day"/>
    <s v="Home Office"/>
    <s v="Chairs"/>
    <n v="4"/>
    <n v="0.2"/>
    <n v="5.1960000000000015"/>
    <n v="83.13600000000001"/>
  </r>
  <r>
    <s v="United States"/>
    <x v="267"/>
    <s v="Same Day"/>
    <s v="Home Office"/>
    <s v="Phones"/>
    <n v="3"/>
    <n v="0.2"/>
    <n v="9.1844999999999928"/>
    <n v="146.952"/>
  </r>
  <r>
    <s v="United States"/>
    <x v="267"/>
    <s v="Second Class"/>
    <s v="Consumer"/>
    <s v="Art"/>
    <n v="2"/>
    <n v="0.2"/>
    <n v="10.833799999999998"/>
    <n v="37.972000000000001"/>
  </r>
  <r>
    <s v="United States"/>
    <x v="267"/>
    <s v="Second Class"/>
    <s v="Consumer"/>
    <s v="Binders"/>
    <n v="1"/>
    <n v="0"/>
    <n v="5.8890999999999991"/>
    <n v="12.53"/>
  </r>
  <r>
    <s v="United States"/>
    <x v="267"/>
    <s v="Second Class"/>
    <s v="Consumer"/>
    <s v="Chairs"/>
    <n v="22"/>
    <n v="0.2"/>
    <n v="630.55009999999993"/>
    <n v="2675.94"/>
  </r>
  <r>
    <s v="United States"/>
    <x v="267"/>
    <s v="Second Class"/>
    <s v="Consumer"/>
    <s v="Paper"/>
    <n v="4"/>
    <n v="0.2"/>
    <n v="12.5328"/>
    <n v="35.808"/>
  </r>
  <r>
    <s v="United States"/>
    <x v="267"/>
    <s v="Second Class"/>
    <s v="Consumer"/>
    <s v="Phones"/>
    <n v="2"/>
    <n v="0.2"/>
    <n v="55.998400000000032"/>
    <n v="559.98400000000004"/>
  </r>
  <r>
    <s v="United States"/>
    <x v="267"/>
    <s v="Second Class"/>
    <s v="Consumer"/>
    <s v="Storage"/>
    <n v="3"/>
    <n v="0"/>
    <n v="9.5940000000000012"/>
    <n v="95.94"/>
  </r>
  <r>
    <s v="United States"/>
    <x v="267"/>
    <s v="Second Class"/>
    <s v="Consumer"/>
    <s v="Tables"/>
    <n v="2"/>
    <n v="0.5"/>
    <n v="-99.266399999999976"/>
    <n v="145.97999999999999"/>
  </r>
  <r>
    <s v="United States"/>
    <x v="267"/>
    <s v="Second Class"/>
    <s v="Corporate"/>
    <s v="Chairs"/>
    <n v="2"/>
    <n v="0"/>
    <n v="168.47040000000004"/>
    <n v="701.96"/>
  </r>
  <r>
    <s v="United States"/>
    <x v="267"/>
    <s v="Second Class"/>
    <s v="Corporate"/>
    <s v="Fasteners"/>
    <n v="3"/>
    <n v="0.2"/>
    <n v="3.065399999999999"/>
    <n v="9.4320000000000004"/>
  </r>
  <r>
    <s v="United States"/>
    <x v="267"/>
    <s v="Standard Class"/>
    <s v="Consumer"/>
    <s v="Accessories"/>
    <n v="4"/>
    <n v="0.2"/>
    <n v="-2.9180000000000028"/>
    <n v="46.688000000000002"/>
  </r>
  <r>
    <s v="United States"/>
    <x v="267"/>
    <s v="Standard Class"/>
    <s v="Consumer"/>
    <s v="Binders"/>
    <n v="6"/>
    <n v="0"/>
    <n v="33.7149"/>
    <n v="70.11"/>
  </r>
  <r>
    <s v="United States"/>
    <x v="267"/>
    <s v="Standard Class"/>
    <s v="Consumer"/>
    <s v="Chairs"/>
    <n v="5"/>
    <n v="0"/>
    <n v="129.57300000000004"/>
    <n v="479.9"/>
  </r>
  <r>
    <s v="United States"/>
    <x v="267"/>
    <s v="Standard Class"/>
    <s v="Consumer"/>
    <s v="Furnishings"/>
    <n v="6"/>
    <n v="0.2"/>
    <n v="42.789599999999979"/>
    <n v="232.63200000000001"/>
  </r>
  <r>
    <s v="United States"/>
    <x v="267"/>
    <s v="Standard Class"/>
    <s v="Consumer"/>
    <s v="Labels"/>
    <n v="1"/>
    <n v="0"/>
    <n v="1.2005999999999999"/>
    <n v="2.61"/>
  </r>
  <r>
    <s v="United States"/>
    <x v="267"/>
    <s v="Standard Class"/>
    <s v="Consumer"/>
    <s v="Paper"/>
    <n v="1"/>
    <n v="0.2"/>
    <n v="2.0849999999999991"/>
    <n v="6.6720000000000006"/>
  </r>
  <r>
    <s v="United States"/>
    <x v="267"/>
    <s v="Standard Class"/>
    <s v="Consumer"/>
    <s v="Phones"/>
    <n v="17"/>
    <n v="0.2"/>
    <n v="175.48570000000004"/>
    <n v="785.22399999999993"/>
  </r>
  <r>
    <s v="United States"/>
    <x v="267"/>
    <s v="Standard Class"/>
    <s v="Consumer"/>
    <s v="Storage"/>
    <n v="3"/>
    <n v="0.2"/>
    <n v="20.745899999999985"/>
    <n v="237.09600000000003"/>
  </r>
  <r>
    <s v="United States"/>
    <x v="267"/>
    <s v="Standard Class"/>
    <s v="Corporate"/>
    <s v="Art"/>
    <n v="2"/>
    <n v="0.2"/>
    <n v="0.59920000000000018"/>
    <n v="6.8480000000000008"/>
  </r>
  <r>
    <s v="United States"/>
    <x v="267"/>
    <s v="Standard Class"/>
    <s v="Corporate"/>
    <s v="Furnishings"/>
    <n v="3"/>
    <n v="0.2"/>
    <n v="3.665999999999995"/>
    <n v="29.328000000000003"/>
  </r>
  <r>
    <s v="United States"/>
    <x v="267"/>
    <s v="Standard Class"/>
    <s v="Home Office"/>
    <s v="Accessories"/>
    <n v="20"/>
    <n v="0"/>
    <n v="74.183799999999991"/>
    <n v="378.02"/>
  </r>
  <r>
    <s v="United States"/>
    <x v="267"/>
    <s v="Standard Class"/>
    <s v="Home Office"/>
    <s v="Binders"/>
    <n v="33"/>
    <n v="2.0999999999999996"/>
    <n v="148.31709999999998"/>
    <n v="429.00799999999998"/>
  </r>
  <r>
    <s v="United States"/>
    <x v="267"/>
    <s v="Standard Class"/>
    <s v="Home Office"/>
    <s v="Furnishings"/>
    <n v="5"/>
    <n v="0"/>
    <n v="12.446999999999999"/>
    <n v="34.22"/>
  </r>
  <r>
    <s v="United States"/>
    <x v="267"/>
    <s v="Standard Class"/>
    <s v="Home Office"/>
    <s v="Machines"/>
    <n v="5"/>
    <n v="0.7"/>
    <n v="-3399.9800000000009"/>
    <n v="2549.9850000000006"/>
  </r>
  <r>
    <s v="United States"/>
    <x v="267"/>
    <s v="Standard Class"/>
    <s v="Home Office"/>
    <s v="Paper"/>
    <n v="4"/>
    <n v="0.2"/>
    <n v="7.2576000000000001"/>
    <n v="20.736000000000004"/>
  </r>
  <r>
    <s v="United States"/>
    <x v="267"/>
    <s v="Standard Class"/>
    <s v="Home Office"/>
    <s v="Phones"/>
    <n v="3"/>
    <n v="0"/>
    <n v="134.99250000000001"/>
    <n v="539.97"/>
  </r>
  <r>
    <s v="United States"/>
    <x v="268"/>
    <s v="First Class"/>
    <s v="Corporate"/>
    <s v="Envelopes"/>
    <n v="1"/>
    <n v="0.2"/>
    <n v="3.1842000000000001"/>
    <n v="8.7840000000000007"/>
  </r>
  <r>
    <s v="United States"/>
    <x v="268"/>
    <s v="First Class"/>
    <s v="Corporate"/>
    <s v="Paper"/>
    <n v="2"/>
    <n v="0.2"/>
    <n v="2.8884000000000007"/>
    <n v="7.9680000000000009"/>
  </r>
  <r>
    <s v="United States"/>
    <x v="268"/>
    <s v="Second Class"/>
    <s v="Corporate"/>
    <s v="Binders"/>
    <n v="2"/>
    <n v="0.7"/>
    <n v="-0.98999999999999977"/>
    <n v="1.1880000000000002"/>
  </r>
  <r>
    <s v="United States"/>
    <x v="268"/>
    <s v="Standard Class"/>
    <s v="Consumer"/>
    <s v="Fasteners"/>
    <n v="3"/>
    <n v="0.2"/>
    <n v="-0.6048"/>
    <n v="3.024"/>
  </r>
  <r>
    <s v="United States"/>
    <x v="269"/>
    <s v="First Class"/>
    <s v="Consumer"/>
    <s v="Appliances"/>
    <n v="7"/>
    <n v="0"/>
    <n v="80.320799999999991"/>
    <n v="286.85999999999996"/>
  </r>
  <r>
    <s v="United States"/>
    <x v="269"/>
    <s v="First Class"/>
    <s v="Consumer"/>
    <s v="Furnishings"/>
    <n v="5"/>
    <n v="0"/>
    <n v="18.8262"/>
    <n v="55.66"/>
  </r>
  <r>
    <s v="United States"/>
    <x v="269"/>
    <s v="First Class"/>
    <s v="Consumer"/>
    <s v="Phones"/>
    <n v="7"/>
    <n v="0"/>
    <n v="363.03649999999993"/>
    <n v="1251.8499999999999"/>
  </r>
  <r>
    <s v="United States"/>
    <x v="269"/>
    <s v="First Class"/>
    <s v="Consumer"/>
    <s v="Storage"/>
    <n v="5"/>
    <n v="0"/>
    <n v="207.14699999999993"/>
    <n v="714.30000000000007"/>
  </r>
  <r>
    <s v="United States"/>
    <x v="269"/>
    <s v="First Class"/>
    <s v="Consumer"/>
    <s v="Supplies"/>
    <n v="2"/>
    <n v="0"/>
    <n v="0.17439999999999944"/>
    <n v="4.3600000000000003"/>
  </r>
  <r>
    <s v="United States"/>
    <x v="269"/>
    <s v="Second Class"/>
    <s v="Corporate"/>
    <s v="Chairs"/>
    <n v="6"/>
    <n v="0"/>
    <n v="212.18759999999997"/>
    <n v="785.87999999999988"/>
  </r>
  <r>
    <s v="United States"/>
    <x v="269"/>
    <s v="Second Class"/>
    <s v="Corporate"/>
    <s v="Paper"/>
    <n v="9"/>
    <n v="0"/>
    <n v="141.26839999999999"/>
    <n v="298.15999999999997"/>
  </r>
  <r>
    <s v="United States"/>
    <x v="269"/>
    <s v="Second Class"/>
    <s v="Corporate"/>
    <s v="Storage"/>
    <n v="5"/>
    <n v="0"/>
    <n v="238.65299999999991"/>
    <n v="1325.8500000000001"/>
  </r>
  <r>
    <s v="United States"/>
    <x v="269"/>
    <s v="Standard Class"/>
    <s v="Consumer"/>
    <s v="Art"/>
    <n v="5"/>
    <n v="0"/>
    <n v="7.2468000000000004"/>
    <n v="20.520000000000003"/>
  </r>
  <r>
    <s v="United States"/>
    <x v="269"/>
    <s v="Standard Class"/>
    <s v="Consumer"/>
    <s v="Paper"/>
    <n v="2"/>
    <n v="0"/>
    <n v="11.543199999999999"/>
    <n v="24.56"/>
  </r>
  <r>
    <s v="United States"/>
    <x v="269"/>
    <s v="Standard Class"/>
    <s v="Corporate"/>
    <s v="Phones"/>
    <n v="7"/>
    <n v="0"/>
    <n v="32.1678"/>
    <n v="69.930000000000007"/>
  </r>
  <r>
    <s v="United States"/>
    <x v="270"/>
    <s v="First Class"/>
    <s v="Corporate"/>
    <s v="Paper"/>
    <n v="2"/>
    <n v="0.2"/>
    <n v="3.3524000000000003"/>
    <n v="9.2480000000000011"/>
  </r>
  <r>
    <s v="United States"/>
    <x v="270"/>
    <s v="Same Day"/>
    <s v="Consumer"/>
    <s v="Furnishings"/>
    <n v="5"/>
    <n v="0.6"/>
    <n v="-11.321999999999999"/>
    <n v="25.16"/>
  </r>
  <r>
    <s v="United States"/>
    <x v="270"/>
    <s v="Standard Class"/>
    <s v="Consumer"/>
    <s v="Binders"/>
    <n v="1"/>
    <n v="0.8"/>
    <n v="-10.336000000000002"/>
    <n v="6.0799999999999983"/>
  </r>
  <r>
    <s v="United States"/>
    <x v="270"/>
    <s v="Standard Class"/>
    <s v="Consumer"/>
    <s v="Copiers"/>
    <n v="3"/>
    <n v="0.2"/>
    <n v="161.99189999999999"/>
    <n v="479.97600000000006"/>
  </r>
  <r>
    <s v="United States"/>
    <x v="270"/>
    <s v="Standard Class"/>
    <s v="Consumer"/>
    <s v="Paper"/>
    <n v="8"/>
    <n v="0.2"/>
    <n v="20.4984"/>
    <n v="60.736000000000004"/>
  </r>
  <r>
    <s v="United States"/>
    <x v="270"/>
    <s v="Standard Class"/>
    <s v="Home Office"/>
    <s v="Binders"/>
    <n v="3"/>
    <n v="0.8"/>
    <n v="-17.045999999999999"/>
    <n v="11.363999999999997"/>
  </r>
  <r>
    <s v="United States"/>
    <x v="271"/>
    <s v="First Class"/>
    <s v="Corporate"/>
    <s v="Accessories"/>
    <n v="7"/>
    <n v="0"/>
    <n v="43.055099999999996"/>
    <n v="116.85"/>
  </r>
  <r>
    <s v="United States"/>
    <x v="271"/>
    <s v="Second Class"/>
    <s v="Consumer"/>
    <s v="Binders"/>
    <n v="4"/>
    <n v="0"/>
    <n v="27.011199999999999"/>
    <n v="58.72"/>
  </r>
  <r>
    <s v="United States"/>
    <x v="271"/>
    <s v="Second Class"/>
    <s v="Corporate"/>
    <s v="Paper"/>
    <n v="6"/>
    <n v="0"/>
    <n v="18.662400000000002"/>
    <n v="38.880000000000003"/>
  </r>
  <r>
    <s v="United States"/>
    <x v="271"/>
    <s v="Standard Class"/>
    <s v="Consumer"/>
    <s v="Binders"/>
    <n v="2"/>
    <n v="0"/>
    <n v="3.4367999999999999"/>
    <n v="7.16"/>
  </r>
  <r>
    <s v="United States"/>
    <x v="271"/>
    <s v="Standard Class"/>
    <s v="Consumer"/>
    <s v="Furnishings"/>
    <n v="5"/>
    <n v="0"/>
    <n v="52.688000000000002"/>
    <n v="142.4"/>
  </r>
  <r>
    <s v="United States"/>
    <x v="272"/>
    <s v="First Class"/>
    <s v="Consumer"/>
    <s v="Art"/>
    <n v="4"/>
    <n v="0"/>
    <n v="12.592800000000004"/>
    <n v="46.64"/>
  </r>
  <r>
    <s v="United States"/>
    <x v="272"/>
    <s v="First Class"/>
    <s v="Consumer"/>
    <s v="Chairs"/>
    <n v="8"/>
    <n v="0"/>
    <n v="673.88160000000016"/>
    <n v="2807.84"/>
  </r>
  <r>
    <s v="United States"/>
    <x v="272"/>
    <s v="Same Day"/>
    <s v="Consumer"/>
    <s v="Binders"/>
    <n v="2"/>
    <n v="0"/>
    <n v="3.8822000000000001"/>
    <n v="8.26"/>
  </r>
  <r>
    <s v="United States"/>
    <x v="272"/>
    <s v="Same Day"/>
    <s v="Consumer"/>
    <s v="Fasteners"/>
    <n v="1"/>
    <n v="0"/>
    <n v="0.65159999999999996"/>
    <n v="1.81"/>
  </r>
  <r>
    <s v="United States"/>
    <x v="272"/>
    <s v="Standard Class"/>
    <s v="Consumer"/>
    <s v="Accessories"/>
    <n v="3"/>
    <n v="0"/>
    <n v="32.059799999999996"/>
    <n v="178.10999999999999"/>
  </r>
  <r>
    <s v="United States"/>
    <x v="272"/>
    <s v="Standard Class"/>
    <s v="Consumer"/>
    <s v="Appliances"/>
    <n v="3"/>
    <n v="0"/>
    <n v="305.13000000000011"/>
    <n v="1089.75"/>
  </r>
  <r>
    <s v="United States"/>
    <x v="272"/>
    <s v="Standard Class"/>
    <s v="Consumer"/>
    <s v="Bookcases"/>
    <n v="4"/>
    <n v="0"/>
    <n v="41.392799999999966"/>
    <n v="459.92"/>
  </r>
  <r>
    <s v="United States"/>
    <x v="272"/>
    <s v="Standard Class"/>
    <s v="Consumer"/>
    <s v="Labels"/>
    <n v="2"/>
    <n v="0"/>
    <n v="28.087600000000002"/>
    <n v="61.06"/>
  </r>
  <r>
    <s v="United States"/>
    <x v="272"/>
    <s v="Standard Class"/>
    <s v="Consumer"/>
    <s v="Paper"/>
    <n v="4"/>
    <n v="0"/>
    <n v="12.659199999999998"/>
    <n v="27.52"/>
  </r>
  <r>
    <s v="United States"/>
    <x v="272"/>
    <s v="Standard Class"/>
    <s v="Consumer"/>
    <s v="Storage"/>
    <n v="6"/>
    <n v="0"/>
    <n v="13.317599999999999"/>
    <n v="665.88"/>
  </r>
  <r>
    <s v="United States"/>
    <x v="273"/>
    <s v="Standard Class"/>
    <s v="Consumer"/>
    <s v="Art"/>
    <n v="2"/>
    <n v="0"/>
    <n v="10.316800000000001"/>
    <n v="39.68"/>
  </r>
  <r>
    <s v="United States"/>
    <x v="273"/>
    <s v="Standard Class"/>
    <s v="Home Office"/>
    <s v="Bookcases"/>
    <n v="3"/>
    <n v="0"/>
    <n v="13.915199999999992"/>
    <n v="173.94"/>
  </r>
  <r>
    <s v="United States"/>
    <x v="273"/>
    <s v="Standard Class"/>
    <s v="Home Office"/>
    <s v="Labels"/>
    <n v="4"/>
    <n v="0"/>
    <n v="6.9371999999999998"/>
    <n v="14.76"/>
  </r>
  <r>
    <s v="United States"/>
    <x v="274"/>
    <s v="First Class"/>
    <s v="Consumer"/>
    <s v="Labels"/>
    <n v="2"/>
    <n v="0"/>
    <n v="2.8224"/>
    <n v="5.76"/>
  </r>
  <r>
    <s v="United States"/>
    <x v="274"/>
    <s v="Same Day"/>
    <s v="Corporate"/>
    <s v="Binders"/>
    <n v="4"/>
    <n v="0"/>
    <n v="10.44"/>
    <n v="23.2"/>
  </r>
  <r>
    <s v="United States"/>
    <x v="274"/>
    <s v="Same Day"/>
    <s v="Corporate"/>
    <s v="Bookcases"/>
    <n v="4"/>
    <n v="0"/>
    <n v="271.41920000000005"/>
    <n v="1043.92"/>
  </r>
  <r>
    <s v="United States"/>
    <x v="274"/>
    <s v="Same Day"/>
    <s v="Corporate"/>
    <s v="Storage"/>
    <n v="7"/>
    <n v="0"/>
    <n v="29.341200000000008"/>
    <n v="104.79"/>
  </r>
  <r>
    <s v="United States"/>
    <x v="274"/>
    <s v="Same Day"/>
    <s v="Corporate"/>
    <s v="Supplies"/>
    <n v="2"/>
    <n v="0"/>
    <n v="0.14719999999999978"/>
    <n v="7.36"/>
  </r>
  <r>
    <s v="United States"/>
    <x v="274"/>
    <s v="Standard Class"/>
    <s v="Consumer"/>
    <s v="Art"/>
    <n v="6"/>
    <n v="0"/>
    <n v="48.806400000000011"/>
    <n v="119.03999999999999"/>
  </r>
  <r>
    <s v="United States"/>
    <x v="274"/>
    <s v="Standard Class"/>
    <s v="Consumer"/>
    <s v="Paper"/>
    <n v="5"/>
    <n v="0"/>
    <n v="134.65199999999999"/>
    <n v="274.8"/>
  </r>
  <r>
    <s v="United States"/>
    <x v="274"/>
    <s v="Standard Class"/>
    <s v="Consumer"/>
    <s v="Phones"/>
    <n v="2"/>
    <n v="0"/>
    <n v="74.8142"/>
    <n v="257.98"/>
  </r>
  <r>
    <s v="United States"/>
    <x v="274"/>
    <s v="Standard Class"/>
    <s v="Consumer"/>
    <s v="Storage"/>
    <n v="10"/>
    <n v="0"/>
    <n v="28.062800000000006"/>
    <n v="289.43"/>
  </r>
  <r>
    <s v="United States"/>
    <x v="275"/>
    <s v="Standard Class"/>
    <s v="Home Office"/>
    <s v="Phones"/>
    <n v="2"/>
    <n v="0"/>
    <n v="10.958399999999983"/>
    <n v="273.95999999999998"/>
  </r>
  <r>
    <s v="United States"/>
    <x v="276"/>
    <s v="First Class"/>
    <s v="Consumer"/>
    <s v="Tables"/>
    <n v="5"/>
    <n v="0.3"/>
    <n v="-81.306500000000028"/>
    <n v="517.40500000000009"/>
  </r>
  <r>
    <s v="United States"/>
    <x v="276"/>
    <s v="Second Class"/>
    <s v="Corporate"/>
    <s v="Paper"/>
    <n v="8"/>
    <n v="0.2"/>
    <n v="14.5152"/>
    <n v="41.472000000000008"/>
  </r>
  <r>
    <s v="United States"/>
    <x v="277"/>
    <s v="Same Day"/>
    <s v="Home Office"/>
    <s v="Chairs"/>
    <n v="3"/>
    <n v="0.2"/>
    <n v="13.764599999999994"/>
    <n v="122.352"/>
  </r>
  <r>
    <s v="United States"/>
    <x v="277"/>
    <s v="Same Day"/>
    <s v="Home Office"/>
    <s v="Envelopes"/>
    <n v="2"/>
    <n v="0"/>
    <n v="7.4871999999999996"/>
    <n v="15.28"/>
  </r>
  <r>
    <s v="United States"/>
    <x v="277"/>
    <s v="Standard Class"/>
    <s v="Home Office"/>
    <s v="Paper"/>
    <n v="3"/>
    <n v="0"/>
    <n v="150.98399999999998"/>
    <n v="314.54999999999995"/>
  </r>
  <r>
    <s v="United States"/>
    <x v="278"/>
    <s v="First Class"/>
    <s v="Home Office"/>
    <s v="Labels"/>
    <n v="3"/>
    <n v="0"/>
    <n v="22.200000000000003"/>
    <n v="44.400000000000006"/>
  </r>
  <r>
    <s v="United States"/>
    <x v="278"/>
    <s v="First Class"/>
    <s v="Home Office"/>
    <s v="Paper"/>
    <n v="3"/>
    <n v="0"/>
    <n v="8.7906000000000013"/>
    <n v="17.940000000000001"/>
  </r>
  <r>
    <s v="United States"/>
    <x v="278"/>
    <s v="First Class"/>
    <s v="Home Office"/>
    <s v="Storage"/>
    <n v="5"/>
    <n v="0"/>
    <n v="22.828499999999998"/>
    <n v="84.55"/>
  </r>
  <r>
    <s v="United States"/>
    <x v="278"/>
    <s v="Standard Class"/>
    <s v="Corporate"/>
    <s v="Binders"/>
    <n v="2"/>
    <n v="0"/>
    <n v="331.19099999999997"/>
    <n v="735.98"/>
  </r>
  <r>
    <s v="United States"/>
    <x v="279"/>
    <s v="Standard Class"/>
    <s v="Consumer"/>
    <s v="Art"/>
    <n v="3"/>
    <n v="0.2"/>
    <n v="2.3327999999999989"/>
    <n v="15.552000000000003"/>
  </r>
  <r>
    <s v="United States"/>
    <x v="280"/>
    <s v="Same Day"/>
    <s v="Home Office"/>
    <s v="Paper"/>
    <n v="9"/>
    <n v="0"/>
    <n v="27.993600000000001"/>
    <n v="58.320000000000007"/>
  </r>
  <r>
    <s v="United States"/>
    <x v="280"/>
    <s v="Same Day"/>
    <s v="Home Office"/>
    <s v="Phones"/>
    <n v="3"/>
    <n v="0"/>
    <n v="50.242500000000007"/>
    <n v="200.96999999999997"/>
  </r>
  <r>
    <s v="United States"/>
    <x v="280"/>
    <s v="Second Class"/>
    <s v="Corporate"/>
    <s v="Accessories"/>
    <n v="6"/>
    <n v="0"/>
    <n v="6.1019999999999968"/>
    <n v="101.69999999999999"/>
  </r>
  <r>
    <s v="United States"/>
    <x v="280"/>
    <s v="Second Class"/>
    <s v="Corporate"/>
    <s v="Chairs"/>
    <n v="3"/>
    <n v="0"/>
    <n v="52.974299999999992"/>
    <n v="182.67000000000002"/>
  </r>
  <r>
    <s v="United States"/>
    <x v="280"/>
    <s v="Second Class"/>
    <s v="Corporate"/>
    <s v="Storage"/>
    <n v="9"/>
    <n v="0"/>
    <n v="372.12599999999992"/>
    <n v="2389.3200000000002"/>
  </r>
  <r>
    <s v="United States"/>
    <x v="280"/>
    <s v="Standard Class"/>
    <s v="Consumer"/>
    <s v="Binders"/>
    <n v="3"/>
    <n v="0"/>
    <n v="2.7071999999999994"/>
    <n v="5.64"/>
  </r>
  <r>
    <s v="United States"/>
    <x v="281"/>
    <s v="First Class"/>
    <s v="Home Office"/>
    <s v="Furnishings"/>
    <n v="2"/>
    <n v="0.2"/>
    <n v="1.7352000000000005"/>
    <n v="7.7120000000000006"/>
  </r>
  <r>
    <s v="United States"/>
    <x v="281"/>
    <s v="Same Day"/>
    <s v="Consumer"/>
    <s v="Art"/>
    <n v="8"/>
    <n v="0.2"/>
    <n v="4.6719999999999988"/>
    <n v="37.375999999999998"/>
  </r>
  <r>
    <s v="United States"/>
    <x v="281"/>
    <s v="Same Day"/>
    <s v="Consumer"/>
    <s v="Chairs"/>
    <n v="1"/>
    <n v="0.3"/>
    <n v="-24.23520000000001"/>
    <n v="70.685999999999993"/>
  </r>
  <r>
    <s v="United States"/>
    <x v="281"/>
    <s v="Same Day"/>
    <s v="Consumer"/>
    <s v="Phones"/>
    <n v="2"/>
    <n v="0.4"/>
    <n v="-89.089000000000055"/>
    <n v="485.93999999999994"/>
  </r>
  <r>
    <s v="United States"/>
    <x v="281"/>
    <s v="Second Class"/>
    <s v="Consumer"/>
    <s v="Furnishings"/>
    <n v="3"/>
    <n v="0"/>
    <n v="4.6220999999999997"/>
    <n v="14.91"/>
  </r>
  <r>
    <s v="United States"/>
    <x v="281"/>
    <s v="Second Class"/>
    <s v="Consumer"/>
    <s v="Paper"/>
    <n v="7"/>
    <n v="0"/>
    <n v="51.748799999999989"/>
    <n v="107.81"/>
  </r>
  <r>
    <s v="United States"/>
    <x v="281"/>
    <s v="Second Class"/>
    <s v="Consumer"/>
    <s v="Storage"/>
    <n v="1"/>
    <n v="0"/>
    <n v="3.5047999999999995"/>
    <n v="13.48"/>
  </r>
  <r>
    <s v="United States"/>
    <x v="281"/>
    <s v="Second Class"/>
    <s v="Corporate"/>
    <s v="Accessories"/>
    <n v="4"/>
    <n v="0.2"/>
    <n v="33.589200000000005"/>
    <n v="116.83199999999999"/>
  </r>
  <r>
    <s v="United States"/>
    <x v="281"/>
    <s v="Standard Class"/>
    <s v="Consumer"/>
    <s v="Accessories"/>
    <n v="3"/>
    <n v="0.4"/>
    <n v="62.069499999999977"/>
    <n v="327.88"/>
  </r>
  <r>
    <s v="United States"/>
    <x v="281"/>
    <s v="Standard Class"/>
    <s v="Consumer"/>
    <s v="Art"/>
    <n v="1"/>
    <n v="0.2"/>
    <n v="0.29519999999999957"/>
    <n v="2.6240000000000001"/>
  </r>
  <r>
    <s v="United States"/>
    <x v="281"/>
    <s v="Standard Class"/>
    <s v="Consumer"/>
    <s v="Furnishings"/>
    <n v="2"/>
    <n v="0.2"/>
    <n v="9.5735999999999937"/>
    <n v="63.824000000000005"/>
  </r>
  <r>
    <s v="United States"/>
    <x v="281"/>
    <s v="Standard Class"/>
    <s v="Consumer"/>
    <s v="Storage"/>
    <n v="3"/>
    <n v="0.2"/>
    <n v="-26.541000000000004"/>
    <n v="141.55199999999999"/>
  </r>
  <r>
    <s v="United States"/>
    <x v="281"/>
    <s v="Standard Class"/>
    <s v="Consumer"/>
    <s v="Tables"/>
    <n v="1"/>
    <n v="0.4"/>
    <n v="-52.336500000000029"/>
    <n v="136.53"/>
  </r>
  <r>
    <s v="United States"/>
    <x v="281"/>
    <s v="Standard Class"/>
    <s v="Corporate"/>
    <s v="Binders"/>
    <n v="8"/>
    <n v="0"/>
    <n v="54.444800000000001"/>
    <n v="115.84"/>
  </r>
  <r>
    <s v="United States"/>
    <x v="281"/>
    <s v="Standard Class"/>
    <s v="Corporate"/>
    <s v="Envelopes"/>
    <n v="3"/>
    <n v="0.2"/>
    <n v="6.7067999999999977"/>
    <n v="19.872"/>
  </r>
  <r>
    <s v="United States"/>
    <x v="281"/>
    <s v="Standard Class"/>
    <s v="Corporate"/>
    <s v="Storage"/>
    <n v="2"/>
    <n v="0.2"/>
    <n v="-6.3960000000000008"/>
    <n v="51.168000000000006"/>
  </r>
  <r>
    <s v="United States"/>
    <x v="281"/>
    <s v="Standard Class"/>
    <s v="Corporate"/>
    <s v="Tables"/>
    <n v="9"/>
    <n v="0.4"/>
    <n v="-464.69700000000012"/>
    <n v="1548.9900000000002"/>
  </r>
  <r>
    <s v="United States"/>
    <x v="281"/>
    <s v="Standard Class"/>
    <s v="Home Office"/>
    <s v="Paper"/>
    <n v="3"/>
    <n v="0"/>
    <n v="49.970399999999991"/>
    <n v="106.32"/>
  </r>
  <r>
    <s v="United States"/>
    <x v="282"/>
    <s v="Standard Class"/>
    <s v="Consumer"/>
    <s v="Furnishings"/>
    <n v="6"/>
    <n v="0"/>
    <n v="67.606799999999993"/>
    <n v="206.64"/>
  </r>
  <r>
    <s v="United States"/>
    <x v="283"/>
    <s v="Standard Class"/>
    <s v="Consumer"/>
    <s v="Art"/>
    <n v="3"/>
    <n v="0"/>
    <n v="2.3814000000000002"/>
    <n v="8.82"/>
  </r>
  <r>
    <s v="United States"/>
    <x v="283"/>
    <s v="Standard Class"/>
    <s v="Consumer"/>
    <s v="Fasteners"/>
    <n v="12"/>
    <n v="0"/>
    <n v="0.93359999999999843"/>
    <n v="93.36"/>
  </r>
  <r>
    <s v="United States"/>
    <x v="284"/>
    <s v="First Class"/>
    <s v="Corporate"/>
    <s v="Binders"/>
    <n v="5"/>
    <n v="1.4"/>
    <n v="-20.552399999999992"/>
    <n v="25.560000000000006"/>
  </r>
  <r>
    <s v="United States"/>
    <x v="284"/>
    <s v="First Class"/>
    <s v="Corporate"/>
    <s v="Furnishings"/>
    <n v="2"/>
    <n v="0.2"/>
    <n v="16.317200000000003"/>
    <n v="68.703999999999994"/>
  </r>
  <r>
    <s v="United States"/>
    <x v="285"/>
    <s v="Second Class"/>
    <s v="Corporate"/>
    <s v="Accessories"/>
    <n v="2"/>
    <n v="0.2"/>
    <n v="8.2847999999999971"/>
    <n v="41.424000000000007"/>
  </r>
  <r>
    <s v="United States"/>
    <x v="285"/>
    <s v="Second Class"/>
    <s v="Corporate"/>
    <s v="Art"/>
    <n v="6"/>
    <n v="0.4"/>
    <n v="7.3913999999999955"/>
    <n v="82.224000000000004"/>
  </r>
  <r>
    <s v="United States"/>
    <x v="285"/>
    <s v="Second Class"/>
    <s v="Corporate"/>
    <s v="Binders"/>
    <n v="3"/>
    <n v="1.6"/>
    <n v="-9.1870000000000012"/>
    <n v="5.7879999999999985"/>
  </r>
  <r>
    <s v="United States"/>
    <x v="285"/>
    <s v="Second Class"/>
    <s v="Corporate"/>
    <s v="Chairs"/>
    <n v="1"/>
    <n v="0.3"/>
    <n v="-20.245000000000008"/>
    <n v="56.686"/>
  </r>
  <r>
    <s v="United States"/>
    <x v="285"/>
    <s v="Second Class"/>
    <s v="Corporate"/>
    <s v="Paper"/>
    <n v="3"/>
    <n v="0.2"/>
    <n v="5.4432"/>
    <n v="15.552000000000003"/>
  </r>
  <r>
    <s v="United States"/>
    <x v="285"/>
    <s v="Second Class"/>
    <s v="Corporate"/>
    <s v="Phones"/>
    <n v="6"/>
    <n v="0.4"/>
    <n v="30.599799999999998"/>
    <n v="342.73599999999999"/>
  </r>
  <r>
    <s v="United States"/>
    <x v="285"/>
    <s v="Standard Class"/>
    <s v="Consumer"/>
    <s v="Art"/>
    <n v="7"/>
    <n v="0.4"/>
    <n v="15.726600000000008"/>
    <n v="180.36799999999999"/>
  </r>
  <r>
    <s v="United States"/>
    <x v="285"/>
    <s v="Standard Class"/>
    <s v="Consumer"/>
    <s v="Binders"/>
    <n v="4"/>
    <n v="0.8"/>
    <n v="-8.3160000000000025"/>
    <n v="4.7519999999999989"/>
  </r>
  <r>
    <s v="United States"/>
    <x v="285"/>
    <s v="Standard Class"/>
    <s v="Consumer"/>
    <s v="Paper"/>
    <n v="1"/>
    <n v="0.2"/>
    <n v="1.8144"/>
    <n v="5.1840000000000011"/>
  </r>
  <r>
    <s v="United States"/>
    <x v="285"/>
    <s v="Standard Class"/>
    <s v="Consumer"/>
    <s v="Supplies"/>
    <n v="2"/>
    <n v="0.2"/>
    <n v="1.0007999999999999"/>
    <n v="13.344000000000001"/>
  </r>
  <r>
    <s v="United States"/>
    <x v="285"/>
    <s v="Standard Class"/>
    <s v="Corporate"/>
    <s v="Binders"/>
    <n v="8"/>
    <n v="1.6"/>
    <n v="-13.948100000000004"/>
    <n v="8.8699999999999974"/>
  </r>
  <r>
    <s v="United States"/>
    <x v="285"/>
    <s v="Standard Class"/>
    <s v="Corporate"/>
    <s v="Storage"/>
    <n v="2"/>
    <n v="0.2"/>
    <n v="0.66959999999999997"/>
    <n v="8.9280000000000008"/>
  </r>
  <r>
    <s v="United States"/>
    <x v="285"/>
    <s v="Standard Class"/>
    <s v="Home Office"/>
    <s v="Accessories"/>
    <n v="3"/>
    <n v="0.2"/>
    <n v="3.4619999999999997"/>
    <n v="27.695999999999998"/>
  </r>
  <r>
    <s v="United States"/>
    <x v="285"/>
    <s v="Standard Class"/>
    <s v="Home Office"/>
    <s v="Appliances"/>
    <n v="6"/>
    <n v="0.8"/>
    <n v="-186.56820000000005"/>
    <n v="73.163999999999987"/>
  </r>
  <r>
    <s v="United States"/>
    <x v="286"/>
    <s v="Standard Class"/>
    <s v="Consumer"/>
    <s v="Paper"/>
    <n v="8"/>
    <n v="0.60000000000000009"/>
    <n v="26.534299999999995"/>
    <n v="80.456000000000017"/>
  </r>
  <r>
    <s v="United States"/>
    <x v="286"/>
    <s v="Standard Class"/>
    <s v="Corporate"/>
    <s v="Binders"/>
    <n v="2"/>
    <n v="0.7"/>
    <n v="-6.833400000000001"/>
    <n v="9.7620000000000005"/>
  </r>
  <r>
    <s v="United States"/>
    <x v="287"/>
    <s v="Standard Class"/>
    <s v="Consumer"/>
    <s v="Binders"/>
    <n v="3"/>
    <n v="0.7"/>
    <n v="-13.4694"/>
    <n v="19.242000000000001"/>
  </r>
  <r>
    <s v="United States"/>
    <x v="287"/>
    <s v="Standard Class"/>
    <s v="Consumer"/>
    <s v="Phones"/>
    <n v="13"/>
    <n v="0.8"/>
    <n v="-118.03920000000002"/>
    <n v="590.19599999999991"/>
  </r>
  <r>
    <s v="United States"/>
    <x v="287"/>
    <s v="Standard Class"/>
    <s v="Consumer"/>
    <s v="Tables"/>
    <n v="1"/>
    <n v="0.4"/>
    <n v="-15.476400000000005"/>
    <n v="51.588000000000001"/>
  </r>
  <r>
    <s v="United States"/>
    <x v="287"/>
    <s v="Standard Class"/>
    <s v="Corporate"/>
    <s v="Accessories"/>
    <n v="2"/>
    <n v="0.2"/>
    <n v="4.4792000000000058"/>
    <n v="89.584000000000003"/>
  </r>
  <r>
    <s v="United States"/>
    <x v="287"/>
    <s v="Standard Class"/>
    <s v="Corporate"/>
    <s v="Bookcases"/>
    <n v="5"/>
    <n v="0.5"/>
    <n v="-244.32300000000006"/>
    <n v="452.45"/>
  </r>
  <r>
    <s v="United States"/>
    <x v="287"/>
    <s v="Standard Class"/>
    <s v="Corporate"/>
    <s v="Labels"/>
    <n v="2"/>
    <n v="0.2"/>
    <n v="8.879999999999999"/>
    <n v="23.680000000000003"/>
  </r>
  <r>
    <s v="United States"/>
    <x v="287"/>
    <s v="Standard Class"/>
    <s v="Corporate"/>
    <s v="Machines"/>
    <n v="9"/>
    <n v="0.7"/>
    <n v="-950.40000000000009"/>
    <n v="1188.0000000000002"/>
  </r>
  <r>
    <s v="United States"/>
    <x v="287"/>
    <s v="Standard Class"/>
    <s v="Corporate"/>
    <s v="Phones"/>
    <n v="3"/>
    <n v="0.4"/>
    <n v="-14.695800000000006"/>
    <n v="62.981999999999999"/>
  </r>
  <r>
    <s v="United States"/>
    <x v="288"/>
    <s v="Standard Class"/>
    <s v="Corporate"/>
    <s v="Storage"/>
    <n v="2"/>
    <n v="0.2"/>
    <n v="9.5616000000000092"/>
    <n v="95.616"/>
  </r>
  <r>
    <s v="United States"/>
    <x v="289"/>
    <s v="First Class"/>
    <s v="Consumer"/>
    <s v="Binders"/>
    <n v="2"/>
    <n v="0.7"/>
    <n v="-2.0107999999999997"/>
    <n v="2.7420000000000004"/>
  </r>
  <r>
    <s v="United States"/>
    <x v="289"/>
    <s v="First Class"/>
    <s v="Consumer"/>
    <s v="Labels"/>
    <n v="1"/>
    <n v="0.2"/>
    <n v="1.2948"/>
    <n v="3.9840000000000004"/>
  </r>
  <r>
    <s v="United States"/>
    <x v="289"/>
    <s v="First Class"/>
    <s v="Consumer"/>
    <s v="Storage"/>
    <n v="1"/>
    <n v="0.2"/>
    <n v="-8.803799999999999"/>
    <n v="39.128"/>
  </r>
  <r>
    <s v="United States"/>
    <x v="289"/>
    <s v="First Class"/>
    <s v="Consumer"/>
    <s v="Tables"/>
    <n v="3"/>
    <n v="0.4"/>
    <n v="-142.07100000000008"/>
    <n v="370.62"/>
  </r>
  <r>
    <s v="United States"/>
    <x v="289"/>
    <s v="Second Class"/>
    <s v="Consumer"/>
    <s v="Paper"/>
    <n v="8"/>
    <n v="0.4"/>
    <n v="12.410999999999998"/>
    <n v="34.824000000000005"/>
  </r>
  <r>
    <s v="United States"/>
    <x v="289"/>
    <s v="Second Class"/>
    <s v="Consumer"/>
    <s v="Storage"/>
    <n v="4"/>
    <n v="0.2"/>
    <n v="-63.005600000000015"/>
    <n v="720.06400000000008"/>
  </r>
  <r>
    <s v="United States"/>
    <x v="289"/>
    <s v="Second Class"/>
    <s v="Consumer"/>
    <s v="Tables"/>
    <n v="3"/>
    <n v="0.4"/>
    <n v="-94.941000000000017"/>
    <n v="189.88200000000001"/>
  </r>
  <r>
    <s v="United States"/>
    <x v="289"/>
    <s v="Standard Class"/>
    <s v="Consumer"/>
    <s v="Accessories"/>
    <n v="2"/>
    <n v="0.2"/>
    <n v="0.47520000000000018"/>
    <n v="1.5840000000000001"/>
  </r>
  <r>
    <s v="United States"/>
    <x v="289"/>
    <s v="Standard Class"/>
    <s v="Consumer"/>
    <s v="Appliances"/>
    <n v="7"/>
    <n v="0.2"/>
    <n v="30.605399999999946"/>
    <n v="272.048"/>
  </r>
  <r>
    <s v="United States"/>
    <x v="289"/>
    <s v="Standard Class"/>
    <s v="Consumer"/>
    <s v="Binders"/>
    <n v="8"/>
    <n v="1.4"/>
    <n v="-1239.9083999999996"/>
    <n v="1617.5280000000002"/>
  </r>
  <r>
    <s v="United States"/>
    <x v="289"/>
    <s v="Standard Class"/>
    <s v="Consumer"/>
    <s v="Chairs"/>
    <n v="10"/>
    <n v="0.4"/>
    <n v="-66.730800000000059"/>
    <n v="1255.5840000000001"/>
  </r>
  <r>
    <s v="United States"/>
    <x v="289"/>
    <s v="Standard Class"/>
    <s v="Consumer"/>
    <s v="Envelopes"/>
    <n v="5"/>
    <n v="0.2"/>
    <n v="4.7969999999999988"/>
    <n v="14.76"/>
  </r>
  <r>
    <s v="United States"/>
    <x v="289"/>
    <s v="Standard Class"/>
    <s v="Consumer"/>
    <s v="Fasteners"/>
    <n v="11"/>
    <n v="0.4"/>
    <n v="27.71759999999999"/>
    <n v="79.424000000000007"/>
  </r>
  <r>
    <s v="United States"/>
    <x v="289"/>
    <s v="Standard Class"/>
    <s v="Consumer"/>
    <s v="Furnishings"/>
    <n v="3"/>
    <n v="0.4"/>
    <n v="1.2129999999999974"/>
    <n v="129.024"/>
  </r>
  <r>
    <s v="United States"/>
    <x v="289"/>
    <s v="Standard Class"/>
    <s v="Consumer"/>
    <s v="Paper"/>
    <n v="2"/>
    <n v="0.2"/>
    <n v="13.717599999999997"/>
    <n v="42.207999999999998"/>
  </r>
  <r>
    <s v="United States"/>
    <x v="289"/>
    <s v="Standard Class"/>
    <s v="Consumer"/>
    <s v="Storage"/>
    <n v="6"/>
    <n v="0.4"/>
    <n v="-73.078000000000003"/>
    <n v="316.70400000000001"/>
  </r>
  <r>
    <s v="United States"/>
    <x v="289"/>
    <s v="Standard Class"/>
    <s v="Corporate"/>
    <s v="Binders"/>
    <n v="3"/>
    <n v="0.7"/>
    <n v="-7.782"/>
    <n v="11.673000000000002"/>
  </r>
  <r>
    <s v="United States"/>
    <x v="289"/>
    <s v="Standard Class"/>
    <s v="Corporate"/>
    <s v="Chairs"/>
    <n v="2"/>
    <n v="0.2"/>
    <n v="70.197999999999922"/>
    <n v="561.58400000000006"/>
  </r>
  <r>
    <s v="United States"/>
    <x v="289"/>
    <s v="Standard Class"/>
    <s v="Corporate"/>
    <s v="Envelopes"/>
    <n v="15"/>
    <n v="0.4"/>
    <n v="43.196399999999997"/>
    <n v="120.78400000000002"/>
  </r>
  <r>
    <s v="United States"/>
    <x v="289"/>
    <s v="Standard Class"/>
    <s v="Corporate"/>
    <s v="Furnishings"/>
    <n v="7"/>
    <n v="0.4"/>
    <n v="8.9239999999999995"/>
    <n v="39.840000000000003"/>
  </r>
  <r>
    <s v="United States"/>
    <x v="289"/>
    <s v="Standard Class"/>
    <s v="Corporate"/>
    <s v="Labels"/>
    <n v="8"/>
    <n v="0.2"/>
    <n v="5.9903999999999984"/>
    <n v="18.431999999999999"/>
  </r>
  <r>
    <s v="United States"/>
    <x v="289"/>
    <s v="Standard Class"/>
    <s v="Corporate"/>
    <s v="Storage"/>
    <n v="5"/>
    <n v="0.2"/>
    <n v="-1.249000000000013"/>
    <n v="99.920000000000016"/>
  </r>
  <r>
    <s v="United States"/>
    <x v="290"/>
    <s v="Same Day"/>
    <s v="Home Office"/>
    <s v="Accessories"/>
    <n v="3"/>
    <n v="0.2"/>
    <n v="65.993400000000008"/>
    <n v="239.976"/>
  </r>
  <r>
    <s v="United States"/>
    <x v="290"/>
    <s v="Same Day"/>
    <s v="Home Office"/>
    <s v="Chairs"/>
    <n v="1"/>
    <n v="0.3"/>
    <n v="-15.466600000000003"/>
    <n v="63.686"/>
  </r>
  <r>
    <s v="United States"/>
    <x v="290"/>
    <s v="Same Day"/>
    <s v="Home Office"/>
    <s v="Furnishings"/>
    <n v="4"/>
    <n v="0.2"/>
    <n v="7.436799999999999"/>
    <n v="21.248000000000001"/>
  </r>
  <r>
    <s v="United States"/>
    <x v="290"/>
    <s v="Same Day"/>
    <s v="Home Office"/>
    <s v="Paper"/>
    <n v="5"/>
    <n v="0.4"/>
    <n v="8.0831999999999997"/>
    <n v="24.000000000000004"/>
  </r>
  <r>
    <s v="United States"/>
    <x v="290"/>
    <s v="Same Day"/>
    <s v="Home Office"/>
    <s v="Tables"/>
    <n v="2"/>
    <n v="0.4"/>
    <n v="-189.32100000000003"/>
    <n v="344.22"/>
  </r>
  <r>
    <s v="United States"/>
    <x v="291"/>
    <s v="First Class"/>
    <s v="Consumer"/>
    <s v="Art"/>
    <n v="5"/>
    <n v="0"/>
    <n v="6.2059999999999977"/>
    <n v="21.400000000000002"/>
  </r>
  <r>
    <s v="United States"/>
    <x v="291"/>
    <s v="First Class"/>
    <s v="Home Office"/>
    <s v="Art"/>
    <n v="4"/>
    <n v="0"/>
    <n v="2.8911999999999995"/>
    <n v="11.12"/>
  </r>
  <r>
    <s v="United States"/>
    <x v="291"/>
    <s v="Second Class"/>
    <s v="Consumer"/>
    <s v="Paper"/>
    <n v="7"/>
    <n v="0"/>
    <n v="110.97239999999999"/>
    <n v="226.74"/>
  </r>
  <r>
    <s v="United States"/>
    <x v="291"/>
    <s v="Second Class"/>
    <s v="Consumer"/>
    <s v="Storage"/>
    <n v="1"/>
    <n v="0"/>
    <n v="2.8339999999999996"/>
    <n v="10.9"/>
  </r>
  <r>
    <s v="United States"/>
    <x v="291"/>
    <s v="Second Class"/>
    <s v="Corporate"/>
    <s v="Appliances"/>
    <n v="3"/>
    <n v="0"/>
    <n v="22.251600000000003"/>
    <n v="79.47"/>
  </r>
  <r>
    <s v="United States"/>
    <x v="291"/>
    <s v="Second Class"/>
    <s v="Corporate"/>
    <s v="Art"/>
    <n v="2"/>
    <n v="0"/>
    <n v="2.0064000000000002"/>
    <n v="4.5599999999999996"/>
  </r>
  <r>
    <s v="United States"/>
    <x v="291"/>
    <s v="Second Class"/>
    <s v="Corporate"/>
    <s v="Chairs"/>
    <n v="5"/>
    <n v="0"/>
    <n v="294.67100000000005"/>
    <n v="1133.3499999999999"/>
  </r>
  <r>
    <s v="United States"/>
    <x v="291"/>
    <s v="Standard Class"/>
    <s v="Consumer"/>
    <s v="Art"/>
    <n v="1"/>
    <n v="0"/>
    <n v="2.2109999999999994"/>
    <n v="6.7"/>
  </r>
  <r>
    <s v="United States"/>
    <x v="291"/>
    <s v="Standard Class"/>
    <s v="Consumer"/>
    <s v="Binders"/>
    <n v="2"/>
    <n v="0"/>
    <n v="5.1647999999999996"/>
    <n v="10.76"/>
  </r>
  <r>
    <s v="United States"/>
    <x v="291"/>
    <s v="Standard Class"/>
    <s v="Consumer"/>
    <s v="Paper"/>
    <n v="2"/>
    <n v="0"/>
    <n v="21.012799999999999"/>
    <n v="45.68"/>
  </r>
  <r>
    <s v="United States"/>
    <x v="292"/>
    <s v="Standard Class"/>
    <s v="Corporate"/>
    <s v="Binders"/>
    <n v="3"/>
    <n v="0.2"/>
    <n v="7.9919999999999991"/>
    <n v="21.312000000000005"/>
  </r>
  <r>
    <s v="United States"/>
    <x v="292"/>
    <s v="Standard Class"/>
    <s v="Home Office"/>
    <s v="Appliances"/>
    <n v="4"/>
    <n v="0"/>
    <n v="66.073599999999971"/>
    <n v="227.84"/>
  </r>
  <r>
    <s v="United States"/>
    <x v="292"/>
    <s v="Standard Class"/>
    <s v="Home Office"/>
    <s v="Furnishings"/>
    <n v="2"/>
    <n v="0"/>
    <n v="2.9371999999999971"/>
    <n v="41.96"/>
  </r>
  <r>
    <s v="United States"/>
    <x v="292"/>
    <s v="Standard Class"/>
    <s v="Home Office"/>
    <s v="Paper"/>
    <n v="2"/>
    <n v="0"/>
    <n v="18.211199999999998"/>
    <n v="37.94"/>
  </r>
  <r>
    <s v="United States"/>
    <x v="293"/>
    <s v="First Class"/>
    <s v="Consumer"/>
    <s v="Phones"/>
    <n v="10"/>
    <n v="0.2"/>
    <n v="34.5"/>
    <n v="552"/>
  </r>
  <r>
    <s v="United States"/>
    <x v="293"/>
    <s v="First Class"/>
    <s v="Consumer"/>
    <s v="Tables"/>
    <n v="3"/>
    <n v="0.5"/>
    <n v="-204.44580000000005"/>
    <n v="393.16500000000002"/>
  </r>
  <r>
    <s v="United States"/>
    <x v="293"/>
    <s v="First Class"/>
    <s v="Home Office"/>
    <s v="Paper"/>
    <n v="9"/>
    <n v="0.4"/>
    <n v="28.701599999999999"/>
    <n v="85.920000000000016"/>
  </r>
  <r>
    <s v="United States"/>
    <x v="293"/>
    <s v="Second Class"/>
    <s v="Consumer"/>
    <s v="Binders"/>
    <n v="2"/>
    <n v="0.7"/>
    <n v="-15.197599999999994"/>
    <n v="20.724000000000004"/>
  </r>
  <r>
    <s v="United States"/>
    <x v="293"/>
    <s v="Second Class"/>
    <s v="Consumer"/>
    <s v="Bookcases"/>
    <n v="6"/>
    <n v="0.7"/>
    <n v="-191.64599999999996"/>
    <n v="127.76400000000002"/>
  </r>
  <r>
    <s v="United States"/>
    <x v="293"/>
    <s v="Second Class"/>
    <s v="Consumer"/>
    <s v="Chairs"/>
    <n v="2"/>
    <n v="0.2"/>
    <n v="49.715999999999966"/>
    <n v="441.92"/>
  </r>
  <r>
    <s v="United States"/>
    <x v="293"/>
    <s v="Second Class"/>
    <s v="Consumer"/>
    <s v="Envelopes"/>
    <n v="5"/>
    <n v="0.2"/>
    <n v="15.921000000000003"/>
    <n v="43.92"/>
  </r>
  <r>
    <s v="United States"/>
    <x v="293"/>
    <s v="Second Class"/>
    <s v="Consumer"/>
    <s v="Paper"/>
    <n v="10"/>
    <n v="0.4"/>
    <n v="14.6248"/>
    <n v="43.84"/>
  </r>
  <r>
    <s v="United States"/>
    <x v="293"/>
    <s v="Second Class"/>
    <s v="Consumer"/>
    <s v="Storage"/>
    <n v="11"/>
    <n v="0.4"/>
    <n v="-106.36200000000001"/>
    <n v="688.60800000000006"/>
  </r>
  <r>
    <s v="United States"/>
    <x v="293"/>
    <s v="Second Class"/>
    <s v="Consumer"/>
    <s v="Tables"/>
    <n v="2"/>
    <n v="0.5"/>
    <n v="-135.08699999999999"/>
    <n v="182.55"/>
  </r>
  <r>
    <s v="United States"/>
    <x v="293"/>
    <s v="Standard Class"/>
    <s v="Consumer"/>
    <s v="Accessories"/>
    <n v="2"/>
    <n v="0.2"/>
    <n v="1.9989999999999979"/>
    <n v="31.983999999999998"/>
  </r>
  <r>
    <s v="United States"/>
    <x v="293"/>
    <s v="Standard Class"/>
    <s v="Consumer"/>
    <s v="Binders"/>
    <n v="12"/>
    <n v="1.4"/>
    <n v="-7.9468000000000005"/>
    <n v="10.638"/>
  </r>
  <r>
    <s v="United States"/>
    <x v="293"/>
    <s v="Standard Class"/>
    <s v="Consumer"/>
    <s v="Furnishings"/>
    <n v="8"/>
    <n v="0.2"/>
    <n v="33.1584"/>
    <n v="120.57600000000001"/>
  </r>
  <r>
    <s v="United States"/>
    <x v="293"/>
    <s v="Standard Class"/>
    <s v="Consumer"/>
    <s v="Phones"/>
    <n v="5"/>
    <n v="0.2"/>
    <n v="32.924999999999997"/>
    <n v="87.8"/>
  </r>
  <r>
    <s v="United States"/>
    <x v="293"/>
    <s v="Standard Class"/>
    <s v="Consumer"/>
    <s v="Storage"/>
    <n v="2"/>
    <n v="0.2"/>
    <n v="1.4672000000000001"/>
    <n v="16.768000000000001"/>
  </r>
  <r>
    <s v="United States"/>
    <x v="293"/>
    <s v="Standard Class"/>
    <s v="Corporate"/>
    <s v="Appliances"/>
    <n v="2"/>
    <n v="0.2"/>
    <n v="14.409600000000003"/>
    <n v="60.672000000000004"/>
  </r>
  <r>
    <s v="United States"/>
    <x v="293"/>
    <s v="Standard Class"/>
    <s v="Corporate"/>
    <s v="Binders"/>
    <n v="11"/>
    <n v="1.4"/>
    <n v="-107.44909999999999"/>
    <n v="149.61900000000003"/>
  </r>
  <r>
    <s v="United States"/>
    <x v="293"/>
    <s v="Standard Class"/>
    <s v="Corporate"/>
    <s v="Paper"/>
    <n v="4"/>
    <n v="0.2"/>
    <n v="31.273599999999998"/>
    <n v="86.272000000000006"/>
  </r>
  <r>
    <s v="United States"/>
    <x v="293"/>
    <s v="Standard Class"/>
    <s v="Corporate"/>
    <s v="Phones"/>
    <n v="5"/>
    <n v="0.2"/>
    <n v="23.096500000000006"/>
    <n v="263.96000000000004"/>
  </r>
  <r>
    <s v="United States"/>
    <x v="293"/>
    <s v="Standard Class"/>
    <s v="Corporate"/>
    <s v="Storage"/>
    <n v="16"/>
    <n v="0.60000000000000009"/>
    <n v="-89.124000000000052"/>
    <n v="584.25600000000009"/>
  </r>
  <r>
    <s v="United States"/>
    <x v="293"/>
    <s v="Standard Class"/>
    <s v="Home Office"/>
    <s v="Paper"/>
    <n v="1"/>
    <n v="0.2"/>
    <n v="16.234200000000001"/>
    <n v="44.783999999999999"/>
  </r>
  <r>
    <s v="United States"/>
    <x v="294"/>
    <s v="Same Day"/>
    <s v="Corporate"/>
    <s v="Binders"/>
    <n v="1"/>
    <n v="0.8"/>
    <n v="-1.4016000000000002"/>
    <n v="0.87599999999999978"/>
  </r>
  <r>
    <s v="United States"/>
    <x v="294"/>
    <s v="Standard Class"/>
    <s v="Corporate"/>
    <s v="Accessories"/>
    <n v="7"/>
    <n v="0.2"/>
    <n v="1.6632000000000007"/>
    <n v="5.5440000000000005"/>
  </r>
  <r>
    <s v="United States"/>
    <x v="294"/>
    <s v="Standard Class"/>
    <s v="Corporate"/>
    <s v="Appliances"/>
    <n v="3"/>
    <n v="0.8"/>
    <n v="-87.148800000000023"/>
    <n v="34.175999999999995"/>
  </r>
  <r>
    <s v="United States"/>
    <x v="294"/>
    <s v="Standard Class"/>
    <s v="Corporate"/>
    <s v="Furnishings"/>
    <n v="2"/>
    <n v="0.6"/>
    <n v="-2.5471999999999984"/>
    <n v="6.3680000000000003"/>
  </r>
  <r>
    <s v="United States"/>
    <x v="294"/>
    <s v="Standard Class"/>
    <s v="Corporate"/>
    <s v="Paper"/>
    <n v="1"/>
    <n v="0.2"/>
    <n v="1.8144"/>
    <n v="5.1840000000000011"/>
  </r>
  <r>
    <s v="United States"/>
    <x v="295"/>
    <s v="First Class"/>
    <s v="Consumer"/>
    <s v="Envelopes"/>
    <n v="3"/>
    <n v="0.2"/>
    <n v="12.692699999999995"/>
    <n v="37.608000000000004"/>
  </r>
  <r>
    <s v="United States"/>
    <x v="295"/>
    <s v="First Class"/>
    <s v="Consumer"/>
    <s v="Paper"/>
    <n v="5"/>
    <n v="0.4"/>
    <n v="91.542399999999986"/>
    <n v="261.20799999999997"/>
  </r>
  <r>
    <s v="United States"/>
    <x v="295"/>
    <s v="First Class"/>
    <s v="Consumer"/>
    <s v="Storage"/>
    <n v="1"/>
    <n v="0.2"/>
    <n v="0.33479999999999999"/>
    <n v="4.4640000000000004"/>
  </r>
  <r>
    <s v="United States"/>
    <x v="295"/>
    <s v="First Class"/>
    <s v="Corporate"/>
    <s v="Binders"/>
    <n v="3"/>
    <n v="0.7"/>
    <n v="-11.936999999999998"/>
    <n v="15.570000000000004"/>
  </r>
  <r>
    <s v="United States"/>
    <x v="295"/>
    <s v="First Class"/>
    <s v="Corporate"/>
    <s v="Paper"/>
    <n v="1"/>
    <n v="0.2"/>
    <n v="11.240400000000001"/>
    <n v="31.007999999999999"/>
  </r>
  <r>
    <s v="United States"/>
    <x v="295"/>
    <s v="First Class"/>
    <s v="Corporate"/>
    <s v="Phones"/>
    <n v="5"/>
    <n v="0.2"/>
    <n v="78.396000000000043"/>
    <n v="783.96000000000015"/>
  </r>
  <r>
    <s v="United States"/>
    <x v="295"/>
    <s v="First Class"/>
    <s v="Home Office"/>
    <s v="Binders"/>
    <n v="4"/>
    <n v="0.7"/>
    <n v="-2.6207999999999991"/>
    <n v="3.7440000000000007"/>
  </r>
  <r>
    <s v="United States"/>
    <x v="295"/>
    <s v="Same Day"/>
    <s v="Consumer"/>
    <s v="Chairs"/>
    <n v="1"/>
    <n v="0.2"/>
    <n v="23.924000000000007"/>
    <n v="239.24"/>
  </r>
  <r>
    <s v="United States"/>
    <x v="295"/>
    <s v="Second Class"/>
    <s v="Consumer"/>
    <s v="Accessories"/>
    <n v="13"/>
    <n v="0.60000000000000009"/>
    <n v="126.04640000000001"/>
    <n v="737.80000000000007"/>
  </r>
  <r>
    <s v="United States"/>
    <x v="295"/>
    <s v="Second Class"/>
    <s v="Consumer"/>
    <s v="Binders"/>
    <n v="4"/>
    <n v="0.7"/>
    <n v="-336.78399999999988"/>
    <n v="505.1760000000001"/>
  </r>
  <r>
    <s v="United States"/>
    <x v="295"/>
    <s v="Second Class"/>
    <s v="Consumer"/>
    <s v="Envelopes"/>
    <n v="2"/>
    <n v="0.2"/>
    <n v="10.805399999999997"/>
    <n v="29.808"/>
  </r>
  <r>
    <s v="United States"/>
    <x v="295"/>
    <s v="Second Class"/>
    <s v="Consumer"/>
    <s v="Fasteners"/>
    <n v="3"/>
    <n v="0.2"/>
    <n v="2.3327999999999998"/>
    <n v="6.911999999999999"/>
  </r>
  <r>
    <s v="United States"/>
    <x v="295"/>
    <s v="Second Class"/>
    <s v="Consumer"/>
    <s v="Furnishings"/>
    <n v="3"/>
    <n v="0.2"/>
    <n v="4.1027999999999993"/>
    <n v="25.248000000000001"/>
  </r>
  <r>
    <s v="United States"/>
    <x v="295"/>
    <s v="Second Class"/>
    <s v="Consumer"/>
    <s v="Labels"/>
    <n v="3"/>
    <n v="0.2"/>
    <n v="85.529700000000005"/>
    <n v="235.94400000000002"/>
  </r>
  <r>
    <s v="United States"/>
    <x v="295"/>
    <s v="Second Class"/>
    <s v="Consumer"/>
    <s v="Paper"/>
    <n v="2"/>
    <n v="0.2"/>
    <n v="3.6288"/>
    <n v="10.368000000000002"/>
  </r>
  <r>
    <s v="United States"/>
    <x v="295"/>
    <s v="Second Class"/>
    <s v="Consumer"/>
    <s v="Tables"/>
    <n v="3"/>
    <n v="0.45"/>
    <n v="-110.76450000000001"/>
    <n v="174.05850000000001"/>
  </r>
  <r>
    <s v="United States"/>
    <x v="295"/>
    <s v="Second Class"/>
    <s v="Corporate"/>
    <s v="Labels"/>
    <n v="4"/>
    <n v="0.2"/>
    <n v="3.528"/>
    <n v="10.08"/>
  </r>
  <r>
    <s v="United States"/>
    <x v="295"/>
    <s v="Second Class"/>
    <s v="Home Office"/>
    <s v="Paper"/>
    <n v="13"/>
    <n v="0.4"/>
    <n v="21.963200000000001"/>
    <n v="62.752000000000002"/>
  </r>
  <r>
    <s v="United States"/>
    <x v="295"/>
    <s v="Second Class"/>
    <s v="Home Office"/>
    <s v="Phones"/>
    <n v="3"/>
    <n v="0.2"/>
    <n v="8.9969999999999892"/>
    <n v="71.975999999999999"/>
  </r>
  <r>
    <s v="United States"/>
    <x v="295"/>
    <s v="Standard Class"/>
    <s v="Consumer"/>
    <s v="Accessories"/>
    <n v="10"/>
    <n v="0.4"/>
    <n v="-9.5670000000000037"/>
    <n v="184.56"/>
  </r>
  <r>
    <s v="United States"/>
    <x v="295"/>
    <s v="Standard Class"/>
    <s v="Consumer"/>
    <s v="Art"/>
    <n v="8"/>
    <n v="0.2"/>
    <n v="7.4751999999999992"/>
    <n v="37.375999999999998"/>
  </r>
  <r>
    <s v="United States"/>
    <x v="295"/>
    <s v="Standard Class"/>
    <s v="Consumer"/>
    <s v="Binders"/>
    <n v="28"/>
    <n v="5.6000000000000005"/>
    <n v="-245.28559999999996"/>
    <n v="319.31400000000008"/>
  </r>
  <r>
    <s v="United States"/>
    <x v="295"/>
    <s v="Standard Class"/>
    <s v="Consumer"/>
    <s v="Bookcases"/>
    <n v="3"/>
    <n v="0.2"/>
    <n v="-36.294000000000011"/>
    <n v="290.35200000000003"/>
  </r>
  <r>
    <s v="United States"/>
    <x v="295"/>
    <s v="Standard Class"/>
    <s v="Consumer"/>
    <s v="Chairs"/>
    <n v="4"/>
    <n v="0.2"/>
    <n v="-68.1096"/>
    <n v="419.13599999999997"/>
  </r>
  <r>
    <s v="United States"/>
    <x v="295"/>
    <s v="Standard Class"/>
    <s v="Consumer"/>
    <s v="Envelopes"/>
    <n v="3"/>
    <n v="0.2"/>
    <n v="7.6283999999999974"/>
    <n v="23.472000000000001"/>
  </r>
  <r>
    <s v="United States"/>
    <x v="295"/>
    <s v="Standard Class"/>
    <s v="Consumer"/>
    <s v="Furnishings"/>
    <n v="3"/>
    <n v="0.2"/>
    <n v="-3.8385000000000105"/>
    <n v="102.35999999999999"/>
  </r>
  <r>
    <s v="United States"/>
    <x v="295"/>
    <s v="Standard Class"/>
    <s v="Consumer"/>
    <s v="Phones"/>
    <n v="5"/>
    <n v="0.2"/>
    <n v="85.247500000000002"/>
    <n v="1363.96"/>
  </r>
  <r>
    <s v="United States"/>
    <x v="295"/>
    <s v="Standard Class"/>
    <s v="Consumer"/>
    <s v="Storage"/>
    <n v="2"/>
    <n v="0.2"/>
    <n v="1.3079999999999989"/>
    <n v="17.440000000000001"/>
  </r>
  <r>
    <s v="United States"/>
    <x v="295"/>
    <s v="Standard Class"/>
    <s v="Corporate"/>
    <s v="Art"/>
    <n v="9"/>
    <n v="0.4"/>
    <n v="7.7748999999999953"/>
    <n v="61.591999999999999"/>
  </r>
  <r>
    <s v="United States"/>
    <x v="295"/>
    <s v="Standard Class"/>
    <s v="Corporate"/>
    <s v="Binders"/>
    <n v="15"/>
    <n v="2.0999999999999996"/>
    <n v="-1045.7636000000002"/>
    <n v="1363.5000000000002"/>
  </r>
  <r>
    <s v="United States"/>
    <x v="295"/>
    <s v="Standard Class"/>
    <s v="Corporate"/>
    <s v="Chairs"/>
    <n v="3"/>
    <n v="0.2"/>
    <n v="-13.677599999999998"/>
    <n v="273.55200000000002"/>
  </r>
  <r>
    <s v="United States"/>
    <x v="295"/>
    <s v="Standard Class"/>
    <s v="Corporate"/>
    <s v="Furnishings"/>
    <n v="6"/>
    <n v="0.2"/>
    <n v="8.2055999999999987"/>
    <n v="50.496000000000002"/>
  </r>
  <r>
    <s v="United States"/>
    <x v="295"/>
    <s v="Standard Class"/>
    <s v="Corporate"/>
    <s v="Labels"/>
    <n v="6"/>
    <n v="0.2"/>
    <n v="4.6818000000000008"/>
    <n v="13.872000000000002"/>
  </r>
  <r>
    <s v="United States"/>
    <x v="295"/>
    <s v="Standard Class"/>
    <s v="Corporate"/>
    <s v="Paper"/>
    <n v="3"/>
    <n v="0.2"/>
    <n v="23.234999999999992"/>
    <n v="74.352000000000004"/>
  </r>
  <r>
    <s v="United States"/>
    <x v="295"/>
    <s v="Standard Class"/>
    <s v="Corporate"/>
    <s v="Phones"/>
    <n v="2"/>
    <n v="0.2"/>
    <n v="27.103200000000001"/>
    <n v="361.37600000000003"/>
  </r>
  <r>
    <s v="United States"/>
    <x v="295"/>
    <s v="Standard Class"/>
    <s v="Home Office"/>
    <s v="Accessories"/>
    <n v="7"/>
    <n v="0.2"/>
    <n v="41.718599999999995"/>
    <n v="158.928"/>
  </r>
  <r>
    <s v="United States"/>
    <x v="295"/>
    <s v="Standard Class"/>
    <s v="Home Office"/>
    <s v="Appliances"/>
    <n v="6"/>
    <n v="0.2"/>
    <n v="15.843599999999995"/>
    <n v="211.24799999999999"/>
  </r>
  <r>
    <s v="United States"/>
    <x v="295"/>
    <s v="Standard Class"/>
    <s v="Home Office"/>
    <s v="Art"/>
    <n v="5"/>
    <n v="0.2"/>
    <n v="4.196499999999995"/>
    <n v="47.96"/>
  </r>
  <r>
    <s v="United States"/>
    <x v="295"/>
    <s v="Standard Class"/>
    <s v="Home Office"/>
    <s v="Labels"/>
    <n v="3"/>
    <n v="0.4"/>
    <n v="4.9436999999999998"/>
    <n v="14.648"/>
  </r>
  <r>
    <s v="United States"/>
    <x v="295"/>
    <s v="Standard Class"/>
    <s v="Home Office"/>
    <s v="Paper"/>
    <n v="6"/>
    <n v="0.2"/>
    <n v="10.8864"/>
    <n v="31.104000000000006"/>
  </r>
  <r>
    <s v="United States"/>
    <x v="295"/>
    <s v="Standard Class"/>
    <s v="Home Office"/>
    <s v="Supplies"/>
    <n v="2"/>
    <n v="0.2"/>
    <n v="-1.0410000000000006"/>
    <n v="5.5520000000000005"/>
  </r>
  <r>
    <s v="United States"/>
    <x v="296"/>
    <s v="First Class"/>
    <s v="Corporate"/>
    <s v="Paper"/>
    <n v="7"/>
    <n v="0"/>
    <n v="22.153599999999997"/>
    <n v="48.16"/>
  </r>
  <r>
    <s v="United States"/>
    <x v="296"/>
    <s v="Same Day"/>
    <s v="Consumer"/>
    <s v="Furnishings"/>
    <n v="2"/>
    <n v="0"/>
    <n v="9.8856000000000002"/>
    <n v="27.46"/>
  </r>
  <r>
    <s v="United States"/>
    <x v="296"/>
    <s v="Standard Class"/>
    <s v="Consumer"/>
    <s v="Accessories"/>
    <n v="2"/>
    <n v="0"/>
    <n v="38.080000000000013"/>
    <n v="238"/>
  </r>
  <r>
    <s v="United States"/>
    <x v="296"/>
    <s v="Standard Class"/>
    <s v="Consumer"/>
    <s v="Binders"/>
    <n v="2"/>
    <n v="0"/>
    <n v="4.7231999999999994"/>
    <n v="9.84"/>
  </r>
  <r>
    <s v="United States"/>
    <x v="296"/>
    <s v="Standard Class"/>
    <s v="Consumer"/>
    <s v="Paper"/>
    <n v="3"/>
    <n v="0"/>
    <n v="31.382999999999996"/>
    <n v="69.739999999999995"/>
  </r>
  <r>
    <s v="United States"/>
    <x v="296"/>
    <s v="Standard Class"/>
    <s v="Consumer"/>
    <s v="Storage"/>
    <n v="4"/>
    <n v="0"/>
    <n v="0"/>
    <n v="552.55999999999995"/>
  </r>
  <r>
    <s v="United States"/>
    <x v="296"/>
    <s v="Standard Class"/>
    <s v="Corporate"/>
    <s v="Binders"/>
    <n v="5"/>
    <n v="0"/>
    <n v="13.181000000000001"/>
    <n v="26.9"/>
  </r>
  <r>
    <s v="United States"/>
    <x v="296"/>
    <s v="Standard Class"/>
    <s v="Corporate"/>
    <s v="Furnishings"/>
    <n v="3"/>
    <n v="0"/>
    <n v="38.209499999999998"/>
    <n v="181.95"/>
  </r>
  <r>
    <s v="United States"/>
    <x v="297"/>
    <s v="First Class"/>
    <s v="Home Office"/>
    <s v="Appliances"/>
    <n v="1"/>
    <n v="0.1"/>
    <n v="41.495999999999967"/>
    <n v="186.732"/>
  </r>
  <r>
    <s v="United States"/>
    <x v="297"/>
    <s v="First Class"/>
    <s v="Home Office"/>
    <s v="Binders"/>
    <n v="3"/>
    <n v="0"/>
    <n v="1906.4850000000001"/>
    <n v="3812.9700000000003"/>
  </r>
  <r>
    <s v="United States"/>
    <x v="297"/>
    <s v="Second Class"/>
    <s v="Home Office"/>
    <s v="Envelopes"/>
    <n v="2"/>
    <n v="0"/>
    <n v="7.4871999999999996"/>
    <n v="15.28"/>
  </r>
  <r>
    <s v="United States"/>
    <x v="297"/>
    <s v="Standard Class"/>
    <s v="Consumer"/>
    <s v="Art"/>
    <n v="2"/>
    <n v="0"/>
    <n v="1.5209999999999999"/>
    <n v="3.9"/>
  </r>
  <r>
    <s v="United States"/>
    <x v="297"/>
    <s v="Standard Class"/>
    <s v="Consumer"/>
    <s v="Binders"/>
    <n v="16"/>
    <n v="0"/>
    <n v="38.417999999999992"/>
    <n v="81.66"/>
  </r>
  <r>
    <s v="United States"/>
    <x v="297"/>
    <s v="Standard Class"/>
    <s v="Consumer"/>
    <s v="Chairs"/>
    <n v="3"/>
    <n v="0"/>
    <n v="112.78800000000001"/>
    <n v="563.93999999999994"/>
  </r>
  <r>
    <s v="United States"/>
    <x v="297"/>
    <s v="Standard Class"/>
    <s v="Consumer"/>
    <s v="Paper"/>
    <n v="6"/>
    <n v="0"/>
    <n v="12.905999999999999"/>
    <n v="28.68"/>
  </r>
  <r>
    <s v="United States"/>
    <x v="297"/>
    <s v="Standard Class"/>
    <s v="Consumer"/>
    <s v="Storage"/>
    <n v="6"/>
    <n v="0"/>
    <n v="172.58159999999992"/>
    <n v="598.34999999999991"/>
  </r>
  <r>
    <s v="United States"/>
    <x v="298"/>
    <s v="First Class"/>
    <s v="Corporate"/>
    <s v="Bookcases"/>
    <n v="9"/>
    <n v="0"/>
    <n v="185.25779999999997"/>
    <n v="638.82000000000005"/>
  </r>
  <r>
    <s v="United States"/>
    <x v="298"/>
    <s v="First Class"/>
    <s v="Corporate"/>
    <s v="Furnishings"/>
    <n v="2"/>
    <n v="0"/>
    <n v="8.5543999999999976"/>
    <n v="25.16"/>
  </r>
  <r>
    <s v="United States"/>
    <x v="298"/>
    <s v="First Class"/>
    <s v="Corporate"/>
    <s v="Supplies"/>
    <n v="3"/>
    <n v="0"/>
    <n v="7.9794000000000018"/>
    <n v="30.69"/>
  </r>
  <r>
    <s v="United States"/>
    <x v="298"/>
    <s v="Same Day"/>
    <s v="Consumer"/>
    <s v="Art"/>
    <n v="3"/>
    <n v="0"/>
    <n v="4.4891999999999985"/>
    <n v="15.48"/>
  </r>
  <r>
    <s v="United States"/>
    <x v="298"/>
    <s v="Same Day"/>
    <s v="Consumer"/>
    <s v="Paper"/>
    <n v="8"/>
    <n v="0"/>
    <n v="24.883200000000002"/>
    <n v="51.84"/>
  </r>
  <r>
    <s v="United States"/>
    <x v="298"/>
    <s v="Standard Class"/>
    <s v="Home Office"/>
    <s v="Accessories"/>
    <n v="5"/>
    <n v="0"/>
    <n v="87.890000000000015"/>
    <n v="199.75"/>
  </r>
  <r>
    <s v="United States"/>
    <x v="299"/>
    <s v="First Class"/>
    <s v="Consumer"/>
    <s v="Furnishings"/>
    <n v="7"/>
    <n v="0"/>
    <n v="10.784899999999999"/>
    <n v="34.79"/>
  </r>
  <r>
    <s v="United States"/>
    <x v="299"/>
    <s v="First Class"/>
    <s v="Corporate"/>
    <s v="Accessories"/>
    <n v="9"/>
    <n v="0"/>
    <n v="56.054700000000011"/>
    <n v="143.73000000000002"/>
  </r>
  <r>
    <s v="United States"/>
    <x v="299"/>
    <s v="First Class"/>
    <s v="Corporate"/>
    <s v="Furnishings"/>
    <n v="1"/>
    <n v="0"/>
    <n v="19.2454"/>
    <n v="46.94"/>
  </r>
  <r>
    <s v="United States"/>
    <x v="299"/>
    <s v="First Class"/>
    <s v="Corporate"/>
    <s v="Paper"/>
    <n v="8"/>
    <n v="0"/>
    <n v="24.883200000000002"/>
    <n v="51.84"/>
  </r>
  <r>
    <s v="United States"/>
    <x v="299"/>
    <s v="Same Day"/>
    <s v="Consumer"/>
    <s v="Labels"/>
    <n v="2"/>
    <n v="0"/>
    <n v="11.778199999999998"/>
    <n v="25.06"/>
  </r>
  <r>
    <s v="United States"/>
    <x v="299"/>
    <s v="Same Day"/>
    <s v="Corporate"/>
    <s v="Furnishings"/>
    <n v="2"/>
    <n v="0"/>
    <n v="2.7353999999999998"/>
    <n v="5.82"/>
  </r>
  <r>
    <s v="United States"/>
    <x v="299"/>
    <s v="Same Day"/>
    <s v="Corporate"/>
    <s v="Labels"/>
    <n v="2"/>
    <n v="0"/>
    <n v="3.4685999999999999"/>
    <n v="7.38"/>
  </r>
  <r>
    <s v="United States"/>
    <x v="299"/>
    <s v="Same Day"/>
    <s v="Corporate"/>
    <s v="Storage"/>
    <n v="7"/>
    <n v="0"/>
    <n v="35.553200000000004"/>
    <n v="130.28"/>
  </r>
  <r>
    <s v="United States"/>
    <x v="299"/>
    <s v="Second Class"/>
    <s v="Corporate"/>
    <s v="Accessories"/>
    <n v="7"/>
    <n v="0"/>
    <n v="48.457499999999996"/>
    <n v="124.25"/>
  </r>
  <r>
    <s v="United States"/>
    <x v="299"/>
    <s v="Second Class"/>
    <s v="Corporate"/>
    <s v="Chairs"/>
    <n v="9"/>
    <n v="0"/>
    <n v="475.1284"/>
    <n v="1858.46"/>
  </r>
  <r>
    <s v="United States"/>
    <x v="299"/>
    <s v="Second Class"/>
    <s v="Corporate"/>
    <s v="Furnishings"/>
    <n v="5"/>
    <n v="0"/>
    <n v="27.60799999999999"/>
    <n v="95.199999999999989"/>
  </r>
  <r>
    <s v="United States"/>
    <x v="299"/>
    <s v="Second Class"/>
    <s v="Corporate"/>
    <s v="Paper"/>
    <n v="2"/>
    <n v="0"/>
    <n v="9.6913999999999998"/>
    <n v="20.62"/>
  </r>
  <r>
    <s v="United States"/>
    <x v="299"/>
    <s v="Second Class"/>
    <s v="Corporate"/>
    <s v="Phones"/>
    <n v="5"/>
    <n v="0"/>
    <n v="83.314000000000021"/>
    <n v="297.55"/>
  </r>
  <r>
    <s v="United States"/>
    <x v="299"/>
    <s v="Second Class"/>
    <s v="Home Office"/>
    <s v="Accessories"/>
    <n v="4"/>
    <n v="0"/>
    <n v="229.99080000000004"/>
    <n v="999.96"/>
  </r>
  <r>
    <s v="United States"/>
    <x v="299"/>
    <s v="Second Class"/>
    <s v="Home Office"/>
    <s v="Bookcases"/>
    <n v="5"/>
    <n v="0"/>
    <n v="48.117999999999981"/>
    <n v="687.4"/>
  </r>
  <r>
    <s v="United States"/>
    <x v="299"/>
    <s v="Second Class"/>
    <s v="Home Office"/>
    <s v="Furnishings"/>
    <n v="6"/>
    <n v="0"/>
    <n v="76.087800000000001"/>
    <n v="185.57999999999998"/>
  </r>
  <r>
    <s v="United States"/>
    <x v="299"/>
    <s v="Second Class"/>
    <s v="Home Office"/>
    <s v="Paper"/>
    <n v="9"/>
    <n v="0"/>
    <n v="84.5154"/>
    <n v="179.82"/>
  </r>
  <r>
    <s v="United States"/>
    <x v="299"/>
    <s v="Second Class"/>
    <s v="Home Office"/>
    <s v="Tables"/>
    <n v="6"/>
    <n v="0"/>
    <n v="147.5021999999999"/>
    <n v="867.66"/>
  </r>
  <r>
    <s v="United States"/>
    <x v="299"/>
    <s v="Standard Class"/>
    <s v="Consumer"/>
    <s v="Accessories"/>
    <n v="1"/>
    <n v="0"/>
    <n v="1.8872"/>
    <n v="13.48"/>
  </r>
  <r>
    <s v="United States"/>
    <x v="299"/>
    <s v="Standard Class"/>
    <s v="Consumer"/>
    <s v="Appliances"/>
    <n v="5"/>
    <n v="0"/>
    <n v="76.27200000000002"/>
    <n v="272.39999999999998"/>
  </r>
  <r>
    <s v="United States"/>
    <x v="299"/>
    <s v="Standard Class"/>
    <s v="Consumer"/>
    <s v="Art"/>
    <n v="5"/>
    <n v="0"/>
    <n v="16.170000000000002"/>
    <n v="57.75"/>
  </r>
  <r>
    <s v="United States"/>
    <x v="299"/>
    <s v="Standard Class"/>
    <s v="Consumer"/>
    <s v="Chairs"/>
    <n v="5"/>
    <n v="0"/>
    <n v="60.356000000000023"/>
    <n v="754.44999999999993"/>
  </r>
  <r>
    <s v="United States"/>
    <x v="299"/>
    <s v="Standard Class"/>
    <s v="Consumer"/>
    <s v="Furnishings"/>
    <n v="3"/>
    <n v="0"/>
    <n v="11.314800000000002"/>
    <n v="26.94"/>
  </r>
  <r>
    <s v="United States"/>
    <x v="299"/>
    <s v="Standard Class"/>
    <s v="Consumer"/>
    <s v="Phones"/>
    <n v="4"/>
    <n v="0"/>
    <n v="285.9896"/>
    <n v="1099.96"/>
  </r>
  <r>
    <s v="United States"/>
    <x v="299"/>
    <s v="Standard Class"/>
    <s v="Corporate"/>
    <s v="Accessories"/>
    <n v="9"/>
    <n v="0"/>
    <n v="20.671799999999994"/>
    <n v="127.5"/>
  </r>
  <r>
    <s v="United States"/>
    <x v="299"/>
    <s v="Standard Class"/>
    <s v="Corporate"/>
    <s v="Appliances"/>
    <n v="6"/>
    <n v="0"/>
    <n v="54.558"/>
    <n v="155.88"/>
  </r>
  <r>
    <s v="United States"/>
    <x v="299"/>
    <s v="Standard Class"/>
    <s v="Corporate"/>
    <s v="Binders"/>
    <n v="23"/>
    <n v="0"/>
    <n v="53.860399999999998"/>
    <n v="111.28"/>
  </r>
  <r>
    <s v="United States"/>
    <x v="299"/>
    <s v="Standard Class"/>
    <s v="Corporate"/>
    <s v="Chairs"/>
    <n v="11"/>
    <n v="0"/>
    <n v="482.58189999999991"/>
    <n v="1986.5200000000002"/>
  </r>
  <r>
    <s v="United States"/>
    <x v="299"/>
    <s v="Standard Class"/>
    <s v="Corporate"/>
    <s v="Furnishings"/>
    <n v="5"/>
    <n v="0"/>
    <n v="22.988499999999998"/>
    <n v="99.949999999999989"/>
  </r>
  <r>
    <s v="United States"/>
    <x v="299"/>
    <s v="Standard Class"/>
    <s v="Corporate"/>
    <s v="Paper"/>
    <n v="4"/>
    <n v="0"/>
    <n v="107.7216"/>
    <n v="219.84"/>
  </r>
  <r>
    <s v="United States"/>
    <x v="299"/>
    <s v="Standard Class"/>
    <s v="Corporate"/>
    <s v="Phones"/>
    <n v="4"/>
    <n v="0"/>
    <n v="25.481099999999991"/>
    <n v="99.96"/>
  </r>
  <r>
    <s v="United States"/>
    <x v="299"/>
    <s v="Standard Class"/>
    <s v="Home Office"/>
    <s v="Appliances"/>
    <n v="14"/>
    <n v="0"/>
    <n v="163.85360000000003"/>
    <n v="581.91999999999996"/>
  </r>
  <r>
    <s v="United States"/>
    <x v="299"/>
    <s v="Standard Class"/>
    <s v="Home Office"/>
    <s v="Binders"/>
    <n v="3"/>
    <n v="0"/>
    <n v="8.5727999999999991"/>
    <n v="18.240000000000002"/>
  </r>
  <r>
    <s v="United States"/>
    <x v="299"/>
    <s v="Standard Class"/>
    <s v="Home Office"/>
    <s v="Supplies"/>
    <n v="3"/>
    <n v="0"/>
    <n v="5.8887000000000009"/>
    <n v="21.81"/>
  </r>
  <r>
    <s v="United States"/>
    <x v="300"/>
    <s v="First Class"/>
    <s v="Consumer"/>
    <s v="Binders"/>
    <n v="2"/>
    <n v="0"/>
    <n v="843.17059999999992"/>
    <n v="1793.98"/>
  </r>
  <r>
    <s v="United States"/>
    <x v="300"/>
    <s v="First Class"/>
    <s v="Consumer"/>
    <s v="Storage"/>
    <n v="6"/>
    <n v="0"/>
    <n v="9.716399999999993"/>
    <n v="663.75"/>
  </r>
  <r>
    <s v="United States"/>
    <x v="300"/>
    <s v="First Class"/>
    <s v="Home Office"/>
    <s v="Envelopes"/>
    <n v="2"/>
    <n v="0"/>
    <n v="7.4871999999999996"/>
    <n v="15.28"/>
  </r>
  <r>
    <s v="United States"/>
    <x v="300"/>
    <s v="Second Class"/>
    <s v="Consumer"/>
    <s v="Binders"/>
    <n v="2"/>
    <n v="0"/>
    <n v="16.150400000000001"/>
    <n v="32.96"/>
  </r>
  <r>
    <s v="United States"/>
    <x v="300"/>
    <s v="Second Class"/>
    <s v="Consumer"/>
    <s v="Furnishings"/>
    <n v="3"/>
    <n v="0"/>
    <n v="16.535399999999996"/>
    <n v="53.34"/>
  </r>
  <r>
    <s v="United States"/>
    <x v="300"/>
    <s v="Second Class"/>
    <s v="Consumer"/>
    <s v="Paper"/>
    <n v="2"/>
    <n v="0"/>
    <n v="6.2208000000000006"/>
    <n v="12.96"/>
  </r>
  <r>
    <s v="United States"/>
    <x v="300"/>
    <s v="Second Class"/>
    <s v="Corporate"/>
    <s v="Storage"/>
    <n v="5"/>
    <n v="0"/>
    <n v="16.787500000000001"/>
    <n v="67.150000000000006"/>
  </r>
  <r>
    <s v="United States"/>
    <x v="300"/>
    <s v="Second Class"/>
    <s v="Home Office"/>
    <s v="Art"/>
    <n v="5"/>
    <n v="0"/>
    <n v="3.6139999999999994"/>
    <n v="13.899999999999999"/>
  </r>
  <r>
    <s v="United States"/>
    <x v="300"/>
    <s v="Second Class"/>
    <s v="Home Office"/>
    <s v="Paper"/>
    <n v="1"/>
    <n v="0"/>
    <n v="12.134799999999998"/>
    <n v="26.38"/>
  </r>
  <r>
    <s v="United States"/>
    <x v="300"/>
    <s v="Standard Class"/>
    <s v="Consumer"/>
    <s v="Appliances"/>
    <n v="11"/>
    <n v="0"/>
    <n v="129.71020000000001"/>
    <n v="453.58"/>
  </r>
  <r>
    <s v="United States"/>
    <x v="300"/>
    <s v="Standard Class"/>
    <s v="Consumer"/>
    <s v="Binders"/>
    <n v="11"/>
    <n v="0"/>
    <n v="4664.7055000000009"/>
    <n v="9518.4100000000017"/>
  </r>
  <r>
    <s v="United States"/>
    <x v="300"/>
    <s v="Standard Class"/>
    <s v="Consumer"/>
    <s v="Chairs"/>
    <n v="8"/>
    <n v="0"/>
    <n v="770.35199999999986"/>
    <n v="2567.84"/>
  </r>
  <r>
    <s v="United States"/>
    <x v="300"/>
    <s v="Standard Class"/>
    <s v="Consumer"/>
    <s v="Furnishings"/>
    <n v="3"/>
    <n v="0"/>
    <n v="11.156400000000005"/>
    <n v="123.96000000000001"/>
  </r>
  <r>
    <s v="United States"/>
    <x v="300"/>
    <s v="Standard Class"/>
    <s v="Consumer"/>
    <s v="Paper"/>
    <n v="5"/>
    <n v="0"/>
    <n v="15.552000000000001"/>
    <n v="32.400000000000006"/>
  </r>
  <r>
    <s v="United States"/>
    <x v="300"/>
    <s v="Standard Class"/>
    <s v="Consumer"/>
    <s v="Phones"/>
    <n v="3"/>
    <n v="0"/>
    <n v="105.83160000000002"/>
    <n v="377.96999999999997"/>
  </r>
  <r>
    <s v="United States"/>
    <x v="300"/>
    <s v="Standard Class"/>
    <s v="Consumer"/>
    <s v="Storage"/>
    <n v="5"/>
    <n v="0"/>
    <n v="16.195999999999984"/>
    <n v="404.90000000000003"/>
  </r>
  <r>
    <s v="United States"/>
    <x v="300"/>
    <s v="Standard Class"/>
    <s v="Corporate"/>
    <s v="Furnishings"/>
    <n v="3"/>
    <n v="0"/>
    <n v="6.0287999999999995"/>
    <n v="18.84"/>
  </r>
  <r>
    <s v="United States"/>
    <x v="300"/>
    <s v="Standard Class"/>
    <s v="Home Office"/>
    <s v="Tables"/>
    <n v="3"/>
    <n v="0"/>
    <n v="173.23500000000001"/>
    <n v="692.93999999999994"/>
  </r>
  <r>
    <s v="United States"/>
    <x v="301"/>
    <s v="Second Class"/>
    <s v="Corporate"/>
    <s v="Appliances"/>
    <n v="4"/>
    <n v="0.2"/>
    <n v="48.631999999999948"/>
    <n v="389.05600000000004"/>
  </r>
  <r>
    <s v="United States"/>
    <x v="301"/>
    <s v="Second Class"/>
    <s v="Corporate"/>
    <s v="Binders"/>
    <n v="8"/>
    <n v="0.7"/>
    <n v="-16.185600000000001"/>
    <n v="20.232000000000003"/>
  </r>
  <r>
    <s v="United States"/>
    <x v="301"/>
    <s v="Second Class"/>
    <s v="Corporate"/>
    <s v="Paper"/>
    <n v="12"/>
    <n v="0.4"/>
    <n v="21.7728"/>
    <n v="62.208000000000013"/>
  </r>
  <r>
    <s v="United States"/>
    <x v="301"/>
    <s v="Second Class"/>
    <s v="Corporate"/>
    <s v="Storage"/>
    <n v="5"/>
    <n v="0.2"/>
    <n v="-19.323000000000011"/>
    <n v="81.360000000000014"/>
  </r>
  <r>
    <s v="United States"/>
    <x v="301"/>
    <s v="Standard Class"/>
    <s v="Consumer"/>
    <s v="Furnishings"/>
    <n v="8"/>
    <n v="0.4"/>
    <n v="55.016000000000012"/>
    <n v="559.20000000000005"/>
  </r>
  <r>
    <s v="United States"/>
    <x v="301"/>
    <s v="Standard Class"/>
    <s v="Home Office"/>
    <s v="Chairs"/>
    <n v="4"/>
    <n v="0.2"/>
    <n v="-57.631200000000035"/>
    <n v="419.13599999999997"/>
  </r>
  <r>
    <s v="United States"/>
    <x v="302"/>
    <s v="Standard Class"/>
    <s v="Consumer"/>
    <s v="Binders"/>
    <n v="3"/>
    <n v="0"/>
    <n v="64.199999999999989"/>
    <n v="128.39999999999998"/>
  </r>
  <r>
    <s v="United States"/>
    <x v="302"/>
    <s v="Standard Class"/>
    <s v="Consumer"/>
    <s v="Chairs"/>
    <n v="8"/>
    <n v="0"/>
    <n v="32.391999999999939"/>
    <n v="647.84"/>
  </r>
  <r>
    <s v="United States"/>
    <x v="303"/>
    <s v="First Class"/>
    <s v="Consumer"/>
    <s v="Bookcases"/>
    <n v="2"/>
    <n v="0.15"/>
    <n v="3.4195999999999884"/>
    <n v="290.666"/>
  </r>
  <r>
    <s v="United States"/>
    <x v="303"/>
    <s v="Second Class"/>
    <s v="Consumer"/>
    <s v="Labels"/>
    <n v="7"/>
    <n v="0"/>
    <n v="12.599999999999998"/>
    <n v="26.25"/>
  </r>
  <r>
    <s v="United States"/>
    <x v="303"/>
    <s v="Second Class"/>
    <s v="Consumer"/>
    <s v="Storage"/>
    <n v="2"/>
    <n v="0"/>
    <n v="85.903999999999996"/>
    <n v="330.4"/>
  </r>
  <r>
    <s v="United States"/>
    <x v="303"/>
    <s v="Standard Class"/>
    <s v="Consumer"/>
    <s v="Accessories"/>
    <n v="6"/>
    <n v="0"/>
    <n v="46.800000000000004"/>
    <n v="120"/>
  </r>
  <r>
    <s v="United States"/>
    <x v="303"/>
    <s v="Standard Class"/>
    <s v="Consumer"/>
    <s v="Appliances"/>
    <n v="1"/>
    <n v="0"/>
    <n v="2.3409000000000004"/>
    <n v="8.67"/>
  </r>
  <r>
    <s v="United States"/>
    <x v="304"/>
    <s v="Standard Class"/>
    <s v="Consumer"/>
    <s v="Binders"/>
    <n v="2"/>
    <n v="0.2"/>
    <n v="152.49499999999998"/>
    <n v="487.98400000000004"/>
  </r>
  <r>
    <s v="United States"/>
    <x v="305"/>
    <s v="Standard Class"/>
    <s v="Corporate"/>
    <s v="Binders"/>
    <n v="7"/>
    <n v="0.8"/>
    <n v="-9.5550000000000015"/>
    <n v="6.3699999999999983"/>
  </r>
  <r>
    <s v="United States"/>
    <x v="306"/>
    <s v="First Class"/>
    <s v="Consumer"/>
    <s v="Furnishings"/>
    <n v="2"/>
    <n v="0"/>
    <n v="2.7775999999999996"/>
    <n v="8.9600000000000009"/>
  </r>
  <r>
    <s v="United States"/>
    <x v="306"/>
    <s v="First Class"/>
    <s v="Corporate"/>
    <s v="Binders"/>
    <n v="8"/>
    <n v="0"/>
    <n v="62.714999999999996"/>
    <n v="125.42999999999999"/>
  </r>
  <r>
    <s v="United States"/>
    <x v="306"/>
    <s v="First Class"/>
    <s v="Corporate"/>
    <s v="Machines"/>
    <n v="8"/>
    <n v="0"/>
    <n v="1459.2"/>
    <n v="3040"/>
  </r>
  <r>
    <s v="United States"/>
    <x v="306"/>
    <s v="First Class"/>
    <s v="Corporate"/>
    <s v="Paper"/>
    <n v="7"/>
    <n v="0"/>
    <n v="34.780200000000001"/>
    <n v="70.98"/>
  </r>
  <r>
    <s v="United States"/>
    <x v="306"/>
    <s v="Standard Class"/>
    <s v="Consumer"/>
    <s v="Accessories"/>
    <n v="3"/>
    <n v="0"/>
    <n v="71.389799999999994"/>
    <n v="209.96999999999997"/>
  </r>
  <r>
    <s v="United States"/>
    <x v="306"/>
    <s v="Standard Class"/>
    <s v="Consumer"/>
    <s v="Art"/>
    <n v="9"/>
    <n v="0"/>
    <n v="7.7759999999999989"/>
    <n v="25.919999999999998"/>
  </r>
  <r>
    <s v="United States"/>
    <x v="306"/>
    <s v="Standard Class"/>
    <s v="Consumer"/>
    <s v="Binders"/>
    <n v="3"/>
    <n v="0"/>
    <n v="30.211199999999998"/>
    <n v="62.94"/>
  </r>
  <r>
    <s v="United States"/>
    <x v="306"/>
    <s v="Standard Class"/>
    <s v="Consumer"/>
    <s v="Chairs"/>
    <n v="7"/>
    <n v="0"/>
    <n v="306.48939999999988"/>
    <n v="1056.8599999999999"/>
  </r>
  <r>
    <s v="United States"/>
    <x v="306"/>
    <s v="Standard Class"/>
    <s v="Consumer"/>
    <s v="Phones"/>
    <n v="3"/>
    <n v="0"/>
    <n v="0"/>
    <n v="59.97"/>
  </r>
  <r>
    <s v="United States"/>
    <x v="306"/>
    <s v="Standard Class"/>
    <s v="Consumer"/>
    <s v="Tables"/>
    <n v="2"/>
    <n v="0"/>
    <n v="200.49"/>
    <n v="801.96"/>
  </r>
  <r>
    <s v="United States"/>
    <x v="307"/>
    <s v="Second Class"/>
    <s v="Corporate"/>
    <s v="Phones"/>
    <n v="1"/>
    <n v="0.2"/>
    <n v="4.6193000000000026"/>
    <n v="52.792000000000002"/>
  </r>
  <r>
    <s v="United States"/>
    <x v="307"/>
    <s v="Standard Class"/>
    <s v="Consumer"/>
    <s v="Accessories"/>
    <n v="7"/>
    <n v="0"/>
    <n v="43.598100000000002"/>
    <n v="111.79"/>
  </r>
  <r>
    <s v="United States"/>
    <x v="307"/>
    <s v="Standard Class"/>
    <s v="Consumer"/>
    <s v="Chairs"/>
    <n v="2"/>
    <n v="0.2"/>
    <n v="-28.274400000000021"/>
    <n v="161.56800000000001"/>
  </r>
  <r>
    <s v="United States"/>
    <x v="308"/>
    <s v="First Class"/>
    <s v="Consumer"/>
    <s v="Accessories"/>
    <n v="6"/>
    <n v="0"/>
    <n v="41.534999999999997"/>
    <n v="106.5"/>
  </r>
  <r>
    <s v="United States"/>
    <x v="308"/>
    <s v="First Class"/>
    <s v="Consumer"/>
    <s v="Furnishings"/>
    <n v="1"/>
    <n v="0.2"/>
    <n v="4.7712000000000012"/>
    <n v="18.175999999999998"/>
  </r>
  <r>
    <s v="United States"/>
    <x v="308"/>
    <s v="First Class"/>
    <s v="Corporate"/>
    <s v="Binders"/>
    <n v="8"/>
    <n v="0"/>
    <n v="41.021599999999999"/>
    <n v="87.28"/>
  </r>
  <r>
    <s v="United States"/>
    <x v="308"/>
    <s v="Same Day"/>
    <s v="Home Office"/>
    <s v="Paper"/>
    <n v="2"/>
    <n v="0.2"/>
    <n v="2.6892000000000005"/>
    <n v="7.9680000000000009"/>
  </r>
  <r>
    <s v="United States"/>
    <x v="308"/>
    <s v="Second Class"/>
    <s v="Home Office"/>
    <s v="Accessories"/>
    <n v="2"/>
    <n v="0"/>
    <n v="7.25"/>
    <n v="29"/>
  </r>
  <r>
    <s v="United States"/>
    <x v="308"/>
    <s v="Second Class"/>
    <s v="Home Office"/>
    <s v="Phones"/>
    <n v="9"/>
    <n v="0"/>
    <n v="173.01560000000001"/>
    <n v="653.91"/>
  </r>
  <r>
    <s v="United States"/>
    <x v="308"/>
    <s v="Standard Class"/>
    <s v="Consumer"/>
    <s v="Accessories"/>
    <n v="12"/>
    <n v="0.2"/>
    <n v="236.32239999999993"/>
    <n v="748.76800000000003"/>
  </r>
  <r>
    <s v="United States"/>
    <x v="308"/>
    <s v="Standard Class"/>
    <s v="Consumer"/>
    <s v="Art"/>
    <n v="2"/>
    <n v="0"/>
    <n v="15.764000000000003"/>
    <n v="56.3"/>
  </r>
  <r>
    <s v="United States"/>
    <x v="308"/>
    <s v="Standard Class"/>
    <s v="Consumer"/>
    <s v="Binders"/>
    <n v="7"/>
    <n v="0"/>
    <n v="16.679599999999997"/>
    <n v="36.26"/>
  </r>
  <r>
    <s v="United States"/>
    <x v="308"/>
    <s v="Standard Class"/>
    <s v="Consumer"/>
    <s v="Bookcases"/>
    <n v="2"/>
    <n v="0.2"/>
    <n v="-3.8863999999999947"/>
    <n v="77.728000000000009"/>
  </r>
  <r>
    <s v="United States"/>
    <x v="308"/>
    <s v="Standard Class"/>
    <s v="Consumer"/>
    <s v="Chairs"/>
    <n v="3"/>
    <n v="0.2"/>
    <n v="52.376399999999961"/>
    <n v="698.35200000000009"/>
  </r>
  <r>
    <s v="United States"/>
    <x v="308"/>
    <s v="Standard Class"/>
    <s v="Consumer"/>
    <s v="Furnishings"/>
    <n v="2"/>
    <n v="0"/>
    <n v="10.789200000000001"/>
    <n v="29.16"/>
  </r>
  <r>
    <s v="United States"/>
    <x v="308"/>
    <s v="Standard Class"/>
    <s v="Consumer"/>
    <s v="Paper"/>
    <n v="8"/>
    <n v="0.2"/>
    <n v="39.007199999999997"/>
    <n v="97.104000000000013"/>
  </r>
  <r>
    <s v="United States"/>
    <x v="308"/>
    <s v="Standard Class"/>
    <s v="Corporate"/>
    <s v="Chairs"/>
    <n v="3"/>
    <n v="0.2"/>
    <n v="25.874999999999972"/>
    <n v="207"/>
  </r>
  <r>
    <s v="United States"/>
    <x v="308"/>
    <s v="Standard Class"/>
    <s v="Corporate"/>
    <s v="Furnishings"/>
    <n v="2"/>
    <n v="0.2"/>
    <n v="1.9989999999999979"/>
    <n v="31.983999999999998"/>
  </r>
  <r>
    <s v="United States"/>
    <x v="308"/>
    <s v="Standard Class"/>
    <s v="Corporate"/>
    <s v="Paper"/>
    <n v="2"/>
    <n v="0"/>
    <n v="6.2208000000000006"/>
    <n v="12.96"/>
  </r>
  <r>
    <s v="United States"/>
    <x v="308"/>
    <s v="Standard Class"/>
    <s v="Corporate"/>
    <s v="Phones"/>
    <n v="2"/>
    <n v="0.2"/>
    <n v="25.194399999999995"/>
    <n v="71.984000000000009"/>
  </r>
  <r>
    <s v="United States"/>
    <x v="309"/>
    <s v="Standard Class"/>
    <s v="Corporate"/>
    <s v="Accessories"/>
    <n v="2"/>
    <n v="0"/>
    <n v="3.9032000000000018"/>
    <n v="27.88"/>
  </r>
  <r>
    <s v="United States"/>
    <x v="310"/>
    <s v="Second Class"/>
    <s v="Consumer"/>
    <s v="Binders"/>
    <n v="5"/>
    <n v="0"/>
    <n v="11.375"/>
    <n v="22.75"/>
  </r>
  <r>
    <s v="United States"/>
    <x v="310"/>
    <s v="Second Class"/>
    <s v="Consumer"/>
    <s v="Phones"/>
    <n v="5"/>
    <n v="0"/>
    <n v="274.38600000000008"/>
    <n v="979.95"/>
  </r>
  <r>
    <s v="United States"/>
    <x v="310"/>
    <s v="Second Class"/>
    <s v="Corporate"/>
    <s v="Chairs"/>
    <n v="6"/>
    <n v="0"/>
    <n v="70.964399999999983"/>
    <n v="545.88"/>
  </r>
  <r>
    <s v="United States"/>
    <x v="310"/>
    <s v="Second Class"/>
    <s v="Corporate"/>
    <s v="Furnishings"/>
    <n v="2"/>
    <n v="0"/>
    <n v="3.4543999999999997"/>
    <n v="10.16"/>
  </r>
  <r>
    <s v="United States"/>
    <x v="310"/>
    <s v="Second Class"/>
    <s v="Corporate"/>
    <s v="Phones"/>
    <n v="5"/>
    <n v="0"/>
    <n v="362.68699999999995"/>
    <n v="1394.95"/>
  </r>
  <r>
    <s v="United States"/>
    <x v="310"/>
    <s v="Second Class"/>
    <s v="Corporate"/>
    <s v="Storage"/>
    <n v="3"/>
    <n v="0"/>
    <n v="11.038799999999981"/>
    <n v="275.96999999999997"/>
  </r>
  <r>
    <s v="United States"/>
    <x v="310"/>
    <s v="Standard Class"/>
    <s v="Consumer"/>
    <s v="Art"/>
    <n v="3"/>
    <n v="0"/>
    <n v="3.9609000000000001"/>
    <n v="14.669999999999998"/>
  </r>
  <r>
    <s v="United States"/>
    <x v="310"/>
    <s v="Standard Class"/>
    <s v="Corporate"/>
    <s v="Envelopes"/>
    <n v="9"/>
    <n v="0"/>
    <n v="49.23"/>
    <n v="98.46"/>
  </r>
  <r>
    <s v="United States"/>
    <x v="310"/>
    <s v="Standard Class"/>
    <s v="Corporate"/>
    <s v="Furnishings"/>
    <n v="8"/>
    <n v="0"/>
    <n v="8.1167999999999996"/>
    <n v="21.36"/>
  </r>
  <r>
    <s v="United States"/>
    <x v="310"/>
    <s v="Standard Class"/>
    <s v="Corporate"/>
    <s v="Tables"/>
    <n v="2"/>
    <n v="0"/>
    <n v="39.44380000000001"/>
    <n v="358.58"/>
  </r>
  <r>
    <s v="United States"/>
    <x v="311"/>
    <s v="Standard Class"/>
    <s v="Consumer"/>
    <s v="Accessories"/>
    <n v="4"/>
    <n v="0"/>
    <n v="19.827599999999997"/>
    <n v="63.96"/>
  </r>
  <r>
    <s v="United States"/>
    <x v="311"/>
    <s v="Standard Class"/>
    <s v="Home Office"/>
    <s v="Chairs"/>
    <n v="5"/>
    <n v="0"/>
    <n v="81.58299999999997"/>
    <n v="479.90000000000003"/>
  </r>
  <r>
    <s v="United States"/>
    <x v="312"/>
    <s v="First Class"/>
    <s v="Consumer"/>
    <s v="Paper"/>
    <n v="8"/>
    <n v="0"/>
    <n v="21.211199999999998"/>
    <n v="45.84"/>
  </r>
  <r>
    <s v="United States"/>
    <x v="312"/>
    <s v="First Class"/>
    <s v="Consumer"/>
    <s v="Storage"/>
    <n v="6"/>
    <n v="0"/>
    <n v="0.83759999999999835"/>
    <n v="41.88"/>
  </r>
  <r>
    <s v="United States"/>
    <x v="312"/>
    <s v="Standard Class"/>
    <s v="Consumer"/>
    <s v="Furnishings"/>
    <n v="10"/>
    <n v="0"/>
    <n v="213.16239999999999"/>
    <n v="884.68000000000006"/>
  </r>
  <r>
    <s v="United States"/>
    <x v="312"/>
    <s v="Standard Class"/>
    <s v="Corporate"/>
    <s v="Paper"/>
    <n v="8"/>
    <n v="0"/>
    <n v="84.051199999999994"/>
    <n v="182.72"/>
  </r>
  <r>
    <s v="United States"/>
    <x v="312"/>
    <s v="Standard Class"/>
    <s v="Home Office"/>
    <s v="Appliances"/>
    <n v="1"/>
    <n v="0"/>
    <n v="2.9646000000000008"/>
    <n v="10.98"/>
  </r>
  <r>
    <s v="United States"/>
    <x v="312"/>
    <s v="Standard Class"/>
    <s v="Home Office"/>
    <s v="Binders"/>
    <n v="3"/>
    <n v="0.2"/>
    <n v="13.896000000000001"/>
    <n v="37.055999999999997"/>
  </r>
  <r>
    <s v="United States"/>
    <x v="312"/>
    <s v="Standard Class"/>
    <s v="Home Office"/>
    <s v="Fasteners"/>
    <n v="3"/>
    <n v="0"/>
    <n v="3.6156000000000001"/>
    <n v="7.86"/>
  </r>
  <r>
    <s v="United States"/>
    <x v="312"/>
    <s v="Standard Class"/>
    <s v="Home Office"/>
    <s v="Storage"/>
    <n v="3"/>
    <n v="0"/>
    <n v="13.891499999999999"/>
    <n v="51.449999999999996"/>
  </r>
  <r>
    <s v="United States"/>
    <x v="313"/>
    <s v="Standard Class"/>
    <s v="Consumer"/>
    <s v="Art"/>
    <n v="8"/>
    <n v="0"/>
    <n v="5.9184000000000019"/>
    <n v="21.92"/>
  </r>
  <r>
    <s v="United States"/>
    <x v="313"/>
    <s v="Standard Class"/>
    <s v="Consumer"/>
    <s v="Bookcases"/>
    <n v="2"/>
    <n v="0.15"/>
    <n v="-12.097999999999999"/>
    <n v="205.666"/>
  </r>
  <r>
    <s v="United States"/>
    <x v="313"/>
    <s v="Standard Class"/>
    <s v="Consumer"/>
    <s v="Storage"/>
    <n v="3"/>
    <n v="0"/>
    <n v="7.3079999999999998"/>
    <n v="48.72"/>
  </r>
  <r>
    <s v="United States"/>
    <x v="313"/>
    <s v="Standard Class"/>
    <s v="Consumer"/>
    <s v="Tables"/>
    <n v="3"/>
    <n v="0.2"/>
    <n v="6.717599999999976"/>
    <n v="268.70400000000001"/>
  </r>
  <r>
    <s v="United States"/>
    <x v="314"/>
    <s v="Second Class"/>
    <s v="Consumer"/>
    <s v="Appliances"/>
    <n v="8"/>
    <n v="0"/>
    <n v="735.03359999999998"/>
    <n v="2625.12"/>
  </r>
  <r>
    <s v="United States"/>
    <x v="314"/>
    <s v="Second Class"/>
    <s v="Consumer"/>
    <s v="Art"/>
    <n v="3"/>
    <n v="0"/>
    <n v="4.4850000000000003"/>
    <n v="17.940000000000001"/>
  </r>
  <r>
    <s v="United States"/>
    <x v="314"/>
    <s v="Standard Class"/>
    <s v="Consumer"/>
    <s v="Fasteners"/>
    <n v="6"/>
    <n v="0"/>
    <n v="0.3024"/>
    <n v="7.5600000000000005"/>
  </r>
  <r>
    <s v="United States"/>
    <x v="314"/>
    <s v="Standard Class"/>
    <s v="Consumer"/>
    <s v="Machines"/>
    <n v="4"/>
    <n v="0"/>
    <n v="225.6"/>
    <n v="480"/>
  </r>
  <r>
    <s v="United States"/>
    <x v="314"/>
    <s v="Standard Class"/>
    <s v="Consumer"/>
    <s v="Storage"/>
    <n v="3"/>
    <n v="0"/>
    <n v="9.5340000000000025"/>
    <n v="34.049999999999997"/>
  </r>
  <r>
    <s v="United States"/>
    <x v="314"/>
    <s v="Standard Class"/>
    <s v="Corporate"/>
    <s v="Binders"/>
    <n v="2"/>
    <n v="0"/>
    <n v="843.17059999999992"/>
    <n v="1793.98"/>
  </r>
  <r>
    <s v="United States"/>
    <x v="314"/>
    <s v="Standard Class"/>
    <s v="Corporate"/>
    <s v="Furnishings"/>
    <n v="5"/>
    <n v="0"/>
    <n v="20.101500000000001"/>
    <n v="74.45"/>
  </r>
  <r>
    <s v="United States"/>
    <x v="315"/>
    <s v="Same Day"/>
    <s v="Consumer"/>
    <s v="Furnishings"/>
    <n v="2"/>
    <n v="0"/>
    <n v="6.1704000000000008"/>
    <n v="17.14"/>
  </r>
  <r>
    <s v="United States"/>
    <x v="315"/>
    <s v="Second Class"/>
    <s v="Consumer"/>
    <s v="Chairs"/>
    <n v="6"/>
    <n v="0"/>
    <n v="87.350400000000036"/>
    <n v="545.93999999999994"/>
  </r>
  <r>
    <s v="United States"/>
    <x v="316"/>
    <s v="Standard Class"/>
    <s v="Consumer"/>
    <s v="Envelopes"/>
    <n v="7"/>
    <n v="0"/>
    <n v="40.241399999999999"/>
    <n v="85.62"/>
  </r>
  <r>
    <s v="United States"/>
    <x v="316"/>
    <s v="Standard Class"/>
    <s v="Consumer"/>
    <s v="Paper"/>
    <n v="5"/>
    <n v="0"/>
    <n v="24.2285"/>
    <n v="51.550000000000004"/>
  </r>
  <r>
    <s v="United States"/>
    <x v="316"/>
    <s v="Standard Class"/>
    <s v="Corporate"/>
    <s v="Accessories"/>
    <n v="3"/>
    <n v="0"/>
    <n v="113.98860000000001"/>
    <n v="299.96999999999997"/>
  </r>
  <r>
    <s v="United States"/>
    <x v="316"/>
    <s v="Standard Class"/>
    <s v="Corporate"/>
    <s v="Appliances"/>
    <n v="6"/>
    <n v="0"/>
    <n v="109.72260000000001"/>
    <n v="281.34000000000003"/>
  </r>
  <r>
    <s v="United States"/>
    <x v="316"/>
    <s v="Standard Class"/>
    <s v="Corporate"/>
    <s v="Binders"/>
    <n v="3"/>
    <n v="0.2"/>
    <n v="2.8100999999999998"/>
    <n v="7.7520000000000007"/>
  </r>
  <r>
    <s v="United States"/>
    <x v="316"/>
    <s v="Standard Class"/>
    <s v="Corporate"/>
    <s v="Phones"/>
    <n v="2"/>
    <n v="0"/>
    <n v="89.314199999999971"/>
    <n v="307.98"/>
  </r>
  <r>
    <s v="United States"/>
    <x v="316"/>
    <s v="Standard Class"/>
    <s v="Corporate"/>
    <s v="Storage"/>
    <n v="7"/>
    <n v="0"/>
    <n v="282.20920000000001"/>
    <n v="1085.42"/>
  </r>
  <r>
    <s v="United States"/>
    <x v="317"/>
    <s v="First Class"/>
    <s v="Corporate"/>
    <s v="Paper"/>
    <n v="3"/>
    <n v="0.2"/>
    <n v="5.2026000000000003"/>
    <n v="14.352000000000002"/>
  </r>
  <r>
    <s v="United States"/>
    <x v="317"/>
    <s v="Second Class"/>
    <s v="Corporate"/>
    <s v="Furnishings"/>
    <n v="1"/>
    <n v="0.2"/>
    <n v="0.99949999999999894"/>
    <n v="15.991999999999999"/>
  </r>
  <r>
    <s v="United States"/>
    <x v="317"/>
    <s v="Standard Class"/>
    <s v="Corporate"/>
    <s v="Accessories"/>
    <n v="10"/>
    <n v="0.4"/>
    <n v="-12.021000000000011"/>
    <n v="77.472000000000008"/>
  </r>
  <r>
    <s v="United States"/>
    <x v="317"/>
    <s v="Standard Class"/>
    <s v="Corporate"/>
    <s v="Binders"/>
    <n v="7"/>
    <n v="2.0999999999999996"/>
    <n v="-8.7417999999999978"/>
    <n v="12.069000000000003"/>
  </r>
  <r>
    <s v="United States"/>
    <x v="317"/>
    <s v="Standard Class"/>
    <s v="Corporate"/>
    <s v="Bookcases"/>
    <n v="2"/>
    <n v="0.2"/>
    <n v="8.1939999999999955"/>
    <n v="131.10400000000001"/>
  </r>
  <r>
    <s v="United States"/>
    <x v="317"/>
    <s v="Standard Class"/>
    <s v="Corporate"/>
    <s v="Furnishings"/>
    <n v="3"/>
    <n v="0.2"/>
    <n v="16.005600000000005"/>
    <n v="53.352000000000004"/>
  </r>
  <r>
    <s v="United States"/>
    <x v="317"/>
    <s v="Standard Class"/>
    <s v="Corporate"/>
    <s v="Paper"/>
    <n v="1"/>
    <n v="0.2"/>
    <n v="3.7989999999999995"/>
    <n v="10.48"/>
  </r>
  <r>
    <s v="United States"/>
    <x v="317"/>
    <s v="Standard Class"/>
    <s v="Corporate"/>
    <s v="Storage"/>
    <n v="3"/>
    <n v="0.2"/>
    <n v="2.2511999999999999"/>
    <n v="22.512000000000004"/>
  </r>
  <r>
    <s v="United States"/>
    <x v="318"/>
    <s v="First Class"/>
    <s v="Consumer"/>
    <s v="Furnishings"/>
    <n v="3"/>
    <n v="0"/>
    <n v="74.809799999999996"/>
    <n v="191.82"/>
  </r>
  <r>
    <s v="United States"/>
    <x v="318"/>
    <s v="First Class"/>
    <s v="Home Office"/>
    <s v="Paper"/>
    <n v="5"/>
    <n v="0"/>
    <n v="23.231999999999999"/>
    <n v="48.4"/>
  </r>
  <r>
    <s v="United States"/>
    <x v="318"/>
    <s v="Same Day"/>
    <s v="Consumer"/>
    <s v="Art"/>
    <n v="1"/>
    <n v="0"/>
    <n v="7.5370999999999988"/>
    <n v="25.99"/>
  </r>
  <r>
    <s v="United States"/>
    <x v="318"/>
    <s v="Same Day"/>
    <s v="Consumer"/>
    <s v="Phones"/>
    <n v="9"/>
    <n v="0.2"/>
    <n v="6.2936999999999976"/>
    <n v="71.928000000000011"/>
  </r>
  <r>
    <s v="United States"/>
    <x v="318"/>
    <s v="Standard Class"/>
    <s v="Consumer"/>
    <s v="Appliances"/>
    <n v="5"/>
    <n v="0"/>
    <n v="19.656000000000002"/>
    <n v="72.8"/>
  </r>
  <r>
    <s v="United States"/>
    <x v="319"/>
    <s v="Standard Class"/>
    <s v="Consumer"/>
    <s v="Storage"/>
    <n v="3"/>
    <n v="0"/>
    <n v="92.083500000000015"/>
    <n v="484.65000000000003"/>
  </r>
  <r>
    <s v="United States"/>
    <x v="320"/>
    <s v="Same Day"/>
    <s v="Home Office"/>
    <s v="Phones"/>
    <n v="8"/>
    <n v="0"/>
    <n v="374.37920000000008"/>
    <n v="1439.92"/>
  </r>
  <r>
    <s v="United States"/>
    <x v="320"/>
    <s v="Same Day"/>
    <s v="Home Office"/>
    <s v="Tables"/>
    <n v="1"/>
    <n v="0"/>
    <n v="62.906399999999991"/>
    <n v="262.11"/>
  </r>
  <r>
    <s v="United States"/>
    <x v="320"/>
    <s v="Standard Class"/>
    <s v="Home Office"/>
    <s v="Appliances"/>
    <n v="3"/>
    <n v="0"/>
    <n v="3.4086000000000003"/>
    <n v="13.11"/>
  </r>
  <r>
    <s v="United States"/>
    <x v="320"/>
    <s v="Standard Class"/>
    <s v="Home Office"/>
    <s v="Art"/>
    <n v="2"/>
    <n v="0"/>
    <n v="1.9023999999999992"/>
    <n v="6.56"/>
  </r>
  <r>
    <s v="United States"/>
    <x v="321"/>
    <s v="Second Class"/>
    <s v="Consumer"/>
    <s v="Accessories"/>
    <n v="5"/>
    <n v="0.2"/>
    <n v="83.98599999999999"/>
    <n v="239.96000000000004"/>
  </r>
  <r>
    <s v="United States"/>
    <x v="321"/>
    <s v="Second Class"/>
    <s v="Consumer"/>
    <s v="Binders"/>
    <n v="6"/>
    <n v="0.8"/>
    <n v="-13.015200000000004"/>
    <n v="7.6559999999999988"/>
  </r>
  <r>
    <s v="United States"/>
    <x v="321"/>
    <s v="Second Class"/>
    <s v="Consumer"/>
    <s v="Chairs"/>
    <n v="7"/>
    <n v="0.3"/>
    <n v="-163.57670000000005"/>
    <n v="602.65099999999995"/>
  </r>
  <r>
    <s v="United States"/>
    <x v="321"/>
    <s v="Standard Class"/>
    <s v="Consumer"/>
    <s v="Binders"/>
    <n v="3"/>
    <n v="0.8"/>
    <n v="-4.492799999999999"/>
    <n v="2.8079999999999989"/>
  </r>
  <r>
    <s v="United States"/>
    <x v="321"/>
    <s v="Standard Class"/>
    <s v="Corporate"/>
    <s v="Phones"/>
    <n v="4"/>
    <n v="0.2"/>
    <n v="16.556399999999996"/>
    <n v="147.16800000000001"/>
  </r>
  <r>
    <s v="United States"/>
    <x v="321"/>
    <s v="Standard Class"/>
    <s v="Home Office"/>
    <s v="Binders"/>
    <n v="2"/>
    <n v="0.8"/>
    <n v="-5.4870000000000001"/>
    <n v="3.5399999999999991"/>
  </r>
  <r>
    <s v="United States"/>
    <x v="321"/>
    <s v="Standard Class"/>
    <s v="Home Office"/>
    <s v="Labels"/>
    <n v="3"/>
    <n v="0.2"/>
    <n v="4.2716999999999992"/>
    <n v="11.784000000000001"/>
  </r>
  <r>
    <s v="United States"/>
    <x v="321"/>
    <s v="Standard Class"/>
    <s v="Home Office"/>
    <s v="Storage"/>
    <n v="3"/>
    <n v="0.2"/>
    <n v="-64.774800000000013"/>
    <n v="272.73599999999999"/>
  </r>
  <r>
    <s v="United States"/>
    <x v="322"/>
    <s v="Second Class"/>
    <s v="Consumer"/>
    <s v="Fasteners"/>
    <n v="6"/>
    <n v="0"/>
    <n v="6.9654000000000007"/>
    <n v="14.82"/>
  </r>
  <r>
    <s v="United States"/>
    <x v="322"/>
    <s v="Standard Class"/>
    <s v="Corporate"/>
    <s v="Furnishings"/>
    <n v="4"/>
    <n v="0"/>
    <n v="6.5471999999999984"/>
    <n v="21.12"/>
  </r>
  <r>
    <s v="United States"/>
    <x v="323"/>
    <s v="First Class"/>
    <s v="Consumer"/>
    <s v="Paper"/>
    <n v="3"/>
    <n v="0.2"/>
    <n v="5.4432"/>
    <n v="15.552000000000003"/>
  </r>
  <r>
    <s v="United States"/>
    <x v="323"/>
    <s v="First Class"/>
    <s v="Corporate"/>
    <s v="Chairs"/>
    <n v="2"/>
    <n v="0.2"/>
    <n v="10.960199999999993"/>
    <n v="97.424000000000007"/>
  </r>
  <r>
    <s v="United States"/>
    <x v="323"/>
    <s v="First Class"/>
    <s v="Home Office"/>
    <s v="Art"/>
    <n v="14"/>
    <n v="0.4"/>
    <n v="12.048"/>
    <n v="109.96799999999999"/>
  </r>
  <r>
    <s v="United States"/>
    <x v="323"/>
    <s v="Standard Class"/>
    <s v="Consumer"/>
    <s v="Accessories"/>
    <n v="4"/>
    <n v="0.2"/>
    <n v="8.3524000000000012"/>
    <n v="35.167999999999999"/>
  </r>
  <r>
    <s v="United States"/>
    <x v="323"/>
    <s v="Standard Class"/>
    <s v="Consumer"/>
    <s v="Art"/>
    <n v="5"/>
    <n v="0.4"/>
    <n v="1.1720999999999993"/>
    <n v="9.6080000000000005"/>
  </r>
  <r>
    <s v="United States"/>
    <x v="323"/>
    <s v="Standard Class"/>
    <s v="Consumer"/>
    <s v="Binders"/>
    <n v="9"/>
    <n v="1.4"/>
    <n v="-921.82169999999996"/>
    <n v="1381.0410000000002"/>
  </r>
  <r>
    <s v="United States"/>
    <x v="323"/>
    <s v="Standard Class"/>
    <s v="Consumer"/>
    <s v="Furnishings"/>
    <n v="3"/>
    <n v="0.2"/>
    <n v="14.546999999999995"/>
    <n v="44.76"/>
  </r>
  <r>
    <s v="United States"/>
    <x v="323"/>
    <s v="Standard Class"/>
    <s v="Consumer"/>
    <s v="Labels"/>
    <n v="4"/>
    <n v="0.2"/>
    <n v="3.3408000000000002"/>
    <n v="9.2159999999999993"/>
  </r>
  <r>
    <s v="United States"/>
    <x v="323"/>
    <s v="Standard Class"/>
    <s v="Consumer"/>
    <s v="Machines"/>
    <n v="2"/>
    <n v="0.5"/>
    <n v="-272.58000000000015"/>
    <n v="649"/>
  </r>
  <r>
    <s v="United States"/>
    <x v="323"/>
    <s v="Standard Class"/>
    <s v="Consumer"/>
    <s v="Paper"/>
    <n v="22"/>
    <n v="1"/>
    <n v="98.928399999999982"/>
    <n v="297.29600000000005"/>
  </r>
  <r>
    <s v="United States"/>
    <x v="323"/>
    <s v="Standard Class"/>
    <s v="Consumer"/>
    <s v="Storage"/>
    <n v="4"/>
    <n v="0.2"/>
    <n v="-58.873600000000025"/>
    <n v="294.36799999999999"/>
  </r>
  <r>
    <s v="United States"/>
    <x v="323"/>
    <s v="Standard Class"/>
    <s v="Corporate"/>
    <s v="Appliances"/>
    <n v="10"/>
    <n v="0.4"/>
    <n v="13.840399999999999"/>
    <n v="158.17599999999999"/>
  </r>
  <r>
    <s v="United States"/>
    <x v="323"/>
    <s v="Standard Class"/>
    <s v="Corporate"/>
    <s v="Binders"/>
    <n v="3"/>
    <n v="0.7"/>
    <n v="-20.72399999999999"/>
    <n v="31.086000000000006"/>
  </r>
  <r>
    <s v="United States"/>
    <x v="323"/>
    <s v="Standard Class"/>
    <s v="Corporate"/>
    <s v="Fasteners"/>
    <n v="5"/>
    <n v="0.2"/>
    <n v="1.1764999999999992"/>
    <n v="7.2400000000000011"/>
  </r>
  <r>
    <s v="United States"/>
    <x v="323"/>
    <s v="Standard Class"/>
    <s v="Corporate"/>
    <s v="Furnishings"/>
    <n v="4"/>
    <n v="0.2"/>
    <n v="9.3504000000000005"/>
    <n v="31.168000000000003"/>
  </r>
  <r>
    <s v="United States"/>
    <x v="323"/>
    <s v="Standard Class"/>
    <s v="Corporate"/>
    <s v="Paper"/>
    <n v="5"/>
    <n v="0.2"/>
    <n v="29.691999999999993"/>
    <n v="91.360000000000014"/>
  </r>
  <r>
    <s v="United States"/>
    <x v="323"/>
    <s v="Standard Class"/>
    <s v="Corporate"/>
    <s v="Phones"/>
    <n v="11"/>
    <n v="0.4"/>
    <n v="250.9909000000001"/>
    <n v="2479.9120000000003"/>
  </r>
  <r>
    <s v="United States"/>
    <x v="323"/>
    <s v="Standard Class"/>
    <s v="Corporate"/>
    <s v="Storage"/>
    <n v="1"/>
    <n v="0.2"/>
    <n v="17.84699999999998"/>
    <n v="142.77600000000001"/>
  </r>
  <r>
    <s v="United States"/>
    <x v="323"/>
    <s v="Standard Class"/>
    <s v="Corporate"/>
    <s v="Tables"/>
    <n v="2"/>
    <n v="0.4"/>
    <n v="-28.224000000000004"/>
    <n v="120.96"/>
  </r>
  <r>
    <s v="United States"/>
    <x v="323"/>
    <s v="Standard Class"/>
    <s v="Home Office"/>
    <s v="Storage"/>
    <n v="1"/>
    <n v="0.2"/>
    <n v="-12.956800000000005"/>
    <n v="64.784000000000006"/>
  </r>
  <r>
    <s v="United States"/>
    <x v="324"/>
    <s v="Standard Class"/>
    <s v="Consumer"/>
    <s v="Binders"/>
    <n v="6"/>
    <n v="0"/>
    <n v="17.9634"/>
    <n v="38.22"/>
  </r>
  <r>
    <s v="United States"/>
    <x v="324"/>
    <s v="Standard Class"/>
    <s v="Consumer"/>
    <s v="Chairs"/>
    <n v="1"/>
    <n v="0"/>
    <n v="17.098099999999988"/>
    <n v="89.99"/>
  </r>
  <r>
    <s v="United States"/>
    <x v="324"/>
    <s v="Standard Class"/>
    <s v="Consumer"/>
    <s v="Furnishings"/>
    <n v="2"/>
    <n v="0"/>
    <n v="2.9567999999999999"/>
    <n v="6.16"/>
  </r>
  <r>
    <s v="United States"/>
    <x v="324"/>
    <s v="Standard Class"/>
    <s v="Consumer"/>
    <s v="Labels"/>
    <n v="6"/>
    <n v="0"/>
    <n v="35.334599999999995"/>
    <n v="75.179999999999993"/>
  </r>
  <r>
    <s v="United States"/>
    <x v="325"/>
    <s v="Standard Class"/>
    <s v="Consumer"/>
    <s v="Accessories"/>
    <n v="2"/>
    <n v="0"/>
    <n v="7.6493999999999982"/>
    <n v="23.18"/>
  </r>
  <r>
    <s v="United States"/>
    <x v="325"/>
    <s v="Standard Class"/>
    <s v="Corporate"/>
    <s v="Binders"/>
    <n v="14"/>
    <n v="0"/>
    <n v="29.64"/>
    <n v="64.5"/>
  </r>
  <r>
    <s v="United States"/>
    <x v="325"/>
    <s v="Standard Class"/>
    <s v="Corporate"/>
    <s v="Paper"/>
    <n v="3"/>
    <n v="0"/>
    <n v="9.3312000000000008"/>
    <n v="19.440000000000001"/>
  </r>
  <r>
    <s v="United States"/>
    <x v="325"/>
    <s v="Standard Class"/>
    <s v="Corporate"/>
    <s v="Phones"/>
    <n v="3"/>
    <n v="0"/>
    <n v="3.8654999999999973"/>
    <n v="128.85000000000002"/>
  </r>
  <r>
    <s v="United States"/>
    <x v="326"/>
    <s v="Standard Class"/>
    <s v="Home Office"/>
    <s v="Fasteners"/>
    <n v="2"/>
    <n v="0"/>
    <n v="3.58"/>
    <n v="7.16"/>
  </r>
  <r>
    <s v="United States"/>
    <x v="326"/>
    <s v="Standard Class"/>
    <s v="Home Office"/>
    <s v="Paper"/>
    <n v="1"/>
    <n v="0"/>
    <n v="3.5766999999999998"/>
    <n v="7.61"/>
  </r>
  <r>
    <s v="United States"/>
    <x v="327"/>
    <s v="Standard Class"/>
    <s v="Consumer"/>
    <s v="Appliances"/>
    <n v="7"/>
    <n v="0"/>
    <n v="16.386300000000002"/>
    <n v="60.69"/>
  </r>
  <r>
    <s v="United States"/>
    <x v="327"/>
    <s v="Standard Class"/>
    <s v="Consumer"/>
    <s v="Phones"/>
    <n v="2"/>
    <n v="0"/>
    <n v="6.6976000000000013"/>
    <n v="23.92"/>
  </r>
  <r>
    <s v="United States"/>
    <x v="328"/>
    <s v="First Class"/>
    <s v="Home Office"/>
    <s v="Machines"/>
    <n v="1"/>
    <n v="0"/>
    <n v="30.095700000000001"/>
    <n v="69.989999999999995"/>
  </r>
  <r>
    <s v="United States"/>
    <x v="328"/>
    <s v="Standard Class"/>
    <s v="Consumer"/>
    <s v="Accessories"/>
    <n v="5"/>
    <n v="0"/>
    <n v="14.994999999999994"/>
    <n v="149.94999999999999"/>
  </r>
  <r>
    <s v="United States"/>
    <x v="328"/>
    <s v="Standard Class"/>
    <s v="Consumer"/>
    <s v="Binders"/>
    <n v="5"/>
    <n v="0.4"/>
    <n v="23.119399999999995"/>
    <n v="65.215999999999994"/>
  </r>
  <r>
    <s v="United States"/>
    <x v="328"/>
    <s v="Standard Class"/>
    <s v="Consumer"/>
    <s v="Chairs"/>
    <n v="2"/>
    <n v="0.1"/>
    <n v="140.39599999999993"/>
    <n v="631.78200000000004"/>
  </r>
  <r>
    <s v="United States"/>
    <x v="328"/>
    <s v="Standard Class"/>
    <s v="Consumer"/>
    <s v="Furnishings"/>
    <n v="3"/>
    <n v="0"/>
    <n v="26.1096"/>
    <n v="60.72"/>
  </r>
  <r>
    <s v="United States"/>
    <x v="328"/>
    <s v="Standard Class"/>
    <s v="Home Office"/>
    <s v="Paper"/>
    <n v="9"/>
    <n v="0"/>
    <n v="131.50530000000001"/>
    <n v="270.27"/>
  </r>
  <r>
    <s v="United States"/>
    <x v="328"/>
    <s v="Standard Class"/>
    <s v="Home Office"/>
    <s v="Supplies"/>
    <n v="2"/>
    <n v="0"/>
    <n v="2.1899999999999995"/>
    <n v="7.3"/>
  </r>
  <r>
    <s v="United States"/>
    <x v="329"/>
    <s v="First Class"/>
    <s v="Consumer"/>
    <s v="Accessories"/>
    <n v="15"/>
    <n v="0"/>
    <n v="141.35080000000005"/>
    <n v="634.29"/>
  </r>
  <r>
    <s v="United States"/>
    <x v="329"/>
    <s v="First Class"/>
    <s v="Consumer"/>
    <s v="Appliances"/>
    <n v="17"/>
    <n v="0"/>
    <n v="473.56579999999997"/>
    <n v="1533.21"/>
  </r>
  <r>
    <s v="United States"/>
    <x v="329"/>
    <s v="First Class"/>
    <s v="Consumer"/>
    <s v="Art"/>
    <n v="11"/>
    <n v="0"/>
    <n v="43.552800000000005"/>
    <n v="147.96"/>
  </r>
  <r>
    <s v="United States"/>
    <x v="329"/>
    <s v="First Class"/>
    <s v="Consumer"/>
    <s v="Binders"/>
    <n v="40"/>
    <n v="2.1999999999999997"/>
    <n v="1792.0525000000002"/>
    <n v="4825.0720000000001"/>
  </r>
  <r>
    <s v="United States"/>
    <x v="329"/>
    <s v="First Class"/>
    <s v="Consumer"/>
    <s v="Bookcases"/>
    <n v="11"/>
    <n v="0.8"/>
    <n v="-174.78160000000017"/>
    <n v="2127.0239999999999"/>
  </r>
  <r>
    <s v="United States"/>
    <x v="329"/>
    <s v="First Class"/>
    <s v="Consumer"/>
    <s v="Chairs"/>
    <n v="10"/>
    <n v="0.4"/>
    <n v="207.69119999999987"/>
    <n v="1747.08"/>
  </r>
  <r>
    <s v="United States"/>
    <x v="329"/>
    <s v="First Class"/>
    <s v="Consumer"/>
    <s v="Copiers"/>
    <n v="1"/>
    <n v="0.2"/>
    <n v="174.99749999999997"/>
    <n v="559.99200000000008"/>
  </r>
  <r>
    <s v="United States"/>
    <x v="329"/>
    <s v="First Class"/>
    <s v="Consumer"/>
    <s v="Envelopes"/>
    <n v="4"/>
    <n v="0"/>
    <n v="162.864"/>
    <n v="361.92"/>
  </r>
  <r>
    <s v="United States"/>
    <x v="329"/>
    <s v="First Class"/>
    <s v="Consumer"/>
    <s v="Fasteners"/>
    <n v="6"/>
    <n v="0"/>
    <n v="7.9601999999999995"/>
    <n v="16.68"/>
  </r>
  <r>
    <s v="United States"/>
    <x v="329"/>
    <s v="First Class"/>
    <s v="Consumer"/>
    <s v="Furnishings"/>
    <n v="10"/>
    <n v="0"/>
    <n v="52.694199999999995"/>
    <n v="208.95"/>
  </r>
  <r>
    <s v="United States"/>
    <x v="329"/>
    <s v="First Class"/>
    <s v="Consumer"/>
    <s v="Labels"/>
    <n v="13"/>
    <n v="0"/>
    <n v="69.47059999999999"/>
    <n v="143.82999999999998"/>
  </r>
  <r>
    <s v="United States"/>
    <x v="329"/>
    <s v="First Class"/>
    <s v="Consumer"/>
    <s v="Paper"/>
    <n v="31"/>
    <n v="0"/>
    <n v="164.79680000000002"/>
    <n v="344.09"/>
  </r>
  <r>
    <s v="United States"/>
    <x v="329"/>
    <s v="First Class"/>
    <s v="Consumer"/>
    <s v="Phones"/>
    <n v="45"/>
    <n v="0"/>
    <n v="1968.6995999999999"/>
    <n v="6542.4299999999994"/>
  </r>
  <r>
    <s v="United States"/>
    <x v="329"/>
    <s v="First Class"/>
    <s v="Consumer"/>
    <s v="Storage"/>
    <n v="18"/>
    <n v="0"/>
    <n v="57.17519999999999"/>
    <n v="562.36"/>
  </r>
  <r>
    <s v="United States"/>
    <x v="329"/>
    <s v="First Class"/>
    <s v="Consumer"/>
    <s v="Supplies"/>
    <n v="5"/>
    <n v="0"/>
    <n v="15.372000000000003"/>
    <n v="54.900000000000006"/>
  </r>
  <r>
    <s v="United States"/>
    <x v="329"/>
    <s v="First Class"/>
    <s v="Consumer"/>
    <s v="Tables"/>
    <n v="9"/>
    <n v="0.4"/>
    <n v="-153.12239999999997"/>
    <n v="382.80599999999998"/>
  </r>
  <r>
    <s v="United States"/>
    <x v="329"/>
    <s v="First Class"/>
    <s v="Corporate"/>
    <s v="Accessories"/>
    <n v="22"/>
    <n v="0"/>
    <n v="599.40250000000003"/>
    <n v="1534.58"/>
  </r>
  <r>
    <s v="United States"/>
    <x v="329"/>
    <s v="First Class"/>
    <s v="Corporate"/>
    <s v="Appliances"/>
    <n v="3"/>
    <n v="0"/>
    <n v="77.863499999999988"/>
    <n v="235.95000000000002"/>
  </r>
  <r>
    <s v="United States"/>
    <x v="329"/>
    <s v="First Class"/>
    <s v="Corporate"/>
    <s v="Art"/>
    <n v="13"/>
    <n v="0"/>
    <n v="40.264799999999987"/>
    <n v="135.29999999999998"/>
  </r>
  <r>
    <s v="United States"/>
    <x v="329"/>
    <s v="First Class"/>
    <s v="Corporate"/>
    <s v="Binders"/>
    <n v="26"/>
    <n v="1.2"/>
    <n v="420.01929999999993"/>
    <n v="1281.9760000000001"/>
  </r>
  <r>
    <s v="United States"/>
    <x v="329"/>
    <s v="First Class"/>
    <s v="Corporate"/>
    <s v="Chairs"/>
    <n v="3"/>
    <n v="0.1"/>
    <n v="2.3093999999999895"/>
    <n v="207.84600000000003"/>
  </r>
  <r>
    <s v="United States"/>
    <x v="329"/>
    <s v="First Class"/>
    <s v="Corporate"/>
    <s v="Envelopes"/>
    <n v="4"/>
    <n v="0"/>
    <n v="34.089699999999993"/>
    <n v="71"/>
  </r>
  <r>
    <s v="United States"/>
    <x v="329"/>
    <s v="First Class"/>
    <s v="Corporate"/>
    <s v="Fasteners"/>
    <n v="6"/>
    <n v="0"/>
    <n v="4.6448"/>
    <n v="9.6"/>
  </r>
  <r>
    <s v="United States"/>
    <x v="329"/>
    <s v="First Class"/>
    <s v="Corporate"/>
    <s v="Furnishings"/>
    <n v="20"/>
    <n v="0"/>
    <n v="241.67799999999994"/>
    <n v="683.1"/>
  </r>
  <r>
    <s v="United States"/>
    <x v="329"/>
    <s v="First Class"/>
    <s v="Corporate"/>
    <s v="Labels"/>
    <n v="3"/>
    <n v="0"/>
    <n v="8.6939999999999991"/>
    <n v="18.899999999999999"/>
  </r>
  <r>
    <s v="United States"/>
    <x v="329"/>
    <s v="First Class"/>
    <s v="Corporate"/>
    <s v="Paper"/>
    <n v="12"/>
    <n v="0"/>
    <n v="104.80959999999999"/>
    <n v="221.9"/>
  </r>
  <r>
    <s v="United States"/>
    <x v="329"/>
    <s v="First Class"/>
    <s v="Corporate"/>
    <s v="Phones"/>
    <n v="17"/>
    <n v="0"/>
    <n v="500.84669999999994"/>
    <n v="1807.52"/>
  </r>
  <r>
    <s v="United States"/>
    <x v="329"/>
    <s v="First Class"/>
    <s v="Corporate"/>
    <s v="Storage"/>
    <n v="7"/>
    <n v="0"/>
    <n v="40.716299999999997"/>
    <n v="154.87"/>
  </r>
  <r>
    <s v="United States"/>
    <x v="329"/>
    <s v="First Class"/>
    <s v="Home Office"/>
    <s v="Accessories"/>
    <n v="1"/>
    <n v="0"/>
    <n v="2.3086000000000002"/>
    <n v="6.79"/>
  </r>
  <r>
    <s v="United States"/>
    <x v="329"/>
    <s v="First Class"/>
    <s v="Home Office"/>
    <s v="Appliances"/>
    <n v="1"/>
    <n v="0"/>
    <n v="62.243999999999971"/>
    <n v="207.48"/>
  </r>
  <r>
    <s v="United States"/>
    <x v="329"/>
    <s v="First Class"/>
    <s v="Home Office"/>
    <s v="Art"/>
    <n v="17"/>
    <n v="0"/>
    <n v="27.005999999999997"/>
    <n v="92.86"/>
  </r>
  <r>
    <s v="United States"/>
    <x v="329"/>
    <s v="First Class"/>
    <s v="Home Office"/>
    <s v="Binders"/>
    <n v="17"/>
    <n v="0.8"/>
    <n v="1441.9933999999998"/>
    <n v="4436.5039999999999"/>
  </r>
  <r>
    <s v="United States"/>
    <x v="329"/>
    <s v="First Class"/>
    <s v="Home Office"/>
    <s v="Bookcases"/>
    <n v="7"/>
    <n v="0.4"/>
    <n v="159.36839999999992"/>
    <n v="1525.4880000000003"/>
  </r>
  <r>
    <s v="United States"/>
    <x v="329"/>
    <s v="First Class"/>
    <s v="Home Office"/>
    <s v="Chairs"/>
    <n v="16"/>
    <n v="0.2"/>
    <n v="546.84119999999973"/>
    <n v="3210.732"/>
  </r>
  <r>
    <s v="United States"/>
    <x v="329"/>
    <s v="First Class"/>
    <s v="Home Office"/>
    <s v="Copiers"/>
    <n v="4"/>
    <n v="0.2"/>
    <n v="3919.9887999999992"/>
    <n v="11199.968000000001"/>
  </r>
  <r>
    <s v="United States"/>
    <x v="329"/>
    <s v="First Class"/>
    <s v="Home Office"/>
    <s v="Envelopes"/>
    <n v="5"/>
    <n v="0"/>
    <n v="28.754999999999995"/>
    <n v="63.9"/>
  </r>
  <r>
    <s v="United States"/>
    <x v="329"/>
    <s v="First Class"/>
    <s v="Home Office"/>
    <s v="Labels"/>
    <n v="5"/>
    <n v="0"/>
    <n v="9.0454000000000008"/>
    <n v="18.46"/>
  </r>
  <r>
    <s v="United States"/>
    <x v="329"/>
    <s v="First Class"/>
    <s v="Home Office"/>
    <s v="Machines"/>
    <n v="11"/>
    <n v="0"/>
    <n v="767.20049999999992"/>
    <n v="1704.89"/>
  </r>
  <r>
    <s v="United States"/>
    <x v="329"/>
    <s v="First Class"/>
    <s v="Home Office"/>
    <s v="Paper"/>
    <n v="35"/>
    <n v="0"/>
    <n v="274.00939999999997"/>
    <n v="570.67999999999995"/>
  </r>
  <r>
    <s v="United States"/>
    <x v="329"/>
    <s v="First Class"/>
    <s v="Home Office"/>
    <s v="Phones"/>
    <n v="24"/>
    <n v="0"/>
    <n v="1137.836"/>
    <n v="4112.41"/>
  </r>
  <r>
    <s v="United States"/>
    <x v="329"/>
    <s v="First Class"/>
    <s v="Home Office"/>
    <s v="Storage"/>
    <n v="18"/>
    <n v="0"/>
    <n v="57.365999999999985"/>
    <n v="764.97000000000014"/>
  </r>
  <r>
    <s v="United States"/>
    <x v="329"/>
    <s v="First Class"/>
    <s v="Home Office"/>
    <s v="Supplies"/>
    <n v="1"/>
    <n v="0"/>
    <n v="7.2111000000000161"/>
    <n v="240.37"/>
  </r>
  <r>
    <s v="United States"/>
    <x v="329"/>
    <s v="Same Day"/>
    <s v="Consumer"/>
    <s v="Accessories"/>
    <n v="16"/>
    <n v="0"/>
    <n v="800.32049999999992"/>
    <n v="2595.8900000000003"/>
  </r>
  <r>
    <s v="United States"/>
    <x v="329"/>
    <s v="Same Day"/>
    <s v="Consumer"/>
    <s v="Appliances"/>
    <n v="2"/>
    <n v="0"/>
    <n v="198.42899999999997"/>
    <n v="601.29999999999995"/>
  </r>
  <r>
    <s v="United States"/>
    <x v="329"/>
    <s v="Same Day"/>
    <s v="Consumer"/>
    <s v="Binders"/>
    <n v="8"/>
    <n v="0.4"/>
    <n v="223.42659999999992"/>
    <n v="709.49599999999998"/>
  </r>
  <r>
    <s v="United States"/>
    <x v="329"/>
    <s v="Same Day"/>
    <s v="Consumer"/>
    <s v="Bookcases"/>
    <n v="1"/>
    <n v="0.2"/>
    <n v="5.129400000000004"/>
    <n v="136.78399999999999"/>
  </r>
  <r>
    <s v="United States"/>
    <x v="329"/>
    <s v="Same Day"/>
    <s v="Consumer"/>
    <s v="Chairs"/>
    <n v="7"/>
    <n v="0.1"/>
    <n v="63.934499999999971"/>
    <n v="383.60700000000003"/>
  </r>
  <r>
    <s v="United States"/>
    <x v="329"/>
    <s v="Same Day"/>
    <s v="Consumer"/>
    <s v="Envelopes"/>
    <n v="10"/>
    <n v="0"/>
    <n v="46.161599999999993"/>
    <n v="97.799999999999983"/>
  </r>
  <r>
    <s v="United States"/>
    <x v="329"/>
    <s v="Same Day"/>
    <s v="Consumer"/>
    <s v="Fasteners"/>
    <n v="1"/>
    <n v="0"/>
    <n v="1.4804999999999999"/>
    <n v="3.29"/>
  </r>
  <r>
    <s v="United States"/>
    <x v="329"/>
    <s v="Same Day"/>
    <s v="Consumer"/>
    <s v="Furnishings"/>
    <n v="7"/>
    <n v="0"/>
    <n v="26.8096"/>
    <n v="79.959999999999994"/>
  </r>
  <r>
    <s v="United States"/>
    <x v="329"/>
    <s v="Same Day"/>
    <s v="Consumer"/>
    <s v="Labels"/>
    <n v="5"/>
    <n v="0"/>
    <n v="7.056"/>
    <n v="14.399999999999999"/>
  </r>
  <r>
    <s v="United States"/>
    <x v="329"/>
    <s v="Same Day"/>
    <s v="Consumer"/>
    <s v="Machines"/>
    <n v="7"/>
    <n v="0"/>
    <n v="1736.4398999999999"/>
    <n v="4149.8099999999995"/>
  </r>
  <r>
    <s v="United States"/>
    <x v="329"/>
    <s v="Same Day"/>
    <s v="Consumer"/>
    <s v="Paper"/>
    <n v="29"/>
    <n v="0"/>
    <n v="157.982"/>
    <n v="323.3"/>
  </r>
  <r>
    <s v="United States"/>
    <x v="329"/>
    <s v="Same Day"/>
    <s v="Consumer"/>
    <s v="Phones"/>
    <n v="4"/>
    <n v="0"/>
    <n v="85.049000000000007"/>
    <n v="304.95999999999998"/>
  </r>
  <r>
    <s v="United States"/>
    <x v="329"/>
    <s v="Same Day"/>
    <s v="Consumer"/>
    <s v="Storage"/>
    <n v="9"/>
    <n v="0"/>
    <n v="80.470400000000012"/>
    <n v="622.29999999999995"/>
  </r>
  <r>
    <s v="United States"/>
    <x v="329"/>
    <s v="Same Day"/>
    <s v="Consumer"/>
    <s v="Tables"/>
    <n v="24"/>
    <n v="1.6"/>
    <n v="-709.35239999999988"/>
    <n v="2627.1179999999999"/>
  </r>
  <r>
    <s v="United States"/>
    <x v="329"/>
    <s v="Same Day"/>
    <s v="Corporate"/>
    <s v="Chairs"/>
    <n v="9"/>
    <n v="0.2"/>
    <n v="292.97339999999997"/>
    <n v="1464.867"/>
  </r>
  <r>
    <s v="United States"/>
    <x v="329"/>
    <s v="Same Day"/>
    <s v="Corporate"/>
    <s v="Furnishings"/>
    <n v="3"/>
    <n v="0"/>
    <n v="4.7279999999999998"/>
    <n v="11.82"/>
  </r>
  <r>
    <s v="United States"/>
    <x v="329"/>
    <s v="Same Day"/>
    <s v="Corporate"/>
    <s v="Machines"/>
    <n v="8"/>
    <n v="0"/>
    <n v="2498.3319999999999"/>
    <n v="5679.6"/>
  </r>
  <r>
    <s v="United States"/>
    <x v="329"/>
    <s v="Same Day"/>
    <s v="Corporate"/>
    <s v="Phones"/>
    <n v="2"/>
    <n v="0"/>
    <n v="142.9948"/>
    <n v="549.98"/>
  </r>
  <r>
    <s v="United States"/>
    <x v="329"/>
    <s v="Same Day"/>
    <s v="Corporate"/>
    <s v="Storage"/>
    <n v="5"/>
    <n v="0"/>
    <n v="16.787500000000001"/>
    <n v="67.150000000000006"/>
  </r>
  <r>
    <s v="United States"/>
    <x v="329"/>
    <s v="Same Day"/>
    <s v="Corporate"/>
    <s v="Supplies"/>
    <n v="5"/>
    <n v="0"/>
    <n v="15.372000000000003"/>
    <n v="54.900000000000006"/>
  </r>
  <r>
    <s v="United States"/>
    <x v="329"/>
    <s v="Same Day"/>
    <s v="Home Office"/>
    <s v="Accessories"/>
    <n v="3"/>
    <n v="0"/>
    <n v="6.1679999999999975"/>
    <n v="30.839999999999996"/>
  </r>
  <r>
    <s v="United States"/>
    <x v="329"/>
    <s v="Same Day"/>
    <s v="Home Office"/>
    <s v="Binders"/>
    <n v="7"/>
    <n v="0.2"/>
    <n v="18.252499999999998"/>
    <n v="58.407999999999994"/>
  </r>
  <r>
    <s v="United States"/>
    <x v="329"/>
    <s v="Same Day"/>
    <s v="Home Office"/>
    <s v="Bookcases"/>
    <n v="2"/>
    <n v="0.2"/>
    <n v="12.776399999999988"/>
    <n v="113.56800000000001"/>
  </r>
  <r>
    <s v="United States"/>
    <x v="329"/>
    <s v="Same Day"/>
    <s v="Home Office"/>
    <s v="Copiers"/>
    <n v="2"/>
    <n v="0.2"/>
    <n v="249.99499999999998"/>
    <n v="799.98400000000004"/>
  </r>
  <r>
    <s v="United States"/>
    <x v="329"/>
    <s v="Same Day"/>
    <s v="Home Office"/>
    <s v="Labels"/>
    <n v="7"/>
    <n v="0"/>
    <n v="29.509"/>
    <n v="62.39"/>
  </r>
  <r>
    <s v="United States"/>
    <x v="329"/>
    <s v="Same Day"/>
    <s v="Home Office"/>
    <s v="Paper"/>
    <n v="22"/>
    <n v="0"/>
    <n v="137.70939999999999"/>
    <n v="301"/>
  </r>
  <r>
    <s v="United States"/>
    <x v="329"/>
    <s v="Same Day"/>
    <s v="Home Office"/>
    <s v="Tables"/>
    <n v="3"/>
    <n v="0.4"/>
    <n v="-29.323800000000006"/>
    <n v="79.97399999999999"/>
  </r>
  <r>
    <s v="United States"/>
    <x v="329"/>
    <s v="Second Class"/>
    <s v="Consumer"/>
    <s v="Accessories"/>
    <n v="36"/>
    <n v="0"/>
    <n v="319.32800000000009"/>
    <n v="1666.3600000000001"/>
  </r>
  <r>
    <s v="United States"/>
    <x v="329"/>
    <s v="Second Class"/>
    <s v="Consumer"/>
    <s v="Appliances"/>
    <n v="6"/>
    <n v="0"/>
    <n v="76.315200000000004"/>
    <n v="293.52"/>
  </r>
  <r>
    <s v="United States"/>
    <x v="329"/>
    <s v="Second Class"/>
    <s v="Consumer"/>
    <s v="Art"/>
    <n v="17"/>
    <n v="0"/>
    <n v="44.340699999999998"/>
    <n v="128.99"/>
  </r>
  <r>
    <s v="United States"/>
    <x v="329"/>
    <s v="Second Class"/>
    <s v="Consumer"/>
    <s v="Binders"/>
    <n v="37"/>
    <n v="2.1999999999999997"/>
    <n v="259.24909999999994"/>
    <n v="764.31200000000001"/>
  </r>
  <r>
    <s v="United States"/>
    <x v="329"/>
    <s v="Second Class"/>
    <s v="Consumer"/>
    <s v="Bookcases"/>
    <n v="4"/>
    <n v="0.4"/>
    <n v="85.284199999999899"/>
    <n v="1123.1360000000002"/>
  </r>
  <r>
    <s v="United States"/>
    <x v="329"/>
    <s v="Second Class"/>
    <s v="Consumer"/>
    <s v="Chairs"/>
    <n v="39"/>
    <n v="0.79999999999999993"/>
    <n v="952.33880000000011"/>
    <n v="7557.75"/>
  </r>
  <r>
    <s v="United States"/>
    <x v="329"/>
    <s v="Second Class"/>
    <s v="Consumer"/>
    <s v="Envelopes"/>
    <n v="9"/>
    <n v="0"/>
    <n v="33.517799999999994"/>
    <n v="70.2"/>
  </r>
  <r>
    <s v="United States"/>
    <x v="329"/>
    <s v="Second Class"/>
    <s v="Consumer"/>
    <s v="Furnishings"/>
    <n v="34"/>
    <n v="0"/>
    <n v="270.94569999999993"/>
    <n v="991.2399999999999"/>
  </r>
  <r>
    <s v="United States"/>
    <x v="329"/>
    <s v="Second Class"/>
    <s v="Consumer"/>
    <s v="Labels"/>
    <n v="25"/>
    <n v="0"/>
    <n v="52.381600000000006"/>
    <n v="111.62"/>
  </r>
  <r>
    <s v="United States"/>
    <x v="329"/>
    <s v="Second Class"/>
    <s v="Consumer"/>
    <s v="Paper"/>
    <n v="58"/>
    <n v="0"/>
    <n v="400.55520000000001"/>
    <n v="854.9"/>
  </r>
  <r>
    <s v="United States"/>
    <x v="329"/>
    <s v="Second Class"/>
    <s v="Consumer"/>
    <s v="Phones"/>
    <n v="42"/>
    <n v="0"/>
    <n v="1579.5085999999999"/>
    <n v="5032.75"/>
  </r>
  <r>
    <s v="United States"/>
    <x v="329"/>
    <s v="Second Class"/>
    <s v="Consumer"/>
    <s v="Storage"/>
    <n v="45"/>
    <n v="0"/>
    <n v="835.44619999999998"/>
    <n v="4209.49"/>
  </r>
  <r>
    <s v="United States"/>
    <x v="329"/>
    <s v="Second Class"/>
    <s v="Consumer"/>
    <s v="Tables"/>
    <n v="4"/>
    <n v="0.8"/>
    <n v="-132.83019999999999"/>
    <n v="375.64800000000002"/>
  </r>
  <r>
    <s v="United States"/>
    <x v="329"/>
    <s v="Second Class"/>
    <s v="Corporate"/>
    <s v="Accessories"/>
    <n v="7"/>
    <n v="0"/>
    <n v="22.536699999999996"/>
    <n v="63.97999999999999"/>
  </r>
  <r>
    <s v="United States"/>
    <x v="329"/>
    <s v="Second Class"/>
    <s v="Corporate"/>
    <s v="Appliances"/>
    <n v="12"/>
    <n v="0"/>
    <n v="102.89820000000002"/>
    <n v="368.43"/>
  </r>
  <r>
    <s v="United States"/>
    <x v="329"/>
    <s v="Second Class"/>
    <s v="Corporate"/>
    <s v="Art"/>
    <n v="15"/>
    <n v="0"/>
    <n v="33.826799999999992"/>
    <n v="122.84"/>
  </r>
  <r>
    <s v="United States"/>
    <x v="329"/>
    <s v="Second Class"/>
    <s v="Corporate"/>
    <s v="Binders"/>
    <n v="33"/>
    <n v="1.5999999999999999"/>
    <n v="116.19349999999999"/>
    <n v="338.44800000000004"/>
  </r>
  <r>
    <s v="United States"/>
    <x v="329"/>
    <s v="Second Class"/>
    <s v="Corporate"/>
    <s v="Bookcases"/>
    <n v="5"/>
    <n v="0.4"/>
    <n v="22.877199999999949"/>
    <n v="625.52"/>
  </r>
  <r>
    <s v="United States"/>
    <x v="329"/>
    <s v="Second Class"/>
    <s v="Corporate"/>
    <s v="Chairs"/>
    <n v="8"/>
    <n v="0.30000000000000004"/>
    <n v="69.626799999999974"/>
    <n v="653.79600000000005"/>
  </r>
  <r>
    <s v="United States"/>
    <x v="329"/>
    <s v="Second Class"/>
    <s v="Corporate"/>
    <s v="Envelopes"/>
    <n v="6"/>
    <n v="0"/>
    <n v="52.322000000000003"/>
    <n v="110.94"/>
  </r>
  <r>
    <s v="United States"/>
    <x v="329"/>
    <s v="Second Class"/>
    <s v="Corporate"/>
    <s v="Fasteners"/>
    <n v="10"/>
    <n v="0"/>
    <n v="7.6007999999999996"/>
    <n v="28.199999999999996"/>
  </r>
  <r>
    <s v="United States"/>
    <x v="329"/>
    <s v="Second Class"/>
    <s v="Corporate"/>
    <s v="Furnishings"/>
    <n v="15"/>
    <n v="0"/>
    <n v="126.57319999999997"/>
    <n v="472.87"/>
  </r>
  <r>
    <s v="United States"/>
    <x v="329"/>
    <s v="Second Class"/>
    <s v="Corporate"/>
    <s v="Paper"/>
    <n v="6"/>
    <n v="0"/>
    <n v="112.74239999999999"/>
    <n v="234.88"/>
  </r>
  <r>
    <s v="United States"/>
    <x v="329"/>
    <s v="Second Class"/>
    <s v="Corporate"/>
    <s v="Phones"/>
    <n v="8"/>
    <n v="0"/>
    <n v="449.93499999999995"/>
    <n v="1630.84"/>
  </r>
  <r>
    <s v="United States"/>
    <x v="329"/>
    <s v="Second Class"/>
    <s v="Corporate"/>
    <s v="Storage"/>
    <n v="34"/>
    <n v="0"/>
    <n v="811.755"/>
    <n v="3908.66"/>
  </r>
  <r>
    <s v="United States"/>
    <x v="329"/>
    <s v="Second Class"/>
    <s v="Corporate"/>
    <s v="Supplies"/>
    <n v="3"/>
    <n v="0"/>
    <n v="17.378999999999976"/>
    <n v="347.58"/>
  </r>
  <r>
    <s v="United States"/>
    <x v="329"/>
    <s v="Second Class"/>
    <s v="Corporate"/>
    <s v="Tables"/>
    <n v="5"/>
    <n v="0.8"/>
    <n v="-219.39610000000005"/>
    <n v="626.89799999999991"/>
  </r>
  <r>
    <s v="United States"/>
    <x v="329"/>
    <s v="Second Class"/>
    <s v="Home Office"/>
    <s v="Accessories"/>
    <n v="3"/>
    <n v="0"/>
    <n v="66.954599999999971"/>
    <n v="371.96999999999997"/>
  </r>
  <r>
    <s v="United States"/>
    <x v="329"/>
    <s v="Second Class"/>
    <s v="Home Office"/>
    <s v="Art"/>
    <n v="13"/>
    <n v="0"/>
    <n v="44.6173"/>
    <n v="139.61000000000001"/>
  </r>
  <r>
    <s v="United States"/>
    <x v="329"/>
    <s v="Second Class"/>
    <s v="Home Office"/>
    <s v="Binders"/>
    <n v="13"/>
    <n v="0.60000000000000009"/>
    <n v="52.373899999999985"/>
    <n v="154.792"/>
  </r>
  <r>
    <s v="United States"/>
    <x v="329"/>
    <s v="Second Class"/>
    <s v="Home Office"/>
    <s v="Bookcases"/>
    <n v="3"/>
    <n v="0.2"/>
    <n v="-37.943400000000025"/>
    <n v="275.952"/>
  </r>
  <r>
    <s v="United States"/>
    <x v="329"/>
    <s v="Second Class"/>
    <s v="Home Office"/>
    <s v="Chairs"/>
    <n v="8"/>
    <n v="0.30000000000000004"/>
    <n v="268.43619999999981"/>
    <n v="1515.4649999999997"/>
  </r>
  <r>
    <s v="United States"/>
    <x v="329"/>
    <s v="Second Class"/>
    <s v="Home Office"/>
    <s v="Furnishings"/>
    <n v="14"/>
    <n v="0"/>
    <n v="74.356999999999999"/>
    <n v="215.73000000000002"/>
  </r>
  <r>
    <s v="United States"/>
    <x v="329"/>
    <s v="Second Class"/>
    <s v="Home Office"/>
    <s v="Paper"/>
    <n v="12"/>
    <n v="0"/>
    <n v="235.91619999999998"/>
    <n v="490.96999999999997"/>
  </r>
  <r>
    <s v="United States"/>
    <x v="329"/>
    <s v="Second Class"/>
    <s v="Home Office"/>
    <s v="Phones"/>
    <n v="7"/>
    <n v="0"/>
    <n v="3.2186000000000092"/>
    <n v="160.92999999999998"/>
  </r>
  <r>
    <s v="United States"/>
    <x v="329"/>
    <s v="Second Class"/>
    <s v="Home Office"/>
    <s v="Storage"/>
    <n v="10"/>
    <n v="0"/>
    <n v="181.82839999999996"/>
    <n v="2077.48"/>
  </r>
  <r>
    <s v="United States"/>
    <x v="329"/>
    <s v="Standard Class"/>
    <s v="Consumer"/>
    <s v="Accessories"/>
    <n v="73"/>
    <n v="0"/>
    <n v="2228.9230000000002"/>
    <n v="7240.5999999999985"/>
  </r>
  <r>
    <s v="United States"/>
    <x v="329"/>
    <s v="Standard Class"/>
    <s v="Consumer"/>
    <s v="Appliances"/>
    <n v="47"/>
    <n v="0"/>
    <n v="979.80439999999999"/>
    <n v="3315.2599999999998"/>
  </r>
  <r>
    <s v="United States"/>
    <x v="329"/>
    <s v="Standard Class"/>
    <s v="Consumer"/>
    <s v="Art"/>
    <n v="73"/>
    <n v="0"/>
    <n v="168.2885"/>
    <n v="538.21999999999991"/>
  </r>
  <r>
    <s v="United States"/>
    <x v="329"/>
    <s v="Standard Class"/>
    <s v="Consumer"/>
    <s v="Binders"/>
    <n v="236"/>
    <n v="12.199999999999989"/>
    <n v="2661.0241999999989"/>
    <n v="7954.5120000000015"/>
  </r>
  <r>
    <s v="United States"/>
    <x v="329"/>
    <s v="Standard Class"/>
    <s v="Consumer"/>
    <s v="Bookcases"/>
    <n v="55"/>
    <n v="2.8000000000000003"/>
    <n v="137.17199999999963"/>
    <n v="10617.535999999998"/>
  </r>
  <r>
    <s v="United States"/>
    <x v="329"/>
    <s v="Standard Class"/>
    <s v="Consumer"/>
    <s v="Chairs"/>
    <n v="111"/>
    <n v="2.2000000000000006"/>
    <n v="2634.9533999999999"/>
    <n v="16459.596000000001"/>
  </r>
  <r>
    <s v="United States"/>
    <x v="329"/>
    <s v="Standard Class"/>
    <s v="Consumer"/>
    <s v="Copiers"/>
    <n v="11"/>
    <n v="0.60000000000000009"/>
    <n v="1404.9717000000001"/>
    <n v="4159.9120000000003"/>
  </r>
  <r>
    <s v="United States"/>
    <x v="329"/>
    <s v="Standard Class"/>
    <s v="Consumer"/>
    <s v="Envelopes"/>
    <n v="11"/>
    <n v="0"/>
    <n v="115.64419999999998"/>
    <n v="248.28"/>
  </r>
  <r>
    <s v="United States"/>
    <x v="329"/>
    <s v="Standard Class"/>
    <s v="Consumer"/>
    <s v="Fasteners"/>
    <n v="27"/>
    <n v="0"/>
    <n v="37.698500000000003"/>
    <n v="96.91"/>
  </r>
  <r>
    <s v="United States"/>
    <x v="329"/>
    <s v="Standard Class"/>
    <s v="Consumer"/>
    <s v="Furnishings"/>
    <n v="102"/>
    <n v="0"/>
    <n v="1165.6760000000002"/>
    <n v="3352.4100000000003"/>
  </r>
  <r>
    <s v="United States"/>
    <x v="329"/>
    <s v="Standard Class"/>
    <s v="Consumer"/>
    <s v="Labels"/>
    <n v="49"/>
    <n v="0"/>
    <n v="255.71119999999999"/>
    <n v="544.07000000000005"/>
  </r>
  <r>
    <s v="United States"/>
    <x v="329"/>
    <s v="Standard Class"/>
    <s v="Consumer"/>
    <s v="Machines"/>
    <n v="9"/>
    <n v="0"/>
    <n v="3399.9726999999993"/>
    <n v="10999.91"/>
  </r>
  <r>
    <s v="United States"/>
    <x v="329"/>
    <s v="Standard Class"/>
    <s v="Consumer"/>
    <s v="Paper"/>
    <n v="154"/>
    <n v="0"/>
    <n v="818.55819999999994"/>
    <n v="1729.5700000000002"/>
  </r>
  <r>
    <s v="United States"/>
    <x v="329"/>
    <s v="Standard Class"/>
    <s v="Consumer"/>
    <s v="Phones"/>
    <n v="75"/>
    <n v="0"/>
    <n v="1877.5389999999998"/>
    <n v="7038.9399999999987"/>
  </r>
  <r>
    <s v="United States"/>
    <x v="329"/>
    <s v="Standard Class"/>
    <s v="Consumer"/>
    <s v="Storage"/>
    <n v="76"/>
    <n v="0"/>
    <n v="580.03079999999989"/>
    <n v="4378.2499999999991"/>
  </r>
  <r>
    <s v="United States"/>
    <x v="329"/>
    <s v="Standard Class"/>
    <s v="Consumer"/>
    <s v="Supplies"/>
    <n v="50"/>
    <n v="0"/>
    <n v="137.83019999999999"/>
    <n v="824.63"/>
  </r>
  <r>
    <s v="United States"/>
    <x v="329"/>
    <s v="Standard Class"/>
    <s v="Consumer"/>
    <s v="Tables"/>
    <n v="5"/>
    <n v="0.8"/>
    <n v="-489.01060000000007"/>
    <n v="1348.692"/>
  </r>
  <r>
    <s v="United States"/>
    <x v="329"/>
    <s v="Standard Class"/>
    <s v="Corporate"/>
    <s v="Accessories"/>
    <n v="38"/>
    <n v="0"/>
    <n v="255.59759999999997"/>
    <n v="1169.47"/>
  </r>
  <r>
    <s v="United States"/>
    <x v="329"/>
    <s v="Standard Class"/>
    <s v="Corporate"/>
    <s v="Appliances"/>
    <n v="32"/>
    <n v="0"/>
    <n v="1212.2209"/>
    <n v="4646.63"/>
  </r>
  <r>
    <s v="United States"/>
    <x v="329"/>
    <s v="Standard Class"/>
    <s v="Corporate"/>
    <s v="Art"/>
    <n v="74"/>
    <n v="0"/>
    <n v="201.83180000000004"/>
    <n v="671.56"/>
  </r>
  <r>
    <s v="United States"/>
    <x v="329"/>
    <s v="Standard Class"/>
    <s v="Corporate"/>
    <s v="Binders"/>
    <n v="88"/>
    <n v="5.200000000000002"/>
    <n v="1090.0991999999999"/>
    <n v="3171.2400000000002"/>
  </r>
  <r>
    <s v="United States"/>
    <x v="329"/>
    <s v="Standard Class"/>
    <s v="Corporate"/>
    <s v="Bookcases"/>
    <n v="7"/>
    <n v="0.4"/>
    <n v="16.501799999999974"/>
    <n v="474.024"/>
  </r>
  <r>
    <s v="United States"/>
    <x v="329"/>
    <s v="Standard Class"/>
    <s v="Corporate"/>
    <s v="Chairs"/>
    <n v="28"/>
    <n v="0.89999999999999991"/>
    <n v="818.68899999999996"/>
    <n v="4951.6560000000009"/>
  </r>
  <r>
    <s v="United States"/>
    <x v="329"/>
    <s v="Standard Class"/>
    <s v="Corporate"/>
    <s v="Envelopes"/>
    <n v="18"/>
    <n v="0"/>
    <n v="99.190399999999983"/>
    <n v="211.16"/>
  </r>
  <r>
    <s v="United States"/>
    <x v="329"/>
    <s v="Standard Class"/>
    <s v="Corporate"/>
    <s v="Fasteners"/>
    <n v="17"/>
    <n v="0"/>
    <n v="26.885800000000003"/>
    <n v="58.980000000000004"/>
  </r>
  <r>
    <s v="United States"/>
    <x v="329"/>
    <s v="Standard Class"/>
    <s v="Corporate"/>
    <s v="Furnishings"/>
    <n v="56"/>
    <n v="0"/>
    <n v="365.94130000000001"/>
    <n v="1212.8499999999997"/>
  </r>
  <r>
    <s v="United States"/>
    <x v="329"/>
    <s v="Standard Class"/>
    <s v="Corporate"/>
    <s v="Labels"/>
    <n v="15"/>
    <n v="0"/>
    <n v="40.397999999999996"/>
    <n v="85.2"/>
  </r>
  <r>
    <s v="United States"/>
    <x v="329"/>
    <s v="Standard Class"/>
    <s v="Corporate"/>
    <s v="Machines"/>
    <n v="10"/>
    <n v="0"/>
    <n v="1388.1732"/>
    <n v="5278.62"/>
  </r>
  <r>
    <s v="United States"/>
    <x v="329"/>
    <s v="Standard Class"/>
    <s v="Corporate"/>
    <s v="Paper"/>
    <n v="80"/>
    <n v="0"/>
    <n v="640.21569999999997"/>
    <n v="1328.87"/>
  </r>
  <r>
    <s v="United States"/>
    <x v="329"/>
    <s v="Standard Class"/>
    <s v="Corporate"/>
    <s v="Phones"/>
    <n v="72"/>
    <n v="0"/>
    <n v="2137.0401999999999"/>
    <n v="7500.4799999999987"/>
  </r>
  <r>
    <s v="United States"/>
    <x v="329"/>
    <s v="Standard Class"/>
    <s v="Corporate"/>
    <s v="Storage"/>
    <n v="54"/>
    <n v="0"/>
    <n v="701.66609999999991"/>
    <n v="3637.3200000000006"/>
  </r>
  <r>
    <s v="United States"/>
    <x v="329"/>
    <s v="Standard Class"/>
    <s v="Corporate"/>
    <s v="Supplies"/>
    <n v="13"/>
    <n v="0"/>
    <n v="23.313400000000001"/>
    <n v="81.710000000000008"/>
  </r>
  <r>
    <s v="United States"/>
    <x v="329"/>
    <s v="Standard Class"/>
    <s v="Corporate"/>
    <s v="Tables"/>
    <n v="26"/>
    <n v="3.9999999999999996"/>
    <n v="-1706.4201"/>
    <n v="5178.7380000000003"/>
  </r>
  <r>
    <s v="United States"/>
    <x v="329"/>
    <s v="Standard Class"/>
    <s v="Home Office"/>
    <s v="Accessories"/>
    <n v="27"/>
    <n v="0"/>
    <n v="578.34029999999996"/>
    <n v="1791.14"/>
  </r>
  <r>
    <s v="United States"/>
    <x v="329"/>
    <s v="Standard Class"/>
    <s v="Home Office"/>
    <s v="Appliances"/>
    <n v="23"/>
    <n v="0"/>
    <n v="307.84999999999991"/>
    <n v="1092.7600000000002"/>
  </r>
  <r>
    <s v="United States"/>
    <x v="329"/>
    <s v="Standard Class"/>
    <s v="Home Office"/>
    <s v="Art"/>
    <n v="23"/>
    <n v="0"/>
    <n v="50.795299999999997"/>
    <n v="161.94"/>
  </r>
  <r>
    <s v="United States"/>
    <x v="329"/>
    <s v="Standard Class"/>
    <s v="Home Office"/>
    <s v="Binders"/>
    <n v="57"/>
    <n v="2.4"/>
    <n v="298.2627"/>
    <n v="872.93600000000015"/>
  </r>
  <r>
    <s v="United States"/>
    <x v="329"/>
    <s v="Standard Class"/>
    <s v="Home Office"/>
    <s v="Chairs"/>
    <n v="26"/>
    <n v="0.7"/>
    <n v="329.25999999999988"/>
    <n v="1997.2980000000002"/>
  </r>
  <r>
    <s v="United States"/>
    <x v="329"/>
    <s v="Standard Class"/>
    <s v="Home Office"/>
    <s v="Envelopes"/>
    <n v="3"/>
    <n v="0"/>
    <n v="13.8292"/>
    <n v="28.34"/>
  </r>
  <r>
    <s v="United States"/>
    <x v="329"/>
    <s v="Standard Class"/>
    <s v="Home Office"/>
    <s v="Furnishings"/>
    <n v="21"/>
    <n v="0"/>
    <n v="106.5718"/>
    <n v="329.29999999999995"/>
  </r>
  <r>
    <s v="United States"/>
    <x v="329"/>
    <s v="Standard Class"/>
    <s v="Home Office"/>
    <s v="Labels"/>
    <n v="10"/>
    <n v="0"/>
    <n v="20.170999999999999"/>
    <n v="43.85"/>
  </r>
  <r>
    <s v="United States"/>
    <x v="329"/>
    <s v="Standard Class"/>
    <s v="Home Office"/>
    <s v="Machines"/>
    <n v="9"/>
    <n v="0"/>
    <n v="4778.7070000000003"/>
    <n v="9718.380000000001"/>
  </r>
  <r>
    <s v="United States"/>
    <x v="329"/>
    <s v="Standard Class"/>
    <s v="Home Office"/>
    <s v="Paper"/>
    <n v="25"/>
    <n v="0"/>
    <n v="224.23559999999998"/>
    <n v="476.6"/>
  </r>
  <r>
    <s v="United States"/>
    <x v="329"/>
    <s v="Standard Class"/>
    <s v="Home Office"/>
    <s v="Phones"/>
    <n v="23"/>
    <n v="0"/>
    <n v="882.82940000000008"/>
    <n v="3277.8900000000003"/>
  </r>
  <r>
    <s v="United States"/>
    <x v="329"/>
    <s v="Standard Class"/>
    <s v="Home Office"/>
    <s v="Storage"/>
    <n v="18"/>
    <n v="0"/>
    <n v="89.79310000000001"/>
    <n v="975.87"/>
  </r>
  <r>
    <s v="United States"/>
    <x v="329"/>
    <s v="Standard Class"/>
    <s v="Home Office"/>
    <s v="Tables"/>
    <n v="2"/>
    <n v="0.4"/>
    <n v="-103.26600000000002"/>
    <n v="344.22"/>
  </r>
  <r>
    <s v="United States"/>
    <x v="330"/>
    <s v="First Class"/>
    <s v="Consumer"/>
    <s v="Accessories"/>
    <n v="14"/>
    <n v="0.60000000000000009"/>
    <n v="566.79870000000005"/>
    <n v="2589.8560000000002"/>
  </r>
  <r>
    <s v="United States"/>
    <x v="330"/>
    <s v="First Class"/>
    <s v="Consumer"/>
    <s v="Art"/>
    <n v="3"/>
    <n v="0.2"/>
    <n v="0.71520000000000028"/>
    <n v="7.1519999999999992"/>
  </r>
  <r>
    <s v="United States"/>
    <x v="330"/>
    <s v="First Class"/>
    <s v="Consumer"/>
    <s v="Furnishings"/>
    <n v="9"/>
    <n v="0.4"/>
    <n v="79.395400000000009"/>
    <n v="314.83199999999999"/>
  </r>
  <r>
    <s v="United States"/>
    <x v="330"/>
    <s v="First Class"/>
    <s v="Consumer"/>
    <s v="Labels"/>
    <n v="2"/>
    <n v="0.2"/>
    <n v="2.0999999999999996"/>
    <n v="6"/>
  </r>
  <r>
    <s v="United States"/>
    <x v="330"/>
    <s v="First Class"/>
    <s v="Consumer"/>
    <s v="Machines"/>
    <n v="5"/>
    <n v="1.4"/>
    <n v="-2804.9450000000006"/>
    <n v="2024.9310000000003"/>
  </r>
  <r>
    <s v="United States"/>
    <x v="330"/>
    <s v="First Class"/>
    <s v="Consumer"/>
    <s v="Phones"/>
    <n v="2"/>
    <n v="0.4"/>
    <n v="-16.998000000000019"/>
    <n v="101.98799999999999"/>
  </r>
  <r>
    <s v="United States"/>
    <x v="330"/>
    <s v="First Class"/>
    <s v="Consumer"/>
    <s v="Storage"/>
    <n v="5"/>
    <n v="0.2"/>
    <n v="-44.018999999999991"/>
    <n v="195.64"/>
  </r>
  <r>
    <s v="United States"/>
    <x v="330"/>
    <s v="First Class"/>
    <s v="Corporate"/>
    <s v="Accessories"/>
    <n v="3"/>
    <n v="0"/>
    <n v="7.3479000000000028"/>
    <n v="104.97"/>
  </r>
  <r>
    <s v="United States"/>
    <x v="330"/>
    <s v="First Class"/>
    <s v="Corporate"/>
    <s v="Phones"/>
    <n v="3"/>
    <n v="0"/>
    <n v="23.511599999999998"/>
    <n v="83.97"/>
  </r>
  <r>
    <s v="United States"/>
    <x v="330"/>
    <s v="First Class"/>
    <s v="Home Office"/>
    <s v="Accessories"/>
    <n v="3"/>
    <n v="0"/>
    <n v="52.734000000000009"/>
    <n v="119.85000000000001"/>
  </r>
  <r>
    <s v="United States"/>
    <x v="330"/>
    <s v="First Class"/>
    <s v="Home Office"/>
    <s v="Binders"/>
    <n v="4"/>
    <n v="0"/>
    <n v="48.169999999999995"/>
    <n v="99.72"/>
  </r>
  <r>
    <s v="United States"/>
    <x v="330"/>
    <s v="First Class"/>
    <s v="Home Office"/>
    <s v="Phones"/>
    <n v="3"/>
    <n v="0"/>
    <n v="170.51129999999998"/>
    <n v="587.97"/>
  </r>
  <r>
    <s v="United States"/>
    <x v="330"/>
    <s v="Same Day"/>
    <s v="Consumer"/>
    <s v="Binders"/>
    <n v="2"/>
    <n v="0"/>
    <n v="15.944599999999998"/>
    <n v="32.54"/>
  </r>
  <r>
    <s v="United States"/>
    <x v="330"/>
    <s v="Same Day"/>
    <s v="Consumer"/>
    <s v="Phones"/>
    <n v="2"/>
    <n v="0"/>
    <n v="62.3904"/>
    <n v="129.97999999999999"/>
  </r>
  <r>
    <s v="United States"/>
    <x v="330"/>
    <s v="Same Day"/>
    <s v="Corporate"/>
    <s v="Art"/>
    <n v="6"/>
    <n v="0.4"/>
    <n v="5.0424000000000007"/>
    <n v="31.904000000000003"/>
  </r>
  <r>
    <s v="United States"/>
    <x v="330"/>
    <s v="Same Day"/>
    <s v="Corporate"/>
    <s v="Binders"/>
    <n v="7"/>
    <n v="0.7"/>
    <n v="-8.1311999999999998"/>
    <n v="11.088000000000003"/>
  </r>
  <r>
    <s v="United States"/>
    <x v="330"/>
    <s v="Same Day"/>
    <s v="Corporate"/>
    <s v="Phones"/>
    <n v="5"/>
    <n v="0.8"/>
    <n v="-128.31290000000004"/>
    <n v="535.16999999999996"/>
  </r>
  <r>
    <s v="United States"/>
    <x v="330"/>
    <s v="Same Day"/>
    <s v="Corporate"/>
    <s v="Storage"/>
    <n v="3"/>
    <n v="0.4"/>
    <n v="12.873200000000008"/>
    <n v="166.17599999999999"/>
  </r>
  <r>
    <s v="United States"/>
    <x v="330"/>
    <s v="Second Class"/>
    <s v="Consumer"/>
    <s v="Chairs"/>
    <n v="7"/>
    <n v="0.3"/>
    <n v="-11.337199999999939"/>
    <n v="396.80200000000002"/>
  </r>
  <r>
    <s v="United States"/>
    <x v="330"/>
    <s v="Second Class"/>
    <s v="Consumer"/>
    <s v="Envelopes"/>
    <n v="5"/>
    <n v="0.2"/>
    <n v="17.52"/>
    <n v="46.72"/>
  </r>
  <r>
    <s v="United States"/>
    <x v="330"/>
    <s v="Second Class"/>
    <s v="Consumer"/>
    <s v="Supplies"/>
    <n v="5"/>
    <n v="0.2"/>
    <n v="-3.771500000000001"/>
    <n v="15.88"/>
  </r>
  <r>
    <s v="United States"/>
    <x v="330"/>
    <s v="Second Class"/>
    <s v="Corporate"/>
    <s v="Accessories"/>
    <n v="9"/>
    <n v="0.2"/>
    <n v="1.5291000000000032"/>
    <n v="122.32799999999999"/>
  </r>
  <r>
    <s v="United States"/>
    <x v="330"/>
    <s v="Second Class"/>
    <s v="Corporate"/>
    <s v="Art"/>
    <n v="3"/>
    <n v="0"/>
    <n v="2.6568000000000005"/>
    <n v="9.84"/>
  </r>
  <r>
    <s v="United States"/>
    <x v="330"/>
    <s v="Second Class"/>
    <s v="Corporate"/>
    <s v="Chairs"/>
    <n v="6"/>
    <n v="0.3"/>
    <n v="-43.435200000000009"/>
    <n v="760.11599999999987"/>
  </r>
  <r>
    <s v="United States"/>
    <x v="330"/>
    <s v="Second Class"/>
    <s v="Corporate"/>
    <s v="Envelopes"/>
    <n v="7"/>
    <n v="0"/>
    <n v="51.554299999999991"/>
    <n v="109.69"/>
  </r>
  <r>
    <s v="United States"/>
    <x v="330"/>
    <s v="Second Class"/>
    <s v="Corporate"/>
    <s v="Fasteners"/>
    <n v="7"/>
    <n v="0"/>
    <n v="0.5236000000000014"/>
    <n v="26.18"/>
  </r>
  <r>
    <s v="United States"/>
    <x v="330"/>
    <s v="Second Class"/>
    <s v="Corporate"/>
    <s v="Furnishings"/>
    <n v="4"/>
    <n v="0.2"/>
    <n v="13.703999999999994"/>
    <n v="52.184000000000005"/>
  </r>
  <r>
    <s v="United States"/>
    <x v="330"/>
    <s v="Second Class"/>
    <s v="Corporate"/>
    <s v="Paper"/>
    <n v="6"/>
    <n v="0"/>
    <n v="15.390799999999999"/>
    <n v="32.32"/>
  </r>
  <r>
    <s v="United States"/>
    <x v="330"/>
    <s v="Second Class"/>
    <s v="Corporate"/>
    <s v="Storage"/>
    <n v="2"/>
    <n v="0"/>
    <n v="22.235199999999999"/>
    <n v="85.52"/>
  </r>
  <r>
    <s v="United States"/>
    <x v="330"/>
    <s v="Second Class"/>
    <s v="Home Office"/>
    <s v="Binders"/>
    <n v="9"/>
    <n v="0"/>
    <n v="149.76"/>
    <n v="299.52"/>
  </r>
  <r>
    <s v="United States"/>
    <x v="330"/>
    <s v="Standard Class"/>
    <s v="Consumer"/>
    <s v="Appliances"/>
    <n v="7"/>
    <n v="0"/>
    <n v="33.310199999999995"/>
    <n v="100.94"/>
  </r>
  <r>
    <s v="United States"/>
    <x v="330"/>
    <s v="Standard Class"/>
    <s v="Consumer"/>
    <s v="Art"/>
    <n v="15"/>
    <n v="0.2"/>
    <n v="56.345399999999998"/>
    <n v="278.20400000000001"/>
  </r>
  <r>
    <s v="United States"/>
    <x v="330"/>
    <s v="Standard Class"/>
    <s v="Consumer"/>
    <s v="Binders"/>
    <n v="12"/>
    <n v="0.7"/>
    <n v="279.84619999999995"/>
    <n v="579.69799999999998"/>
  </r>
  <r>
    <s v="United States"/>
    <x v="330"/>
    <s v="Standard Class"/>
    <s v="Consumer"/>
    <s v="Bookcases"/>
    <n v="3"/>
    <n v="0"/>
    <n v="56.994299999999981"/>
    <n v="299.96999999999997"/>
  </r>
  <r>
    <s v="United States"/>
    <x v="330"/>
    <s v="Standard Class"/>
    <s v="Consumer"/>
    <s v="Copiers"/>
    <n v="3"/>
    <n v="0"/>
    <n v="5039.9856"/>
    <n v="10499.97"/>
  </r>
  <r>
    <s v="United States"/>
    <x v="330"/>
    <s v="Standard Class"/>
    <s v="Consumer"/>
    <s v="Furnishings"/>
    <n v="18"/>
    <n v="0.60000000000000009"/>
    <n v="64.809200000000004"/>
    <n v="215.91199999999998"/>
  </r>
  <r>
    <s v="United States"/>
    <x v="330"/>
    <s v="Standard Class"/>
    <s v="Consumer"/>
    <s v="Labels"/>
    <n v="12"/>
    <n v="0"/>
    <n v="19.357199999999999"/>
    <n v="41.67"/>
  </r>
  <r>
    <s v="United States"/>
    <x v="330"/>
    <s v="Standard Class"/>
    <s v="Consumer"/>
    <s v="Machines"/>
    <n v="3"/>
    <n v="0"/>
    <n v="31.005899999999997"/>
    <n v="65.97"/>
  </r>
  <r>
    <s v="United States"/>
    <x v="330"/>
    <s v="Standard Class"/>
    <s v="Consumer"/>
    <s v="Paper"/>
    <n v="26"/>
    <n v="0.2"/>
    <n v="130.47399999999999"/>
    <n v="283.298"/>
  </r>
  <r>
    <s v="United States"/>
    <x v="330"/>
    <s v="Standard Class"/>
    <s v="Consumer"/>
    <s v="Phones"/>
    <n v="10"/>
    <n v="0"/>
    <n v="267.26940000000002"/>
    <n v="947.9"/>
  </r>
  <r>
    <s v="United States"/>
    <x v="330"/>
    <s v="Standard Class"/>
    <s v="Consumer"/>
    <s v="Storage"/>
    <n v="7"/>
    <n v="0"/>
    <n v="98.781800000000004"/>
    <n v="390.28"/>
  </r>
  <r>
    <s v="United States"/>
    <x v="330"/>
    <s v="Standard Class"/>
    <s v="Corporate"/>
    <s v="Accessories"/>
    <n v="8"/>
    <n v="0.2"/>
    <n v="80.674499999999995"/>
    <n v="261.87600000000003"/>
  </r>
  <r>
    <s v="United States"/>
    <x v="330"/>
    <s v="Standard Class"/>
    <s v="Corporate"/>
    <s v="Art"/>
    <n v="20"/>
    <n v="0"/>
    <n v="96.200199999999995"/>
    <n v="321.13"/>
  </r>
  <r>
    <s v="United States"/>
    <x v="330"/>
    <s v="Standard Class"/>
    <s v="Corporate"/>
    <s v="Binders"/>
    <n v="8"/>
    <n v="0"/>
    <n v="9.0127999999999986"/>
    <n v="19.04"/>
  </r>
  <r>
    <s v="United States"/>
    <x v="330"/>
    <s v="Standard Class"/>
    <s v="Corporate"/>
    <s v="Bookcases"/>
    <n v="2"/>
    <n v="0"/>
    <n v="101.6508"/>
    <n v="441.96"/>
  </r>
  <r>
    <s v="United States"/>
    <x v="330"/>
    <s v="Standard Class"/>
    <s v="Corporate"/>
    <s v="Chairs"/>
    <n v="5"/>
    <n v="0"/>
    <n v="75.686000000000007"/>
    <n v="291.10000000000002"/>
  </r>
  <r>
    <s v="United States"/>
    <x v="330"/>
    <s v="Standard Class"/>
    <s v="Corporate"/>
    <s v="Envelopes"/>
    <n v="7"/>
    <n v="0"/>
    <n v="27.241199999999996"/>
    <n v="57.959999999999994"/>
  </r>
  <r>
    <s v="United States"/>
    <x v="330"/>
    <s v="Standard Class"/>
    <s v="Corporate"/>
    <s v="Furnishings"/>
    <n v="9"/>
    <n v="0"/>
    <n v="29.998999999999988"/>
    <n v="248.30999999999997"/>
  </r>
  <r>
    <s v="United States"/>
    <x v="330"/>
    <s v="Standard Class"/>
    <s v="Corporate"/>
    <s v="Labels"/>
    <n v="3"/>
    <n v="0.2"/>
    <n v="2.5056000000000003"/>
    <n v="6.911999999999999"/>
  </r>
  <r>
    <s v="United States"/>
    <x v="330"/>
    <s v="Standard Class"/>
    <s v="Corporate"/>
    <s v="Paper"/>
    <n v="6"/>
    <n v="0"/>
    <n v="33.339599999999997"/>
    <n v="68.039999999999992"/>
  </r>
  <r>
    <s v="United States"/>
    <x v="330"/>
    <s v="Standard Class"/>
    <s v="Corporate"/>
    <s v="Phones"/>
    <n v="1"/>
    <n v="0"/>
    <n v="41.337400000000002"/>
    <n v="158.99"/>
  </r>
  <r>
    <s v="United States"/>
    <x v="330"/>
    <s v="Standard Class"/>
    <s v="Corporate"/>
    <s v="Storage"/>
    <n v="15"/>
    <n v="0.4"/>
    <n v="877.51490000000024"/>
    <n v="3604.174"/>
  </r>
  <r>
    <s v="United States"/>
    <x v="330"/>
    <s v="Standard Class"/>
    <s v="Home Office"/>
    <s v="Accessories"/>
    <n v="3"/>
    <n v="0"/>
    <n v="52.489499999999992"/>
    <n v="149.97"/>
  </r>
  <r>
    <s v="United States"/>
    <x v="330"/>
    <s v="Standard Class"/>
    <s v="Home Office"/>
    <s v="Appliances"/>
    <n v="1"/>
    <n v="0"/>
    <n v="11.054400000000001"/>
    <n v="39.479999999999997"/>
  </r>
  <r>
    <s v="United States"/>
    <x v="330"/>
    <s v="Standard Class"/>
    <s v="Home Office"/>
    <s v="Art"/>
    <n v="3"/>
    <n v="0"/>
    <n v="2.5055999999999998"/>
    <n v="8.64"/>
  </r>
  <r>
    <s v="United States"/>
    <x v="330"/>
    <s v="Standard Class"/>
    <s v="Home Office"/>
    <s v="Furnishings"/>
    <n v="4"/>
    <n v="0.2"/>
    <n v="12.90959999999999"/>
    <n v="93.888000000000005"/>
  </r>
  <r>
    <s v="United States"/>
    <x v="331"/>
    <s v="Same Day"/>
    <s v="Home Office"/>
    <s v="Paper"/>
    <n v="4"/>
    <n v="0"/>
    <n v="91.967999999999989"/>
    <n v="191.6"/>
  </r>
  <r>
    <s v="United States"/>
    <x v="331"/>
    <s v="Same Day"/>
    <s v="Home Office"/>
    <s v="Supplies"/>
    <n v="5"/>
    <n v="0"/>
    <n v="20.154999999999994"/>
    <n v="69.5"/>
  </r>
  <r>
    <s v="United States"/>
    <x v="331"/>
    <s v="Standard Class"/>
    <s v="Consumer"/>
    <s v="Copiers"/>
    <n v="8"/>
    <n v="0"/>
    <n v="751.9624"/>
    <n v="1599.92"/>
  </r>
  <r>
    <s v="United States"/>
    <x v="331"/>
    <s v="Standard Class"/>
    <s v="Consumer"/>
    <s v="Envelopes"/>
    <n v="5"/>
    <n v="0"/>
    <n v="20.060500000000001"/>
    <n v="42.21"/>
  </r>
  <r>
    <s v="United States"/>
    <x v="331"/>
    <s v="Standard Class"/>
    <s v="Consumer"/>
    <s v="Paper"/>
    <n v="6"/>
    <n v="0"/>
    <n v="19.651499999999999"/>
    <n v="41.510000000000005"/>
  </r>
  <r>
    <s v="United States"/>
    <x v="331"/>
    <s v="Standard Class"/>
    <s v="Consumer"/>
    <s v="Storage"/>
    <n v="5"/>
    <n v="0"/>
    <n v="170.28329999999994"/>
    <n v="588.35"/>
  </r>
  <r>
    <s v="United States"/>
    <x v="331"/>
    <s v="Standard Class"/>
    <s v="Corporate"/>
    <s v="Art"/>
    <n v="1"/>
    <n v="0"/>
    <n v="0.88039999999999985"/>
    <n v="2.84"/>
  </r>
  <r>
    <s v="United States"/>
    <x v="331"/>
    <s v="Standard Class"/>
    <s v="Corporate"/>
    <s v="Storage"/>
    <n v="5"/>
    <n v="0"/>
    <n v="9.7349999999999781"/>
    <n v="194.7"/>
  </r>
  <r>
    <s v="United States"/>
    <x v="331"/>
    <s v="Standard Class"/>
    <s v="Corporate"/>
    <s v="Tables"/>
    <n v="4"/>
    <n v="0"/>
    <n v="112.35079999999999"/>
    <n v="591.32000000000005"/>
  </r>
  <r>
    <s v="United States"/>
    <x v="332"/>
    <s v="First Class"/>
    <s v="Consumer"/>
    <s v="Phones"/>
    <n v="3"/>
    <n v="0"/>
    <n v="47.806499999999993"/>
    <n v="164.85000000000002"/>
  </r>
  <r>
    <s v="United States"/>
    <x v="332"/>
    <s v="Standard Class"/>
    <s v="Home Office"/>
    <s v="Art"/>
    <n v="6"/>
    <n v="0"/>
    <n v="5.0111999999999997"/>
    <n v="17.28"/>
  </r>
  <r>
    <s v="United States"/>
    <x v="332"/>
    <s v="Standard Class"/>
    <s v="Home Office"/>
    <s v="Binders"/>
    <n v="3"/>
    <n v="0.2"/>
    <n v="6.4206000000000012"/>
    <n v="17.712"/>
  </r>
  <r>
    <s v="United States"/>
    <x v="333"/>
    <s v="Second Class"/>
    <s v="Consumer"/>
    <s v="Binders"/>
    <n v="2"/>
    <n v="0"/>
    <n v="5.6519999999999992"/>
    <n v="12.56"/>
  </r>
  <r>
    <s v="United States"/>
    <x v="333"/>
    <s v="Second Class"/>
    <s v="Consumer"/>
    <s v="Phones"/>
    <n v="7"/>
    <n v="0"/>
    <n v="106.55640000000001"/>
    <n v="399.67999999999995"/>
  </r>
  <r>
    <s v="United States"/>
    <x v="333"/>
    <s v="Standard Class"/>
    <s v="Corporate"/>
    <s v="Tables"/>
    <n v="6"/>
    <n v="0"/>
    <n v="241.1046"/>
    <n v="2678.94"/>
  </r>
  <r>
    <s v="United States"/>
    <x v="334"/>
    <s v="Standard Class"/>
    <s v="Consumer"/>
    <s v="Binders"/>
    <n v="3"/>
    <n v="0"/>
    <n v="8.0177999999999994"/>
    <n v="17.43"/>
  </r>
  <r>
    <s v="United States"/>
    <x v="335"/>
    <s v="Standard Class"/>
    <s v="Home Office"/>
    <s v="Chairs"/>
    <n v="4"/>
    <n v="0.3"/>
    <n v="-110.02320000000003"/>
    <n v="366.74399999999997"/>
  </r>
  <r>
    <s v="United States"/>
    <x v="336"/>
    <s v="Same Day"/>
    <s v="Consumer"/>
    <s v="Accessories"/>
    <n v="5"/>
    <n v="0"/>
    <n v="244.61549999999988"/>
    <n v="1287.45"/>
  </r>
  <r>
    <s v="United States"/>
    <x v="336"/>
    <s v="Standard Class"/>
    <s v="Corporate"/>
    <s v="Accessories"/>
    <n v="4"/>
    <n v="0"/>
    <n v="24.913200000000003"/>
    <n v="63.88"/>
  </r>
  <r>
    <s v="United States"/>
    <x v="337"/>
    <s v="Second Class"/>
    <s v="Consumer"/>
    <s v="Storage"/>
    <n v="3"/>
    <n v="0"/>
    <n v="5.3897999999999939"/>
    <n v="269.49"/>
  </r>
  <r>
    <s v="United States"/>
    <x v="337"/>
    <s v="Standard Class"/>
    <s v="Corporate"/>
    <s v="Furnishings"/>
    <n v="2"/>
    <n v="0"/>
    <n v="4.2803999999999984"/>
    <n v="14.76"/>
  </r>
  <r>
    <s v="United States"/>
    <x v="338"/>
    <s v="First Class"/>
    <s v="Corporate"/>
    <s v="Accessories"/>
    <n v="2"/>
    <n v="0"/>
    <n v="19.331399999999995"/>
    <n v="58.58"/>
  </r>
  <r>
    <s v="United States"/>
    <x v="338"/>
    <s v="First Class"/>
    <s v="Home Office"/>
    <s v="Furnishings"/>
    <n v="2"/>
    <n v="0"/>
    <n v="5.5327999999999999"/>
    <n v="14.56"/>
  </r>
  <r>
    <s v="United States"/>
    <x v="338"/>
    <s v="Second Class"/>
    <s v="Consumer"/>
    <s v="Tables"/>
    <n v="4"/>
    <n v="0"/>
    <n v="116.87199999999984"/>
    <n v="1669.6"/>
  </r>
  <r>
    <s v="United States"/>
    <x v="338"/>
    <s v="Second Class"/>
    <s v="Corporate"/>
    <s v="Art"/>
    <n v="7"/>
    <n v="0"/>
    <n v="4.6956000000000007"/>
    <n v="18.060000000000002"/>
  </r>
  <r>
    <s v="United States"/>
    <x v="338"/>
    <s v="Second Class"/>
    <s v="Corporate"/>
    <s v="Furnishings"/>
    <n v="2"/>
    <n v="0"/>
    <n v="14.212"/>
    <n v="37.4"/>
  </r>
  <r>
    <s v="United States"/>
    <x v="338"/>
    <s v="Second Class"/>
    <s v="Corporate"/>
    <s v="Paper"/>
    <n v="3"/>
    <n v="0"/>
    <n v="36.404399999999995"/>
    <n v="79.14"/>
  </r>
  <r>
    <s v="United States"/>
    <x v="338"/>
    <s v="Second Class"/>
    <s v="Home Office"/>
    <s v="Art"/>
    <n v="3"/>
    <n v="0"/>
    <n v="29.437200000000001"/>
    <n v="113.22"/>
  </r>
  <r>
    <s v="United States"/>
    <x v="338"/>
    <s v="Second Class"/>
    <s v="Home Office"/>
    <s v="Binders"/>
    <n v="3"/>
    <n v="0.2"/>
    <n v="1644.2912999999999"/>
    <n v="4535.9760000000006"/>
  </r>
  <r>
    <s v="United States"/>
    <x v="338"/>
    <s v="Second Class"/>
    <s v="Home Office"/>
    <s v="Paper"/>
    <n v="6"/>
    <n v="0"/>
    <n v="17.581200000000003"/>
    <n v="35.880000000000003"/>
  </r>
  <r>
    <s v="United States"/>
    <x v="338"/>
    <s v="Standard Class"/>
    <s v="Consumer"/>
    <s v="Accessories"/>
    <n v="3"/>
    <n v="0"/>
    <n v="70.097700000000003"/>
    <n v="170.97"/>
  </r>
  <r>
    <s v="United States"/>
    <x v="338"/>
    <s v="Standard Class"/>
    <s v="Consumer"/>
    <s v="Chairs"/>
    <n v="3"/>
    <n v="0.2"/>
    <n v="-109.58220000000011"/>
    <n v="674.35200000000009"/>
  </r>
  <r>
    <s v="United States"/>
    <x v="338"/>
    <s v="Standard Class"/>
    <s v="Consumer"/>
    <s v="Furnishings"/>
    <n v="9"/>
    <n v="0"/>
    <n v="36.182700000000004"/>
    <n v="134.01"/>
  </r>
  <r>
    <s v="United States"/>
    <x v="338"/>
    <s v="Standard Class"/>
    <s v="Consumer"/>
    <s v="Labels"/>
    <n v="3"/>
    <n v="0"/>
    <n v="6.8723999999999998"/>
    <n v="14.940000000000001"/>
  </r>
  <r>
    <s v="United States"/>
    <x v="338"/>
    <s v="Standard Class"/>
    <s v="Consumer"/>
    <s v="Paper"/>
    <n v="1"/>
    <n v="0"/>
    <n v="3.1104000000000003"/>
    <n v="6.48"/>
  </r>
  <r>
    <s v="United States"/>
    <x v="338"/>
    <s v="Standard Class"/>
    <s v="Consumer"/>
    <s v="Phones"/>
    <n v="2"/>
    <n v="0.2"/>
    <n v="113.99799999999991"/>
    <n v="911.98400000000004"/>
  </r>
  <r>
    <s v="United States"/>
    <x v="338"/>
    <s v="Standard Class"/>
    <s v="Consumer"/>
    <s v="Storage"/>
    <n v="5"/>
    <n v="0"/>
    <n v="238.65299999999991"/>
    <n v="1325.8500000000001"/>
  </r>
  <r>
    <s v="United States"/>
    <x v="339"/>
    <s v="Second Class"/>
    <s v="Consumer"/>
    <s v="Supplies"/>
    <n v="3"/>
    <n v="0.2"/>
    <n v="-1.8126000000000002"/>
    <n v="7.6320000000000014"/>
  </r>
  <r>
    <s v="United States"/>
    <x v="339"/>
    <s v="Standard Class"/>
    <s v="Consumer"/>
    <s v="Paper"/>
    <n v="3"/>
    <n v="0.2"/>
    <n v="4.8924000000000003"/>
    <n v="14.496000000000002"/>
  </r>
  <r>
    <s v="United States"/>
    <x v="340"/>
    <s v="First Class"/>
    <s v="Corporate"/>
    <s v="Paper"/>
    <n v="1"/>
    <n v="0"/>
    <n v="5.5565999999999995"/>
    <n v="11.34"/>
  </r>
  <r>
    <s v="United States"/>
    <x v="340"/>
    <s v="Standard Class"/>
    <s v="Consumer"/>
    <s v="Appliances"/>
    <n v="3"/>
    <n v="0"/>
    <n v="144.3546"/>
    <n v="370.14"/>
  </r>
  <r>
    <s v="United States"/>
    <x v="340"/>
    <s v="Standard Class"/>
    <s v="Consumer"/>
    <s v="Binders"/>
    <n v="2"/>
    <n v="0"/>
    <n v="5.0763999999999996"/>
    <n v="10.36"/>
  </r>
  <r>
    <s v="United States"/>
    <x v="340"/>
    <s v="Standard Class"/>
    <s v="Home Office"/>
    <s v="Furnishings"/>
    <n v="6"/>
    <n v="0"/>
    <n v="9.1020000000000021"/>
    <n v="22.200000000000003"/>
  </r>
  <r>
    <s v="United States"/>
    <x v="341"/>
    <s v="Standard Class"/>
    <s v="Corporate"/>
    <s v="Art"/>
    <n v="7"/>
    <n v="0.2"/>
    <n v="1.0192000000000001"/>
    <n v="10.192000000000002"/>
  </r>
  <r>
    <s v="United States"/>
    <x v="341"/>
    <s v="Standard Class"/>
    <s v="Corporate"/>
    <s v="Furnishings"/>
    <n v="5"/>
    <n v="0"/>
    <n v="151.02359999999999"/>
    <n v="580.8599999999999"/>
  </r>
  <r>
    <s v="United States"/>
    <x v="342"/>
    <s v="First Class"/>
    <s v="Consumer"/>
    <s v="Appliances"/>
    <n v="3"/>
    <n v="0"/>
    <n v="54.950400000000002"/>
    <n v="203.52"/>
  </r>
  <r>
    <s v="United States"/>
    <x v="342"/>
    <s v="First Class"/>
    <s v="Consumer"/>
    <s v="Art"/>
    <n v="4"/>
    <n v="0"/>
    <n v="4.9647999999999985"/>
    <n v="17.12"/>
  </r>
  <r>
    <s v="United States"/>
    <x v="342"/>
    <s v="First Class"/>
    <s v="Consumer"/>
    <s v="Binders"/>
    <n v="9"/>
    <n v="0.2"/>
    <n v="42.464699999999993"/>
    <n v="117.14400000000001"/>
  </r>
  <r>
    <s v="United States"/>
    <x v="342"/>
    <s v="First Class"/>
    <s v="Consumer"/>
    <s v="Furnishings"/>
    <n v="6"/>
    <n v="0"/>
    <n v="14.082999999999993"/>
    <n v="139.38"/>
  </r>
  <r>
    <s v="United States"/>
    <x v="342"/>
    <s v="First Class"/>
    <s v="Consumer"/>
    <s v="Labels"/>
    <n v="5"/>
    <n v="0"/>
    <n v="24.84"/>
    <n v="51.75"/>
  </r>
  <r>
    <s v="United States"/>
    <x v="342"/>
    <s v="First Class"/>
    <s v="Consumer"/>
    <s v="Phones"/>
    <n v="4"/>
    <n v="0.2"/>
    <n v="37.797199999999975"/>
    <n v="431.96800000000007"/>
  </r>
  <r>
    <s v="United States"/>
    <x v="342"/>
    <s v="First Class"/>
    <s v="Consumer"/>
    <s v="Tables"/>
    <n v="3"/>
    <n v="0.2"/>
    <n v="28.436399999999935"/>
    <n v="568.72800000000007"/>
  </r>
  <r>
    <s v="United States"/>
    <x v="342"/>
    <s v="First Class"/>
    <s v="Home Office"/>
    <s v="Chairs"/>
    <n v="8"/>
    <n v="0.2"/>
    <n v="-73.819200000000052"/>
    <n v="454.27200000000005"/>
  </r>
  <r>
    <s v="United States"/>
    <x v="342"/>
    <s v="Second Class"/>
    <s v="Consumer"/>
    <s v="Furnishings"/>
    <n v="6"/>
    <n v="0"/>
    <n v="8.9496000000000002"/>
    <n v="21.78"/>
  </r>
  <r>
    <s v="United States"/>
    <x v="342"/>
    <s v="Second Class"/>
    <s v="Consumer"/>
    <s v="Storage"/>
    <n v="3"/>
    <n v="0"/>
    <n v="0.62579999999999902"/>
    <n v="8.94"/>
  </r>
  <r>
    <s v="United States"/>
    <x v="342"/>
    <s v="Second Class"/>
    <s v="Corporate"/>
    <s v="Labels"/>
    <n v="1"/>
    <n v="0"/>
    <n v="1.512"/>
    <n v="3.15"/>
  </r>
  <r>
    <s v="United States"/>
    <x v="342"/>
    <s v="Second Class"/>
    <s v="Corporate"/>
    <s v="Phones"/>
    <n v="3"/>
    <n v="0.2"/>
    <n v="7.1976000000000049"/>
    <n v="71.975999999999999"/>
  </r>
  <r>
    <s v="United States"/>
    <x v="342"/>
    <s v="Standard Class"/>
    <s v="Consumer"/>
    <s v="Accessories"/>
    <n v="6"/>
    <n v="0"/>
    <n v="230.07840000000002"/>
    <n v="629.94000000000005"/>
  </r>
  <r>
    <s v="United States"/>
    <x v="342"/>
    <s v="Standard Class"/>
    <s v="Consumer"/>
    <s v="Chairs"/>
    <n v="3"/>
    <n v="0.2"/>
    <n v="35.759999999999962"/>
    <n v="572.16000000000008"/>
  </r>
  <r>
    <s v="United States"/>
    <x v="342"/>
    <s v="Standard Class"/>
    <s v="Consumer"/>
    <s v="Furnishings"/>
    <n v="7"/>
    <n v="0"/>
    <n v="28.142100000000006"/>
    <n v="104.23"/>
  </r>
  <r>
    <s v="United States"/>
    <x v="342"/>
    <s v="Standard Class"/>
    <s v="Consumer"/>
    <s v="Phones"/>
    <n v="7"/>
    <n v="0.2"/>
    <n v="-15.458100000000007"/>
    <n v="72.744000000000014"/>
  </r>
  <r>
    <s v="United States"/>
    <x v="342"/>
    <s v="Standard Class"/>
    <s v="Consumer"/>
    <s v="Storage"/>
    <n v="3"/>
    <n v="0"/>
    <n v="18.970199999999998"/>
    <n v="70.260000000000005"/>
  </r>
  <r>
    <s v="United States"/>
    <x v="342"/>
    <s v="Standard Class"/>
    <s v="Corporate"/>
    <s v="Art"/>
    <n v="5"/>
    <n v="0"/>
    <n v="44.974999999999987"/>
    <n v="179.89999999999998"/>
  </r>
  <r>
    <s v="United States"/>
    <x v="342"/>
    <s v="Standard Class"/>
    <s v="Corporate"/>
    <s v="Binders"/>
    <n v="3"/>
    <n v="0.2"/>
    <n v="4.1327999999999996"/>
    <n v="11.808"/>
  </r>
  <r>
    <s v="United States"/>
    <x v="342"/>
    <s v="Standard Class"/>
    <s v="Corporate"/>
    <s v="Chairs"/>
    <n v="9"/>
    <n v="0.2"/>
    <n v="43.464599999999905"/>
    <n v="1159.056"/>
  </r>
  <r>
    <s v="United States"/>
    <x v="342"/>
    <s v="Standard Class"/>
    <s v="Corporate"/>
    <s v="Phones"/>
    <n v="1"/>
    <n v="0.2"/>
    <n v="-7.9984000000000073"/>
    <n v="39.992000000000004"/>
  </r>
  <r>
    <s v="United States"/>
    <x v="342"/>
    <s v="Standard Class"/>
    <s v="Corporate"/>
    <s v="Storage"/>
    <n v="7"/>
    <n v="0"/>
    <n v="290.00579999999991"/>
    <n v="1000.0200000000001"/>
  </r>
  <r>
    <s v="United States"/>
    <x v="342"/>
    <s v="Standard Class"/>
    <s v="Home Office"/>
    <s v="Art"/>
    <n v="1"/>
    <n v="0"/>
    <n v="10.028199999999998"/>
    <n v="34.58"/>
  </r>
  <r>
    <s v="United States"/>
    <x v="343"/>
    <s v="First Class"/>
    <s v="Consumer"/>
    <s v="Chairs"/>
    <n v="3"/>
    <n v="0.1"/>
    <n v="102.49980000000001"/>
    <n v="542.64599999999996"/>
  </r>
  <r>
    <s v="United States"/>
    <x v="343"/>
    <s v="First Class"/>
    <s v="Consumer"/>
    <s v="Labels"/>
    <n v="2"/>
    <n v="0"/>
    <n v="3.024"/>
    <n v="6.3"/>
  </r>
  <r>
    <s v="United States"/>
    <x v="343"/>
    <s v="First Class"/>
    <s v="Consumer"/>
    <s v="Paper"/>
    <n v="8"/>
    <n v="0"/>
    <n v="84.051199999999994"/>
    <n v="182.72"/>
  </r>
  <r>
    <s v="United States"/>
    <x v="343"/>
    <s v="First Class"/>
    <s v="Consumer"/>
    <s v="Storage"/>
    <n v="3"/>
    <n v="0"/>
    <n v="10.088999999999999"/>
    <n v="33.630000000000003"/>
  </r>
  <r>
    <s v="United States"/>
    <x v="343"/>
    <s v="First Class"/>
    <s v="Consumer"/>
    <s v="Tables"/>
    <n v="2"/>
    <n v="0.4"/>
    <n v="-153.34560000000005"/>
    <n v="400.03199999999998"/>
  </r>
  <r>
    <s v="United States"/>
    <x v="343"/>
    <s v="First Class"/>
    <s v="Corporate"/>
    <s v="Binders"/>
    <n v="3"/>
    <n v="0.2"/>
    <n v="4.4352000000000009"/>
    <n v="12.672000000000001"/>
  </r>
  <r>
    <s v="United States"/>
    <x v="343"/>
    <s v="First Class"/>
    <s v="Corporate"/>
    <s v="Furnishings"/>
    <n v="2"/>
    <n v="0"/>
    <n v="6.3743999999999996"/>
    <n v="13.28"/>
  </r>
  <r>
    <s v="United States"/>
    <x v="343"/>
    <s v="Same Day"/>
    <s v="Consumer"/>
    <s v="Furnishings"/>
    <n v="2"/>
    <n v="0"/>
    <n v="53.195999999999998"/>
    <n v="204.6"/>
  </r>
  <r>
    <s v="United States"/>
    <x v="343"/>
    <s v="Second Class"/>
    <s v="Consumer"/>
    <s v="Accessories"/>
    <n v="7"/>
    <n v="0"/>
    <n v="60.008399999999959"/>
    <n v="913.93000000000006"/>
  </r>
  <r>
    <s v="United States"/>
    <x v="343"/>
    <s v="Second Class"/>
    <s v="Consumer"/>
    <s v="Envelopes"/>
    <n v="6"/>
    <n v="0"/>
    <n v="5.7527999999999988"/>
    <n v="12.24"/>
  </r>
  <r>
    <s v="United States"/>
    <x v="343"/>
    <s v="Second Class"/>
    <s v="Consumer"/>
    <s v="Furnishings"/>
    <n v="5"/>
    <n v="0"/>
    <n v="13.7996"/>
    <n v="35.299999999999997"/>
  </r>
  <r>
    <s v="United States"/>
    <x v="343"/>
    <s v="Second Class"/>
    <s v="Consumer"/>
    <s v="Storage"/>
    <n v="5"/>
    <n v="0"/>
    <n v="4.8910000000000053"/>
    <n v="244.54999999999998"/>
  </r>
  <r>
    <s v="United States"/>
    <x v="343"/>
    <s v="Second Class"/>
    <s v="Corporate"/>
    <s v="Binders"/>
    <n v="5"/>
    <n v="0.2"/>
    <n v="8.2079999999999984"/>
    <n v="24.320000000000004"/>
  </r>
  <r>
    <s v="United States"/>
    <x v="343"/>
    <s v="Second Class"/>
    <s v="Corporate"/>
    <s v="Chairs"/>
    <n v="4"/>
    <n v="0.4"/>
    <n v="15.250399999999999"/>
    <n v="178.75200000000001"/>
  </r>
  <r>
    <s v="United States"/>
    <x v="343"/>
    <s v="Second Class"/>
    <s v="Corporate"/>
    <s v="Furnishings"/>
    <n v="2"/>
    <n v="0"/>
    <n v="7.5840000000000014"/>
    <n v="18.96"/>
  </r>
  <r>
    <s v="United States"/>
    <x v="343"/>
    <s v="Standard Class"/>
    <s v="Consumer"/>
    <s v="Binders"/>
    <n v="12"/>
    <n v="0.4"/>
    <n v="33.509700000000002"/>
    <n v="93.432000000000016"/>
  </r>
  <r>
    <s v="United States"/>
    <x v="343"/>
    <s v="Standard Class"/>
    <s v="Consumer"/>
    <s v="Chairs"/>
    <n v="2"/>
    <n v="0.1"/>
    <n v="48.313600000000008"/>
    <n v="271.76400000000001"/>
  </r>
  <r>
    <s v="United States"/>
    <x v="343"/>
    <s v="Standard Class"/>
    <s v="Consumer"/>
    <s v="Fasteners"/>
    <n v="3"/>
    <n v="0"/>
    <n v="16.186799999999998"/>
    <n v="34.44"/>
  </r>
  <r>
    <s v="United States"/>
    <x v="343"/>
    <s v="Standard Class"/>
    <s v="Consumer"/>
    <s v="Furnishings"/>
    <n v="10"/>
    <n v="0"/>
    <n v="29.264800000000001"/>
    <n v="66.08"/>
  </r>
  <r>
    <s v="United States"/>
    <x v="343"/>
    <s v="Standard Class"/>
    <s v="Consumer"/>
    <s v="Machines"/>
    <n v="7"/>
    <n v="0"/>
    <n v="296.06709999999998"/>
    <n v="629.92999999999995"/>
  </r>
  <r>
    <s v="United States"/>
    <x v="343"/>
    <s v="Standard Class"/>
    <s v="Consumer"/>
    <s v="Paper"/>
    <n v="2"/>
    <n v="0"/>
    <n v="6.2208000000000006"/>
    <n v="12.96"/>
  </r>
  <r>
    <s v="United States"/>
    <x v="343"/>
    <s v="Standard Class"/>
    <s v="Corporate"/>
    <s v="Furnishings"/>
    <n v="5"/>
    <n v="0"/>
    <n v="28.959000000000003"/>
    <n v="68.949999999999989"/>
  </r>
  <r>
    <s v="United States"/>
    <x v="343"/>
    <s v="Standard Class"/>
    <s v="Corporate"/>
    <s v="Phones"/>
    <n v="2"/>
    <n v="0"/>
    <n v="1.9989999999999952"/>
    <n v="39.979999999999997"/>
  </r>
  <r>
    <s v="United States"/>
    <x v="343"/>
    <s v="Standard Class"/>
    <s v="Corporate"/>
    <s v="Storage"/>
    <n v="3"/>
    <n v="0"/>
    <n v="80.019899999999993"/>
    <n v="296.37"/>
  </r>
  <r>
    <s v="United States"/>
    <x v="343"/>
    <s v="Standard Class"/>
    <s v="Home Office"/>
    <s v="Paper"/>
    <n v="2"/>
    <n v="0"/>
    <n v="6.3209999999999997"/>
    <n v="12.9"/>
  </r>
  <r>
    <s v="United States"/>
    <x v="344"/>
    <s v="First Class"/>
    <s v="Corporate"/>
    <s v="Chairs"/>
    <n v="5"/>
    <n v="0.3"/>
    <n v="-56.343000000000018"/>
    <n v="563.42999999999984"/>
  </r>
  <r>
    <s v="United States"/>
    <x v="344"/>
    <s v="First Class"/>
    <s v="Corporate"/>
    <s v="Paper"/>
    <n v="7"/>
    <n v="0.2"/>
    <n v="15.509199999999998"/>
    <n v="42.783999999999999"/>
  </r>
  <r>
    <s v="United States"/>
    <x v="344"/>
    <s v="Standard Class"/>
    <s v="Corporate"/>
    <s v="Appliances"/>
    <n v="1"/>
    <n v="0.8"/>
    <n v="-24.771599999999999"/>
    <n v="13.761999999999997"/>
  </r>
  <r>
    <s v="United States"/>
    <x v="344"/>
    <s v="Standard Class"/>
    <s v="Corporate"/>
    <s v="Paper"/>
    <n v="3"/>
    <n v="0.2"/>
    <n v="5.6111999999999993"/>
    <n v="16.032"/>
  </r>
  <r>
    <s v="United States"/>
    <x v="344"/>
    <s v="Standard Class"/>
    <s v="Home Office"/>
    <s v="Chairs"/>
    <n v="6"/>
    <n v="0.3"/>
    <n v="-9.717599999999976"/>
    <n v="340.11599999999999"/>
  </r>
  <r>
    <s v="United States"/>
    <x v="345"/>
    <s v="First Class"/>
    <s v="Consumer"/>
    <s v="Bookcases"/>
    <n v="2"/>
    <n v="0"/>
    <n v="54.713599999999985"/>
    <n v="341.96"/>
  </r>
  <r>
    <s v="United States"/>
    <x v="345"/>
    <s v="First Class"/>
    <s v="Consumer"/>
    <s v="Envelopes"/>
    <n v="2"/>
    <n v="0"/>
    <n v="149.8956"/>
    <n v="325.86"/>
  </r>
  <r>
    <s v="United States"/>
    <x v="345"/>
    <s v="First Class"/>
    <s v="Consumer"/>
    <s v="Phones"/>
    <n v="2"/>
    <n v="0"/>
    <n v="62.15440000000001"/>
    <n v="221.98"/>
  </r>
  <r>
    <s v="United States"/>
    <x v="345"/>
    <s v="Same Day"/>
    <s v="Consumer"/>
    <s v="Binders"/>
    <n v="9"/>
    <n v="0"/>
    <n v="19.080000000000002"/>
    <n v="38.160000000000004"/>
  </r>
  <r>
    <s v="United States"/>
    <x v="345"/>
    <s v="Standard Class"/>
    <s v="Consumer"/>
    <s v="Appliances"/>
    <n v="2"/>
    <n v="0"/>
    <n v="60.552800000000005"/>
    <n v="137.62"/>
  </r>
  <r>
    <s v="United States"/>
    <x v="345"/>
    <s v="Standard Class"/>
    <s v="Consumer"/>
    <s v="Binders"/>
    <n v="2"/>
    <n v="0"/>
    <n v="16.405199999999997"/>
    <n v="33.479999999999997"/>
  </r>
  <r>
    <s v="United States"/>
    <x v="345"/>
    <s v="Standard Class"/>
    <s v="Consumer"/>
    <s v="Chairs"/>
    <n v="8"/>
    <n v="0"/>
    <n v="456.57179999999994"/>
    <n v="1626.57"/>
  </r>
  <r>
    <s v="United States"/>
    <x v="345"/>
    <s v="Standard Class"/>
    <s v="Consumer"/>
    <s v="Paper"/>
    <n v="5"/>
    <n v="0"/>
    <n v="54.722399999999993"/>
    <n v="116.88"/>
  </r>
  <r>
    <s v="United States"/>
    <x v="345"/>
    <s v="Standard Class"/>
    <s v="Consumer"/>
    <s v="Phones"/>
    <n v="7"/>
    <n v="0"/>
    <n v="268.36009999999999"/>
    <n v="941.93000000000006"/>
  </r>
  <r>
    <s v="United States"/>
    <x v="345"/>
    <s v="Standard Class"/>
    <s v="Consumer"/>
    <s v="Storage"/>
    <n v="4"/>
    <n v="0"/>
    <n v="5.4124000000000478"/>
    <n v="541.24"/>
  </r>
  <r>
    <s v="United States"/>
    <x v="345"/>
    <s v="Standard Class"/>
    <s v="Corporate"/>
    <s v="Accessories"/>
    <n v="1"/>
    <n v="0"/>
    <n v="0.5519999999999996"/>
    <n v="6.9"/>
  </r>
  <r>
    <s v="United States"/>
    <x v="345"/>
    <s v="Standard Class"/>
    <s v="Corporate"/>
    <s v="Furnishings"/>
    <n v="7"/>
    <n v="0"/>
    <n v="36.707700000000003"/>
    <n v="88.05"/>
  </r>
  <r>
    <s v="United States"/>
    <x v="345"/>
    <s v="Standard Class"/>
    <s v="Home Office"/>
    <s v="Appliances"/>
    <n v="3"/>
    <n v="0"/>
    <n v="251.89109999999988"/>
    <n v="868.58999999999992"/>
  </r>
  <r>
    <s v="United States"/>
    <x v="345"/>
    <s v="Standard Class"/>
    <s v="Home Office"/>
    <s v="Binders"/>
    <n v="4"/>
    <n v="0"/>
    <n v="55.935999999999993"/>
    <n v="121.6"/>
  </r>
  <r>
    <s v="United States"/>
    <x v="345"/>
    <s v="Standard Class"/>
    <s v="Home Office"/>
    <s v="Labels"/>
    <n v="13"/>
    <n v="0"/>
    <n v="24.313800000000001"/>
    <n v="49.620000000000005"/>
  </r>
  <r>
    <s v="United States"/>
    <x v="345"/>
    <s v="Standard Class"/>
    <s v="Home Office"/>
    <s v="Paper"/>
    <n v="2"/>
    <n v="0"/>
    <n v="6.2208000000000006"/>
    <n v="12.96"/>
  </r>
  <r>
    <s v="United States"/>
    <x v="345"/>
    <s v="Standard Class"/>
    <s v="Home Office"/>
    <s v="Phones"/>
    <n v="1"/>
    <n v="0"/>
    <n v="1.375"/>
    <n v="5.5"/>
  </r>
  <r>
    <s v="United States"/>
    <x v="345"/>
    <s v="Standard Class"/>
    <s v="Home Office"/>
    <s v="Storage"/>
    <n v="4"/>
    <n v="0"/>
    <n v="55.895999999999958"/>
    <n v="1117.92"/>
  </r>
  <r>
    <s v="United States"/>
    <x v="346"/>
    <s v="Standard Class"/>
    <s v="Home Office"/>
    <s v="Accessories"/>
    <n v="5"/>
    <n v="0"/>
    <n v="10.905999999999993"/>
    <n v="57.400000000000006"/>
  </r>
  <r>
    <s v="United States"/>
    <x v="346"/>
    <s v="Standard Class"/>
    <s v="Home Office"/>
    <s v="Art"/>
    <n v="3"/>
    <n v="0"/>
    <n v="26.984999999999992"/>
    <n v="107.94"/>
  </r>
  <r>
    <s v="United States"/>
    <x v="346"/>
    <s v="Standard Class"/>
    <s v="Home Office"/>
    <s v="Binders"/>
    <n v="2"/>
    <n v="0"/>
    <n v="149.38199999999998"/>
    <n v="331.96"/>
  </r>
  <r>
    <s v="United States"/>
    <x v="346"/>
    <s v="Standard Class"/>
    <s v="Home Office"/>
    <s v="Furnishings"/>
    <n v="2"/>
    <n v="0"/>
    <n v="12.979199999999999"/>
    <n v="40.56"/>
  </r>
  <r>
    <s v="United States"/>
    <x v="346"/>
    <s v="Standard Class"/>
    <s v="Home Office"/>
    <s v="Supplies"/>
    <n v="3"/>
    <n v="0"/>
    <n v="7.158600000000007"/>
    <n v="357.93"/>
  </r>
  <r>
    <s v="United States"/>
    <x v="347"/>
    <s v="Second Class"/>
    <s v="Consumer"/>
    <s v="Chairs"/>
    <n v="5"/>
    <n v="0.2"/>
    <n v="45.294000000000011"/>
    <n v="603.91999999999996"/>
  </r>
  <r>
    <s v="United States"/>
    <x v="347"/>
    <s v="Second Class"/>
    <s v="Consumer"/>
    <s v="Furnishings"/>
    <n v="3"/>
    <n v="0"/>
    <n v="46.574999999999996"/>
    <n v="155.25"/>
  </r>
  <r>
    <s v="United States"/>
    <x v="347"/>
    <s v="Second Class"/>
    <s v="Consumer"/>
    <s v="Paper"/>
    <n v="2"/>
    <n v="0"/>
    <n v="21.012799999999999"/>
    <n v="45.68"/>
  </r>
  <r>
    <s v="United States"/>
    <x v="347"/>
    <s v="Second Class"/>
    <s v="Consumer"/>
    <s v="Phones"/>
    <n v="4"/>
    <n v="0.2"/>
    <n v="22.676399999999994"/>
    <n v="201.56800000000001"/>
  </r>
  <r>
    <s v="United States"/>
    <x v="347"/>
    <s v="Second Class"/>
    <s v="Consumer"/>
    <s v="Storage"/>
    <n v="1"/>
    <n v="0"/>
    <n v="4.068699999999998"/>
    <n v="14.03"/>
  </r>
  <r>
    <s v="United States"/>
    <x v="348"/>
    <s v="First Class"/>
    <s v="Consumer"/>
    <s v="Accessories"/>
    <n v="3"/>
    <n v="0"/>
    <n v="50.989800000000002"/>
    <n v="149.97"/>
  </r>
  <r>
    <s v="United States"/>
    <x v="348"/>
    <s v="First Class"/>
    <s v="Consumer"/>
    <s v="Furnishings"/>
    <n v="2"/>
    <n v="0"/>
    <n v="11.076000000000001"/>
    <n v="28.4"/>
  </r>
  <r>
    <s v="United States"/>
    <x v="348"/>
    <s v="First Class"/>
    <s v="Corporate"/>
    <s v="Appliances"/>
    <n v="5"/>
    <n v="0"/>
    <n v="18.409399999999994"/>
    <n v="62.23"/>
  </r>
  <r>
    <s v="United States"/>
    <x v="348"/>
    <s v="First Class"/>
    <s v="Corporate"/>
    <s v="Paper"/>
    <n v="1"/>
    <n v="0"/>
    <n v="3.1104000000000003"/>
    <n v="6.48"/>
  </r>
  <r>
    <s v="United States"/>
    <x v="348"/>
    <s v="First Class"/>
    <s v="Home Office"/>
    <s v="Chairs"/>
    <n v="3"/>
    <n v="0"/>
    <n v="112.78800000000001"/>
    <n v="563.93999999999994"/>
  </r>
  <r>
    <s v="United States"/>
    <x v="348"/>
    <s v="Same Day"/>
    <s v="Home Office"/>
    <s v="Binders"/>
    <n v="3"/>
    <n v="0"/>
    <n v="15.524999999999999"/>
    <n v="34.5"/>
  </r>
  <r>
    <s v="United States"/>
    <x v="348"/>
    <s v="Second Class"/>
    <s v="Corporate"/>
    <s v="Binders"/>
    <n v="4"/>
    <n v="0"/>
    <n v="10.988799999999999"/>
    <n v="22.4"/>
  </r>
  <r>
    <s v="United States"/>
    <x v="348"/>
    <s v="Second Class"/>
    <s v="Corporate"/>
    <s v="Fasteners"/>
    <n v="4"/>
    <n v="0"/>
    <n v="0.2016"/>
    <n v="5.04"/>
  </r>
  <r>
    <s v="United States"/>
    <x v="348"/>
    <s v="Second Class"/>
    <s v="Corporate"/>
    <s v="Paper"/>
    <n v="3"/>
    <n v="0"/>
    <n v="56.977199999999996"/>
    <n v="116.28"/>
  </r>
  <r>
    <s v="United States"/>
    <x v="348"/>
    <s v="Standard Class"/>
    <s v="Consumer"/>
    <s v="Appliances"/>
    <n v="2"/>
    <n v="0"/>
    <n v="136.07999999999998"/>
    <n v="378"/>
  </r>
  <r>
    <s v="United States"/>
    <x v="348"/>
    <s v="Standard Class"/>
    <s v="Consumer"/>
    <s v="Furnishings"/>
    <n v="14"/>
    <n v="0"/>
    <n v="387.56759999999986"/>
    <n v="1336.4399999999998"/>
  </r>
  <r>
    <s v="United States"/>
    <x v="348"/>
    <s v="Standard Class"/>
    <s v="Consumer"/>
    <s v="Labels"/>
    <n v="5"/>
    <n v="0"/>
    <n v="7.056"/>
    <n v="14.399999999999999"/>
  </r>
  <r>
    <s v="United States"/>
    <x v="348"/>
    <s v="Standard Class"/>
    <s v="Consumer"/>
    <s v="Paper"/>
    <n v="9"/>
    <n v="0"/>
    <n v="26.328599999999998"/>
    <n v="55.32"/>
  </r>
  <r>
    <s v="United States"/>
    <x v="348"/>
    <s v="Standard Class"/>
    <s v="Consumer"/>
    <s v="Phones"/>
    <n v="14"/>
    <n v="0"/>
    <n v="796.34809999999982"/>
    <n v="2695.8599999999997"/>
  </r>
  <r>
    <s v="United States"/>
    <x v="348"/>
    <s v="Standard Class"/>
    <s v="Consumer"/>
    <s v="Storage"/>
    <n v="9"/>
    <n v="0"/>
    <n v="101.13900000000001"/>
    <n v="413.82"/>
  </r>
  <r>
    <s v="United States"/>
    <x v="348"/>
    <s v="Standard Class"/>
    <s v="Consumer"/>
    <s v="Supplies"/>
    <n v="2"/>
    <n v="0"/>
    <n v="5.0699999999999985"/>
    <n v="16.899999999999999"/>
  </r>
  <r>
    <s v="United States"/>
    <x v="348"/>
    <s v="Standard Class"/>
    <s v="Corporate"/>
    <s v="Accessories"/>
    <n v="3"/>
    <n v="0"/>
    <n v="18.893699999999995"/>
    <n v="89.97"/>
  </r>
  <r>
    <s v="United States"/>
    <x v="348"/>
    <s v="Standard Class"/>
    <s v="Home Office"/>
    <s v="Fasteners"/>
    <n v="10"/>
    <n v="0"/>
    <n v="10.183"/>
    <n v="52.599999999999994"/>
  </r>
  <r>
    <s v="United States"/>
    <x v="348"/>
    <s v="Standard Class"/>
    <s v="Home Office"/>
    <s v="Phones"/>
    <n v="2"/>
    <n v="0"/>
    <n v="72.894599999999997"/>
    <n v="269.98"/>
  </r>
  <r>
    <s v="United States"/>
    <x v="349"/>
    <s v="Standard Class"/>
    <s v="Consumer"/>
    <s v="Chairs"/>
    <n v="5"/>
    <n v="0.2"/>
    <n v="-46.137000000000029"/>
    <n v="283.92"/>
  </r>
  <r>
    <s v="United States"/>
    <x v="350"/>
    <s v="Same Day"/>
    <s v="Consumer"/>
    <s v="Art"/>
    <n v="3"/>
    <n v="0"/>
    <n v="18.447000000000003"/>
    <n v="70.949999999999989"/>
  </r>
  <r>
    <s v="United States"/>
    <x v="350"/>
    <s v="Second Class"/>
    <s v="Corporate"/>
    <s v="Binders"/>
    <n v="2"/>
    <n v="0"/>
    <n v="2.8224"/>
    <n v="5.76"/>
  </r>
  <r>
    <s v="United States"/>
    <x v="350"/>
    <s v="Second Class"/>
    <s v="Home Office"/>
    <s v="Binders"/>
    <n v="6"/>
    <n v="0"/>
    <n v="12.72"/>
    <n v="25.44"/>
  </r>
  <r>
    <s v="United States"/>
    <x v="350"/>
    <s v="Second Class"/>
    <s v="Home Office"/>
    <s v="Supplies"/>
    <n v="3"/>
    <n v="0"/>
    <n v="8.0996999999999986"/>
    <n v="27.93"/>
  </r>
  <r>
    <s v="United States"/>
    <x v="350"/>
    <s v="Standard Class"/>
    <s v="Consumer"/>
    <s v="Labels"/>
    <n v="1"/>
    <n v="0"/>
    <n v="2.4058999999999999"/>
    <n v="4.91"/>
  </r>
  <r>
    <s v="United States"/>
    <x v="350"/>
    <s v="Standard Class"/>
    <s v="Corporate"/>
    <s v="Appliances"/>
    <n v="2"/>
    <n v="0"/>
    <n v="22.074799999999996"/>
    <n v="76.12"/>
  </r>
  <r>
    <s v="United States"/>
    <x v="351"/>
    <s v="Standard Class"/>
    <s v="Consumer"/>
    <s v="Art"/>
    <n v="2"/>
    <n v="0"/>
    <n v="12.874400000000001"/>
    <n v="45.98"/>
  </r>
  <r>
    <s v="United States"/>
    <x v="351"/>
    <s v="Standard Class"/>
    <s v="Consumer"/>
    <s v="Bookcases"/>
    <n v="7"/>
    <n v="0"/>
    <n v="140.68599999999989"/>
    <n v="1406.86"/>
  </r>
  <r>
    <s v="United States"/>
    <x v="351"/>
    <s v="Standard Class"/>
    <s v="Consumer"/>
    <s v="Labels"/>
    <n v="5"/>
    <n v="0"/>
    <n v="7.5600000000000005"/>
    <n v="15.75"/>
  </r>
  <r>
    <s v="United States"/>
    <x v="351"/>
    <s v="Standard Class"/>
    <s v="Consumer"/>
    <s v="Paper"/>
    <n v="2"/>
    <n v="0"/>
    <n v="6.2208000000000006"/>
    <n v="12.96"/>
  </r>
  <r>
    <s v="United States"/>
    <x v="351"/>
    <s v="Standard Class"/>
    <s v="Consumer"/>
    <s v="Storage"/>
    <n v="2"/>
    <n v="0"/>
    <n v="61.38900000000001"/>
    <n v="323.10000000000002"/>
  </r>
  <r>
    <s v="United States"/>
    <x v="351"/>
    <s v="Standard Class"/>
    <s v="Consumer"/>
    <s v="Tables"/>
    <n v="3"/>
    <n v="0"/>
    <n v="240.26490000000001"/>
    <n v="1044.6299999999999"/>
  </r>
  <r>
    <s v="United States"/>
    <x v="351"/>
    <s v="Standard Class"/>
    <s v="Corporate"/>
    <s v="Art"/>
    <n v="2"/>
    <n v="0"/>
    <n v="4.2047999999999996"/>
    <n v="11.68"/>
  </r>
  <r>
    <s v="United States"/>
    <x v="351"/>
    <s v="Standard Class"/>
    <s v="Home Office"/>
    <s v="Binders"/>
    <n v="3"/>
    <n v="0.2"/>
    <n v="19.4376"/>
    <n v="59.808000000000007"/>
  </r>
  <r>
    <s v="United States"/>
    <x v="351"/>
    <s v="Standard Class"/>
    <s v="Home Office"/>
    <s v="Furnishings"/>
    <n v="6"/>
    <n v="0"/>
    <n v="21.995999999999992"/>
    <n v="73.320000000000007"/>
  </r>
  <r>
    <s v="United States"/>
    <x v="352"/>
    <s v="Standard Class"/>
    <s v="Home Office"/>
    <s v="Accessories"/>
    <n v="5"/>
    <n v="0.2"/>
    <n v="67.991999999999962"/>
    <n v="339.96000000000004"/>
  </r>
  <r>
    <s v="United States"/>
    <x v="353"/>
    <s v="Standard Class"/>
    <s v="Consumer"/>
    <s v="Accessories"/>
    <n v="3"/>
    <n v="0.2"/>
    <n v="10.895999999999987"/>
    <n v="87.168000000000006"/>
  </r>
  <r>
    <s v="United States"/>
    <x v="353"/>
    <s v="Standard Class"/>
    <s v="Consumer"/>
    <s v="Art"/>
    <n v="2"/>
    <n v="0.2"/>
    <n v="4.1987999999999985"/>
    <n v="55.984000000000009"/>
  </r>
  <r>
    <s v="United States"/>
    <x v="353"/>
    <s v="Standard Class"/>
    <s v="Consumer"/>
    <s v="Binders"/>
    <n v="2"/>
    <n v="0.7"/>
    <n v="-2.9963999999999995"/>
    <n v="4.0860000000000003"/>
  </r>
  <r>
    <s v="United States"/>
    <x v="353"/>
    <s v="Standard Class"/>
    <s v="Consumer"/>
    <s v="Copiers"/>
    <n v="2"/>
    <n v="0.2"/>
    <n v="311.99479999999994"/>
    <n v="959.98400000000004"/>
  </r>
  <r>
    <s v="United States"/>
    <x v="353"/>
    <s v="Standard Class"/>
    <s v="Consumer"/>
    <s v="Paper"/>
    <n v="6"/>
    <n v="0.4"/>
    <n v="10.9984"/>
    <n v="31.424000000000007"/>
  </r>
  <r>
    <s v="United States"/>
    <x v="353"/>
    <s v="Standard Class"/>
    <s v="Corporate"/>
    <s v="Binders"/>
    <n v="9"/>
    <n v="0.7"/>
    <n v="-4.427999999999999"/>
    <n v="6.6420000000000012"/>
  </r>
  <r>
    <s v="United States"/>
    <x v="353"/>
    <s v="Standard Class"/>
    <s v="Corporate"/>
    <s v="Bookcases"/>
    <n v="2"/>
    <n v="0.2"/>
    <n v="10.858799999999974"/>
    <n v="289.56799999999998"/>
  </r>
  <r>
    <s v="United States"/>
    <x v="353"/>
    <s v="Standard Class"/>
    <s v="Corporate"/>
    <s v="Paper"/>
    <n v="4"/>
    <n v="0.2"/>
    <n v="7.2576000000000001"/>
    <n v="20.736000000000004"/>
  </r>
  <r>
    <s v="United States"/>
    <x v="353"/>
    <s v="Standard Class"/>
    <s v="Corporate"/>
    <s v="Phones"/>
    <n v="4"/>
    <n v="0.2"/>
    <n v="24.476800000000004"/>
    <n v="244.768"/>
  </r>
  <r>
    <s v="United States"/>
    <x v="353"/>
    <s v="Standard Class"/>
    <s v="Corporate"/>
    <s v="Storage"/>
    <n v="5"/>
    <n v="0.2"/>
    <n v="4.4684999999999953"/>
    <n v="39.72"/>
  </r>
  <r>
    <s v="United States"/>
    <x v="354"/>
    <s v="Standard Class"/>
    <s v="Consumer"/>
    <s v="Binders"/>
    <n v="3"/>
    <n v="0.7"/>
    <n v="-1.9656000000000002"/>
    <n v="2.8080000000000007"/>
  </r>
  <r>
    <s v="United States"/>
    <x v="355"/>
    <s v="Standard Class"/>
    <s v="Consumer"/>
    <s v="Binders"/>
    <n v="8"/>
    <n v="1.6"/>
    <n v="-540.2401000000001"/>
    <n v="308.81799999999993"/>
  </r>
  <r>
    <s v="United States"/>
    <x v="355"/>
    <s v="Standard Class"/>
    <s v="Consumer"/>
    <s v="Fasteners"/>
    <n v="5"/>
    <n v="0.2"/>
    <n v="4.1124999999999998"/>
    <n v="13.16"/>
  </r>
  <r>
    <s v="United States"/>
    <x v="356"/>
    <s v="First Class"/>
    <s v="Corporate"/>
    <s v="Accessories"/>
    <n v="5"/>
    <n v="0"/>
    <n v="15.378000000000004"/>
    <n v="34.950000000000003"/>
  </r>
  <r>
    <s v="United States"/>
    <x v="356"/>
    <s v="First Class"/>
    <s v="Corporate"/>
    <s v="Binders"/>
    <n v="5"/>
    <n v="0"/>
    <n v="69.919999999999987"/>
    <n v="152"/>
  </r>
  <r>
    <s v="United States"/>
    <x v="356"/>
    <s v="Standard Class"/>
    <s v="Corporate"/>
    <s v="Art"/>
    <n v="6"/>
    <n v="0"/>
    <n v="9.1673999999999989"/>
    <n v="27.78"/>
  </r>
  <r>
    <s v="United States"/>
    <x v="356"/>
    <s v="Standard Class"/>
    <s v="Corporate"/>
    <s v="Fasteners"/>
    <n v="3"/>
    <n v="0"/>
    <n v="9.120000000000001"/>
    <n v="18.240000000000002"/>
  </r>
  <r>
    <s v="United States"/>
    <x v="356"/>
    <s v="Standard Class"/>
    <s v="Corporate"/>
    <s v="Paper"/>
    <n v="2"/>
    <n v="0"/>
    <n v="6.2375999999999996"/>
    <n v="13.56"/>
  </r>
  <r>
    <s v="United States"/>
    <x v="356"/>
    <s v="Standard Class"/>
    <s v="Corporate"/>
    <s v="Storage"/>
    <n v="2"/>
    <n v="0"/>
    <n v="93.698800000000006"/>
    <n v="360.38"/>
  </r>
  <r>
    <s v="United States"/>
    <x v="357"/>
    <s v="Second Class"/>
    <s v="Corporate"/>
    <s v="Supplies"/>
    <n v="3"/>
    <n v="0"/>
    <n v="6.63"/>
    <n v="25.5"/>
  </r>
  <r>
    <s v="United States"/>
    <x v="357"/>
    <s v="Standard Class"/>
    <s v="Consumer"/>
    <s v="Paper"/>
    <n v="2"/>
    <n v="0"/>
    <n v="21.012799999999999"/>
    <n v="45.68"/>
  </r>
  <r>
    <s v="United States"/>
    <x v="358"/>
    <s v="Same Day"/>
    <s v="Home Office"/>
    <s v="Envelopes"/>
    <n v="3"/>
    <n v="0"/>
    <n v="11.230799999999999"/>
    <n v="22.919999999999998"/>
  </r>
  <r>
    <s v="United States"/>
    <x v="358"/>
    <s v="Same Day"/>
    <s v="Home Office"/>
    <s v="Furnishings"/>
    <n v="2"/>
    <n v="0"/>
    <n v="1.597999999999999"/>
    <n v="31.96"/>
  </r>
  <r>
    <s v="United States"/>
    <x v="358"/>
    <s v="Same Day"/>
    <s v="Home Office"/>
    <s v="Paper"/>
    <n v="1"/>
    <n v="0"/>
    <n v="22.991999999999997"/>
    <n v="47.9"/>
  </r>
  <r>
    <s v="United States"/>
    <x v="358"/>
    <s v="Same Day"/>
    <s v="Home Office"/>
    <s v="Storage"/>
    <n v="3"/>
    <n v="0"/>
    <n v="222.58799999999991"/>
    <n v="1112.94"/>
  </r>
  <r>
    <s v="United States"/>
    <x v="358"/>
    <s v="Second Class"/>
    <s v="Consumer"/>
    <s v="Accessories"/>
    <n v="5"/>
    <n v="0"/>
    <n v="29.032499999999999"/>
    <n v="82.95"/>
  </r>
  <r>
    <s v="United States"/>
    <x v="358"/>
    <s v="Standard Class"/>
    <s v="Consumer"/>
    <s v="Furnishings"/>
    <n v="3"/>
    <n v="0"/>
    <n v="21.751499999999986"/>
    <n v="127.94999999999999"/>
  </r>
  <r>
    <s v="United States"/>
    <x v="358"/>
    <s v="Standard Class"/>
    <s v="Corporate"/>
    <s v="Art"/>
    <n v="5"/>
    <n v="0"/>
    <n v="25.792000000000002"/>
    <n v="99.2"/>
  </r>
  <r>
    <s v="United States"/>
    <x v="358"/>
    <s v="Standard Class"/>
    <s v="Corporate"/>
    <s v="Binders"/>
    <n v="9"/>
    <n v="0.4"/>
    <n v="11.472899999999999"/>
    <n v="32.28"/>
  </r>
  <r>
    <s v="United States"/>
    <x v="359"/>
    <s v="First Class"/>
    <s v="Corporate"/>
    <s v="Accessories"/>
    <n v="7"/>
    <n v="0.2"/>
    <n v="23.262400000000003"/>
    <n v="116.312"/>
  </r>
  <r>
    <s v="United States"/>
    <x v="360"/>
    <s v="First Class"/>
    <s v="Corporate"/>
    <s v="Binders"/>
    <n v="5"/>
    <n v="0.7"/>
    <n v="-6.8669999999999973"/>
    <n v="9.8100000000000023"/>
  </r>
  <r>
    <s v="United States"/>
    <x v="360"/>
    <s v="First Class"/>
    <s v="Corporate"/>
    <s v="Furnishings"/>
    <n v="5"/>
    <n v="0.4"/>
    <n v="21.359199999999994"/>
    <n v="232.73600000000002"/>
  </r>
  <r>
    <s v="United States"/>
    <x v="360"/>
    <s v="Standard Class"/>
    <s v="Consumer"/>
    <s v="Envelopes"/>
    <n v="4"/>
    <n v="0.2"/>
    <n v="8.8623999999999992"/>
    <n v="24.448"/>
  </r>
  <r>
    <s v="United States"/>
    <x v="360"/>
    <s v="Standard Class"/>
    <s v="Corporate"/>
    <s v="Binders"/>
    <n v="6"/>
    <n v="0.7"/>
    <n v="-5.6993999999999971"/>
    <n v="7.4340000000000011"/>
  </r>
  <r>
    <s v="United States"/>
    <x v="361"/>
    <s v="Standard Class"/>
    <s v="Consumer"/>
    <s v="Paper"/>
    <n v="9"/>
    <n v="0.2"/>
    <n v="48.551399999999994"/>
    <n v="143.85600000000002"/>
  </r>
  <r>
    <s v="United States"/>
    <x v="361"/>
    <s v="Standard Class"/>
    <s v="Home Office"/>
    <s v="Furnishings"/>
    <n v="7"/>
    <n v="0.6"/>
    <n v="-312.06139999999994"/>
    <n v="254.74400000000003"/>
  </r>
  <r>
    <s v="United States"/>
    <x v="361"/>
    <s v="Standard Class"/>
    <s v="Home Office"/>
    <s v="Phones"/>
    <n v="1"/>
    <n v="0.2"/>
    <n v="25.060000000000016"/>
    <n v="286.40000000000003"/>
  </r>
  <r>
    <s v="United States"/>
    <x v="362"/>
    <s v="Standard Class"/>
    <s v="Consumer"/>
    <s v="Bookcases"/>
    <n v="7"/>
    <n v="0.7"/>
    <n v="-183.6323999999999"/>
    <n v="102.01800000000001"/>
  </r>
  <r>
    <s v="United States"/>
    <x v="362"/>
    <s v="Standard Class"/>
    <s v="Consumer"/>
    <s v="Furnishings"/>
    <n v="5"/>
    <n v="0.2"/>
    <n v="4.0080000000000009"/>
    <n v="13.360000000000001"/>
  </r>
  <r>
    <s v="United States"/>
    <x v="362"/>
    <s v="Standard Class"/>
    <s v="Consumer"/>
    <s v="Storage"/>
    <n v="2"/>
    <n v="0.2"/>
    <n v="-17.607599999999998"/>
    <n v="78.256"/>
  </r>
  <r>
    <s v="United States"/>
    <x v="362"/>
    <s v="Standard Class"/>
    <s v="Corporate"/>
    <s v="Binders"/>
    <n v="7"/>
    <n v="2.0999999999999996"/>
    <n v="-28.942399999999996"/>
    <n v="39.948000000000008"/>
  </r>
  <r>
    <s v="United States"/>
    <x v="362"/>
    <s v="Standard Class"/>
    <s v="Corporate"/>
    <s v="Chairs"/>
    <n v="2"/>
    <n v="0.2"/>
    <n v="50.097999999999985"/>
    <n v="801.5680000000001"/>
  </r>
  <r>
    <s v="United States"/>
    <x v="362"/>
    <s v="Standard Class"/>
    <s v="Corporate"/>
    <s v="Paper"/>
    <n v="1"/>
    <n v="0.2"/>
    <n v="11.8871"/>
    <n v="32.792000000000002"/>
  </r>
  <r>
    <s v="United States"/>
    <x v="363"/>
    <s v="First Class"/>
    <s v="Consumer"/>
    <s v="Chairs"/>
    <n v="2"/>
    <n v="0.3"/>
    <n v="-7.8588000000000022"/>
    <n v="183.37199999999999"/>
  </r>
  <r>
    <s v="United States"/>
    <x v="363"/>
    <s v="First Class"/>
    <s v="Consumer"/>
    <s v="Paper"/>
    <n v="2"/>
    <n v="0.2"/>
    <n v="2.8884000000000007"/>
    <n v="7.9680000000000009"/>
  </r>
  <r>
    <s v="United States"/>
    <x v="363"/>
    <s v="Second Class"/>
    <s v="Home Office"/>
    <s v="Envelopes"/>
    <n v="2"/>
    <n v="0.2"/>
    <n v="19.989999999999995"/>
    <n v="63.967999999999996"/>
  </r>
  <r>
    <s v="United States"/>
    <x v="363"/>
    <s v="Standard Class"/>
    <s v="Consumer"/>
    <s v="Appliances"/>
    <n v="2"/>
    <n v="0.2"/>
    <n v="33.028800000000004"/>
    <n v="110.096"/>
  </r>
  <r>
    <s v="United States"/>
    <x v="363"/>
    <s v="Standard Class"/>
    <s v="Consumer"/>
    <s v="Art"/>
    <n v="2"/>
    <n v="0.2"/>
    <n v="0.59039999999999915"/>
    <n v="5.2480000000000002"/>
  </r>
  <r>
    <s v="United States"/>
    <x v="363"/>
    <s v="Standard Class"/>
    <s v="Consumer"/>
    <s v="Chairs"/>
    <n v="18"/>
    <n v="0.89999999999999991"/>
    <n v="-33.907800000000151"/>
    <n v="3461.248"/>
  </r>
  <r>
    <s v="United States"/>
    <x v="363"/>
    <s v="Standard Class"/>
    <s v="Consumer"/>
    <s v="Fasteners"/>
    <n v="6"/>
    <n v="0.2"/>
    <n v="5.4443999999999999"/>
    <n v="16.752000000000002"/>
  </r>
  <r>
    <s v="United States"/>
    <x v="363"/>
    <s v="Standard Class"/>
    <s v="Consumer"/>
    <s v="Paper"/>
    <n v="6"/>
    <n v="0.2"/>
    <n v="10.8864"/>
    <n v="31.104000000000006"/>
  </r>
  <r>
    <s v="United States"/>
    <x v="364"/>
    <s v="First Class"/>
    <s v="Consumer"/>
    <s v="Appliances"/>
    <n v="2"/>
    <n v="0"/>
    <n v="5.6628000000000007"/>
    <n v="21.78"/>
  </r>
  <r>
    <s v="United States"/>
    <x v="364"/>
    <s v="First Class"/>
    <s v="Consumer"/>
    <s v="Binders"/>
    <n v="4"/>
    <n v="1"/>
    <n v="-4.6642000000000037"/>
    <n v="24.639999999999997"/>
  </r>
  <r>
    <s v="United States"/>
    <x v="364"/>
    <s v="First Class"/>
    <s v="Consumer"/>
    <s v="Chairs"/>
    <n v="4"/>
    <n v="0.4"/>
    <n v="-73.113600000000048"/>
    <n v="595.13600000000008"/>
  </r>
  <r>
    <s v="United States"/>
    <x v="364"/>
    <s v="First Class"/>
    <s v="Consumer"/>
    <s v="Paper"/>
    <n v="7"/>
    <n v="0"/>
    <n v="22.444800000000001"/>
    <n v="46.76"/>
  </r>
  <r>
    <s v="United States"/>
    <x v="364"/>
    <s v="First Class"/>
    <s v="Consumer"/>
    <s v="Storage"/>
    <n v="7"/>
    <n v="0"/>
    <n v="18.015599999999992"/>
    <n v="193.86"/>
  </r>
  <r>
    <s v="United States"/>
    <x v="364"/>
    <s v="First Class"/>
    <s v="Corporate"/>
    <s v="Accessories"/>
    <n v="2"/>
    <n v="0.2"/>
    <n v="43.995600000000003"/>
    <n v="159.98400000000001"/>
  </r>
  <r>
    <s v="United States"/>
    <x v="364"/>
    <s v="First Class"/>
    <s v="Corporate"/>
    <s v="Chairs"/>
    <n v="6"/>
    <n v="0.3"/>
    <n v="-29.277599999999893"/>
    <n v="1024.7159999999999"/>
  </r>
  <r>
    <s v="United States"/>
    <x v="364"/>
    <s v="First Class"/>
    <s v="Corporate"/>
    <s v="Paper"/>
    <n v="4"/>
    <n v="0.2"/>
    <n v="7.2576000000000001"/>
    <n v="20.736000000000004"/>
  </r>
  <r>
    <s v="United States"/>
    <x v="364"/>
    <s v="Second Class"/>
    <s v="Consumer"/>
    <s v="Binders"/>
    <n v="6"/>
    <n v="0.2"/>
    <n v="30.185999999999996"/>
    <n v="92.88000000000001"/>
  </r>
  <r>
    <s v="United States"/>
    <x v="364"/>
    <s v="Second Class"/>
    <s v="Consumer"/>
    <s v="Furnishings"/>
    <n v="9"/>
    <n v="0"/>
    <n v="34.510200000000005"/>
    <n v="90.5"/>
  </r>
  <r>
    <s v="United States"/>
    <x v="364"/>
    <s v="Second Class"/>
    <s v="Corporate"/>
    <s v="Art"/>
    <n v="5"/>
    <n v="0.2"/>
    <n v="2.3219999999999974"/>
    <n v="20.64"/>
  </r>
  <r>
    <s v="United States"/>
    <x v="364"/>
    <s v="Standard Class"/>
    <s v="Consumer"/>
    <s v="Accessories"/>
    <n v="11"/>
    <n v="0.2"/>
    <n v="-5.2977000000000132"/>
    <n v="367.90200000000004"/>
  </r>
  <r>
    <s v="United States"/>
    <x v="364"/>
    <s v="Standard Class"/>
    <s v="Consumer"/>
    <s v="Appliances"/>
    <n v="3"/>
    <n v="0"/>
    <n v="15.8256"/>
    <n v="56.519999999999996"/>
  </r>
  <r>
    <s v="United States"/>
    <x v="364"/>
    <s v="Standard Class"/>
    <s v="Consumer"/>
    <s v="Art"/>
    <n v="9"/>
    <n v="0.2"/>
    <n v="18.736400000000003"/>
    <n v="86.9"/>
  </r>
  <r>
    <s v="United States"/>
    <x v="364"/>
    <s v="Standard Class"/>
    <s v="Consumer"/>
    <s v="Chairs"/>
    <n v="3"/>
    <n v="0.2"/>
    <n v="-17.035200000000003"/>
    <n v="170.35200000000003"/>
  </r>
  <r>
    <s v="United States"/>
    <x v="364"/>
    <s v="Standard Class"/>
    <s v="Consumer"/>
    <s v="Furnishings"/>
    <n v="6"/>
    <n v="0"/>
    <n v="122.76479999999999"/>
    <n v="383.64"/>
  </r>
  <r>
    <s v="United States"/>
    <x v="364"/>
    <s v="Standard Class"/>
    <s v="Consumer"/>
    <s v="Phones"/>
    <n v="7"/>
    <n v="0.2"/>
    <n v="52.492999999999967"/>
    <n v="419.94399999999996"/>
  </r>
  <r>
    <s v="United States"/>
    <x v="364"/>
    <s v="Standard Class"/>
    <s v="Consumer"/>
    <s v="Storage"/>
    <n v="7"/>
    <n v="0"/>
    <n v="20.157899999999998"/>
    <n v="671.93"/>
  </r>
  <r>
    <s v="United States"/>
    <x v="364"/>
    <s v="Standard Class"/>
    <s v="Corporate"/>
    <s v="Appliances"/>
    <n v="2"/>
    <n v="0.8"/>
    <n v="-4.4660000000000002"/>
    <n v="1.6239999999999994"/>
  </r>
  <r>
    <s v="United States"/>
    <x v="364"/>
    <s v="Standard Class"/>
    <s v="Corporate"/>
    <s v="Paper"/>
    <n v="8"/>
    <n v="0"/>
    <n v="89.866799999999984"/>
    <n v="198.84"/>
  </r>
  <r>
    <s v="United States"/>
    <x v="364"/>
    <s v="Standard Class"/>
    <s v="Corporate"/>
    <s v="Tables"/>
    <n v="3"/>
    <n v="0.2"/>
    <n v="-6.423300000000026"/>
    <n v="171.28800000000001"/>
  </r>
  <r>
    <s v="United States"/>
    <x v="364"/>
    <s v="Standard Class"/>
    <s v="Home Office"/>
    <s v="Appliances"/>
    <n v="1"/>
    <n v="0"/>
    <n v="2.2412000000000001"/>
    <n v="8.6199999999999992"/>
  </r>
  <r>
    <s v="United States"/>
    <x v="364"/>
    <s v="Standard Class"/>
    <s v="Home Office"/>
    <s v="Art"/>
    <n v="4"/>
    <n v="0.2"/>
    <n v="2.4803999999999991"/>
    <n v="11.928000000000001"/>
  </r>
  <r>
    <s v="United States"/>
    <x v="364"/>
    <s v="Standard Class"/>
    <s v="Home Office"/>
    <s v="Chairs"/>
    <n v="6"/>
    <n v="0.3"/>
    <n v="-18.221999999999994"/>
    <n v="255.108"/>
  </r>
  <r>
    <s v="United States"/>
    <x v="364"/>
    <s v="Standard Class"/>
    <s v="Home Office"/>
    <s v="Envelopes"/>
    <n v="4"/>
    <n v="0.2"/>
    <n v="9.4391999999999996"/>
    <n v="27.968000000000004"/>
  </r>
  <r>
    <s v="United States"/>
    <x v="364"/>
    <s v="Standard Class"/>
    <s v="Home Office"/>
    <s v="Fasteners"/>
    <n v="2"/>
    <n v="0"/>
    <n v="3.5178000000000003"/>
    <n v="9.02"/>
  </r>
  <r>
    <s v="United States"/>
    <x v="364"/>
    <s v="Standard Class"/>
    <s v="Home Office"/>
    <s v="Furnishings"/>
    <n v="10"/>
    <n v="1.2"/>
    <n v="-388.28000000000009"/>
    <n v="327.42"/>
  </r>
  <r>
    <s v="United States"/>
    <x v="364"/>
    <s v="Standard Class"/>
    <s v="Home Office"/>
    <s v="Labels"/>
    <n v="4"/>
    <n v="0.4"/>
    <n v="18.465199999999999"/>
    <n v="56.81600000000001"/>
  </r>
  <r>
    <s v="United States"/>
    <x v="364"/>
    <s v="Standard Class"/>
    <s v="Home Office"/>
    <s v="Machines"/>
    <n v="3"/>
    <n v="0.4"/>
    <n v="44.867999999999967"/>
    <n v="336.51"/>
  </r>
  <r>
    <s v="United States"/>
    <x v="364"/>
    <s v="Standard Class"/>
    <s v="Home Office"/>
    <s v="Paper"/>
    <n v="2"/>
    <n v="0.2"/>
    <n v="6.6311999999999989"/>
    <n v="19.648"/>
  </r>
  <r>
    <s v="United States"/>
    <x v="364"/>
    <s v="Standard Class"/>
    <s v="Home Office"/>
    <s v="Phones"/>
    <n v="3"/>
    <n v="0.2"/>
    <n v="49.498199999999969"/>
    <n v="659.97600000000011"/>
  </r>
  <r>
    <s v="United States"/>
    <x v="364"/>
    <s v="Standard Class"/>
    <s v="Home Office"/>
    <s v="Storage"/>
    <n v="2"/>
    <n v="0"/>
    <n v="15.2712"/>
    <n v="56.56"/>
  </r>
  <r>
    <s v="United States"/>
    <x v="365"/>
    <s v="Standard Class"/>
    <s v="Consumer"/>
    <s v="Appliances"/>
    <n v="5"/>
    <n v="0"/>
    <n v="112.224"/>
    <n v="400.79999999999995"/>
  </r>
  <r>
    <s v="United States"/>
    <x v="365"/>
    <s v="Standard Class"/>
    <s v="Consumer"/>
    <s v="Art"/>
    <n v="10"/>
    <n v="0"/>
    <n v="93.797999999999959"/>
    <n v="309.71999999999997"/>
  </r>
  <r>
    <s v="United States"/>
    <x v="365"/>
    <s v="Standard Class"/>
    <s v="Consumer"/>
    <s v="Binders"/>
    <n v="1"/>
    <n v="0.2"/>
    <n v="10.077200000000001"/>
    <n v="28.792000000000002"/>
  </r>
  <r>
    <s v="United States"/>
    <x v="365"/>
    <s v="Standard Class"/>
    <s v="Consumer"/>
    <s v="Chairs"/>
    <n v="5"/>
    <n v="0.2"/>
    <n v="121.98999999999992"/>
    <n v="975.92"/>
  </r>
  <r>
    <s v="United States"/>
    <x v="365"/>
    <s v="Standard Class"/>
    <s v="Consumer"/>
    <s v="Storage"/>
    <n v="6"/>
    <n v="0"/>
    <n v="19.43519999999998"/>
    <n v="485.88"/>
  </r>
  <r>
    <s v="United States"/>
    <x v="366"/>
    <s v="Standard Class"/>
    <s v="Consumer"/>
    <s v="Accessories"/>
    <n v="5"/>
    <n v="0"/>
    <n v="30.431999999999995"/>
    <n v="95.1"/>
  </r>
  <r>
    <s v="United States"/>
    <x v="366"/>
    <s v="Standard Class"/>
    <s v="Consumer"/>
    <s v="Appliances"/>
    <n v="4"/>
    <n v="0"/>
    <n v="172.33840000000004"/>
    <n v="662.84"/>
  </r>
  <r>
    <s v="United States"/>
    <x v="366"/>
    <s v="Standard Class"/>
    <s v="Consumer"/>
    <s v="Envelopes"/>
    <n v="6"/>
    <n v="0"/>
    <n v="12.902400000000002"/>
    <n v="26.880000000000003"/>
  </r>
  <r>
    <s v="United States"/>
    <x v="366"/>
    <s v="Standard Class"/>
    <s v="Consumer"/>
    <s v="Phones"/>
    <n v="7"/>
    <n v="0"/>
    <n v="161.0642"/>
    <n v="602.98"/>
  </r>
  <r>
    <s v="United States"/>
    <x v="366"/>
    <s v="Standard Class"/>
    <s v="Consumer"/>
    <s v="Tables"/>
    <n v="2"/>
    <n v="0.3"/>
    <n v="-19.918399999999991"/>
    <n v="174.28599999999997"/>
  </r>
  <r>
    <s v="United States"/>
    <x v="367"/>
    <s v="First Class"/>
    <s v="Corporate"/>
    <s v="Fasteners"/>
    <n v="3"/>
    <n v="0"/>
    <n v="2.1581999999999999"/>
    <n v="6.5400000000000009"/>
  </r>
  <r>
    <s v="United States"/>
    <x v="367"/>
    <s v="Second Class"/>
    <s v="Consumer"/>
    <s v="Appliances"/>
    <n v="6"/>
    <n v="0"/>
    <n v="123.37800000000001"/>
    <n v="283.98"/>
  </r>
  <r>
    <s v="United States"/>
    <x v="367"/>
    <s v="Second Class"/>
    <s v="Consumer"/>
    <s v="Binders"/>
    <n v="2"/>
    <n v="0"/>
    <n v="3.7412000000000001"/>
    <n v="7.96"/>
  </r>
  <r>
    <s v="United States"/>
    <x v="367"/>
    <s v="Second Class"/>
    <s v="Consumer"/>
    <s v="Chairs"/>
    <n v="2"/>
    <n v="0"/>
    <n v="20.733199999999997"/>
    <n v="121.96"/>
  </r>
  <r>
    <s v="United States"/>
    <x v="367"/>
    <s v="Second Class"/>
    <s v="Consumer"/>
    <s v="Paper"/>
    <n v="2"/>
    <n v="0"/>
    <n v="27.881999999999998"/>
    <n v="61.96"/>
  </r>
  <r>
    <s v="United States"/>
    <x v="367"/>
    <s v="Second Class"/>
    <s v="Corporate"/>
    <s v="Furnishings"/>
    <n v="2"/>
    <n v="0"/>
    <n v="2.9807999999999995"/>
    <n v="8.2799999999999994"/>
  </r>
  <r>
    <s v="United States"/>
    <x v="367"/>
    <s v="Second Class"/>
    <s v="Corporate"/>
    <s v="Paper"/>
    <n v="5"/>
    <n v="0"/>
    <n v="134.65199999999999"/>
    <n v="274.8"/>
  </r>
  <r>
    <s v="United States"/>
    <x v="367"/>
    <s v="Second Class"/>
    <s v="Corporate"/>
    <s v="Storage"/>
    <n v="1"/>
    <n v="0"/>
    <n v="16.788600000000002"/>
    <n v="62.18"/>
  </r>
  <r>
    <s v="United States"/>
    <x v="367"/>
    <s v="Standard Class"/>
    <s v="Consumer"/>
    <s v="Chairs"/>
    <n v="6"/>
    <n v="0"/>
    <n v="63.731399999999979"/>
    <n v="485.15999999999997"/>
  </r>
  <r>
    <s v="United States"/>
    <x v="367"/>
    <s v="Standard Class"/>
    <s v="Consumer"/>
    <s v="Furnishings"/>
    <n v="1"/>
    <n v="0"/>
    <n v="1.5587999999999997"/>
    <n v="12.99"/>
  </r>
  <r>
    <s v="United States"/>
    <x v="367"/>
    <s v="Standard Class"/>
    <s v="Consumer"/>
    <s v="Paper"/>
    <n v="3"/>
    <n v="0"/>
    <n v="79.891199999999998"/>
    <n v="166.44"/>
  </r>
  <r>
    <s v="United States"/>
    <x v="367"/>
    <s v="Standard Class"/>
    <s v="Consumer"/>
    <s v="Phones"/>
    <n v="3"/>
    <n v="0"/>
    <n v="78.951599999999999"/>
    <n v="281.96999999999997"/>
  </r>
  <r>
    <s v="United States"/>
    <x v="367"/>
    <s v="Standard Class"/>
    <s v="Consumer"/>
    <s v="Supplies"/>
    <n v="5"/>
    <n v="0"/>
    <n v="20.154999999999994"/>
    <n v="69.5"/>
  </r>
  <r>
    <s v="United States"/>
    <x v="367"/>
    <s v="Standard Class"/>
    <s v="Home Office"/>
    <s v="Appliances"/>
    <n v="4"/>
    <n v="0"/>
    <n v="29.980800000000002"/>
    <n v="111.04"/>
  </r>
  <r>
    <s v="United States"/>
    <x v="367"/>
    <s v="Standard Class"/>
    <s v="Home Office"/>
    <s v="Binders"/>
    <n v="4"/>
    <n v="0"/>
    <n v="96.415999999999997"/>
    <n v="209.6"/>
  </r>
  <r>
    <s v="United States"/>
    <x v="367"/>
    <s v="Standard Class"/>
    <s v="Home Office"/>
    <s v="Furnishings"/>
    <n v="4"/>
    <n v="0"/>
    <n v="3.9248000000000003"/>
    <n v="8.92"/>
  </r>
  <r>
    <s v="United States"/>
    <x v="367"/>
    <s v="Standard Class"/>
    <s v="Home Office"/>
    <s v="Labels"/>
    <n v="3"/>
    <n v="0"/>
    <n v="14.904"/>
    <n v="31.049999999999997"/>
  </r>
  <r>
    <s v="United States"/>
    <x v="367"/>
    <s v="Standard Class"/>
    <s v="Home Office"/>
    <s v="Paper"/>
    <n v="6"/>
    <n v="0"/>
    <n v="18.662400000000002"/>
    <n v="38.880000000000003"/>
  </r>
  <r>
    <s v="United States"/>
    <x v="368"/>
    <s v="First Class"/>
    <s v="Consumer"/>
    <s v="Phones"/>
    <n v="3"/>
    <n v="0.2"/>
    <n v="52.917299999999955"/>
    <n v="470.37600000000009"/>
  </r>
  <r>
    <s v="United States"/>
    <x v="368"/>
    <s v="Standard Class"/>
    <s v="Corporate"/>
    <s v="Binders"/>
    <n v="7"/>
    <n v="0.8"/>
    <n v="-18.52620000000001"/>
    <n v="11.227999999999998"/>
  </r>
  <r>
    <s v="United States"/>
    <x v="368"/>
    <s v="Standard Class"/>
    <s v="Corporate"/>
    <s v="Envelopes"/>
    <n v="3"/>
    <n v="0.2"/>
    <n v="5.0220000000000002"/>
    <n v="13.392000000000001"/>
  </r>
  <r>
    <s v="United States"/>
    <x v="369"/>
    <s v="Standard Class"/>
    <s v="Consumer"/>
    <s v="Accessories"/>
    <n v="6"/>
    <n v="0.60000000000000009"/>
    <n v="-7.7646000000000406"/>
    <n v="400.36800000000005"/>
  </r>
  <r>
    <s v="United States"/>
    <x v="369"/>
    <s v="Standard Class"/>
    <s v="Consumer"/>
    <s v="Appliances"/>
    <n v="9"/>
    <n v="0.4"/>
    <n v="2.4203999999999999"/>
    <n v="29.672000000000001"/>
  </r>
  <r>
    <s v="United States"/>
    <x v="369"/>
    <s v="Standard Class"/>
    <s v="Consumer"/>
    <s v="Binders"/>
    <n v="14"/>
    <n v="2.0999999999999996"/>
    <n v="-12.084199999999996"/>
    <n v="15.942000000000002"/>
  </r>
  <r>
    <s v="United States"/>
    <x v="369"/>
    <s v="Standard Class"/>
    <s v="Consumer"/>
    <s v="Bookcases"/>
    <n v="2"/>
    <n v="0.2"/>
    <n v="0"/>
    <n v="241.56799999999998"/>
  </r>
  <r>
    <s v="United States"/>
    <x v="369"/>
    <s v="Standard Class"/>
    <s v="Consumer"/>
    <s v="Labels"/>
    <n v="2"/>
    <n v="0.2"/>
    <n v="5.7960000000000003"/>
    <n v="16.559999999999999"/>
  </r>
  <r>
    <s v="United States"/>
    <x v="369"/>
    <s v="Standard Class"/>
    <s v="Consumer"/>
    <s v="Paper"/>
    <n v="6"/>
    <n v="0.4"/>
    <n v="45.796799999999983"/>
    <n v="130.84800000000001"/>
  </r>
  <r>
    <s v="United States"/>
    <x v="369"/>
    <s v="Standard Class"/>
    <s v="Consumer"/>
    <s v="Phones"/>
    <n v="5"/>
    <n v="0.2"/>
    <n v="50.396000000000015"/>
    <n v="503.96000000000004"/>
  </r>
  <r>
    <s v="United States"/>
    <x v="369"/>
    <s v="Standard Class"/>
    <s v="Consumer"/>
    <s v="Tables"/>
    <n v="3"/>
    <n v="0.45"/>
    <n v="-157.00949999999997"/>
    <n v="375.45750000000004"/>
  </r>
  <r>
    <s v="United States"/>
    <x v="370"/>
    <s v="First Class"/>
    <s v="Consumer"/>
    <s v="Binders"/>
    <n v="3"/>
    <n v="0.7"/>
    <n v="-1.4760000000000004"/>
    <n v="2.2140000000000004"/>
  </r>
  <r>
    <s v="United States"/>
    <x v="371"/>
    <s v="First Class"/>
    <s v="Consumer"/>
    <s v="Binders"/>
    <n v="5"/>
    <n v="0.8"/>
    <n v="-6.5670000000000019"/>
    <n v="3.9799999999999991"/>
  </r>
  <r>
    <s v="United States"/>
    <x v="371"/>
    <s v="First Class"/>
    <s v="Home Office"/>
    <s v="Art"/>
    <n v="6"/>
    <n v="0.4"/>
    <n v="8.5869999999999962"/>
    <n v="103.91200000000001"/>
  </r>
  <r>
    <s v="United States"/>
    <x v="371"/>
    <s v="First Class"/>
    <s v="Home Office"/>
    <s v="Bookcases"/>
    <n v="3"/>
    <n v="0.3"/>
    <n v="-35.905799999999999"/>
    <n v="359.05799999999994"/>
  </r>
  <r>
    <s v="United States"/>
    <x v="371"/>
    <s v="First Class"/>
    <s v="Home Office"/>
    <s v="Chairs"/>
    <n v="1"/>
    <n v="0.2"/>
    <n v="35.098999999999961"/>
    <n v="280.79200000000003"/>
  </r>
  <r>
    <s v="United States"/>
    <x v="371"/>
    <s v="First Class"/>
    <s v="Home Office"/>
    <s v="Storage"/>
    <n v="7"/>
    <n v="0.4"/>
    <n v="-40.807800000000015"/>
    <n v="284.04000000000002"/>
  </r>
  <r>
    <s v="United States"/>
    <x v="371"/>
    <s v="Same Day"/>
    <s v="Consumer"/>
    <s v="Binders"/>
    <n v="6"/>
    <n v="0.7"/>
    <n v="-45.239999999999995"/>
    <n v="67.860000000000014"/>
  </r>
  <r>
    <s v="United States"/>
    <x v="371"/>
    <s v="Second Class"/>
    <s v="Corporate"/>
    <s v="Binders"/>
    <n v="3"/>
    <n v="0.8"/>
    <n v="-20.5623"/>
    <n v="12.461999999999996"/>
  </r>
  <r>
    <s v="United States"/>
    <x v="371"/>
    <s v="Second Class"/>
    <s v="Corporate"/>
    <s v="Phones"/>
    <n v="4"/>
    <n v="0.4"/>
    <n v="-5.3643999999999998"/>
    <n v="174.30400000000003"/>
  </r>
  <r>
    <s v="United States"/>
    <x v="371"/>
    <s v="Standard Class"/>
    <s v="Consumer"/>
    <s v="Accessories"/>
    <n v="6"/>
    <n v="0.4"/>
    <n v="-36.86400000000004"/>
    <n v="282.88"/>
  </r>
  <r>
    <s v="United States"/>
    <x v="371"/>
    <s v="Standard Class"/>
    <s v="Consumer"/>
    <s v="Art"/>
    <n v="3"/>
    <n v="0.2"/>
    <n v="1.1555999999999984"/>
    <n v="10.272000000000002"/>
  </r>
  <r>
    <s v="United States"/>
    <x v="371"/>
    <s v="Standard Class"/>
    <s v="Consumer"/>
    <s v="Paper"/>
    <n v="7"/>
    <n v="0.2"/>
    <n v="12.700800000000001"/>
    <n v="36.288000000000011"/>
  </r>
  <r>
    <s v="United States"/>
    <x v="371"/>
    <s v="Standard Class"/>
    <s v="Corporate"/>
    <s v="Binders"/>
    <n v="5"/>
    <n v="0.8"/>
    <n v="-2.6880000000000015"/>
    <n v="1.6799999999999995"/>
  </r>
  <r>
    <s v="United States"/>
    <x v="371"/>
    <s v="Standard Class"/>
    <s v="Corporate"/>
    <s v="Chairs"/>
    <n v="2"/>
    <n v="0.3"/>
    <n v="-3.2391999999999896"/>
    <n v="113.372"/>
  </r>
  <r>
    <s v="United States"/>
    <x v="371"/>
    <s v="Standard Class"/>
    <s v="Corporate"/>
    <s v="Furnishings"/>
    <n v="5"/>
    <n v="1.2"/>
    <n v="-3.7963999999999993"/>
    <n v="10.928000000000001"/>
  </r>
  <r>
    <s v="United States"/>
    <x v="371"/>
    <s v="Standard Class"/>
    <s v="Home Office"/>
    <s v="Binders"/>
    <n v="9"/>
    <n v="1.4"/>
    <n v="-9.430399999999997"/>
    <n v="13.692000000000002"/>
  </r>
  <r>
    <s v="United States"/>
    <x v="371"/>
    <s v="Standard Class"/>
    <s v="Home Office"/>
    <s v="Furnishings"/>
    <n v="5"/>
    <n v="0.2"/>
    <n v="20.724000000000007"/>
    <n v="75.36"/>
  </r>
  <r>
    <s v="United States"/>
    <x v="371"/>
    <s v="Standard Class"/>
    <s v="Home Office"/>
    <s v="Paper"/>
    <n v="3"/>
    <n v="0.2"/>
    <n v="4.3326000000000002"/>
    <n v="11.952000000000002"/>
  </r>
  <r>
    <s v="United States"/>
    <x v="372"/>
    <s v="First Class"/>
    <s v="Consumer"/>
    <s v="Binders"/>
    <n v="1"/>
    <n v="0"/>
    <n v="148.51060000000001"/>
    <n v="315.98"/>
  </r>
  <r>
    <s v="United States"/>
    <x v="372"/>
    <s v="First Class"/>
    <s v="Consumer"/>
    <s v="Bookcases"/>
    <n v="1"/>
    <n v="0"/>
    <n v="12.097999999999999"/>
    <n v="120.98"/>
  </r>
  <r>
    <s v="United States"/>
    <x v="372"/>
    <s v="Second Class"/>
    <s v="Consumer"/>
    <s v="Art"/>
    <n v="7"/>
    <n v="0"/>
    <n v="74.565400000000011"/>
    <n v="286.78999999999996"/>
  </r>
  <r>
    <s v="United States"/>
    <x v="372"/>
    <s v="Standard Class"/>
    <s v="Corporate"/>
    <s v="Appliances"/>
    <n v="2"/>
    <n v="0"/>
    <n v="45.539199999999994"/>
    <n v="162.63999999999999"/>
  </r>
  <r>
    <s v="United States"/>
    <x v="372"/>
    <s v="Standard Class"/>
    <s v="Corporate"/>
    <s v="Paper"/>
    <n v="1"/>
    <n v="0"/>
    <n v="26.630399999999998"/>
    <n v="55.48"/>
  </r>
  <r>
    <s v="United States"/>
    <x v="372"/>
    <s v="Standard Class"/>
    <s v="Corporate"/>
    <s v="Phones"/>
    <n v="3"/>
    <n v="0"/>
    <n v="280.59000000000003"/>
    <n v="597"/>
  </r>
  <r>
    <s v="United States"/>
    <x v="372"/>
    <s v="Standard Class"/>
    <s v="Home Office"/>
    <s v="Paper"/>
    <n v="2"/>
    <n v="0"/>
    <n v="5.7623999999999995"/>
    <n v="11.76"/>
  </r>
  <r>
    <s v="United States"/>
    <x v="372"/>
    <s v="Standard Class"/>
    <s v="Home Office"/>
    <s v="Storage"/>
    <n v="5"/>
    <n v="0"/>
    <n v="39.947999999999993"/>
    <n v="166.45"/>
  </r>
  <r>
    <s v="United States"/>
    <x v="373"/>
    <s v="Standard Class"/>
    <s v="Consumer"/>
    <s v="Tables"/>
    <n v="4"/>
    <n v="0.3"/>
    <n v="-21.3264"/>
    <n v="124.404"/>
  </r>
  <r>
    <s v="United States"/>
    <x v="373"/>
    <s v="Standard Class"/>
    <s v="Home Office"/>
    <s v="Accessories"/>
    <n v="7"/>
    <n v="0.2"/>
    <n v="-33.319999999999965"/>
    <n v="666.4"/>
  </r>
  <r>
    <s v="United States"/>
    <x v="373"/>
    <s v="Standard Class"/>
    <s v="Home Office"/>
    <s v="Furnishings"/>
    <n v="3"/>
    <n v="0.6"/>
    <n v="-10.173599999999997"/>
    <n v="22.608000000000001"/>
  </r>
  <r>
    <s v="United States"/>
    <x v="373"/>
    <s v="Standard Class"/>
    <s v="Home Office"/>
    <s v="Storage"/>
    <n v="8"/>
    <n v="0.2"/>
    <n v="-172.73280000000005"/>
    <n v="727.29600000000005"/>
  </r>
  <r>
    <s v="United States"/>
    <x v="374"/>
    <s v="First Class"/>
    <s v="Consumer"/>
    <s v="Accessories"/>
    <n v="19"/>
    <n v="1.4"/>
    <n v="169.43659999999986"/>
    <n v="1582.1280000000002"/>
  </r>
  <r>
    <s v="United States"/>
    <x v="374"/>
    <s v="First Class"/>
    <s v="Consumer"/>
    <s v="Appliances"/>
    <n v="18"/>
    <n v="1"/>
    <n v="368.19619999999992"/>
    <n v="2485.2799999999997"/>
  </r>
  <r>
    <s v="United States"/>
    <x v="374"/>
    <s v="First Class"/>
    <s v="Consumer"/>
    <s v="Art"/>
    <n v="11"/>
    <n v="0.60000000000000009"/>
    <n v="4.9539999999999997"/>
    <n v="29.135999999999996"/>
  </r>
  <r>
    <s v="United States"/>
    <x v="374"/>
    <s v="First Class"/>
    <s v="Consumer"/>
    <s v="Binders"/>
    <n v="27"/>
    <n v="6.3000000000000007"/>
    <n v="-472.16009999999989"/>
    <n v="620.42100000000016"/>
  </r>
  <r>
    <s v="United States"/>
    <x v="374"/>
    <s v="First Class"/>
    <s v="Consumer"/>
    <s v="Bookcases"/>
    <n v="3"/>
    <n v="0.5"/>
    <n v="-45.349200000000003"/>
    <n v="87.210000000000008"/>
  </r>
  <r>
    <s v="United States"/>
    <x v="374"/>
    <s v="First Class"/>
    <s v="Consumer"/>
    <s v="Chairs"/>
    <n v="20"/>
    <n v="1.2"/>
    <n v="-376.24920000000031"/>
    <n v="2320.92"/>
  </r>
  <r>
    <s v="United States"/>
    <x v="374"/>
    <s v="First Class"/>
    <s v="Consumer"/>
    <s v="Copiers"/>
    <n v="5"/>
    <n v="0.4"/>
    <n v="239.99600000000009"/>
    <n v="1799.9699999999998"/>
  </r>
  <r>
    <s v="United States"/>
    <x v="374"/>
    <s v="First Class"/>
    <s v="Consumer"/>
    <s v="Furnishings"/>
    <n v="48"/>
    <n v="1.7999999999999998"/>
    <n v="111.79829999999994"/>
    <n v="1027.8720000000003"/>
  </r>
  <r>
    <s v="United States"/>
    <x v="374"/>
    <s v="First Class"/>
    <s v="Consumer"/>
    <s v="Labels"/>
    <n v="27"/>
    <n v="0.8"/>
    <n v="52.075799999999987"/>
    <n v="154.67200000000003"/>
  </r>
  <r>
    <s v="United States"/>
    <x v="374"/>
    <s v="First Class"/>
    <s v="Consumer"/>
    <s v="Machines"/>
    <n v="3"/>
    <n v="1.4"/>
    <n v="-186.8574999999999"/>
    <n v="253.75500000000002"/>
  </r>
  <r>
    <s v="United States"/>
    <x v="374"/>
    <s v="First Class"/>
    <s v="Consumer"/>
    <s v="Paper"/>
    <n v="10"/>
    <n v="0.8"/>
    <n v="17.155200000000001"/>
    <n v="49.920000000000016"/>
  </r>
  <r>
    <s v="United States"/>
    <x v="374"/>
    <s v="First Class"/>
    <s v="Consumer"/>
    <s v="Phones"/>
    <n v="7"/>
    <n v="1.2000000000000002"/>
    <n v="-202.87120000000007"/>
    <n v="1058.874"/>
  </r>
  <r>
    <s v="United States"/>
    <x v="374"/>
    <s v="First Class"/>
    <s v="Consumer"/>
    <s v="Storage"/>
    <n v="15"/>
    <n v="1"/>
    <n v="26.517099999999971"/>
    <n v="567.16"/>
  </r>
  <r>
    <s v="United States"/>
    <x v="374"/>
    <s v="First Class"/>
    <s v="Consumer"/>
    <s v="Supplies"/>
    <n v="7"/>
    <n v="0.4"/>
    <n v="7.272799999999993"/>
    <n v="67.232000000000014"/>
  </r>
  <r>
    <s v="United States"/>
    <x v="374"/>
    <s v="First Class"/>
    <s v="Corporate"/>
    <s v="Appliances"/>
    <n v="2"/>
    <n v="0.2"/>
    <n v="12.409999999999989"/>
    <n v="99.28"/>
  </r>
  <r>
    <s v="United States"/>
    <x v="374"/>
    <s v="First Class"/>
    <s v="Corporate"/>
    <s v="Art"/>
    <n v="9"/>
    <n v="0.4"/>
    <n v="10.326399999999994"/>
    <n v="115.65600000000001"/>
  </r>
  <r>
    <s v="United States"/>
    <x v="374"/>
    <s v="First Class"/>
    <s v="Corporate"/>
    <s v="Binders"/>
    <n v="7"/>
    <n v="2.0999999999999996"/>
    <n v="-8.5051999999999985"/>
    <n v="11.208000000000002"/>
  </r>
  <r>
    <s v="United States"/>
    <x v="374"/>
    <s v="First Class"/>
    <s v="Corporate"/>
    <s v="Bookcases"/>
    <n v="4"/>
    <n v="0.5"/>
    <n v="-53.285600000000009"/>
    <n v="61.96"/>
  </r>
  <r>
    <s v="United States"/>
    <x v="374"/>
    <s v="First Class"/>
    <s v="Corporate"/>
    <s v="Chairs"/>
    <n v="7"/>
    <n v="0.3"/>
    <n v="0"/>
    <n v="422.62499999999994"/>
  </r>
  <r>
    <s v="United States"/>
    <x v="374"/>
    <s v="First Class"/>
    <s v="Corporate"/>
    <s v="Envelopes"/>
    <n v="7"/>
    <n v="0.2"/>
    <n v="117.61469999999996"/>
    <n v="348.488"/>
  </r>
  <r>
    <s v="United States"/>
    <x v="374"/>
    <s v="First Class"/>
    <s v="Corporate"/>
    <s v="Furnishings"/>
    <n v="19"/>
    <n v="1"/>
    <n v="49.727899999999941"/>
    <n v="557.08000000000004"/>
  </r>
  <r>
    <s v="United States"/>
    <x v="374"/>
    <s v="First Class"/>
    <s v="Corporate"/>
    <s v="Labels"/>
    <n v="11"/>
    <n v="0.4"/>
    <n v="12.1533"/>
    <n v="36.6"/>
  </r>
  <r>
    <s v="United States"/>
    <x v="374"/>
    <s v="First Class"/>
    <s v="Corporate"/>
    <s v="Paper"/>
    <n v="2"/>
    <n v="0.2"/>
    <n v="2.4359999999999995"/>
    <n v="6.7200000000000006"/>
  </r>
  <r>
    <s v="United States"/>
    <x v="374"/>
    <s v="First Class"/>
    <s v="Corporate"/>
    <s v="Storage"/>
    <n v="11"/>
    <n v="1"/>
    <n v="-2.4615000000000347"/>
    <n v="655.12799999999993"/>
  </r>
  <r>
    <s v="United States"/>
    <x v="374"/>
    <s v="First Class"/>
    <s v="Home Office"/>
    <s v="Accessories"/>
    <n v="4"/>
    <n v="0.4"/>
    <n v="18.80299999999999"/>
    <n v="152.14400000000001"/>
  </r>
  <r>
    <s v="United States"/>
    <x v="374"/>
    <s v="First Class"/>
    <s v="Home Office"/>
    <s v="Art"/>
    <n v="3"/>
    <n v="0.2"/>
    <n v="1.0268999999999999"/>
    <n v="11.736000000000001"/>
  </r>
  <r>
    <s v="United States"/>
    <x v="374"/>
    <s v="First Class"/>
    <s v="Home Office"/>
    <s v="Binders"/>
    <n v="5"/>
    <n v="0.7"/>
    <n v="-760.98000000000025"/>
    <n v="1141.4700000000003"/>
  </r>
  <r>
    <s v="United States"/>
    <x v="374"/>
    <s v="First Class"/>
    <s v="Home Office"/>
    <s v="Fasteners"/>
    <n v="2"/>
    <n v="0.2"/>
    <n v="-0.71279999999999988"/>
    <n v="3.1680000000000001"/>
  </r>
  <r>
    <s v="United States"/>
    <x v="374"/>
    <s v="First Class"/>
    <s v="Home Office"/>
    <s v="Furnishings"/>
    <n v="3"/>
    <n v="0.2"/>
    <n v="3.8447999999999967"/>
    <n v="25.632000000000001"/>
  </r>
  <r>
    <s v="United States"/>
    <x v="374"/>
    <s v="First Class"/>
    <s v="Home Office"/>
    <s v="Labels"/>
    <n v="11"/>
    <n v="0.4"/>
    <n v="8.7474999999999987"/>
    <n v="25.736000000000004"/>
  </r>
  <r>
    <s v="United States"/>
    <x v="374"/>
    <s v="First Class"/>
    <s v="Home Office"/>
    <s v="Paper"/>
    <n v="3"/>
    <n v="0.2"/>
    <n v="4.1151"/>
    <n v="11.352000000000002"/>
  </r>
  <r>
    <s v="United States"/>
    <x v="374"/>
    <s v="First Class"/>
    <s v="Home Office"/>
    <s v="Phones"/>
    <n v="3"/>
    <n v="0.4"/>
    <n v="-46.797000000000025"/>
    <n v="280.78200000000004"/>
  </r>
  <r>
    <s v="United States"/>
    <x v="374"/>
    <s v="First Class"/>
    <s v="Home Office"/>
    <s v="Supplies"/>
    <n v="1"/>
    <n v="0.2"/>
    <n v="-2.1896000000000004"/>
    <n v="10.304000000000002"/>
  </r>
  <r>
    <s v="United States"/>
    <x v="374"/>
    <s v="First Class"/>
    <s v="Home Office"/>
    <s v="Tables"/>
    <n v="5"/>
    <n v="0.8"/>
    <n v="-119.98680000000004"/>
    <n v="469.29599999999999"/>
  </r>
  <r>
    <s v="United States"/>
    <x v="374"/>
    <s v="Same Day"/>
    <s v="Consumer"/>
    <s v="Binders"/>
    <n v="3"/>
    <n v="1.4"/>
    <n v="-2.6585999999999999"/>
    <n v="3.7980000000000009"/>
  </r>
  <r>
    <s v="United States"/>
    <x v="374"/>
    <s v="Same Day"/>
    <s v="Consumer"/>
    <s v="Paper"/>
    <n v="11"/>
    <n v="0.60000000000000009"/>
    <n v="22.755899999999997"/>
    <n v="61.75200000000001"/>
  </r>
  <r>
    <s v="United States"/>
    <x v="374"/>
    <s v="Same Day"/>
    <s v="Corporate"/>
    <s v="Accessories"/>
    <n v="14"/>
    <n v="0.2"/>
    <n v="209.97899999999993"/>
    <n v="1119.8880000000001"/>
  </r>
  <r>
    <s v="United States"/>
    <x v="374"/>
    <s v="Same Day"/>
    <s v="Corporate"/>
    <s v="Chairs"/>
    <n v="7"/>
    <n v="0.3"/>
    <n v="-2.693600000000032"/>
    <n v="188.55199999999996"/>
  </r>
  <r>
    <s v="United States"/>
    <x v="374"/>
    <s v="Same Day"/>
    <s v="Corporate"/>
    <s v="Fasteners"/>
    <n v="5"/>
    <n v="0.2"/>
    <n v="2.3699999999999983"/>
    <n v="15.8"/>
  </r>
  <r>
    <s v="United States"/>
    <x v="374"/>
    <s v="Same Day"/>
    <s v="Corporate"/>
    <s v="Furnishings"/>
    <n v="9"/>
    <n v="0.4"/>
    <n v="16.279599999999988"/>
    <n v="84.816000000000003"/>
  </r>
  <r>
    <s v="United States"/>
    <x v="374"/>
    <s v="Same Day"/>
    <s v="Corporate"/>
    <s v="Machines"/>
    <n v="3"/>
    <n v="0.7"/>
    <n v="-319.19159999999999"/>
    <n v="341.99100000000004"/>
  </r>
  <r>
    <s v="United States"/>
    <x v="374"/>
    <s v="Same Day"/>
    <s v="Corporate"/>
    <s v="Paper"/>
    <n v="8"/>
    <n v="0.4"/>
    <n v="42.684999999999995"/>
    <n v="136.59200000000001"/>
  </r>
  <r>
    <s v="United States"/>
    <x v="374"/>
    <s v="Same Day"/>
    <s v="Home Office"/>
    <s v="Binders"/>
    <n v="3"/>
    <n v="0.7"/>
    <n v="-3.3893999999999984"/>
    <n v="4.8420000000000005"/>
  </r>
  <r>
    <s v="United States"/>
    <x v="374"/>
    <s v="Same Day"/>
    <s v="Home Office"/>
    <s v="Furnishings"/>
    <n v="4"/>
    <n v="0.2"/>
    <n v="9.48"/>
    <n v="30.336000000000002"/>
  </r>
  <r>
    <s v="United States"/>
    <x v="374"/>
    <s v="Same Day"/>
    <s v="Home Office"/>
    <s v="Labels"/>
    <n v="2"/>
    <n v="0.2"/>
    <n v="1.9925999999999999"/>
    <n v="5.9039999999999999"/>
  </r>
  <r>
    <s v="United States"/>
    <x v="374"/>
    <s v="Second Class"/>
    <s v="Consumer"/>
    <s v="Accessories"/>
    <n v="17"/>
    <n v="1.2"/>
    <n v="26.334199999999992"/>
    <n v="295.81600000000003"/>
  </r>
  <r>
    <s v="United States"/>
    <x v="374"/>
    <s v="Second Class"/>
    <s v="Consumer"/>
    <s v="Art"/>
    <n v="5"/>
    <n v="0.2"/>
    <n v="5.3010000000000002"/>
    <n v="22.32"/>
  </r>
  <r>
    <s v="United States"/>
    <x v="374"/>
    <s v="Second Class"/>
    <s v="Consumer"/>
    <s v="Binders"/>
    <n v="29"/>
    <n v="4.9000000000000004"/>
    <n v="-213.8321"/>
    <n v="275.74200000000008"/>
  </r>
  <r>
    <s v="United States"/>
    <x v="374"/>
    <s v="Second Class"/>
    <s v="Consumer"/>
    <s v="Bookcases"/>
    <n v="7"/>
    <n v="0.5"/>
    <n v="-216.97830000000002"/>
    <n v="349.96499999999997"/>
  </r>
  <r>
    <s v="United States"/>
    <x v="374"/>
    <s v="Second Class"/>
    <s v="Consumer"/>
    <s v="Chairs"/>
    <n v="17"/>
    <n v="1.2"/>
    <n v="-716.99570000000006"/>
    <n v="5754.875"/>
  </r>
  <r>
    <s v="United States"/>
    <x v="374"/>
    <s v="Second Class"/>
    <s v="Consumer"/>
    <s v="Copiers"/>
    <n v="4"/>
    <n v="0.4"/>
    <n v="179.99639999999999"/>
    <n v="1199.9759999999999"/>
  </r>
  <r>
    <s v="United States"/>
    <x v="374"/>
    <s v="Second Class"/>
    <s v="Consumer"/>
    <s v="Furnishings"/>
    <n v="31"/>
    <n v="1.5999999999999999"/>
    <n v="76.722999999999971"/>
    <n v="370.5440000000001"/>
  </r>
  <r>
    <s v="United States"/>
    <x v="374"/>
    <s v="Second Class"/>
    <s v="Consumer"/>
    <s v="Labels"/>
    <n v="3"/>
    <n v="0.2"/>
    <n v="10.149299999999997"/>
    <n v="30.072000000000003"/>
  </r>
  <r>
    <s v="United States"/>
    <x v="374"/>
    <s v="Second Class"/>
    <s v="Consumer"/>
    <s v="Paper"/>
    <n v="23"/>
    <n v="1"/>
    <n v="38.681999999999988"/>
    <n v="118.56000000000002"/>
  </r>
  <r>
    <s v="United States"/>
    <x v="374"/>
    <s v="Second Class"/>
    <s v="Consumer"/>
    <s v="Phones"/>
    <n v="16"/>
    <n v="3.1999999999999997"/>
    <n v="-213.22690000000003"/>
    <n v="1408.3679999999999"/>
  </r>
  <r>
    <s v="United States"/>
    <x v="374"/>
    <s v="Second Class"/>
    <s v="Consumer"/>
    <s v="Storage"/>
    <n v="5"/>
    <n v="0.2"/>
    <n v="-25.992000000000004"/>
    <n v="259.92000000000007"/>
  </r>
  <r>
    <s v="United States"/>
    <x v="374"/>
    <s v="Second Class"/>
    <s v="Consumer"/>
    <s v="Supplies"/>
    <n v="10"/>
    <n v="0.4"/>
    <n v="-1045.0934999999999"/>
    <n v="4701.4880000000012"/>
  </r>
  <r>
    <s v="United States"/>
    <x v="374"/>
    <s v="Second Class"/>
    <s v="Consumer"/>
    <s v="Tables"/>
    <n v="1"/>
    <n v="0.4"/>
    <n v="-34.646999999999991"/>
    <n v="138.58799999999999"/>
  </r>
  <r>
    <s v="United States"/>
    <x v="374"/>
    <s v="Second Class"/>
    <s v="Corporate"/>
    <s v="Accessories"/>
    <n v="5"/>
    <n v="0.2"/>
    <n v="47.494999999999919"/>
    <n v="379.96000000000004"/>
  </r>
  <r>
    <s v="United States"/>
    <x v="374"/>
    <s v="Second Class"/>
    <s v="Corporate"/>
    <s v="Appliances"/>
    <n v="6"/>
    <n v="0.4"/>
    <n v="105.11519999999999"/>
    <n v="597.55200000000002"/>
  </r>
  <r>
    <s v="United States"/>
    <x v="374"/>
    <s v="Second Class"/>
    <s v="Corporate"/>
    <s v="Art"/>
    <n v="13"/>
    <n v="0.60000000000000009"/>
    <n v="2.4207999999999985"/>
    <n v="34.112000000000002"/>
  </r>
  <r>
    <s v="United States"/>
    <x v="374"/>
    <s v="Second Class"/>
    <s v="Corporate"/>
    <s v="Binders"/>
    <n v="20"/>
    <n v="4.2"/>
    <n v="-476.06339999999989"/>
    <n v="599.07000000000005"/>
  </r>
  <r>
    <s v="United States"/>
    <x v="374"/>
    <s v="Second Class"/>
    <s v="Corporate"/>
    <s v="Chairs"/>
    <n v="9"/>
    <n v="0.6"/>
    <n v="-113.79020000000004"/>
    <n v="832.48199999999997"/>
  </r>
  <r>
    <s v="United States"/>
    <x v="374"/>
    <s v="Second Class"/>
    <s v="Corporate"/>
    <s v="Fasteners"/>
    <n v="13"/>
    <n v="0.2"/>
    <n v="10.072399999999996"/>
    <n v="30.991999999999997"/>
  </r>
  <r>
    <s v="United States"/>
    <x v="374"/>
    <s v="Second Class"/>
    <s v="Corporate"/>
    <s v="Furnishings"/>
    <n v="6"/>
    <n v="0.4"/>
    <n v="-14.612399999999994"/>
    <n v="415.63200000000006"/>
  </r>
  <r>
    <s v="United States"/>
    <x v="374"/>
    <s v="Second Class"/>
    <s v="Corporate"/>
    <s v="Machines"/>
    <n v="3"/>
    <n v="0.7"/>
    <n v="-643.70999999999981"/>
    <n v="449.1"/>
  </r>
  <r>
    <s v="United States"/>
    <x v="374"/>
    <s v="Second Class"/>
    <s v="Corporate"/>
    <s v="Paper"/>
    <n v="19"/>
    <n v="1"/>
    <n v="65.831299999999985"/>
    <n v="202.29600000000002"/>
  </r>
  <r>
    <s v="United States"/>
    <x v="374"/>
    <s v="Second Class"/>
    <s v="Corporate"/>
    <s v="Phones"/>
    <n v="30"/>
    <n v="1.6"/>
    <n v="-316.92000000000007"/>
    <n v="1592.748"/>
  </r>
  <r>
    <s v="United States"/>
    <x v="374"/>
    <s v="Second Class"/>
    <s v="Corporate"/>
    <s v="Storage"/>
    <n v="18"/>
    <n v="0.8"/>
    <n v="-496.59000000000003"/>
    <n v="2557.5119999999997"/>
  </r>
  <r>
    <s v="United States"/>
    <x v="374"/>
    <s v="Second Class"/>
    <s v="Corporate"/>
    <s v="Tables"/>
    <n v="3"/>
    <n v="0.4"/>
    <n v="-192.04680000000008"/>
    <n v="523.76400000000001"/>
  </r>
  <r>
    <s v="United States"/>
    <x v="374"/>
    <s v="Second Class"/>
    <s v="Home Office"/>
    <s v="Accessories"/>
    <n v="2"/>
    <n v="0.2"/>
    <n v="91.995400000000018"/>
    <n v="319.98400000000004"/>
  </r>
  <r>
    <s v="United States"/>
    <x v="374"/>
    <s v="Second Class"/>
    <s v="Home Office"/>
    <s v="Art"/>
    <n v="4"/>
    <n v="0.2"/>
    <n v="2.7984000000000027"/>
    <n v="37.312000000000005"/>
  </r>
  <r>
    <s v="United States"/>
    <x v="374"/>
    <s v="Second Class"/>
    <s v="Home Office"/>
    <s v="Paper"/>
    <n v="3"/>
    <n v="0.4"/>
    <n v="4.8729000000000005"/>
    <n v="13.848000000000001"/>
  </r>
  <r>
    <s v="United States"/>
    <x v="374"/>
    <s v="Second Class"/>
    <s v="Home Office"/>
    <s v="Phones"/>
    <n v="2"/>
    <n v="0.4"/>
    <n v="-123.9980000000001"/>
    <n v="743.98799999999994"/>
  </r>
  <r>
    <s v="United States"/>
    <x v="374"/>
    <s v="Second Class"/>
    <s v="Home Office"/>
    <s v="Tables"/>
    <n v="9"/>
    <n v="0.4"/>
    <n v="-339.7050000000001"/>
    <n v="815.29199999999992"/>
  </r>
  <r>
    <s v="United States"/>
    <x v="374"/>
    <s v="Standard Class"/>
    <s v="Consumer"/>
    <s v="Accessories"/>
    <n v="44"/>
    <n v="2.8000000000000003"/>
    <n v="3.3034999999999339"/>
    <n v="1015.8719999999996"/>
  </r>
  <r>
    <s v="United States"/>
    <x v="374"/>
    <s v="Standard Class"/>
    <s v="Consumer"/>
    <s v="Appliances"/>
    <n v="28"/>
    <n v="1.7999999999999998"/>
    <n v="144.91369999999995"/>
    <n v="829.5200000000001"/>
  </r>
  <r>
    <s v="United States"/>
    <x v="374"/>
    <s v="Standard Class"/>
    <s v="Consumer"/>
    <s v="Art"/>
    <n v="45"/>
    <n v="1.9999999999999998"/>
    <n v="61.501999999999974"/>
    <n v="446.16"/>
  </r>
  <r>
    <s v="United States"/>
    <x v="374"/>
    <s v="Standard Class"/>
    <s v="Consumer"/>
    <s v="Binders"/>
    <n v="88"/>
    <n v="18.199999999999992"/>
    <n v="-1102.0373000000002"/>
    <n v="1425.6720000000003"/>
  </r>
  <r>
    <s v="United States"/>
    <x v="374"/>
    <s v="Standard Class"/>
    <s v="Consumer"/>
    <s v="Bookcases"/>
    <n v="12"/>
    <n v="1.5"/>
    <n v="-1959.1181999999999"/>
    <n v="3515.88"/>
  </r>
  <r>
    <s v="United States"/>
    <x v="374"/>
    <s v="Standard Class"/>
    <s v="Consumer"/>
    <s v="Chairs"/>
    <n v="41"/>
    <n v="3.5999999999999992"/>
    <n v="-414.92829999999987"/>
    <n v="5358.3669999999993"/>
  </r>
  <r>
    <s v="United States"/>
    <x v="374"/>
    <s v="Standard Class"/>
    <s v="Consumer"/>
    <s v="Copiers"/>
    <n v="13"/>
    <n v="1.2000000000000002"/>
    <n v="1315.990499999999"/>
    <n v="10079.921999999999"/>
  </r>
  <r>
    <s v="United States"/>
    <x v="374"/>
    <s v="Standard Class"/>
    <s v="Consumer"/>
    <s v="Envelopes"/>
    <n v="24"/>
    <n v="1.5999999999999999"/>
    <n v="114.09349999999998"/>
    <n v="333.22400000000005"/>
  </r>
  <r>
    <s v="United States"/>
    <x v="374"/>
    <s v="Standard Class"/>
    <s v="Consumer"/>
    <s v="Fasteners"/>
    <n v="9"/>
    <n v="0.4"/>
    <n v="-3.7277999999999993"/>
    <n v="16.568000000000001"/>
  </r>
  <r>
    <s v="United States"/>
    <x v="374"/>
    <s v="Standard Class"/>
    <s v="Consumer"/>
    <s v="Furnishings"/>
    <n v="33"/>
    <n v="2.1999999999999997"/>
    <n v="31.553499999999957"/>
    <n v="733.91200000000003"/>
  </r>
  <r>
    <s v="United States"/>
    <x v="374"/>
    <s v="Standard Class"/>
    <s v="Consumer"/>
    <s v="Labels"/>
    <n v="17"/>
    <n v="1"/>
    <n v="22.867000000000004"/>
    <n v="68.28"/>
  </r>
  <r>
    <s v="United States"/>
    <x v="374"/>
    <s v="Standard Class"/>
    <s v="Consumer"/>
    <s v="Machines"/>
    <n v="3"/>
    <n v="0.7"/>
    <n v="-172.49250000000001"/>
    <n v="206.99100000000004"/>
  </r>
  <r>
    <s v="United States"/>
    <x v="374"/>
    <s v="Standard Class"/>
    <s v="Consumer"/>
    <s v="Paper"/>
    <n v="43"/>
    <n v="2.8000000000000003"/>
    <n v="197.78949999999995"/>
    <n v="569.33600000000013"/>
  </r>
  <r>
    <s v="United States"/>
    <x v="374"/>
    <s v="Standard Class"/>
    <s v="Consumer"/>
    <s v="Phones"/>
    <n v="78"/>
    <n v="8.0000000000000018"/>
    <n v="-609.69510000000014"/>
    <n v="4632.4139999999998"/>
  </r>
  <r>
    <s v="United States"/>
    <x v="374"/>
    <s v="Standard Class"/>
    <s v="Consumer"/>
    <s v="Storage"/>
    <n v="51"/>
    <n v="2.8000000000000003"/>
    <n v="-209.53320000000011"/>
    <n v="2968.2160000000008"/>
  </r>
  <r>
    <s v="United States"/>
    <x v="374"/>
    <s v="Standard Class"/>
    <s v="Consumer"/>
    <s v="Supplies"/>
    <n v="9"/>
    <n v="0.8"/>
    <n v="-311.47939999999994"/>
    <n v="1450.4560000000001"/>
  </r>
  <r>
    <s v="United States"/>
    <x v="374"/>
    <s v="Standard Class"/>
    <s v="Consumer"/>
    <s v="Tables"/>
    <n v="18"/>
    <n v="1.2000000000000002"/>
    <n v="-847.83520000000044"/>
    <n v="2456.1480000000001"/>
  </r>
  <r>
    <s v="United States"/>
    <x v="374"/>
    <s v="Standard Class"/>
    <s v="Corporate"/>
    <s v="Accessories"/>
    <n v="24"/>
    <n v="1.5999999999999999"/>
    <n v="317.6898999999998"/>
    <n v="2171.0159999999996"/>
  </r>
  <r>
    <s v="United States"/>
    <x v="374"/>
    <s v="Standard Class"/>
    <s v="Corporate"/>
    <s v="Appliances"/>
    <n v="11"/>
    <n v="0.60000000000000009"/>
    <n v="10.895699999999998"/>
    <n v="96.360000000000014"/>
  </r>
  <r>
    <s v="United States"/>
    <x v="374"/>
    <s v="Standard Class"/>
    <s v="Corporate"/>
    <s v="Art"/>
    <n v="32"/>
    <n v="2.1999999999999997"/>
    <n v="22.511799999999997"/>
    <n v="193.38399999999999"/>
  </r>
  <r>
    <s v="United States"/>
    <x v="374"/>
    <s v="Standard Class"/>
    <s v="Corporate"/>
    <s v="Binders"/>
    <n v="60"/>
    <n v="14.699999999999994"/>
    <n v="-227.88910000000001"/>
    <n v="309.45300000000003"/>
  </r>
  <r>
    <s v="United States"/>
    <x v="374"/>
    <s v="Standard Class"/>
    <s v="Corporate"/>
    <s v="Bookcases"/>
    <n v="4"/>
    <n v="0.5"/>
    <n v="-81.94"/>
    <n v="163.88"/>
  </r>
  <r>
    <s v="United States"/>
    <x v="374"/>
    <s v="Standard Class"/>
    <s v="Corporate"/>
    <s v="Chairs"/>
    <n v="22"/>
    <n v="1.2"/>
    <n v="-107.37959999999997"/>
    <n v="857.19200000000001"/>
  </r>
  <r>
    <s v="United States"/>
    <x v="374"/>
    <s v="Standard Class"/>
    <s v="Corporate"/>
    <s v="Envelopes"/>
    <n v="21"/>
    <n v="1.2"/>
    <n v="84.376899999999992"/>
    <n v="237.83200000000002"/>
  </r>
  <r>
    <s v="United States"/>
    <x v="374"/>
    <s v="Standard Class"/>
    <s v="Corporate"/>
    <s v="Fasteners"/>
    <n v="33"/>
    <n v="1.2"/>
    <n v="14.305199999999999"/>
    <n v="68.44"/>
  </r>
  <r>
    <s v="United States"/>
    <x v="374"/>
    <s v="Standard Class"/>
    <s v="Corporate"/>
    <s v="Furnishings"/>
    <n v="22"/>
    <n v="1.9999999999999998"/>
    <n v="-20.973800000000068"/>
    <n v="1079.4880000000001"/>
  </r>
  <r>
    <s v="United States"/>
    <x v="374"/>
    <s v="Standard Class"/>
    <s v="Corporate"/>
    <s v="Labels"/>
    <n v="17"/>
    <n v="0.60000000000000009"/>
    <n v="32.633099999999992"/>
    <n v="97.823999999999998"/>
  </r>
  <r>
    <s v="United States"/>
    <x v="374"/>
    <s v="Standard Class"/>
    <s v="Corporate"/>
    <s v="Machines"/>
    <n v="8"/>
    <n v="1.4"/>
    <n v="-896.99399999999969"/>
    <n v="881.88000000000011"/>
  </r>
  <r>
    <s v="United States"/>
    <x v="374"/>
    <s v="Standard Class"/>
    <s v="Corporate"/>
    <s v="Paper"/>
    <n v="46"/>
    <n v="2.6"/>
    <n v="116.17189999999997"/>
    <n v="357.73599999999999"/>
  </r>
  <r>
    <s v="United States"/>
    <x v="374"/>
    <s v="Standard Class"/>
    <s v="Corporate"/>
    <s v="Phones"/>
    <n v="52"/>
    <n v="4.8"/>
    <n v="-1221.9744999999998"/>
    <n v="6009.4679999999989"/>
  </r>
  <r>
    <s v="United States"/>
    <x v="374"/>
    <s v="Standard Class"/>
    <s v="Corporate"/>
    <s v="Storage"/>
    <n v="30"/>
    <n v="1.9999999999999998"/>
    <n v="-464.80240000000003"/>
    <n v="2520.2719999999999"/>
  </r>
  <r>
    <s v="United States"/>
    <x v="374"/>
    <s v="Standard Class"/>
    <s v="Corporate"/>
    <s v="Tables"/>
    <n v="14"/>
    <n v="2"/>
    <n v="-388.50780000000003"/>
    <n v="1429.0139999999997"/>
  </r>
  <r>
    <s v="United States"/>
    <x v="374"/>
    <s v="Standard Class"/>
    <s v="Home Office"/>
    <s v="Accessories"/>
    <n v="8"/>
    <n v="0.8"/>
    <n v="10.129699999999996"/>
    <n v="240.74400000000003"/>
  </r>
  <r>
    <s v="United States"/>
    <x v="374"/>
    <s v="Standard Class"/>
    <s v="Home Office"/>
    <s v="Appliances"/>
    <n v="9"/>
    <n v="0.4"/>
    <n v="51.973199999999977"/>
    <n v="545.80799999999999"/>
  </r>
  <r>
    <s v="United States"/>
    <x v="374"/>
    <s v="Standard Class"/>
    <s v="Home Office"/>
    <s v="Art"/>
    <n v="14"/>
    <n v="0.60000000000000009"/>
    <n v="5.6003999999999987"/>
    <n v="35.936"/>
  </r>
  <r>
    <s v="United States"/>
    <x v="374"/>
    <s v="Standard Class"/>
    <s v="Home Office"/>
    <s v="Binders"/>
    <n v="42"/>
    <n v="7.7000000000000011"/>
    <n v="-117.7188"/>
    <n v="160.48500000000004"/>
  </r>
  <r>
    <s v="United States"/>
    <x v="374"/>
    <s v="Standard Class"/>
    <s v="Home Office"/>
    <s v="Bookcases"/>
    <n v="5"/>
    <n v="0.5"/>
    <n v="-211.47"/>
    <n v="352.45"/>
  </r>
  <r>
    <s v="United States"/>
    <x v="374"/>
    <s v="Standard Class"/>
    <s v="Home Office"/>
    <s v="Chairs"/>
    <n v="16"/>
    <n v="0.89999999999999991"/>
    <n v="-231.33640000000003"/>
    <n v="1272.9569999999999"/>
  </r>
  <r>
    <s v="United States"/>
    <x v="374"/>
    <s v="Standard Class"/>
    <s v="Home Office"/>
    <s v="Envelopes"/>
    <n v="5"/>
    <n v="0.2"/>
    <n v="35.329499999999996"/>
    <n v="104.68000000000002"/>
  </r>
  <r>
    <s v="United States"/>
    <x v="374"/>
    <s v="Standard Class"/>
    <s v="Home Office"/>
    <s v="Fasteners"/>
    <n v="11"/>
    <n v="0.60000000000000009"/>
    <n v="7.0152000000000001"/>
    <n v="19.744"/>
  </r>
  <r>
    <s v="United States"/>
    <x v="374"/>
    <s v="Standard Class"/>
    <s v="Home Office"/>
    <s v="Furnishings"/>
    <n v="35"/>
    <n v="1.5999999999999999"/>
    <n v="29.32179999999995"/>
    <n v="2578.7280000000001"/>
  </r>
  <r>
    <s v="United States"/>
    <x v="374"/>
    <s v="Standard Class"/>
    <s v="Home Office"/>
    <s v="Labels"/>
    <n v="10"/>
    <n v="0.60000000000000009"/>
    <n v="11.290999999999997"/>
    <n v="34.160000000000004"/>
  </r>
  <r>
    <s v="United States"/>
    <x v="374"/>
    <s v="Standard Class"/>
    <s v="Home Office"/>
    <s v="Paper"/>
    <n v="57"/>
    <n v="2.6"/>
    <n v="178.04919999999998"/>
    <n v="505.49599999999998"/>
  </r>
  <r>
    <s v="United States"/>
    <x v="374"/>
    <s v="Standard Class"/>
    <s v="Home Office"/>
    <s v="Phones"/>
    <n v="38"/>
    <n v="3.5999999999999996"/>
    <n v="-819.55710000000022"/>
    <n v="3705.5399999999995"/>
  </r>
  <r>
    <s v="United States"/>
    <x v="374"/>
    <s v="Standard Class"/>
    <s v="Home Office"/>
    <s v="Storage"/>
    <n v="23"/>
    <n v="1.2"/>
    <n v="8.9437999999999533"/>
    <n v="1102.96"/>
  </r>
  <r>
    <s v="United States"/>
    <x v="374"/>
    <s v="Standard Class"/>
    <s v="Home Office"/>
    <s v="Tables"/>
    <n v="15"/>
    <n v="0.8"/>
    <n v="-666.02520000000015"/>
    <n v="2220.0840000000003"/>
  </r>
  <r>
    <s v="United States"/>
    <x v="375"/>
    <s v="First Class"/>
    <s v="Consumer"/>
    <s v="Binders"/>
    <n v="7"/>
    <n v="1.4"/>
    <n v="-41.530799999999992"/>
    <n v="56.817000000000007"/>
  </r>
  <r>
    <s v="United States"/>
    <x v="375"/>
    <s v="First Class"/>
    <s v="Corporate"/>
    <s v="Art"/>
    <n v="2"/>
    <n v="0.2"/>
    <n v="0.90999999999999981"/>
    <n v="2.9120000000000004"/>
  </r>
  <r>
    <s v="United States"/>
    <x v="375"/>
    <s v="First Class"/>
    <s v="Corporate"/>
    <s v="Bookcases"/>
    <n v="7"/>
    <n v="0.7"/>
    <n v="-356.96429999999998"/>
    <n v="209.97900000000001"/>
  </r>
  <r>
    <s v="United States"/>
    <x v="375"/>
    <s v="First Class"/>
    <s v="Corporate"/>
    <s v="Paper"/>
    <n v="6"/>
    <n v="0.4"/>
    <n v="10.247599999999998"/>
    <n v="30.304000000000006"/>
  </r>
  <r>
    <s v="United States"/>
    <x v="375"/>
    <s v="First Class"/>
    <s v="Home Office"/>
    <s v="Binders"/>
    <n v="3"/>
    <n v="0.7"/>
    <n v="-6.0236999999999998"/>
    <n v="7.857000000000002"/>
  </r>
  <r>
    <s v="United States"/>
    <x v="375"/>
    <s v="Same Day"/>
    <s v="Consumer"/>
    <s v="Binders"/>
    <n v="3"/>
    <n v="0.7"/>
    <n v="-6.0323999999999991"/>
    <n v="8.2260000000000009"/>
  </r>
  <r>
    <s v="United States"/>
    <x v="375"/>
    <s v="Second Class"/>
    <s v="Consumer"/>
    <s v="Binders"/>
    <n v="2"/>
    <n v="0.7"/>
    <n v="-3.1679999999999993"/>
    <n v="4.7520000000000007"/>
  </r>
  <r>
    <s v="United States"/>
    <x v="375"/>
    <s v="Second Class"/>
    <s v="Consumer"/>
    <s v="Paper"/>
    <n v="3"/>
    <n v="0.2"/>
    <n v="5.6375999999999999"/>
    <n v="15.552000000000003"/>
  </r>
  <r>
    <s v="United States"/>
    <x v="375"/>
    <s v="Second Class"/>
    <s v="Consumer"/>
    <s v="Phones"/>
    <n v="1"/>
    <n v="0.2"/>
    <n v="2.5893000000000006"/>
    <n v="29.592000000000002"/>
  </r>
  <r>
    <s v="United States"/>
    <x v="375"/>
    <s v="Second Class"/>
    <s v="Corporate"/>
    <s v="Accessories"/>
    <n v="2"/>
    <n v="0.2"/>
    <n v="-1.4590000000000014"/>
    <n v="23.344000000000001"/>
  </r>
  <r>
    <s v="United States"/>
    <x v="375"/>
    <s v="Second Class"/>
    <s v="Corporate"/>
    <s v="Appliances"/>
    <n v="6"/>
    <n v="0.2"/>
    <n v="28.492799999999988"/>
    <n v="325.63200000000006"/>
  </r>
  <r>
    <s v="United States"/>
    <x v="375"/>
    <s v="Second Class"/>
    <s v="Corporate"/>
    <s v="Labels"/>
    <n v="5"/>
    <n v="0.2"/>
    <n v="5.368999999999998"/>
    <n v="16.520000000000003"/>
  </r>
  <r>
    <s v="United States"/>
    <x v="375"/>
    <s v="Second Class"/>
    <s v="Home Office"/>
    <s v="Chairs"/>
    <n v="7"/>
    <n v="0.2"/>
    <n v="16.797200000000004"/>
    <n v="191.96800000000002"/>
  </r>
  <r>
    <s v="United States"/>
    <x v="375"/>
    <s v="Standard Class"/>
    <s v="Consumer"/>
    <s v="Accessories"/>
    <n v="2"/>
    <n v="0.2"/>
    <n v="4.4792000000000058"/>
    <n v="89.584000000000003"/>
  </r>
  <r>
    <s v="United States"/>
    <x v="375"/>
    <s v="Standard Class"/>
    <s v="Consumer"/>
    <s v="Appliances"/>
    <n v="4"/>
    <n v="0.2"/>
    <n v="13.701599999999988"/>
    <n v="121.79200000000002"/>
  </r>
  <r>
    <s v="United States"/>
    <x v="375"/>
    <s v="Standard Class"/>
    <s v="Consumer"/>
    <s v="Art"/>
    <n v="1"/>
    <n v="0.2"/>
    <n v="0.25919999999999999"/>
    <n v="2.3039999999999998"/>
  </r>
  <r>
    <s v="United States"/>
    <x v="375"/>
    <s v="Standard Class"/>
    <s v="Consumer"/>
    <s v="Binders"/>
    <n v="28"/>
    <n v="4.2"/>
    <n v="-735.52469999999994"/>
    <n v="1003.5270000000003"/>
  </r>
  <r>
    <s v="United States"/>
    <x v="375"/>
    <s v="Standard Class"/>
    <s v="Consumer"/>
    <s v="Chairs"/>
    <n v="5"/>
    <n v="0.4"/>
    <n v="-32.798700000000004"/>
    <n v="473.5440000000001"/>
  </r>
  <r>
    <s v="United States"/>
    <x v="375"/>
    <s v="Standard Class"/>
    <s v="Consumer"/>
    <s v="Fasteners"/>
    <n v="3"/>
    <n v="0.2"/>
    <n v="-0.94859999999999989"/>
    <n v="4.4640000000000004"/>
  </r>
  <r>
    <s v="United States"/>
    <x v="375"/>
    <s v="Standard Class"/>
    <s v="Consumer"/>
    <s v="Furnishings"/>
    <n v="2"/>
    <n v="0.2"/>
    <n v="1.7352000000000005"/>
    <n v="7.7120000000000006"/>
  </r>
  <r>
    <s v="United States"/>
    <x v="375"/>
    <s v="Standard Class"/>
    <s v="Consumer"/>
    <s v="Labels"/>
    <n v="2"/>
    <n v="0.2"/>
    <n v="1.764"/>
    <n v="5.04"/>
  </r>
  <r>
    <s v="United States"/>
    <x v="375"/>
    <s v="Standard Class"/>
    <s v="Consumer"/>
    <s v="Paper"/>
    <n v="17"/>
    <n v="0.60000000000000009"/>
    <n v="148.05799999999996"/>
    <n v="435.35199999999998"/>
  </r>
  <r>
    <s v="United States"/>
    <x v="375"/>
    <s v="Standard Class"/>
    <s v="Consumer"/>
    <s v="Phones"/>
    <n v="10"/>
    <n v="0.8"/>
    <n v="255.68839999999977"/>
    <n v="2519.8559999999998"/>
  </r>
  <r>
    <s v="United States"/>
    <x v="375"/>
    <s v="Standard Class"/>
    <s v="Consumer"/>
    <s v="Storage"/>
    <n v="18"/>
    <n v="0.8"/>
    <n v="38.245999999999981"/>
    <n v="352.34400000000005"/>
  </r>
  <r>
    <s v="United States"/>
    <x v="375"/>
    <s v="Standard Class"/>
    <s v="Consumer"/>
    <s v="Tables"/>
    <n v="8"/>
    <n v="1"/>
    <n v="-653.34180000000003"/>
    <n v="1194.7649999999999"/>
  </r>
  <r>
    <s v="United States"/>
    <x v="375"/>
    <s v="Standard Class"/>
    <s v="Corporate"/>
    <s v="Accessories"/>
    <n v="9"/>
    <n v="0.60000000000000009"/>
    <n v="67.917599999999979"/>
    <n v="417.88800000000003"/>
  </r>
  <r>
    <s v="United States"/>
    <x v="375"/>
    <s v="Standard Class"/>
    <s v="Corporate"/>
    <s v="Binders"/>
    <n v="10"/>
    <n v="2.0999999999999996"/>
    <n v="-474.1292000000002"/>
    <n v="570.20400000000018"/>
  </r>
  <r>
    <s v="United States"/>
    <x v="375"/>
    <s v="Standard Class"/>
    <s v="Corporate"/>
    <s v="Chairs"/>
    <n v="2"/>
    <n v="0.2"/>
    <n v="4.1971999999999987"/>
    <n v="47.968000000000004"/>
  </r>
  <r>
    <s v="United States"/>
    <x v="375"/>
    <s v="Standard Class"/>
    <s v="Corporate"/>
    <s v="Furnishings"/>
    <n v="3"/>
    <n v="0.2"/>
    <n v="7.6965000000000039"/>
    <n v="87.960000000000008"/>
  </r>
  <r>
    <s v="United States"/>
    <x v="375"/>
    <s v="Standard Class"/>
    <s v="Corporate"/>
    <s v="Machines"/>
    <n v="2"/>
    <n v="0.7"/>
    <n v="-386.95699999999999"/>
    <n v="269.97000000000003"/>
  </r>
  <r>
    <s v="United States"/>
    <x v="375"/>
    <s v="Standard Class"/>
    <s v="Corporate"/>
    <s v="Paper"/>
    <n v="8"/>
    <n v="0.4"/>
    <n v="152.23319999999998"/>
    <n v="434.952"/>
  </r>
  <r>
    <s v="United States"/>
    <x v="375"/>
    <s v="Standard Class"/>
    <s v="Corporate"/>
    <s v="Phones"/>
    <n v="5"/>
    <n v="0.2"/>
    <n v="19.596000000000018"/>
    <n v="195.96000000000004"/>
  </r>
  <r>
    <s v="United States"/>
    <x v="375"/>
    <s v="Standard Class"/>
    <s v="Corporate"/>
    <s v="Tables"/>
    <n v="1"/>
    <n v="0.5"/>
    <n v="-24.102599999999995"/>
    <n v="35.445"/>
  </r>
  <r>
    <s v="United States"/>
    <x v="375"/>
    <s v="Standard Class"/>
    <s v="Home Office"/>
    <s v="Appliances"/>
    <n v="2"/>
    <n v="0.2"/>
    <n v="5.8704000000000001"/>
    <n v="78.272000000000006"/>
  </r>
  <r>
    <s v="United States"/>
    <x v="375"/>
    <s v="Standard Class"/>
    <s v="Home Office"/>
    <s v="Art"/>
    <n v="1"/>
    <n v="0.2"/>
    <n v="0.15839999999999993"/>
    <n v="1.4080000000000001"/>
  </r>
  <r>
    <s v="United States"/>
    <x v="375"/>
    <s v="Standard Class"/>
    <s v="Home Office"/>
    <s v="Binders"/>
    <n v="5"/>
    <n v="0.7"/>
    <n v="-20.888999999999989"/>
    <n v="28.484999999999999"/>
  </r>
  <r>
    <s v="United States"/>
    <x v="375"/>
    <s v="Standard Class"/>
    <s v="Home Office"/>
    <s v="Furnishings"/>
    <n v="14"/>
    <n v="0.60000000000000009"/>
    <n v="10.583399999999997"/>
    <n v="240"/>
  </r>
  <r>
    <s v="United States"/>
    <x v="375"/>
    <s v="Standard Class"/>
    <s v="Home Office"/>
    <s v="Supplies"/>
    <n v="2"/>
    <n v="0.2"/>
    <n v="-34.758000000000017"/>
    <n v="185.376"/>
  </r>
  <r>
    <s v="United States"/>
    <x v="375"/>
    <s v="Standard Class"/>
    <s v="Home Office"/>
    <s v="Tables"/>
    <n v="6"/>
    <n v="0.5"/>
    <n v="-814.4831999999999"/>
    <n v="1272.6299999999999"/>
  </r>
  <r>
    <s v="United States"/>
    <x v="376"/>
    <s v="First Class"/>
    <s v="Home Office"/>
    <s v="Furnishings"/>
    <n v="5"/>
    <n v="0"/>
    <n v="62.736999999999995"/>
    <n v="145.9"/>
  </r>
  <r>
    <s v="United States"/>
    <x v="377"/>
    <s v="Second Class"/>
    <s v="Consumer"/>
    <s v="Accessories"/>
    <n v="5"/>
    <n v="0"/>
    <n v="63.983999999999988"/>
    <n v="199.95000000000002"/>
  </r>
  <r>
    <s v="United States"/>
    <x v="377"/>
    <s v="Second Class"/>
    <s v="Consumer"/>
    <s v="Paper"/>
    <n v="2"/>
    <n v="0"/>
    <n v="6.2208000000000006"/>
    <n v="12.96"/>
  </r>
  <r>
    <s v="United States"/>
    <x v="378"/>
    <s v="First Class"/>
    <s v="Corporate"/>
    <s v="Art"/>
    <n v="3"/>
    <n v="0"/>
    <n v="2.3025000000000002"/>
    <n v="9.2099999999999991"/>
  </r>
  <r>
    <s v="United States"/>
    <x v="378"/>
    <s v="First Class"/>
    <s v="Corporate"/>
    <s v="Paper"/>
    <n v="5"/>
    <n v="0"/>
    <n v="8.2799999999999994"/>
    <n v="18"/>
  </r>
  <r>
    <s v="United States"/>
    <x v="378"/>
    <s v="Standard Class"/>
    <s v="Consumer"/>
    <s v="Appliances"/>
    <n v="9"/>
    <n v="0"/>
    <n v="32.035899999999998"/>
    <n v="120.59"/>
  </r>
  <r>
    <s v="United States"/>
    <x v="378"/>
    <s v="Standard Class"/>
    <s v="Consumer"/>
    <s v="Art"/>
    <n v="1"/>
    <n v="0"/>
    <n v="2.1762000000000001"/>
    <n v="5.58"/>
  </r>
  <r>
    <s v="United States"/>
    <x v="378"/>
    <s v="Standard Class"/>
    <s v="Consumer"/>
    <s v="Binders"/>
    <n v="7"/>
    <n v="0"/>
    <n v="349.28099999999995"/>
    <n v="776.18000000000006"/>
  </r>
  <r>
    <s v="United States"/>
    <x v="378"/>
    <s v="Standard Class"/>
    <s v="Consumer"/>
    <s v="Phones"/>
    <n v="2"/>
    <n v="0"/>
    <n v="19.974600000000002"/>
    <n v="73.98"/>
  </r>
  <r>
    <s v="United States"/>
    <x v="378"/>
    <s v="Standard Class"/>
    <s v="Corporate"/>
    <s v="Machines"/>
    <n v="8"/>
    <n v="0"/>
    <n v="118.37040000000002"/>
    <n v="319.92"/>
  </r>
  <r>
    <s v="United States"/>
    <x v="378"/>
    <s v="Standard Class"/>
    <s v="Corporate"/>
    <s v="Storage"/>
    <n v="4"/>
    <n v="0"/>
    <n v="67.608000000000004"/>
    <n v="563.4"/>
  </r>
  <r>
    <s v="United States"/>
    <x v="378"/>
    <s v="Standard Class"/>
    <s v="Home Office"/>
    <s v="Appliances"/>
    <n v="5"/>
    <n v="0"/>
    <n v="10.487500000000001"/>
    <n v="41.95"/>
  </r>
  <r>
    <s v="United States"/>
    <x v="378"/>
    <s v="Standard Class"/>
    <s v="Home Office"/>
    <s v="Paper"/>
    <n v="1"/>
    <n v="0"/>
    <n v="3.1752000000000002"/>
    <n v="6.48"/>
  </r>
  <r>
    <s v="United States"/>
    <x v="378"/>
    <s v="Standard Class"/>
    <s v="Home Office"/>
    <s v="Storage"/>
    <n v="4"/>
    <n v="0"/>
    <n v="621.97440000000006"/>
    <n v="2591.56"/>
  </r>
  <r>
    <s v="United States"/>
    <x v="379"/>
    <s v="First Class"/>
    <s v="Consumer"/>
    <s v="Paper"/>
    <n v="2"/>
    <n v="0.2"/>
    <n v="3.6288"/>
    <n v="10.368000000000002"/>
  </r>
  <r>
    <s v="United States"/>
    <x v="379"/>
    <s v="Second Class"/>
    <s v="Home Office"/>
    <s v="Accessories"/>
    <n v="2"/>
    <n v="0.2"/>
    <n v="3.5742000000000012"/>
    <n v="13.616"/>
  </r>
  <r>
    <s v="United States"/>
    <x v="379"/>
    <s v="Standard Class"/>
    <s v="Consumer"/>
    <s v="Binders"/>
    <n v="4"/>
    <n v="0.8"/>
    <n v="-5.088000000000001"/>
    <n v="3.3919999999999995"/>
  </r>
  <r>
    <s v="United States"/>
    <x v="379"/>
    <s v="Standard Class"/>
    <s v="Consumer"/>
    <s v="Bookcases"/>
    <n v="4"/>
    <n v="0.32"/>
    <n v="-19.874399999999994"/>
    <n v="193.06559999999999"/>
  </r>
  <r>
    <s v="United States"/>
    <x v="379"/>
    <s v="Standard Class"/>
    <s v="Consumer"/>
    <s v="Labels"/>
    <n v="4"/>
    <n v="0.2"/>
    <n v="4.2951999999999995"/>
    <n v="13.216000000000001"/>
  </r>
  <r>
    <s v="United States"/>
    <x v="379"/>
    <s v="Standard Class"/>
    <s v="Consumer"/>
    <s v="Machines"/>
    <n v="2"/>
    <n v="0.4"/>
    <n v="-97.71999999999997"/>
    <n v="418.8"/>
  </r>
  <r>
    <s v="United States"/>
    <x v="379"/>
    <s v="Standard Class"/>
    <s v="Consumer"/>
    <s v="Paper"/>
    <n v="5"/>
    <n v="0.4"/>
    <n v="9.52"/>
    <n v="27.200000000000003"/>
  </r>
  <r>
    <s v="United States"/>
    <x v="379"/>
    <s v="Standard Class"/>
    <s v="Consumer"/>
    <s v="Phones"/>
    <n v="7"/>
    <n v="0.60000000000000009"/>
    <n v="92.74560000000001"/>
    <n v="465.54400000000004"/>
  </r>
  <r>
    <s v="United States"/>
    <x v="379"/>
    <s v="Standard Class"/>
    <s v="Consumer"/>
    <s v="Storage"/>
    <n v="7"/>
    <n v="0.2"/>
    <n v="-127.37200000000001"/>
    <n v="509.48800000000006"/>
  </r>
  <r>
    <s v="United States"/>
    <x v="379"/>
    <s v="Standard Class"/>
    <s v="Consumer"/>
    <s v="Tables"/>
    <n v="7"/>
    <n v="0.6"/>
    <n v="-250.21439999999996"/>
    <n v="1865.8289999999997"/>
  </r>
  <r>
    <s v="United States"/>
    <x v="379"/>
    <s v="Standard Class"/>
    <s v="Corporate"/>
    <s v="Labels"/>
    <n v="4"/>
    <n v="0.2"/>
    <n v="3.4495999999999993"/>
    <n v="9.8560000000000016"/>
  </r>
  <r>
    <s v="United States"/>
    <x v="380"/>
    <s v="Same Day"/>
    <s v="Consumer"/>
    <s v="Accessories"/>
    <n v="7"/>
    <n v="0.2"/>
    <n v="89.588799999999992"/>
    <n v="447.94399999999996"/>
  </r>
  <r>
    <s v="United States"/>
    <x v="380"/>
    <s v="Same Day"/>
    <s v="Consumer"/>
    <s v="Storage"/>
    <n v="9"/>
    <n v="0.2"/>
    <n v="-33.841799999999999"/>
    <n v="150.40799999999999"/>
  </r>
  <r>
    <s v="United States"/>
    <x v="380"/>
    <s v="Standard Class"/>
    <s v="Corporate"/>
    <s v="Art"/>
    <n v="5"/>
    <n v="0.2"/>
    <n v="1.3229999999999991"/>
    <n v="11.76"/>
  </r>
  <r>
    <s v="United States"/>
    <x v="380"/>
    <s v="Standard Class"/>
    <s v="Corporate"/>
    <s v="Binders"/>
    <n v="5"/>
    <n v="1.4"/>
    <n v="-7.7454000000000001"/>
    <n v="9.9000000000000021"/>
  </r>
  <r>
    <s v="United States"/>
    <x v="380"/>
    <s v="Standard Class"/>
    <s v="Corporate"/>
    <s v="Chairs"/>
    <n v="8"/>
    <n v="0.4"/>
    <n v="-55.598700000000058"/>
    <n v="670.05600000000004"/>
  </r>
  <r>
    <s v="United States"/>
    <x v="380"/>
    <s v="Standard Class"/>
    <s v="Corporate"/>
    <s v="Envelopes"/>
    <n v="3"/>
    <n v="0.2"/>
    <n v="2.9322000000000004"/>
    <n v="8.6880000000000006"/>
  </r>
  <r>
    <s v="United States"/>
    <x v="380"/>
    <s v="Standard Class"/>
    <s v="Corporate"/>
    <s v="Furnishings"/>
    <n v="7"/>
    <n v="0.4"/>
    <n v="5.3017999999999974"/>
    <n v="37.288000000000004"/>
  </r>
  <r>
    <s v="United States"/>
    <x v="380"/>
    <s v="Standard Class"/>
    <s v="Corporate"/>
    <s v="Phones"/>
    <n v="1"/>
    <n v="0.2"/>
    <n v="10.079200000000007"/>
    <n v="100.792"/>
  </r>
  <r>
    <s v="United States"/>
    <x v="381"/>
    <s v="Second Class"/>
    <s v="Consumer"/>
    <s v="Appliances"/>
    <n v="3"/>
    <n v="0"/>
    <n v="305.13000000000011"/>
    <n v="1089.75"/>
  </r>
  <r>
    <s v="United States"/>
    <x v="381"/>
    <s v="Second Class"/>
    <s v="Consumer"/>
    <s v="Art"/>
    <n v="5"/>
    <n v="0"/>
    <n v="4.2639999999999993"/>
    <n v="16.399999999999999"/>
  </r>
  <r>
    <s v="United States"/>
    <x v="381"/>
    <s v="Second Class"/>
    <s v="Consumer"/>
    <s v="Binders"/>
    <n v="1"/>
    <n v="0.2"/>
    <n v="4.7792000000000003"/>
    <n v="13.184000000000001"/>
  </r>
  <r>
    <s v="United States"/>
    <x v="381"/>
    <s v="Second Class"/>
    <s v="Consumer"/>
    <s v="Paper"/>
    <n v="8"/>
    <n v="0"/>
    <n v="219.44159999999999"/>
    <n v="447.84"/>
  </r>
  <r>
    <s v="United States"/>
    <x v="381"/>
    <s v="Second Class"/>
    <s v="Consumer"/>
    <s v="Phones"/>
    <n v="5"/>
    <n v="0.2"/>
    <n v="34.996499999999969"/>
    <n v="399.96000000000004"/>
  </r>
  <r>
    <s v="United States"/>
    <x v="381"/>
    <s v="Second Class"/>
    <s v="Consumer"/>
    <s v="Storage"/>
    <n v="5"/>
    <n v="0"/>
    <n v="7.9449999999999932"/>
    <n v="158.9"/>
  </r>
  <r>
    <s v="United States"/>
    <x v="381"/>
    <s v="Second Class"/>
    <s v="Corporate"/>
    <s v="Binders"/>
    <n v="3"/>
    <n v="0.2"/>
    <n v="4.0985999999999994"/>
    <n v="12.144"/>
  </r>
  <r>
    <s v="United States"/>
    <x v="382"/>
    <s v="First Class"/>
    <s v="Consumer"/>
    <s v="Furnishings"/>
    <n v="4"/>
    <n v="0"/>
    <n v="14.700000000000003"/>
    <n v="35"/>
  </r>
  <r>
    <s v="United States"/>
    <x v="382"/>
    <s v="First Class"/>
    <s v="Consumer"/>
    <s v="Phones"/>
    <n v="3"/>
    <n v="0.2"/>
    <n v="22.678200000000018"/>
    <n v="302.37599999999998"/>
  </r>
  <r>
    <s v="United States"/>
    <x v="382"/>
    <s v="First Class"/>
    <s v="Consumer"/>
    <s v="Storage"/>
    <n v="5"/>
    <n v="0"/>
    <n v="28.628999999999962"/>
    <n v="477.15000000000003"/>
  </r>
  <r>
    <s v="United States"/>
    <x v="382"/>
    <s v="Second Class"/>
    <s v="Consumer"/>
    <s v="Binders"/>
    <n v="3"/>
    <n v="0.2"/>
    <n v="5.5379999999999985"/>
    <n v="17.04"/>
  </r>
  <r>
    <s v="United States"/>
    <x v="382"/>
    <s v="Second Class"/>
    <s v="Consumer"/>
    <s v="Furnishings"/>
    <n v="4"/>
    <n v="0"/>
    <n v="92.393599999999992"/>
    <n v="355.36"/>
  </r>
  <r>
    <s v="United States"/>
    <x v="382"/>
    <s v="Second Class"/>
    <s v="Consumer"/>
    <s v="Paper"/>
    <n v="3"/>
    <n v="0"/>
    <n v="8.6435999999999993"/>
    <n v="17.64"/>
  </r>
  <r>
    <s v="United States"/>
    <x v="382"/>
    <s v="Second Class"/>
    <s v="Consumer"/>
    <s v="Phones"/>
    <n v="3"/>
    <n v="0.2"/>
    <n v="8.7735000000000056"/>
    <n v="140.376"/>
  </r>
  <r>
    <s v="United States"/>
    <x v="383"/>
    <s v="First Class"/>
    <s v="Consumer"/>
    <s v="Accessories"/>
    <n v="2"/>
    <n v="0"/>
    <n v="34.992999999999995"/>
    <n v="99.98"/>
  </r>
  <r>
    <s v="United States"/>
    <x v="383"/>
    <s v="Same Day"/>
    <s v="Consumer"/>
    <s v="Furnishings"/>
    <n v="3"/>
    <n v="0"/>
    <n v="10.4148"/>
    <n v="31.56"/>
  </r>
  <r>
    <s v="United States"/>
    <x v="383"/>
    <s v="Second Class"/>
    <s v="Consumer"/>
    <s v="Labels"/>
    <n v="5"/>
    <n v="0"/>
    <n v="9"/>
    <n v="18.75"/>
  </r>
  <r>
    <s v="United States"/>
    <x v="383"/>
    <s v="Standard Class"/>
    <s v="Consumer"/>
    <s v="Accessories"/>
    <n v="4"/>
    <n v="0"/>
    <n v="69.98599999999999"/>
    <n v="199.96"/>
  </r>
  <r>
    <s v="United States"/>
    <x v="383"/>
    <s v="Standard Class"/>
    <s v="Consumer"/>
    <s v="Tables"/>
    <n v="3"/>
    <n v="0.2"/>
    <n v="-97.739399999999989"/>
    <n v="710.83200000000011"/>
  </r>
  <r>
    <s v="United States"/>
    <x v="383"/>
    <s v="Standard Class"/>
    <s v="Corporate"/>
    <s v="Art"/>
    <n v="17"/>
    <n v="0"/>
    <n v="123.64459999999995"/>
    <n v="421.42"/>
  </r>
  <r>
    <s v="United States"/>
    <x v="384"/>
    <s v="Standard Class"/>
    <s v="Corporate"/>
    <s v="Accessories"/>
    <n v="3"/>
    <n v="0.2"/>
    <n v="0.74249999999999994"/>
    <n v="2.3760000000000003"/>
  </r>
  <r>
    <s v="United States"/>
    <x v="384"/>
    <s v="Standard Class"/>
    <s v="Corporate"/>
    <s v="Appliances"/>
    <n v="1"/>
    <n v="0.2"/>
    <n v="8.0479999999999983"/>
    <n v="64.384"/>
  </r>
  <r>
    <s v="United States"/>
    <x v="384"/>
    <s v="Standard Class"/>
    <s v="Corporate"/>
    <s v="Furnishings"/>
    <n v="8"/>
    <n v="0.2"/>
    <n v="6.216000000000002"/>
    <n v="23.680000000000003"/>
  </r>
  <r>
    <s v="United States"/>
    <x v="385"/>
    <s v="Second Class"/>
    <s v="Corporate"/>
    <s v="Bookcases"/>
    <n v="2"/>
    <n v="0.32"/>
    <n v="-76.011599999999973"/>
    <n v="246.13279999999997"/>
  </r>
  <r>
    <s v="United States"/>
    <x v="385"/>
    <s v="Second Class"/>
    <s v="Corporate"/>
    <s v="Copiers"/>
    <n v="1"/>
    <n v="0.2"/>
    <n v="164.99700000000001"/>
    <n v="439.99200000000002"/>
  </r>
  <r>
    <s v="United States"/>
    <x v="385"/>
    <s v="Second Class"/>
    <s v="Corporate"/>
    <s v="Labels"/>
    <n v="2"/>
    <n v="0.2"/>
    <n v="3.9473999999999996"/>
    <n v="11.696"/>
  </r>
  <r>
    <s v="United States"/>
    <x v="385"/>
    <s v="Standard Class"/>
    <s v="Consumer"/>
    <s v="Paper"/>
    <n v="6"/>
    <n v="0.4"/>
    <n v="11.0288"/>
    <n v="34.048000000000002"/>
  </r>
  <r>
    <s v="United States"/>
    <x v="385"/>
    <s v="Standard Class"/>
    <s v="Corporate"/>
    <s v="Paper"/>
    <n v="1"/>
    <n v="0.2"/>
    <n v="1.8144"/>
    <n v="5.1840000000000011"/>
  </r>
  <r>
    <s v="United States"/>
    <x v="386"/>
    <s v="Second Class"/>
    <s v="Consumer"/>
    <s v="Envelopes"/>
    <n v="1"/>
    <n v="0.2"/>
    <n v="2.9339999999999997"/>
    <n v="7.8239999999999998"/>
  </r>
  <r>
    <s v="United States"/>
    <x v="387"/>
    <s v="Second Class"/>
    <s v="Consumer"/>
    <s v="Appliances"/>
    <n v="4"/>
    <n v="0.2"/>
    <n v="0.89599999999999991"/>
    <n v="14.336000000000002"/>
  </r>
  <r>
    <s v="United States"/>
    <x v="387"/>
    <s v="Second Class"/>
    <s v="Corporate"/>
    <s v="Bookcases"/>
    <n v="5"/>
    <n v="0.2"/>
    <n v="5.7980000000000018"/>
    <n v="231.92000000000002"/>
  </r>
  <r>
    <s v="United States"/>
    <x v="387"/>
    <s v="Standard Class"/>
    <s v="Consumer"/>
    <s v="Binders"/>
    <n v="2"/>
    <n v="0.7"/>
    <n v="-2.2450000000000001"/>
    <n v="2.6940000000000004"/>
  </r>
  <r>
    <s v="United States"/>
    <x v="388"/>
    <s v="Same Day"/>
    <s v="Consumer"/>
    <s v="Art"/>
    <n v="2"/>
    <n v="0"/>
    <n v="6.5120000000000005"/>
    <n v="16.28"/>
  </r>
  <r>
    <s v="United States"/>
    <x v="389"/>
    <s v="First Class"/>
    <s v="Consumer"/>
    <s v="Art"/>
    <n v="3"/>
    <n v="0.2"/>
    <n v="0.71520000000000028"/>
    <n v="7.1519999999999992"/>
  </r>
  <r>
    <s v="United States"/>
    <x v="389"/>
    <s v="First Class"/>
    <s v="Consumer"/>
    <s v="Binders"/>
    <n v="7"/>
    <n v="0.7"/>
    <n v="-3.4649999999999999"/>
    <n v="4.1580000000000004"/>
  </r>
  <r>
    <s v="United States"/>
    <x v="389"/>
    <s v="First Class"/>
    <s v="Consumer"/>
    <s v="Machines"/>
    <n v="3"/>
    <n v="0.7"/>
    <n v="-251.98739999999992"/>
    <n v="179.99100000000004"/>
  </r>
  <r>
    <s v="United States"/>
    <x v="389"/>
    <s v="First Class"/>
    <s v="Consumer"/>
    <s v="Phones"/>
    <n v="4"/>
    <n v="0.4"/>
    <n v="88.899200000000022"/>
    <n v="917.50400000000013"/>
  </r>
  <r>
    <s v="United States"/>
    <x v="389"/>
    <s v="First Class"/>
    <s v="Home Office"/>
    <s v="Chairs"/>
    <n v="5"/>
    <n v="0.2"/>
    <n v="25.245000000000019"/>
    <n v="403.92"/>
  </r>
  <r>
    <s v="United States"/>
    <x v="389"/>
    <s v="Second Class"/>
    <s v="Consumer"/>
    <s v="Art"/>
    <n v="4"/>
    <n v="0.2"/>
    <n v="9.0575999999999972"/>
    <n v="120.76800000000001"/>
  </r>
  <r>
    <s v="United States"/>
    <x v="389"/>
    <s v="Second Class"/>
    <s v="Consumer"/>
    <s v="Paper"/>
    <n v="5"/>
    <n v="0.2"/>
    <n v="9.0719999999999992"/>
    <n v="25.920000000000005"/>
  </r>
  <r>
    <s v="United States"/>
    <x v="389"/>
    <s v="Second Class"/>
    <s v="Consumer"/>
    <s v="Phones"/>
    <n v="4"/>
    <n v="0.2"/>
    <n v="35.996399999999952"/>
    <n v="319.96800000000002"/>
  </r>
  <r>
    <s v="United States"/>
    <x v="389"/>
    <s v="Standard Class"/>
    <s v="Consumer"/>
    <s v="Accessories"/>
    <n v="12"/>
    <n v="0.4"/>
    <n v="128.44390000000001"/>
    <n v="519.74400000000003"/>
  </r>
  <r>
    <s v="United States"/>
    <x v="389"/>
    <s v="Standard Class"/>
    <s v="Consumer"/>
    <s v="Binders"/>
    <n v="2"/>
    <n v="0.7"/>
    <n v="-0.79200000000000004"/>
    <n v="1.0800000000000003"/>
  </r>
  <r>
    <s v="United States"/>
    <x v="389"/>
    <s v="Standard Class"/>
    <s v="Consumer"/>
    <s v="Bookcases"/>
    <n v="1"/>
    <n v="0.7"/>
    <n v="-103.86059999999998"/>
    <n v="66.294000000000011"/>
  </r>
  <r>
    <s v="United States"/>
    <x v="389"/>
    <s v="Standard Class"/>
    <s v="Consumer"/>
    <s v="Chairs"/>
    <n v="4"/>
    <n v="0.2"/>
    <n v="-14.558399999999978"/>
    <n v="291.16800000000001"/>
  </r>
  <r>
    <s v="United States"/>
    <x v="389"/>
    <s v="Standard Class"/>
    <s v="Consumer"/>
    <s v="Paper"/>
    <n v="11"/>
    <n v="0.4"/>
    <n v="58.730399999999996"/>
    <n v="172.864"/>
  </r>
  <r>
    <s v="United States"/>
    <x v="389"/>
    <s v="Standard Class"/>
    <s v="Consumer"/>
    <s v="Phones"/>
    <n v="3"/>
    <n v="0.2"/>
    <n v="54.5916"/>
    <n v="155.976"/>
  </r>
  <r>
    <s v="United States"/>
    <x v="389"/>
    <s v="Standard Class"/>
    <s v="Consumer"/>
    <s v="Storage"/>
    <n v="8"/>
    <n v="0.4"/>
    <n v="-91.977999999999966"/>
    <n v="481.6"/>
  </r>
  <r>
    <s v="United States"/>
    <x v="389"/>
    <s v="Standard Class"/>
    <s v="Corporate"/>
    <s v="Appliances"/>
    <n v="1"/>
    <n v="0.2"/>
    <n v="0.8382000000000005"/>
    <n v="11.176000000000002"/>
  </r>
  <r>
    <s v="United States"/>
    <x v="389"/>
    <s v="Standard Class"/>
    <s v="Corporate"/>
    <s v="Chairs"/>
    <n v="3"/>
    <n v="0.2"/>
    <n v="23.027999999999992"/>
    <n v="230.28000000000003"/>
  </r>
  <r>
    <s v="United States"/>
    <x v="389"/>
    <s v="Standard Class"/>
    <s v="Corporate"/>
    <s v="Paper"/>
    <n v="11"/>
    <n v="0.4"/>
    <n v="45.569199999999995"/>
    <n v="136.624"/>
  </r>
  <r>
    <s v="United States"/>
    <x v="389"/>
    <s v="Standard Class"/>
    <s v="Home Office"/>
    <s v="Binders"/>
    <n v="1"/>
    <n v="0.7"/>
    <n v="-3.7880000000000003"/>
    <n v="5.6820000000000013"/>
  </r>
  <r>
    <s v="United States"/>
    <x v="390"/>
    <s v="First Class"/>
    <s v="Consumer"/>
    <s v="Paper"/>
    <n v="7"/>
    <n v="0"/>
    <n v="26.555199999999999"/>
    <n v="56.86"/>
  </r>
  <r>
    <s v="United States"/>
    <x v="390"/>
    <s v="First Class"/>
    <s v="Consumer"/>
    <s v="Storage"/>
    <n v="2"/>
    <n v="0"/>
    <n v="17.379999999999995"/>
    <n v="69.52"/>
  </r>
  <r>
    <s v="United States"/>
    <x v="390"/>
    <s v="First Class"/>
    <s v="Corporate"/>
    <s v="Accessories"/>
    <n v="2"/>
    <n v="0"/>
    <n v="4.8986000000000018"/>
    <n v="69.98"/>
  </r>
  <r>
    <s v="United States"/>
    <x v="390"/>
    <s v="First Class"/>
    <s v="Home Office"/>
    <s v="Binders"/>
    <n v="3"/>
    <n v="0"/>
    <n v="23.774400000000004"/>
    <n v="49.53"/>
  </r>
  <r>
    <s v="United States"/>
    <x v="390"/>
    <s v="First Class"/>
    <s v="Home Office"/>
    <s v="Chairs"/>
    <n v="4"/>
    <n v="0"/>
    <n v="244.24959999999999"/>
    <n v="872.32"/>
  </r>
  <r>
    <s v="United States"/>
    <x v="390"/>
    <s v="First Class"/>
    <s v="Home Office"/>
    <s v="Paper"/>
    <n v="3"/>
    <n v="0"/>
    <n v="7.6679999999999993"/>
    <n v="17.04"/>
  </r>
  <r>
    <s v="United States"/>
    <x v="390"/>
    <s v="First Class"/>
    <s v="Home Office"/>
    <s v="Storage"/>
    <n v="9"/>
    <n v="0"/>
    <n v="481.86899999999986"/>
    <n v="1606.23"/>
  </r>
  <r>
    <s v="United States"/>
    <x v="390"/>
    <s v="Second Class"/>
    <s v="Consumer"/>
    <s v="Binders"/>
    <n v="5"/>
    <n v="0"/>
    <n v="13.365"/>
    <n v="29.700000000000003"/>
  </r>
  <r>
    <s v="United States"/>
    <x v="390"/>
    <s v="Second Class"/>
    <s v="Consumer"/>
    <s v="Paper"/>
    <n v="4"/>
    <n v="0"/>
    <n v="17.981999999999999"/>
    <n v="39.96"/>
  </r>
  <r>
    <s v="United States"/>
    <x v="390"/>
    <s v="Second Class"/>
    <s v="Corporate"/>
    <s v="Bookcases"/>
    <n v="1"/>
    <n v="0"/>
    <n v="50.825400000000002"/>
    <n v="220.98"/>
  </r>
  <r>
    <s v="United States"/>
    <x v="390"/>
    <s v="Second Class"/>
    <s v="Corporate"/>
    <s v="Supplies"/>
    <n v="6"/>
    <n v="0"/>
    <n v="34.757999999999953"/>
    <n v="695.16"/>
  </r>
  <r>
    <s v="United States"/>
    <x v="390"/>
    <s v="Second Class"/>
    <s v="Home Office"/>
    <s v="Accessories"/>
    <n v="2"/>
    <n v="0"/>
    <n v="83.991600000000005"/>
    <n v="199.98"/>
  </r>
  <r>
    <s v="United States"/>
    <x v="390"/>
    <s v="Second Class"/>
    <s v="Home Office"/>
    <s v="Chairs"/>
    <n v="1"/>
    <n v="0"/>
    <n v="15.537199999999999"/>
    <n v="110.98"/>
  </r>
  <r>
    <s v="United States"/>
    <x v="390"/>
    <s v="Second Class"/>
    <s v="Home Office"/>
    <s v="Paper"/>
    <n v="2"/>
    <n v="0"/>
    <n v="4.1159999999999997"/>
    <n v="8.4"/>
  </r>
  <r>
    <s v="United States"/>
    <x v="390"/>
    <s v="Second Class"/>
    <s v="Home Office"/>
    <s v="Phones"/>
    <n v="3"/>
    <n v="0"/>
    <n v="3.8654999999999973"/>
    <n v="128.85000000000002"/>
  </r>
  <r>
    <s v="United States"/>
    <x v="390"/>
    <s v="Standard Class"/>
    <s v="Consumer"/>
    <s v="Storage"/>
    <n v="5"/>
    <n v="0"/>
    <n v="1.0429999999999984"/>
    <n v="14.9"/>
  </r>
  <r>
    <s v="United States"/>
    <x v="390"/>
    <s v="Standard Class"/>
    <s v="Corporate"/>
    <s v="Paper"/>
    <n v="2"/>
    <n v="0"/>
    <n v="6.2208000000000006"/>
    <n v="12.96"/>
  </r>
  <r>
    <s v="United States"/>
    <x v="390"/>
    <s v="Standard Class"/>
    <s v="Corporate"/>
    <s v="Phones"/>
    <n v="2"/>
    <n v="0"/>
    <n v="1.0597999999999956"/>
    <n v="105.98"/>
  </r>
  <r>
    <s v="United States"/>
    <x v="390"/>
    <s v="Standard Class"/>
    <s v="Corporate"/>
    <s v="Tables"/>
    <n v="7"/>
    <n v="0.3"/>
    <n v="-28.22399999999999"/>
    <n v="493.9199999999999"/>
  </r>
  <r>
    <s v="United States"/>
    <x v="390"/>
    <s v="Standard Class"/>
    <s v="Home Office"/>
    <s v="Accessories"/>
    <n v="4"/>
    <n v="0"/>
    <n v="742.63200000000006"/>
    <n v="1687.8"/>
  </r>
  <r>
    <s v="United States"/>
    <x v="390"/>
    <s v="Standard Class"/>
    <s v="Home Office"/>
    <s v="Binders"/>
    <n v="1"/>
    <n v="0"/>
    <n v="13.983999999999998"/>
    <n v="30.4"/>
  </r>
  <r>
    <s v="United States"/>
    <x v="390"/>
    <s v="Standard Class"/>
    <s v="Home Office"/>
    <s v="Bookcases"/>
    <n v="2"/>
    <n v="0"/>
    <n v="78.650800000000004"/>
    <n v="341.96"/>
  </r>
  <r>
    <s v="United States"/>
    <x v="390"/>
    <s v="Standard Class"/>
    <s v="Home Office"/>
    <s v="Chairs"/>
    <n v="6"/>
    <n v="0"/>
    <n v="151.47000000000003"/>
    <n v="605.88"/>
  </r>
  <r>
    <s v="United States"/>
    <x v="390"/>
    <s v="Standard Class"/>
    <s v="Home Office"/>
    <s v="Copiers"/>
    <n v="9"/>
    <n v="0"/>
    <n v="2591.9567999999999"/>
    <n v="5399.91"/>
  </r>
  <r>
    <s v="United States"/>
    <x v="390"/>
    <s v="Standard Class"/>
    <s v="Home Office"/>
    <s v="Furnishings"/>
    <n v="6"/>
    <n v="0"/>
    <n v="23.898600000000002"/>
    <n v="72.42"/>
  </r>
  <r>
    <s v="United States"/>
    <x v="390"/>
    <s v="Standard Class"/>
    <s v="Home Office"/>
    <s v="Paper"/>
    <n v="7"/>
    <n v="0"/>
    <n v="98.972599999999986"/>
    <n v="210.57999999999998"/>
  </r>
  <r>
    <s v="United States"/>
    <x v="390"/>
    <s v="Standard Class"/>
    <s v="Home Office"/>
    <s v="Phones"/>
    <n v="5"/>
    <n v="0"/>
    <n v="176.38600000000002"/>
    <n v="629.94999999999993"/>
  </r>
  <r>
    <s v="United States"/>
    <x v="390"/>
    <s v="Standard Class"/>
    <s v="Home Office"/>
    <s v="Storage"/>
    <n v="8"/>
    <n v="0"/>
    <n v="616.77099999999996"/>
    <n v="2198.5"/>
  </r>
  <r>
    <s v="United States"/>
    <x v="391"/>
    <s v="Second Class"/>
    <s v="Corporate"/>
    <s v="Binders"/>
    <n v="8"/>
    <n v="0.60000000000000009"/>
    <n v="16.728299999999997"/>
    <n v="48.144000000000005"/>
  </r>
  <r>
    <s v="United States"/>
    <x v="391"/>
    <s v="Second Class"/>
    <s v="Corporate"/>
    <s v="Bookcases"/>
    <n v="3"/>
    <n v="0"/>
    <n v="77.576399999999921"/>
    <n v="1292.94"/>
  </r>
  <r>
    <s v="United States"/>
    <x v="391"/>
    <s v="Second Class"/>
    <s v="Corporate"/>
    <s v="Labels"/>
    <n v="5"/>
    <n v="0"/>
    <n v="7.056"/>
    <n v="14.399999999999999"/>
  </r>
  <r>
    <s v="United States"/>
    <x v="391"/>
    <s v="Second Class"/>
    <s v="Corporate"/>
    <s v="Paper"/>
    <n v="10"/>
    <n v="0"/>
    <n v="90.682199999999995"/>
    <n v="186.85999999999999"/>
  </r>
  <r>
    <s v="United States"/>
    <x v="391"/>
    <s v="Second Class"/>
    <s v="Corporate"/>
    <s v="Storage"/>
    <n v="2"/>
    <n v="0"/>
    <n v="65.435000000000002"/>
    <n v="261.74"/>
  </r>
  <r>
    <s v="United States"/>
    <x v="391"/>
    <s v="Standard Class"/>
    <s v="Consumer"/>
    <s v="Tables"/>
    <n v="5"/>
    <n v="0"/>
    <n v="118.65750000000006"/>
    <n v="912.75"/>
  </r>
  <r>
    <s v="United States"/>
    <x v="391"/>
    <s v="Standard Class"/>
    <s v="Home Office"/>
    <s v="Supplies"/>
    <n v="5"/>
    <n v="0"/>
    <n v="12.432000000000002"/>
    <n v="44.400000000000006"/>
  </r>
  <r>
    <s v="United States"/>
    <x v="392"/>
    <s v="First Class"/>
    <s v="Corporate"/>
    <s v="Art"/>
    <n v="1"/>
    <n v="0.2"/>
    <n v="0.89459999999999995"/>
    <n v="3.4079999999999999"/>
  </r>
  <r>
    <s v="United States"/>
    <x v="392"/>
    <s v="First Class"/>
    <s v="Home Office"/>
    <s v="Accessories"/>
    <n v="5"/>
    <n v="0.2"/>
    <n v="0.84950000000000259"/>
    <n v="67.959999999999994"/>
  </r>
  <r>
    <s v="United States"/>
    <x v="392"/>
    <s v="First Class"/>
    <s v="Home Office"/>
    <s v="Binders"/>
    <n v="8"/>
    <n v="1.4"/>
    <n v="-24.101600000000001"/>
    <n v="29.880000000000006"/>
  </r>
  <r>
    <s v="United States"/>
    <x v="392"/>
    <s v="First Class"/>
    <s v="Home Office"/>
    <s v="Machines"/>
    <n v="6"/>
    <n v="0.7"/>
    <n v="-938.28"/>
    <n v="703.71"/>
  </r>
  <r>
    <s v="United States"/>
    <x v="392"/>
    <s v="Same Day"/>
    <s v="Consumer"/>
    <s v="Binders"/>
    <n v="9"/>
    <n v="1.4"/>
    <n v="-24.907199999999996"/>
    <n v="36.252000000000002"/>
  </r>
  <r>
    <s v="United States"/>
    <x v="392"/>
    <s v="Standard Class"/>
    <s v="Consumer"/>
    <s v="Appliances"/>
    <n v="13"/>
    <n v="0.2"/>
    <n v="84.572799999999944"/>
    <n v="845.72799999999995"/>
  </r>
  <r>
    <s v="United States"/>
    <x v="393"/>
    <s v="First Class"/>
    <s v="Consumer"/>
    <s v="Binders"/>
    <n v="2"/>
    <n v="0.8"/>
    <n v="-3.2406000000000006"/>
    <n v="1.9639999999999995"/>
  </r>
  <r>
    <s v="United States"/>
    <x v="393"/>
    <s v="First Class"/>
    <s v="Corporate"/>
    <s v="Binders"/>
    <n v="9"/>
    <n v="0.8"/>
    <n v="-5.1840000000000011"/>
    <n v="3.2399999999999993"/>
  </r>
  <r>
    <s v="United States"/>
    <x v="393"/>
    <s v="First Class"/>
    <s v="Corporate"/>
    <s v="Labels"/>
    <n v="4"/>
    <n v="0.2"/>
    <n v="17.759999999999998"/>
    <n v="47.360000000000007"/>
  </r>
  <r>
    <s v="United States"/>
    <x v="393"/>
    <s v="First Class"/>
    <s v="Corporate"/>
    <s v="Paper"/>
    <n v="4"/>
    <n v="0.2"/>
    <n v="30.979999999999993"/>
    <n v="99.13600000000001"/>
  </r>
  <r>
    <s v="United States"/>
    <x v="393"/>
    <s v="First Class"/>
    <s v="Corporate"/>
    <s v="Storage"/>
    <n v="2"/>
    <n v="0.2"/>
    <n v="2.4009999999999998"/>
    <n v="27.439999999999998"/>
  </r>
  <r>
    <s v="United States"/>
    <x v="393"/>
    <s v="Same Day"/>
    <s v="Home Office"/>
    <s v="Furnishings"/>
    <n v="2"/>
    <n v="0"/>
    <n v="14.500999999999991"/>
    <n v="85.3"/>
  </r>
  <r>
    <s v="United States"/>
    <x v="393"/>
    <s v="Second Class"/>
    <s v="Consumer"/>
    <s v="Binders"/>
    <n v="5"/>
    <n v="0"/>
    <n v="13.919999999999998"/>
    <n v="29"/>
  </r>
  <r>
    <s v="United States"/>
    <x v="393"/>
    <s v="Second Class"/>
    <s v="Consumer"/>
    <s v="Fasteners"/>
    <n v="4"/>
    <n v="0"/>
    <n v="5.2559999999999993"/>
    <n v="11.68"/>
  </r>
  <r>
    <s v="United States"/>
    <x v="393"/>
    <s v="Second Class"/>
    <s v="Consumer"/>
    <s v="Paper"/>
    <n v="12"/>
    <n v="0"/>
    <n v="96.948300000000003"/>
    <n v="204.51"/>
  </r>
  <r>
    <s v="United States"/>
    <x v="393"/>
    <s v="Second Class"/>
    <s v="Consumer"/>
    <s v="Phones"/>
    <n v="3"/>
    <n v="0"/>
    <n v="28.785599999999995"/>
    <n v="59.97"/>
  </r>
  <r>
    <s v="United States"/>
    <x v="393"/>
    <s v="Second Class"/>
    <s v="Consumer"/>
    <s v="Tables"/>
    <n v="1"/>
    <n v="0.3"/>
    <n v="20.966999999999999"/>
    <n v="244.61499999999998"/>
  </r>
  <r>
    <s v="United States"/>
    <x v="393"/>
    <s v="Standard Class"/>
    <s v="Consumer"/>
    <s v="Accessories"/>
    <n v="4"/>
    <n v="0.2"/>
    <n v="2.7191999999999901"/>
    <n v="108.76800000000001"/>
  </r>
  <r>
    <s v="United States"/>
    <x v="393"/>
    <s v="Standard Class"/>
    <s v="Consumer"/>
    <s v="Art"/>
    <n v="5"/>
    <n v="0.2"/>
    <n v="1.7115"/>
    <n v="19.559999999999999"/>
  </r>
  <r>
    <s v="United States"/>
    <x v="393"/>
    <s v="Standard Class"/>
    <s v="Consumer"/>
    <s v="Binders"/>
    <n v="4"/>
    <n v="0.8"/>
    <n v="-4.4880000000000013"/>
    <n v="2.9919999999999995"/>
  </r>
  <r>
    <s v="United States"/>
    <x v="393"/>
    <s v="Standard Class"/>
    <s v="Consumer"/>
    <s v="Labels"/>
    <n v="6"/>
    <n v="0.2"/>
    <n v="6.4427999999999992"/>
    <n v="19.824000000000002"/>
  </r>
  <r>
    <s v="United States"/>
    <x v="393"/>
    <s v="Standard Class"/>
    <s v="Consumer"/>
    <s v="Paper"/>
    <n v="5"/>
    <n v="0"/>
    <n v="12.863800000000001"/>
    <n v="27.64"/>
  </r>
  <r>
    <s v="United States"/>
    <x v="393"/>
    <s v="Standard Class"/>
    <s v="Home Office"/>
    <s v="Accessories"/>
    <n v="10"/>
    <n v="0"/>
    <n v="93.203999999999994"/>
    <n v="258.89999999999998"/>
  </r>
  <r>
    <s v="United States"/>
    <x v="393"/>
    <s v="Standard Class"/>
    <s v="Home Office"/>
    <s v="Paper"/>
    <n v="2"/>
    <n v="0"/>
    <n v="11.543199999999999"/>
    <n v="24.56"/>
  </r>
  <r>
    <s v="United States"/>
    <x v="394"/>
    <s v="First Class"/>
    <s v="Corporate"/>
    <s v="Appliances"/>
    <n v="4"/>
    <n v="0.2"/>
    <n v="94.278400000000033"/>
    <n v="942.78400000000011"/>
  </r>
  <r>
    <s v="United States"/>
    <x v="394"/>
    <s v="First Class"/>
    <s v="Corporate"/>
    <s v="Binders"/>
    <n v="2"/>
    <n v="0.7"/>
    <n v="-2.3136000000000001"/>
    <n v="2.8920000000000008"/>
  </r>
  <r>
    <s v="United States"/>
    <x v="394"/>
    <s v="First Class"/>
    <s v="Corporate"/>
    <s v="Furnishings"/>
    <n v="10"/>
    <n v="0.2"/>
    <n v="45.954000000000008"/>
    <n v="159.84000000000003"/>
  </r>
  <r>
    <s v="United States"/>
    <x v="394"/>
    <s v="First Class"/>
    <s v="Corporate"/>
    <s v="Paper"/>
    <n v="5"/>
    <n v="0.4"/>
    <n v="26.522199999999991"/>
    <n v="83.744"/>
  </r>
  <r>
    <s v="United States"/>
    <x v="394"/>
    <s v="First Class"/>
    <s v="Corporate"/>
    <s v="Phones"/>
    <n v="1"/>
    <n v="0.2"/>
    <n v="8.3519999999999932"/>
    <n v="74.239999999999995"/>
  </r>
  <r>
    <s v="United States"/>
    <x v="394"/>
    <s v="Same Day"/>
    <s v="Consumer"/>
    <s v="Phones"/>
    <n v="9"/>
    <n v="0.2"/>
    <n v="86.392799999999994"/>
    <n v="863.928"/>
  </r>
  <r>
    <s v="United States"/>
    <x v="394"/>
    <s v="Second Class"/>
    <s v="Consumer"/>
    <s v="Chairs"/>
    <n v="4"/>
    <n v="0.2"/>
    <n v="12.177999999999983"/>
    <n v="194.84800000000001"/>
  </r>
  <r>
    <s v="United States"/>
    <x v="394"/>
    <s v="Second Class"/>
    <s v="Consumer"/>
    <s v="Labels"/>
    <n v="2"/>
    <n v="0.2"/>
    <n v="1.6704000000000001"/>
    <n v="4.6079999999999997"/>
  </r>
  <r>
    <s v="United States"/>
    <x v="394"/>
    <s v="Second Class"/>
    <s v="Home Office"/>
    <s v="Furnishings"/>
    <n v="8"/>
    <n v="0.2"/>
    <n v="6.2855999999999987"/>
    <n v="18.624000000000002"/>
  </r>
  <r>
    <s v="United States"/>
    <x v="394"/>
    <s v="Second Class"/>
    <s v="Home Office"/>
    <s v="Phones"/>
    <n v="6"/>
    <n v="0.60000000000000009"/>
    <n v="160.53139999999979"/>
    <n v="1636.6880000000001"/>
  </r>
  <r>
    <s v="United States"/>
    <x v="394"/>
    <s v="Standard Class"/>
    <s v="Consumer"/>
    <s v="Accessories"/>
    <n v="2"/>
    <n v="0.2"/>
    <n v="13.195600000000001"/>
    <n v="47.984000000000002"/>
  </r>
  <r>
    <s v="United States"/>
    <x v="394"/>
    <s v="Standard Class"/>
    <s v="Consumer"/>
    <s v="Art"/>
    <n v="3"/>
    <n v="0.2"/>
    <n v="5.9519999999999946"/>
    <n v="47.616"/>
  </r>
  <r>
    <s v="United States"/>
    <x v="394"/>
    <s v="Standard Class"/>
    <s v="Consumer"/>
    <s v="Binders"/>
    <n v="7"/>
    <n v="0.7"/>
    <n v="-24.662400000000005"/>
    <n v="30.828000000000007"/>
  </r>
  <r>
    <s v="United States"/>
    <x v="394"/>
    <s v="Standard Class"/>
    <s v="Consumer"/>
    <s v="Furnishings"/>
    <n v="3"/>
    <n v="0.2"/>
    <n v="12.114900000000002"/>
    <n v="46.152000000000001"/>
  </r>
  <r>
    <s v="United States"/>
    <x v="394"/>
    <s v="Standard Class"/>
    <s v="Consumer"/>
    <s v="Paper"/>
    <n v="1"/>
    <n v="0.2"/>
    <n v="1.6762000000000001"/>
    <n v="4.6240000000000006"/>
  </r>
  <r>
    <s v="United States"/>
    <x v="394"/>
    <s v="Standard Class"/>
    <s v="Consumer"/>
    <s v="Phones"/>
    <n v="5"/>
    <n v="0.4"/>
    <n v="30.844899999999981"/>
    <n v="286.26400000000001"/>
  </r>
  <r>
    <s v="United States"/>
    <x v="394"/>
    <s v="Standard Class"/>
    <s v="Corporate"/>
    <s v="Appliances"/>
    <n v="1"/>
    <n v="0.2"/>
    <n v="3.6587999999999976"/>
    <n v="48.783999999999999"/>
  </r>
  <r>
    <s v="United States"/>
    <x v="394"/>
    <s v="Standard Class"/>
    <s v="Corporate"/>
    <s v="Binders"/>
    <n v="4"/>
    <n v="0.7"/>
    <n v="-10.037199999999999"/>
    <n v="13.092000000000002"/>
  </r>
  <r>
    <s v="United States"/>
    <x v="395"/>
    <s v="Second Class"/>
    <s v="Consumer"/>
    <s v="Appliances"/>
    <n v="3"/>
    <n v="0"/>
    <n v="41.293800000000005"/>
    <n v="152.94"/>
  </r>
  <r>
    <s v="United States"/>
    <x v="395"/>
    <s v="Standard Class"/>
    <s v="Consumer"/>
    <s v="Binders"/>
    <n v="3"/>
    <n v="0.2"/>
    <n v="11.138399999999999"/>
    <n v="34.271999999999998"/>
  </r>
  <r>
    <s v="United States"/>
    <x v="395"/>
    <s v="Standard Class"/>
    <s v="Consumer"/>
    <s v="Paper"/>
    <n v="6"/>
    <n v="0"/>
    <n v="18.662400000000002"/>
    <n v="38.880000000000003"/>
  </r>
  <r>
    <s v="United States"/>
    <x v="395"/>
    <s v="Standard Class"/>
    <s v="Corporate"/>
    <s v="Labels"/>
    <n v="2"/>
    <n v="0"/>
    <n v="2.6495999999999995"/>
    <n v="5.76"/>
  </r>
  <r>
    <s v="United States"/>
    <x v="396"/>
    <s v="First Class"/>
    <s v="Corporate"/>
    <s v="Binders"/>
    <n v="2"/>
    <n v="0"/>
    <n v="5.0195999999999996"/>
    <n v="10.68"/>
  </r>
  <r>
    <s v="United States"/>
    <x v="396"/>
    <s v="First Class"/>
    <s v="Corporate"/>
    <s v="Bookcases"/>
    <n v="2"/>
    <n v="0"/>
    <n v="39.748800000000003"/>
    <n v="141.96"/>
  </r>
  <r>
    <s v="United States"/>
    <x v="397"/>
    <s v="Second Class"/>
    <s v="Consumer"/>
    <s v="Envelopes"/>
    <n v="3"/>
    <n v="0.2"/>
    <n v="2.8781999999999992"/>
    <n v="8.8559999999999999"/>
  </r>
  <r>
    <s v="United States"/>
    <x v="397"/>
    <s v="Second Class"/>
    <s v="Consumer"/>
    <s v="Furnishings"/>
    <n v="5"/>
    <n v="0.2"/>
    <n v="-30.392000000000024"/>
    <n v="303.92"/>
  </r>
  <r>
    <s v="United States"/>
    <x v="397"/>
    <s v="Second Class"/>
    <s v="Corporate"/>
    <s v="Bookcases"/>
    <n v="4"/>
    <n v="0.5"/>
    <n v="-250.54079999999999"/>
    <n v="521.96"/>
  </r>
  <r>
    <s v="United States"/>
    <x v="397"/>
    <s v="Second Class"/>
    <s v="Corporate"/>
    <s v="Furnishings"/>
    <n v="2"/>
    <n v="0.2"/>
    <n v="7.7896000000000001"/>
    <n v="23.968000000000004"/>
  </r>
  <r>
    <s v="United States"/>
    <x v="397"/>
    <s v="Standard Class"/>
    <s v="Corporate"/>
    <s v="Storage"/>
    <n v="2"/>
    <n v="0.2"/>
    <n v="1.5007999999999999"/>
    <n v="15.008000000000003"/>
  </r>
  <r>
    <s v="United States"/>
    <x v="398"/>
    <s v="Standard Class"/>
    <s v="Consumer"/>
    <s v="Phones"/>
    <n v="3"/>
    <n v="0.2"/>
    <n v="25.018199999999993"/>
    <n v="333.57600000000002"/>
  </r>
  <r>
    <s v="United States"/>
    <x v="399"/>
    <s v="Same Day"/>
    <s v="Consumer"/>
    <s v="Art"/>
    <n v="8"/>
    <n v="0"/>
    <n v="14.712000000000002"/>
    <n v="40.44"/>
  </r>
  <r>
    <s v="United States"/>
    <x v="399"/>
    <s v="Same Day"/>
    <s v="Consumer"/>
    <s v="Binders"/>
    <n v="3"/>
    <n v="0.2"/>
    <n v="124.48499999999999"/>
    <n v="398.35199999999998"/>
  </r>
  <r>
    <s v="United States"/>
    <x v="399"/>
    <s v="Same Day"/>
    <s v="Consumer"/>
    <s v="Bookcases"/>
    <n v="1"/>
    <n v="0.15"/>
    <n v="20.03919999999998"/>
    <n v="425.83300000000003"/>
  </r>
  <r>
    <s v="United States"/>
    <x v="399"/>
    <s v="Same Day"/>
    <s v="Consumer"/>
    <s v="Chairs"/>
    <n v="4"/>
    <n v="0.2"/>
    <n v="20.196000000000012"/>
    <n v="323.13600000000002"/>
  </r>
  <r>
    <s v="United States"/>
    <x v="399"/>
    <s v="Same Day"/>
    <s v="Consumer"/>
    <s v="Fasteners"/>
    <n v="5"/>
    <n v="0"/>
    <n v="8.0269999999999992"/>
    <n v="17.450000000000003"/>
  </r>
  <r>
    <s v="United States"/>
    <x v="399"/>
    <s v="Same Day"/>
    <s v="Consumer"/>
    <s v="Labels"/>
    <n v="3"/>
    <n v="0"/>
    <n v="3.6017999999999999"/>
    <n v="7.83"/>
  </r>
  <r>
    <s v="United States"/>
    <x v="399"/>
    <s v="Same Day"/>
    <s v="Consumer"/>
    <s v="Paper"/>
    <n v="6"/>
    <n v="0"/>
    <n v="22.845599999999997"/>
    <n v="49.88"/>
  </r>
  <r>
    <s v="United States"/>
    <x v="399"/>
    <s v="Same Day"/>
    <s v="Consumer"/>
    <s v="Phones"/>
    <n v="4"/>
    <n v="0.2"/>
    <n v="145.78199999999993"/>
    <n v="1295.8400000000001"/>
  </r>
  <r>
    <s v="United States"/>
    <x v="399"/>
    <s v="Same Day"/>
    <s v="Consumer"/>
    <s v="Storage"/>
    <n v="5"/>
    <n v="0"/>
    <n v="26.5383"/>
    <n v="98.289999999999992"/>
  </r>
  <r>
    <s v="United States"/>
    <x v="399"/>
    <s v="Same Day"/>
    <s v="Consumer"/>
    <s v="Supplies"/>
    <n v="3"/>
    <n v="0"/>
    <n v="8.0190000000000001"/>
    <n v="29.700000000000003"/>
  </r>
  <r>
    <s v="United States"/>
    <x v="399"/>
    <s v="Standard Class"/>
    <s v="Consumer"/>
    <s v="Art"/>
    <n v="9"/>
    <n v="0"/>
    <n v="48.964500000000001"/>
    <n v="181.35"/>
  </r>
  <r>
    <s v="United States"/>
    <x v="399"/>
    <s v="Standard Class"/>
    <s v="Consumer"/>
    <s v="Labels"/>
    <n v="3"/>
    <n v="0"/>
    <n v="4.2336"/>
    <n v="8.64"/>
  </r>
  <r>
    <s v="United States"/>
    <x v="399"/>
    <s v="Standard Class"/>
    <s v="Corporate"/>
    <s v="Envelopes"/>
    <n v="7"/>
    <n v="0"/>
    <n v="6.7115999999999989"/>
    <n v="14.280000000000001"/>
  </r>
  <r>
    <s v="United States"/>
    <x v="400"/>
    <s v="First Class"/>
    <s v="Corporate"/>
    <s v="Binders"/>
    <n v="7"/>
    <n v="0.7"/>
    <n v="-58.71599999999998"/>
    <n v="88.074000000000012"/>
  </r>
  <r>
    <s v="United States"/>
    <x v="400"/>
    <s v="Standard Class"/>
    <s v="Consumer"/>
    <s v="Accessories"/>
    <n v="1"/>
    <n v="0"/>
    <n v="6.796599999999998"/>
    <n v="19.989999999999998"/>
  </r>
  <r>
    <s v="United States"/>
    <x v="400"/>
    <s v="Standard Class"/>
    <s v="Consumer"/>
    <s v="Appliances"/>
    <n v="4"/>
    <n v="0.2"/>
    <n v="15.015599999999985"/>
    <n v="133.47200000000001"/>
  </r>
  <r>
    <s v="United States"/>
    <x v="400"/>
    <s v="Standard Class"/>
    <s v="Consumer"/>
    <s v="Binders"/>
    <n v="15"/>
    <n v="0.89999999999999991"/>
    <n v="-17.033999999999992"/>
    <n v="54.24"/>
  </r>
  <r>
    <s v="United States"/>
    <x v="400"/>
    <s v="Standard Class"/>
    <s v="Consumer"/>
    <s v="Furnishings"/>
    <n v="5"/>
    <n v="0.4"/>
    <n v="7.949600000000002"/>
    <n v="34.624000000000002"/>
  </r>
  <r>
    <s v="United States"/>
    <x v="400"/>
    <s v="Standard Class"/>
    <s v="Consumer"/>
    <s v="Phones"/>
    <n v="11"/>
    <n v="0.4"/>
    <n v="6.869800000000005"/>
    <n v="578.31200000000013"/>
  </r>
  <r>
    <s v="United States"/>
    <x v="400"/>
    <s v="Standard Class"/>
    <s v="Corporate"/>
    <s v="Tables"/>
    <n v="5"/>
    <n v="0.5"/>
    <n v="-120.51299999999998"/>
    <n v="177.22499999999999"/>
  </r>
  <r>
    <s v="United States"/>
    <x v="400"/>
    <s v="Standard Class"/>
    <s v="Home Office"/>
    <s v="Labels"/>
    <n v="4"/>
    <n v="0"/>
    <n v="5.9135999999999997"/>
    <n v="12.32"/>
  </r>
  <r>
    <s v="United States"/>
    <x v="401"/>
    <s v="First Class"/>
    <s v="Consumer"/>
    <s v="Binders"/>
    <n v="2"/>
    <n v="0.2"/>
    <n v="3.9419999999999993"/>
    <n v="11.68"/>
  </r>
  <r>
    <s v="United States"/>
    <x v="401"/>
    <s v="First Class"/>
    <s v="Consumer"/>
    <s v="Fasteners"/>
    <n v="2"/>
    <n v="0"/>
    <n v="1.7876000000000003"/>
    <n v="4.3600000000000003"/>
  </r>
  <r>
    <s v="United States"/>
    <x v="401"/>
    <s v="First Class"/>
    <s v="Consumer"/>
    <s v="Paper"/>
    <n v="2"/>
    <n v="0"/>
    <n v="46.118399999999994"/>
    <n v="96.08"/>
  </r>
  <r>
    <s v="United States"/>
    <x v="401"/>
    <s v="Standard Class"/>
    <s v="Consumer"/>
    <s v="Envelopes"/>
    <n v="1"/>
    <n v="0"/>
    <n v="3.7435999999999998"/>
    <n v="7.64"/>
  </r>
  <r>
    <s v="United States"/>
    <x v="401"/>
    <s v="Standard Class"/>
    <s v="Corporate"/>
    <s v="Binders"/>
    <n v="7"/>
    <n v="0.2"/>
    <n v="6.5569000000000006"/>
    <n v="18.088000000000001"/>
  </r>
  <r>
    <s v="United States"/>
    <x v="401"/>
    <s v="Standard Class"/>
    <s v="Corporate"/>
    <s v="Bookcases"/>
    <n v="3"/>
    <n v="0.15"/>
    <n v="-18.146999999999998"/>
    <n v="308.49900000000002"/>
  </r>
  <r>
    <s v="United States"/>
    <x v="401"/>
    <s v="Standard Class"/>
    <s v="Corporate"/>
    <s v="Phones"/>
    <n v="18"/>
    <n v="0.4"/>
    <n v="132.42739999999995"/>
    <n v="1513.4560000000001"/>
  </r>
  <r>
    <s v="United States"/>
    <x v="402"/>
    <s v="Standard Class"/>
    <s v="Corporate"/>
    <s v="Binders"/>
    <n v="6"/>
    <n v="0.2"/>
    <n v="14.142599999999996"/>
    <n v="41.904000000000003"/>
  </r>
  <r>
    <s v="United States"/>
    <x v="403"/>
    <s v="Same Day"/>
    <s v="Home Office"/>
    <s v="Phones"/>
    <n v="7"/>
    <n v="0.2"/>
    <n v="59.492999999999952"/>
    <n v="475.94400000000002"/>
  </r>
  <r>
    <s v="United States"/>
    <x v="403"/>
    <s v="Standard Class"/>
    <s v="Corporate"/>
    <s v="Art"/>
    <n v="2"/>
    <n v="0"/>
    <n v="1.6379999999999999"/>
    <n v="3.64"/>
  </r>
  <r>
    <s v="United States"/>
    <x v="403"/>
    <s v="Standard Class"/>
    <s v="Corporate"/>
    <s v="Binders"/>
    <n v="7"/>
    <n v="0.2"/>
    <n v="53.921700000000008"/>
    <n v="159.768"/>
  </r>
  <r>
    <s v="United States"/>
    <x v="403"/>
    <s v="Standard Class"/>
    <s v="Home Office"/>
    <s v="Fasteners"/>
    <n v="1"/>
    <n v="0"/>
    <n v="0"/>
    <n v="4.71"/>
  </r>
  <r>
    <s v="United States"/>
    <x v="404"/>
    <s v="Standard Class"/>
    <s v="Consumer"/>
    <s v="Binders"/>
    <n v="5"/>
    <n v="0.2"/>
    <n v="56.55"/>
    <n v="150.80000000000001"/>
  </r>
  <r>
    <s v="United States"/>
    <x v="404"/>
    <s v="Standard Class"/>
    <s v="Consumer"/>
    <s v="Machines"/>
    <n v="1"/>
    <n v="0.2"/>
    <n v="103.99920000000003"/>
    <n v="1039.992"/>
  </r>
  <r>
    <s v="United States"/>
    <x v="404"/>
    <s v="Standard Class"/>
    <s v="Consumer"/>
    <s v="Paper"/>
    <n v="8"/>
    <n v="0"/>
    <n v="24.883200000000002"/>
    <n v="51.84"/>
  </r>
  <r>
    <s v="United States"/>
    <x v="405"/>
    <s v="Standard Class"/>
    <s v="Corporate"/>
    <s v="Appliances"/>
    <n v="2"/>
    <n v="0"/>
    <n v="16.1096"/>
    <n v="61.96"/>
  </r>
  <r>
    <s v="United States"/>
    <x v="405"/>
    <s v="Standard Class"/>
    <s v="Corporate"/>
    <s v="Binders"/>
    <n v="2"/>
    <n v="0"/>
    <n v="3.0575999999999999"/>
    <n v="6.24"/>
  </r>
  <r>
    <s v="United States"/>
    <x v="405"/>
    <s v="Standard Class"/>
    <s v="Corporate"/>
    <s v="Bookcases"/>
    <n v="2"/>
    <n v="0"/>
    <n v="83.25079999999997"/>
    <n v="361.96"/>
  </r>
  <r>
    <s v="United States"/>
    <x v="405"/>
    <s v="Standard Class"/>
    <s v="Corporate"/>
    <s v="Paper"/>
    <n v="9"/>
    <n v="0"/>
    <n v="125.46899999999999"/>
    <n v="278.82"/>
  </r>
  <r>
    <s v="United States"/>
    <x v="405"/>
    <s v="Standard Class"/>
    <s v="Corporate"/>
    <s v="Storage"/>
    <n v="4"/>
    <n v="0"/>
    <n v="2.6783999999999963"/>
    <n v="66.959999999999994"/>
  </r>
  <r>
    <s v="United States"/>
    <x v="405"/>
    <s v="Standard Class"/>
    <s v="Home Office"/>
    <s v="Binders"/>
    <n v="2"/>
    <n v="0"/>
    <n v="18.940000000000001"/>
    <n v="37.880000000000003"/>
  </r>
  <r>
    <s v="United States"/>
    <x v="405"/>
    <s v="Standard Class"/>
    <s v="Home Office"/>
    <s v="Paper"/>
    <n v="3"/>
    <n v="0"/>
    <n v="9.3312000000000008"/>
    <n v="19.440000000000001"/>
  </r>
  <r>
    <s v="United States"/>
    <x v="406"/>
    <s v="First Class"/>
    <s v="Corporate"/>
    <s v="Furnishings"/>
    <n v="5"/>
    <n v="0.6"/>
    <n v="-147.96300000000002"/>
    <n v="190.92"/>
  </r>
  <r>
    <s v="United States"/>
    <x v="406"/>
    <s v="First Class"/>
    <s v="Corporate"/>
    <s v="Phones"/>
    <n v="7"/>
    <n v="0.2"/>
    <n v="123.47369999999989"/>
    <n v="1097.5440000000003"/>
  </r>
  <r>
    <s v="United States"/>
    <x v="407"/>
    <s v="First Class"/>
    <s v="Consumer"/>
    <s v="Appliances"/>
    <n v="4"/>
    <n v="0"/>
    <n v="56.352799999999974"/>
    <n v="194.32"/>
  </r>
  <r>
    <s v="United States"/>
    <x v="407"/>
    <s v="First Class"/>
    <s v="Consumer"/>
    <s v="Furnishings"/>
    <n v="4"/>
    <n v="0"/>
    <n v="11.177600000000002"/>
    <n v="39.92"/>
  </r>
  <r>
    <s v="United States"/>
    <x v="407"/>
    <s v="First Class"/>
    <s v="Corporate"/>
    <s v="Paper"/>
    <n v="3"/>
    <n v="0"/>
    <n v="16.670400000000001"/>
    <n v="36.24"/>
  </r>
  <r>
    <s v="United States"/>
    <x v="407"/>
    <s v="First Class"/>
    <s v="Home Office"/>
    <s v="Accessories"/>
    <n v="2"/>
    <n v="0"/>
    <n v="4.3623999999999974"/>
    <n v="22.96"/>
  </r>
  <r>
    <s v="United States"/>
    <x v="407"/>
    <s v="First Class"/>
    <s v="Home Office"/>
    <s v="Binders"/>
    <n v="3"/>
    <n v="0"/>
    <n v="7.1345999999999989"/>
    <n v="15.18"/>
  </r>
  <r>
    <s v="United States"/>
    <x v="407"/>
    <s v="First Class"/>
    <s v="Home Office"/>
    <s v="Chairs"/>
    <n v="1"/>
    <n v="0"/>
    <n v="9.1637999999999984"/>
    <n v="33.94"/>
  </r>
  <r>
    <s v="United States"/>
    <x v="407"/>
    <s v="First Class"/>
    <s v="Home Office"/>
    <s v="Envelopes"/>
    <n v="5"/>
    <n v="0"/>
    <n v="17.472000000000001"/>
    <n v="36.4"/>
  </r>
  <r>
    <s v="United States"/>
    <x v="407"/>
    <s v="First Class"/>
    <s v="Home Office"/>
    <s v="Labels"/>
    <n v="8"/>
    <n v="0"/>
    <n v="14.399999999999999"/>
    <n v="30"/>
  </r>
  <r>
    <s v="United States"/>
    <x v="407"/>
    <s v="First Class"/>
    <s v="Home Office"/>
    <s v="Storage"/>
    <n v="11"/>
    <n v="0"/>
    <n v="10.543200000000024"/>
    <n v="421.18"/>
  </r>
  <r>
    <s v="United States"/>
    <x v="407"/>
    <s v="First Class"/>
    <s v="Home Office"/>
    <s v="Supplies"/>
    <n v="2"/>
    <n v="0"/>
    <n v="10.517999999999997"/>
    <n v="35.06"/>
  </r>
  <r>
    <s v="United States"/>
    <x v="407"/>
    <s v="Second Class"/>
    <s v="Consumer"/>
    <s v="Accessories"/>
    <n v="5"/>
    <n v="0"/>
    <n v="48.328499999999991"/>
    <n v="146.44999999999999"/>
  </r>
  <r>
    <s v="United States"/>
    <x v="407"/>
    <s v="Second Class"/>
    <s v="Consumer"/>
    <s v="Appliances"/>
    <n v="5"/>
    <n v="0"/>
    <n v="62.32099999999997"/>
    <n v="214.89999999999998"/>
  </r>
  <r>
    <s v="United States"/>
    <x v="407"/>
    <s v="Second Class"/>
    <s v="Consumer"/>
    <s v="Art"/>
    <n v="2"/>
    <n v="0"/>
    <n v="1.9023999999999992"/>
    <n v="6.56"/>
  </r>
  <r>
    <s v="United States"/>
    <x v="407"/>
    <s v="Second Class"/>
    <s v="Consumer"/>
    <s v="Binders"/>
    <n v="12"/>
    <n v="0"/>
    <n v="35.434400000000004"/>
    <n v="74.400000000000006"/>
  </r>
  <r>
    <s v="United States"/>
    <x v="407"/>
    <s v="Second Class"/>
    <s v="Consumer"/>
    <s v="Copiers"/>
    <n v="2"/>
    <n v="0"/>
    <n v="629.99099999999999"/>
    <n v="1399.98"/>
  </r>
  <r>
    <s v="United States"/>
    <x v="407"/>
    <s v="Second Class"/>
    <s v="Consumer"/>
    <s v="Labels"/>
    <n v="4"/>
    <n v="0"/>
    <n v="6.4491999999999994"/>
    <n v="14.02"/>
  </r>
  <r>
    <s v="United States"/>
    <x v="407"/>
    <s v="Second Class"/>
    <s v="Consumer"/>
    <s v="Paper"/>
    <n v="9"/>
    <n v="0"/>
    <n v="23.896599999999999"/>
    <n v="51.62"/>
  </r>
  <r>
    <s v="United States"/>
    <x v="407"/>
    <s v="Second Class"/>
    <s v="Consumer"/>
    <s v="Phones"/>
    <n v="5"/>
    <n v="0"/>
    <n v="55.647000000000006"/>
    <n v="206.1"/>
  </r>
  <r>
    <s v="United States"/>
    <x v="407"/>
    <s v="Second Class"/>
    <s v="Consumer"/>
    <s v="Storage"/>
    <n v="4"/>
    <n v="0"/>
    <n v="10.593800000000019"/>
    <n v="348.08"/>
  </r>
  <r>
    <s v="United States"/>
    <x v="407"/>
    <s v="Second Class"/>
    <s v="Consumer"/>
    <s v="Tables"/>
    <n v="2"/>
    <n v="0"/>
    <n v="58.419999999999987"/>
    <n v="292.10000000000002"/>
  </r>
  <r>
    <s v="United States"/>
    <x v="407"/>
    <s v="Second Class"/>
    <s v="Corporate"/>
    <s v="Accessories"/>
    <n v="2"/>
    <n v="0"/>
    <n v="14.172800000000002"/>
    <n v="32.96"/>
  </r>
  <r>
    <s v="United States"/>
    <x v="407"/>
    <s v="Second Class"/>
    <s v="Corporate"/>
    <s v="Appliances"/>
    <n v="10"/>
    <n v="0"/>
    <n v="732.65909999999985"/>
    <n v="2251.3099999999995"/>
  </r>
  <r>
    <s v="United States"/>
    <x v="407"/>
    <s v="Second Class"/>
    <s v="Corporate"/>
    <s v="Paper"/>
    <n v="13"/>
    <n v="0"/>
    <n v="102.18579999999999"/>
    <n v="218.54"/>
  </r>
  <r>
    <s v="United States"/>
    <x v="407"/>
    <s v="Second Class"/>
    <s v="Corporate"/>
    <s v="Phones"/>
    <n v="3"/>
    <n v="0"/>
    <n v="164.63160000000005"/>
    <n v="587.97"/>
  </r>
  <r>
    <s v="United States"/>
    <x v="407"/>
    <s v="Second Class"/>
    <s v="Corporate"/>
    <s v="Storage"/>
    <n v="5"/>
    <n v="0"/>
    <n v="207.14699999999993"/>
    <n v="714.30000000000007"/>
  </r>
  <r>
    <s v="United States"/>
    <x v="407"/>
    <s v="Second Class"/>
    <s v="Corporate"/>
    <s v="Supplies"/>
    <n v="5"/>
    <n v="0"/>
    <n v="11.802999999999999"/>
    <n v="40.700000000000003"/>
  </r>
  <r>
    <s v="United States"/>
    <x v="407"/>
    <s v="Standard Class"/>
    <s v="Consumer"/>
    <s v="Appliances"/>
    <n v="16"/>
    <n v="0"/>
    <n v="78.397199999999998"/>
    <n v="275.14"/>
  </r>
  <r>
    <s v="United States"/>
    <x v="407"/>
    <s v="Standard Class"/>
    <s v="Consumer"/>
    <s v="Binders"/>
    <n v="22"/>
    <n v="0"/>
    <n v="155.21940000000001"/>
    <n v="327.35000000000002"/>
  </r>
  <r>
    <s v="United States"/>
    <x v="407"/>
    <s v="Standard Class"/>
    <s v="Consumer"/>
    <s v="Chairs"/>
    <n v="9"/>
    <n v="0"/>
    <n v="318.2328"/>
    <n v="1300.3"/>
  </r>
  <r>
    <s v="United States"/>
    <x v="407"/>
    <s v="Standard Class"/>
    <s v="Consumer"/>
    <s v="Furnishings"/>
    <n v="13"/>
    <n v="0"/>
    <n v="52.777999999999992"/>
    <n v="170.81"/>
  </r>
  <r>
    <s v="United States"/>
    <x v="407"/>
    <s v="Standard Class"/>
    <s v="Consumer"/>
    <s v="Labels"/>
    <n v="3"/>
    <n v="0"/>
    <n v="144.51570000000001"/>
    <n v="294.93"/>
  </r>
  <r>
    <s v="United States"/>
    <x v="407"/>
    <s v="Standard Class"/>
    <s v="Consumer"/>
    <s v="Paper"/>
    <n v="8"/>
    <n v="0"/>
    <n v="26.472000000000001"/>
    <n v="54.240000000000009"/>
  </r>
  <r>
    <s v="United States"/>
    <x v="407"/>
    <s v="Standard Class"/>
    <s v="Consumer"/>
    <s v="Phones"/>
    <n v="17"/>
    <n v="0"/>
    <n v="374.22560000000004"/>
    <n v="1204.83"/>
  </r>
  <r>
    <s v="United States"/>
    <x v="407"/>
    <s v="Standard Class"/>
    <s v="Consumer"/>
    <s v="Storage"/>
    <n v="6"/>
    <n v="0"/>
    <n v="52.101900000000008"/>
    <n v="192.96999999999997"/>
  </r>
  <r>
    <s v="United States"/>
    <x v="407"/>
    <s v="Standard Class"/>
    <s v="Consumer"/>
    <s v="Tables"/>
    <n v="2"/>
    <n v="0"/>
    <n v="104.75279999999998"/>
    <n v="581.96"/>
  </r>
  <r>
    <s v="United States"/>
    <x v="407"/>
    <s v="Standard Class"/>
    <s v="Corporate"/>
    <s v="Accessories"/>
    <n v="3"/>
    <n v="0"/>
    <n v="22.4316"/>
    <n v="62.31"/>
  </r>
  <r>
    <s v="United States"/>
    <x v="407"/>
    <s v="Standard Class"/>
    <s v="Corporate"/>
    <s v="Art"/>
    <n v="6"/>
    <n v="0"/>
    <n v="3.1097999999999999"/>
    <n v="11.1"/>
  </r>
  <r>
    <s v="United States"/>
    <x v="407"/>
    <s v="Standard Class"/>
    <s v="Corporate"/>
    <s v="Binders"/>
    <n v="16"/>
    <n v="0"/>
    <n v="77.971599999999995"/>
    <n v="161.97999999999999"/>
  </r>
  <r>
    <s v="United States"/>
    <x v="407"/>
    <s v="Standard Class"/>
    <s v="Corporate"/>
    <s v="Envelopes"/>
    <n v="6"/>
    <n v="0"/>
    <n v="29.449199999999998"/>
    <n v="64.02"/>
  </r>
  <r>
    <s v="United States"/>
    <x v="407"/>
    <s v="Standard Class"/>
    <s v="Corporate"/>
    <s v="Furnishings"/>
    <n v="4"/>
    <n v="0"/>
    <n v="6.9087999999999994"/>
    <n v="20.32"/>
  </r>
  <r>
    <s v="United States"/>
    <x v="407"/>
    <s v="Standard Class"/>
    <s v="Corporate"/>
    <s v="Paper"/>
    <n v="10"/>
    <n v="0"/>
    <n v="310.92919999999998"/>
    <n v="648.49999999999989"/>
  </r>
  <r>
    <s v="United States"/>
    <x v="407"/>
    <s v="Standard Class"/>
    <s v="Corporate"/>
    <s v="Phones"/>
    <n v="1"/>
    <n v="0"/>
    <n v="9.9873000000000012"/>
    <n v="36.99"/>
  </r>
  <r>
    <s v="United States"/>
    <x v="407"/>
    <s v="Standard Class"/>
    <s v="Corporate"/>
    <s v="Storage"/>
    <n v="5"/>
    <n v="0"/>
    <n v="29.163099999999986"/>
    <n v="263.47000000000003"/>
  </r>
  <r>
    <s v="United States"/>
    <x v="407"/>
    <s v="Standard Class"/>
    <s v="Home Office"/>
    <s v="Accessories"/>
    <n v="8"/>
    <n v="0"/>
    <n v="72.857200000000006"/>
    <n v="171.92000000000002"/>
  </r>
  <r>
    <s v="United States"/>
    <x v="407"/>
    <s v="Standard Class"/>
    <s v="Home Office"/>
    <s v="Art"/>
    <n v="1"/>
    <n v="0"/>
    <n v="2.6416000000000004"/>
    <n v="10.16"/>
  </r>
  <r>
    <s v="United States"/>
    <x v="407"/>
    <s v="Standard Class"/>
    <s v="Home Office"/>
    <s v="Binders"/>
    <n v="1"/>
    <n v="0"/>
    <n v="1.4112"/>
    <n v="2.88"/>
  </r>
  <r>
    <s v="United States"/>
    <x v="407"/>
    <s v="Standard Class"/>
    <s v="Home Office"/>
    <s v="Chairs"/>
    <n v="3"/>
    <n v="0"/>
    <n v="240.29399999999995"/>
    <n v="828.59999999999991"/>
  </r>
  <r>
    <s v="United States"/>
    <x v="407"/>
    <s v="Standard Class"/>
    <s v="Home Office"/>
    <s v="Envelopes"/>
    <n v="6"/>
    <n v="0"/>
    <n v="50.94"/>
    <n v="101.88"/>
  </r>
  <r>
    <s v="United States"/>
    <x v="407"/>
    <s v="Standard Class"/>
    <s v="Home Office"/>
    <s v="Fasteners"/>
    <n v="2"/>
    <n v="0"/>
    <n v="0.1008"/>
    <n v="2.52"/>
  </r>
  <r>
    <s v="United States"/>
    <x v="407"/>
    <s v="Standard Class"/>
    <s v="Home Office"/>
    <s v="Furnishings"/>
    <n v="4"/>
    <n v="0"/>
    <n v="18.4176"/>
    <n v="46.42"/>
  </r>
  <r>
    <s v="United States"/>
    <x v="407"/>
    <s v="Standard Class"/>
    <s v="Home Office"/>
    <s v="Paper"/>
    <n v="1"/>
    <n v="0"/>
    <n v="5.5565999999999995"/>
    <n v="11.34"/>
  </r>
  <r>
    <s v="United States"/>
    <x v="407"/>
    <s v="Standard Class"/>
    <s v="Home Office"/>
    <s v="Phones"/>
    <n v="10"/>
    <n v="0"/>
    <n v="589.73479999999972"/>
    <n v="2037.74"/>
  </r>
  <r>
    <s v="United States"/>
    <x v="407"/>
    <s v="Standard Class"/>
    <s v="Home Office"/>
    <s v="Storage"/>
    <n v="19"/>
    <n v="0"/>
    <n v="398.20639999999992"/>
    <n v="1530.1200000000001"/>
  </r>
  <r>
    <s v="United States"/>
    <x v="407"/>
    <s v="Standard Class"/>
    <s v="Home Office"/>
    <s v="Tables"/>
    <n v="3"/>
    <n v="0"/>
    <n v="67.064400000000006"/>
    <n v="257.94"/>
  </r>
  <r>
    <s v="United States"/>
    <x v="408"/>
    <s v="Standard Class"/>
    <s v="Consumer"/>
    <s v="Chairs"/>
    <n v="7"/>
    <n v="0.4"/>
    <n v="119.58779999999994"/>
    <n v="1114.192"/>
  </r>
  <r>
    <s v="United States"/>
    <x v="409"/>
    <s v="First Class"/>
    <s v="Consumer"/>
    <s v="Binders"/>
    <n v="1"/>
    <n v="0.2"/>
    <n v="1.3944000000000001"/>
    <n v="3.9840000000000004"/>
  </r>
  <r>
    <s v="United States"/>
    <x v="409"/>
    <s v="First Class"/>
    <s v="Corporate"/>
    <s v="Accessories"/>
    <n v="2"/>
    <n v="0"/>
    <n v="15.098399999999998"/>
    <n v="41.94"/>
  </r>
  <r>
    <s v="United States"/>
    <x v="409"/>
    <s v="First Class"/>
    <s v="Corporate"/>
    <s v="Art"/>
    <n v="4"/>
    <n v="0"/>
    <n v="3.8047999999999984"/>
    <n v="13.12"/>
  </r>
  <r>
    <s v="United States"/>
    <x v="409"/>
    <s v="First Class"/>
    <s v="Corporate"/>
    <s v="Paper"/>
    <n v="2"/>
    <n v="0"/>
    <n v="5.8604000000000003"/>
    <n v="11.96"/>
  </r>
  <r>
    <s v="United States"/>
    <x v="409"/>
    <s v="First Class"/>
    <s v="Corporate"/>
    <s v="Storage"/>
    <n v="3"/>
    <n v="0"/>
    <n v="160.62299999999993"/>
    <n v="535.41"/>
  </r>
  <r>
    <s v="United States"/>
    <x v="409"/>
    <s v="Same Day"/>
    <s v="Corporate"/>
    <s v="Appliances"/>
    <n v="2"/>
    <n v="0"/>
    <n v="13.787999999999997"/>
    <n v="45.96"/>
  </r>
  <r>
    <s v="United States"/>
    <x v="409"/>
    <s v="Same Day"/>
    <s v="Corporate"/>
    <s v="Paper"/>
    <n v="2"/>
    <n v="0"/>
    <n v="6.2208000000000006"/>
    <n v="12.96"/>
  </r>
  <r>
    <s v="United States"/>
    <x v="409"/>
    <s v="Same Day"/>
    <s v="Corporate"/>
    <s v="Phones"/>
    <n v="2"/>
    <n v="0.2"/>
    <n v="90.976200000000063"/>
    <n v="1039.7280000000001"/>
  </r>
  <r>
    <s v="United States"/>
    <x v="409"/>
    <s v="Same Day"/>
    <s v="Home Office"/>
    <s v="Art"/>
    <n v="3"/>
    <n v="0"/>
    <n v="2.1060000000000008"/>
    <n v="7.8000000000000007"/>
  </r>
  <r>
    <s v="United States"/>
    <x v="409"/>
    <s v="Standard Class"/>
    <s v="Consumer"/>
    <s v="Art"/>
    <n v="3"/>
    <n v="0"/>
    <n v="3.2471999999999994"/>
    <n v="9.84"/>
  </r>
  <r>
    <s v="United States"/>
    <x v="409"/>
    <s v="Standard Class"/>
    <s v="Consumer"/>
    <s v="Paper"/>
    <n v="3"/>
    <n v="0"/>
    <n v="11.230799999999999"/>
    <n v="22.919999999999998"/>
  </r>
  <r>
    <s v="United States"/>
    <x v="409"/>
    <s v="Standard Class"/>
    <s v="Corporate"/>
    <s v="Appliances"/>
    <n v="4"/>
    <n v="0"/>
    <n v="34.964799999999997"/>
    <n v="134.47999999999999"/>
  </r>
  <r>
    <s v="United States"/>
    <x v="409"/>
    <s v="Standard Class"/>
    <s v="Corporate"/>
    <s v="Paper"/>
    <n v="2"/>
    <n v="0"/>
    <n v="6.2208000000000006"/>
    <n v="12.96"/>
  </r>
  <r>
    <s v="United States"/>
    <x v="409"/>
    <s v="Standard Class"/>
    <s v="Home Office"/>
    <s v="Binders"/>
    <n v="7"/>
    <n v="0.2"/>
    <n v="19.193999999999999"/>
    <n v="51.184000000000012"/>
  </r>
  <r>
    <s v="United States"/>
    <x v="410"/>
    <s v="First Class"/>
    <s v="Consumer"/>
    <s v="Art"/>
    <n v="2"/>
    <n v="0"/>
    <n v="4.9431999999999992"/>
    <n v="13.36"/>
  </r>
  <r>
    <s v="United States"/>
    <x v="410"/>
    <s v="First Class"/>
    <s v="Consumer"/>
    <s v="Binders"/>
    <n v="2"/>
    <n v="0.2"/>
    <n v="89.954799999999992"/>
    <n v="276.78400000000005"/>
  </r>
  <r>
    <s v="United States"/>
    <x v="410"/>
    <s v="First Class"/>
    <s v="Consumer"/>
    <s v="Paper"/>
    <n v="2"/>
    <n v="0"/>
    <n v="6.2208000000000006"/>
    <n v="12.96"/>
  </r>
  <r>
    <s v="United States"/>
    <x v="410"/>
    <s v="First Class"/>
    <s v="Consumer"/>
    <s v="Phones"/>
    <n v="7"/>
    <n v="0"/>
    <n v="172.06080000000003"/>
    <n v="623.92999999999995"/>
  </r>
  <r>
    <s v="United States"/>
    <x v="410"/>
    <s v="First Class"/>
    <s v="Consumer"/>
    <s v="Storage"/>
    <n v="3"/>
    <n v="0"/>
    <n v="5.8409999999999869"/>
    <n v="116.82"/>
  </r>
  <r>
    <s v="United States"/>
    <x v="410"/>
    <s v="First Class"/>
    <s v="Corporate"/>
    <s v="Labels"/>
    <n v="7"/>
    <n v="0"/>
    <n v="10.348799999999999"/>
    <n v="21.560000000000002"/>
  </r>
  <r>
    <s v="United States"/>
    <x v="410"/>
    <s v="First Class"/>
    <s v="Corporate"/>
    <s v="Paper"/>
    <n v="9"/>
    <n v="0"/>
    <n v="69.959999999999994"/>
    <n v="145.75"/>
  </r>
  <r>
    <s v="United States"/>
    <x v="410"/>
    <s v="Same Day"/>
    <s v="Consumer"/>
    <s v="Binders"/>
    <n v="5"/>
    <n v="0"/>
    <n v="71.858500000000006"/>
    <n v="146.65"/>
  </r>
  <r>
    <s v="United States"/>
    <x v="410"/>
    <s v="Same Day"/>
    <s v="Consumer"/>
    <s v="Fasteners"/>
    <n v="2"/>
    <n v="0"/>
    <n v="2.5279999999999996"/>
    <n v="7.9"/>
  </r>
  <r>
    <s v="United States"/>
    <x v="410"/>
    <s v="Same Day"/>
    <s v="Consumer"/>
    <s v="Storage"/>
    <n v="4"/>
    <n v="0"/>
    <n v="57.501599999999996"/>
    <n v="221.16"/>
  </r>
  <r>
    <s v="United States"/>
    <x v="410"/>
    <s v="Same Day"/>
    <s v="Corporate"/>
    <s v="Furnishings"/>
    <n v="5"/>
    <n v="0"/>
    <n v="75.679999999999978"/>
    <n v="756.80000000000007"/>
  </r>
  <r>
    <s v="United States"/>
    <x v="410"/>
    <s v="Second Class"/>
    <s v="Consumer"/>
    <s v="Accessories"/>
    <n v="1"/>
    <n v="0"/>
    <n v="2.2364999999999995"/>
    <n v="31.95"/>
  </r>
  <r>
    <s v="United States"/>
    <x v="410"/>
    <s v="Second Class"/>
    <s v="Consumer"/>
    <s v="Binders"/>
    <n v="3"/>
    <n v="0.2"/>
    <n v="3.6791999999999998"/>
    <n v="10.512"/>
  </r>
  <r>
    <s v="United States"/>
    <x v="410"/>
    <s v="Second Class"/>
    <s v="Consumer"/>
    <s v="Paper"/>
    <n v="4"/>
    <n v="0"/>
    <n v="11.720800000000001"/>
    <n v="23.92"/>
  </r>
  <r>
    <s v="United States"/>
    <x v="410"/>
    <s v="Second Class"/>
    <s v="Consumer"/>
    <s v="Storage"/>
    <n v="2"/>
    <n v="0"/>
    <n v="5.8707999999999991"/>
    <n v="22.58"/>
  </r>
  <r>
    <s v="United States"/>
    <x v="410"/>
    <s v="Second Class"/>
    <s v="Consumer"/>
    <s v="Tables"/>
    <n v="1"/>
    <n v="0.4"/>
    <n v="-13.978000000000009"/>
    <n v="209.67"/>
  </r>
  <r>
    <s v="United States"/>
    <x v="410"/>
    <s v="Standard Class"/>
    <s v="Consumer"/>
    <s v="Accessories"/>
    <n v="7"/>
    <n v="0"/>
    <n v="180.76659999999998"/>
    <n v="562.74"/>
  </r>
  <r>
    <s v="United States"/>
    <x v="410"/>
    <s v="Standard Class"/>
    <s v="Consumer"/>
    <s v="Appliances"/>
    <n v="3"/>
    <n v="0"/>
    <n v="8.4942000000000011"/>
    <n v="32.67"/>
  </r>
  <r>
    <s v="United States"/>
    <x v="410"/>
    <s v="Standard Class"/>
    <s v="Consumer"/>
    <s v="Art"/>
    <n v="5"/>
    <n v="0"/>
    <n v="2.5519999999999996"/>
    <n v="8.8000000000000007"/>
  </r>
  <r>
    <s v="United States"/>
    <x v="410"/>
    <s v="Standard Class"/>
    <s v="Consumer"/>
    <s v="Binders"/>
    <n v="22"/>
    <n v="0.60000000000000009"/>
    <n v="481.98470000000003"/>
    <n v="1278.508"/>
  </r>
  <r>
    <s v="United States"/>
    <x v="410"/>
    <s v="Standard Class"/>
    <s v="Consumer"/>
    <s v="Chairs"/>
    <n v="3"/>
    <n v="0"/>
    <n v="51.294299999999964"/>
    <n v="269.96999999999997"/>
  </r>
  <r>
    <s v="United States"/>
    <x v="410"/>
    <s v="Standard Class"/>
    <s v="Consumer"/>
    <s v="Envelopes"/>
    <n v="3"/>
    <n v="0"/>
    <n v="5.0921999999999992"/>
    <n v="11.07"/>
  </r>
  <r>
    <s v="United States"/>
    <x v="410"/>
    <s v="Standard Class"/>
    <s v="Consumer"/>
    <s v="Furnishings"/>
    <n v="2"/>
    <n v="0"/>
    <n v="5.936399999999999"/>
    <n v="17.46"/>
  </r>
  <r>
    <s v="United States"/>
    <x v="410"/>
    <s v="Standard Class"/>
    <s v="Consumer"/>
    <s v="Labels"/>
    <n v="2"/>
    <n v="0"/>
    <n v="2.9567999999999999"/>
    <n v="6.16"/>
  </r>
  <r>
    <s v="United States"/>
    <x v="410"/>
    <s v="Standard Class"/>
    <s v="Consumer"/>
    <s v="Paper"/>
    <n v="7"/>
    <n v="0"/>
    <n v="21.772800000000004"/>
    <n v="45.36"/>
  </r>
  <r>
    <s v="United States"/>
    <x v="410"/>
    <s v="Standard Class"/>
    <s v="Consumer"/>
    <s v="Phones"/>
    <n v="2"/>
    <n v="0"/>
    <n v="201.13409999999996"/>
    <n v="671.98"/>
  </r>
  <r>
    <s v="United States"/>
    <x v="410"/>
    <s v="Standard Class"/>
    <s v="Consumer"/>
    <s v="Storage"/>
    <n v="10"/>
    <n v="0"/>
    <n v="177.39599999999993"/>
    <n v="1015.7199999999999"/>
  </r>
  <r>
    <s v="United States"/>
    <x v="410"/>
    <s v="Standard Class"/>
    <s v="Consumer"/>
    <s v="Tables"/>
    <n v="2"/>
    <n v="0"/>
    <n v="97.203200000000038"/>
    <n v="607.52"/>
  </r>
  <r>
    <s v="United States"/>
    <x v="410"/>
    <s v="Standard Class"/>
    <s v="Corporate"/>
    <s v="Binders"/>
    <n v="1"/>
    <n v="0.2"/>
    <n v="2.3570999999999991"/>
    <n v="6.9840000000000009"/>
  </r>
  <r>
    <s v="United States"/>
    <x v="410"/>
    <s v="Standard Class"/>
    <s v="Corporate"/>
    <s v="Furnishings"/>
    <n v="14"/>
    <n v="0"/>
    <n v="38.797800000000002"/>
    <n v="113.16999999999999"/>
  </r>
  <r>
    <s v="United States"/>
    <x v="410"/>
    <s v="Standard Class"/>
    <s v="Corporate"/>
    <s v="Paper"/>
    <n v="11"/>
    <n v="0"/>
    <n v="37.9696"/>
    <n v="81.28"/>
  </r>
  <r>
    <s v="United States"/>
    <x v="410"/>
    <s v="Standard Class"/>
    <s v="Corporate"/>
    <s v="Phones"/>
    <n v="3"/>
    <n v="0"/>
    <n v="10.046400000000002"/>
    <n v="35.880000000000003"/>
  </r>
  <r>
    <s v="United States"/>
    <x v="410"/>
    <s v="Standard Class"/>
    <s v="Corporate"/>
    <s v="Tables"/>
    <n v="3"/>
    <n v="0.4"/>
    <n v="-213.55740000000006"/>
    <n v="376.86599999999999"/>
  </r>
  <r>
    <s v="United States"/>
    <x v="410"/>
    <s v="Standard Class"/>
    <s v="Home Office"/>
    <s v="Art"/>
    <n v="3"/>
    <n v="0"/>
    <n v="6.0147000000000004"/>
    <n v="14.669999999999998"/>
  </r>
  <r>
    <s v="United States"/>
    <x v="410"/>
    <s v="Standard Class"/>
    <s v="Home Office"/>
    <s v="Binders"/>
    <n v="4"/>
    <n v="0.2"/>
    <n v="10.429999999999998"/>
    <n v="33.375999999999998"/>
  </r>
  <r>
    <s v="United States"/>
    <x v="410"/>
    <s v="Standard Class"/>
    <s v="Home Office"/>
    <s v="Storage"/>
    <n v="4"/>
    <n v="0"/>
    <n v="38.350800000000007"/>
    <n v="142.04"/>
  </r>
  <r>
    <s v="United States"/>
    <x v="411"/>
    <s v="Standard Class"/>
    <s v="Consumer"/>
    <s v="Accessories"/>
    <n v="4"/>
    <n v="0"/>
    <n v="54.333200000000005"/>
    <n v="132.52000000000001"/>
  </r>
  <r>
    <s v="United States"/>
    <x v="412"/>
    <s v="Same Day"/>
    <s v="Consumer"/>
    <s v="Fasteners"/>
    <n v="3"/>
    <n v="0"/>
    <n v="3.7919999999999994"/>
    <n v="11.850000000000001"/>
  </r>
  <r>
    <s v="United States"/>
    <x v="413"/>
    <s v="First Class"/>
    <s v="Consumer"/>
    <s v="Binders"/>
    <n v="8"/>
    <n v="0.8"/>
    <n v="-53.708800000000025"/>
    <n v="33.567999999999991"/>
  </r>
  <r>
    <s v="United States"/>
    <x v="413"/>
    <s v="First Class"/>
    <s v="Corporate"/>
    <s v="Binders"/>
    <n v="7"/>
    <n v="0.8"/>
    <n v="-729.91380000000004"/>
    <n v="442.37199999999996"/>
  </r>
  <r>
    <s v="United States"/>
    <x v="413"/>
    <s v="Second Class"/>
    <s v="Corporate"/>
    <s v="Binders"/>
    <n v="4"/>
    <n v="0.8"/>
    <n v="-22.144000000000005"/>
    <n v="13.839999999999998"/>
  </r>
  <r>
    <s v="United States"/>
    <x v="413"/>
    <s v="Second Class"/>
    <s v="Corporate"/>
    <s v="Paper"/>
    <n v="4"/>
    <n v="0.2"/>
    <n v="63.753599999999992"/>
    <n v="175.87200000000001"/>
  </r>
  <r>
    <s v="United States"/>
    <x v="413"/>
    <s v="Standard Class"/>
    <s v="Consumer"/>
    <s v="Art"/>
    <n v="7"/>
    <n v="0.2"/>
    <n v="12.874400000000001"/>
    <n v="128.744"/>
  </r>
  <r>
    <s v="United States"/>
    <x v="413"/>
    <s v="Standard Class"/>
    <s v="Consumer"/>
    <s v="Binders"/>
    <n v="3"/>
    <n v="0.8"/>
    <n v="-2.678399999999999"/>
    <n v="1.7279999999999995"/>
  </r>
  <r>
    <s v="United States"/>
    <x v="413"/>
    <s v="Standard Class"/>
    <s v="Consumer"/>
    <s v="Phones"/>
    <n v="4"/>
    <n v="0.2"/>
    <n v="143.99680000000006"/>
    <n v="1439.9680000000001"/>
  </r>
  <r>
    <s v="United States"/>
    <x v="413"/>
    <s v="Standard Class"/>
    <s v="Consumer"/>
    <s v="Tables"/>
    <n v="3"/>
    <n v="0.5"/>
    <n v="-538.44600000000003"/>
    <n v="626.09999999999991"/>
  </r>
  <r>
    <s v="United States"/>
    <x v="413"/>
    <s v="Standard Class"/>
    <s v="Corporate"/>
    <s v="Paper"/>
    <n v="6"/>
    <n v="0.2"/>
    <n v="13.780799999999996"/>
    <n v="38.016000000000005"/>
  </r>
  <r>
    <s v="United States"/>
    <x v="413"/>
    <s v="Standard Class"/>
    <s v="Home Office"/>
    <s v="Binders"/>
    <n v="4"/>
    <n v="0.8"/>
    <n v="-18.836400000000005"/>
    <n v="11.415999999999997"/>
  </r>
  <r>
    <s v="United States"/>
    <x v="413"/>
    <s v="Standard Class"/>
    <s v="Home Office"/>
    <s v="Chairs"/>
    <n v="14"/>
    <n v="0.3"/>
    <n v="-18.185999999999993"/>
    <n v="254.60399999999998"/>
  </r>
  <r>
    <s v="United States"/>
    <x v="414"/>
    <s v="Second Class"/>
    <s v="Consumer"/>
    <s v="Binders"/>
    <n v="1"/>
    <n v="0"/>
    <n v="3.6162000000000001"/>
    <n v="7.38"/>
  </r>
  <r>
    <s v="United States"/>
    <x v="414"/>
    <s v="Second Class"/>
    <s v="Consumer"/>
    <s v="Paper"/>
    <n v="3"/>
    <n v="0"/>
    <n v="9.3312000000000008"/>
    <n v="19.440000000000001"/>
  </r>
  <r>
    <s v="United States"/>
    <x v="414"/>
    <s v="Standard Class"/>
    <s v="Consumer"/>
    <s v="Chairs"/>
    <n v="2"/>
    <n v="0"/>
    <n v="51.749999999999986"/>
    <n v="172.5"/>
  </r>
  <r>
    <s v="United States"/>
    <x v="414"/>
    <s v="Standard Class"/>
    <s v="Consumer"/>
    <s v="Phones"/>
    <n v="5"/>
    <n v="0"/>
    <n v="68.517300000000006"/>
    <n v="270.45"/>
  </r>
  <r>
    <s v="United States"/>
    <x v="415"/>
    <s v="Standard Class"/>
    <s v="Consumer"/>
    <s v="Binders"/>
    <n v="9"/>
    <n v="0"/>
    <n v="18.5886"/>
    <n v="40.410000000000004"/>
  </r>
  <r>
    <s v="United States"/>
    <x v="416"/>
    <s v="Standard Class"/>
    <s v="Consumer"/>
    <s v="Art"/>
    <n v="10"/>
    <n v="0"/>
    <n v="9.1601999999999997"/>
    <n v="35.01"/>
  </r>
  <r>
    <s v="United States"/>
    <x v="416"/>
    <s v="Standard Class"/>
    <s v="Corporate"/>
    <s v="Chairs"/>
    <n v="1"/>
    <n v="0.1"/>
    <n v="15.147000000000004"/>
    <n v="90.882000000000005"/>
  </r>
  <r>
    <s v="United States"/>
    <x v="416"/>
    <s v="Standard Class"/>
    <s v="Home Office"/>
    <s v="Furnishings"/>
    <n v="4"/>
    <n v="0"/>
    <n v="14.459599999999998"/>
    <n v="39.08"/>
  </r>
  <r>
    <s v="United States"/>
    <x v="416"/>
    <s v="Standard Class"/>
    <s v="Home Office"/>
    <s v="Paper"/>
    <n v="5"/>
    <n v="0"/>
    <n v="47.952000000000005"/>
    <n v="99.9"/>
  </r>
  <r>
    <s v="United States"/>
    <x v="416"/>
    <s v="Standard Class"/>
    <s v="Home Office"/>
    <s v="Phones"/>
    <n v="2"/>
    <n v="0"/>
    <n v="67.495000000000005"/>
    <n v="269.98"/>
  </r>
  <r>
    <s v="United States"/>
    <x v="417"/>
    <s v="Second Class"/>
    <s v="Consumer"/>
    <s v="Binders"/>
    <n v="2"/>
    <n v="0.8"/>
    <n v="-14.770800000000001"/>
    <n v="8.9519999999999982"/>
  </r>
  <r>
    <s v="United States"/>
    <x v="418"/>
    <s v="First Class"/>
    <s v="Consumer"/>
    <s v="Binders"/>
    <n v="5"/>
    <n v="0.2"/>
    <n v="2.8079999999999998"/>
    <n v="8.32"/>
  </r>
  <r>
    <s v="United States"/>
    <x v="418"/>
    <s v="First Class"/>
    <s v="Consumer"/>
    <s v="Supplies"/>
    <n v="2"/>
    <n v="0"/>
    <n v="0.17439999999999944"/>
    <n v="4.3600000000000003"/>
  </r>
  <r>
    <s v="United States"/>
    <x v="418"/>
    <s v="Same Day"/>
    <s v="Home Office"/>
    <s v="Binders"/>
    <n v="1"/>
    <n v="0"/>
    <n v="3.7693999999999992"/>
    <n v="8.02"/>
  </r>
  <r>
    <s v="United States"/>
    <x v="418"/>
    <s v="Same Day"/>
    <s v="Home Office"/>
    <s v="Paper"/>
    <n v="9"/>
    <n v="0"/>
    <n v="180.76590000000002"/>
    <n v="368.91"/>
  </r>
  <r>
    <s v="United States"/>
    <x v="418"/>
    <s v="Same Day"/>
    <s v="Home Office"/>
    <s v="Storage"/>
    <n v="4"/>
    <n v="0"/>
    <n v="44.470399999999998"/>
    <n v="171.04"/>
  </r>
  <r>
    <s v="United States"/>
    <x v="418"/>
    <s v="Standard Class"/>
    <s v="Consumer"/>
    <s v="Art"/>
    <n v="7"/>
    <n v="0"/>
    <n v="5.5307999999999993"/>
    <n v="19.5"/>
  </r>
  <r>
    <s v="United States"/>
    <x v="418"/>
    <s v="Standard Class"/>
    <s v="Consumer"/>
    <s v="Binders"/>
    <n v="3"/>
    <n v="0.2"/>
    <n v="26.661599999999996"/>
    <n v="76.176000000000002"/>
  </r>
  <r>
    <s v="United States"/>
    <x v="418"/>
    <s v="Standard Class"/>
    <s v="Consumer"/>
    <s v="Envelopes"/>
    <n v="2"/>
    <n v="0"/>
    <n v="8.2156000000000002"/>
    <n v="17.48"/>
  </r>
  <r>
    <s v="United States"/>
    <x v="418"/>
    <s v="Standard Class"/>
    <s v="Consumer"/>
    <s v="Fasteners"/>
    <n v="2"/>
    <n v="0"/>
    <n v="1.9697999999999998"/>
    <n v="4.0199999999999996"/>
  </r>
  <r>
    <s v="United States"/>
    <x v="418"/>
    <s v="Standard Class"/>
    <s v="Consumer"/>
    <s v="Furnishings"/>
    <n v="17"/>
    <n v="0"/>
    <n v="25.890599999999999"/>
    <n v="60.430000000000007"/>
  </r>
  <r>
    <s v="United States"/>
    <x v="418"/>
    <s v="Standard Class"/>
    <s v="Consumer"/>
    <s v="Paper"/>
    <n v="7"/>
    <n v="0"/>
    <n v="35.607199999999999"/>
    <n v="74.92"/>
  </r>
  <r>
    <s v="United States"/>
    <x v="418"/>
    <s v="Standard Class"/>
    <s v="Consumer"/>
    <s v="Supplies"/>
    <n v="6"/>
    <n v="0"/>
    <n v="18.446400000000004"/>
    <n v="65.88"/>
  </r>
  <r>
    <s v="United States"/>
    <x v="418"/>
    <s v="Standard Class"/>
    <s v="Corporate"/>
    <s v="Envelopes"/>
    <n v="5"/>
    <n v="0"/>
    <n v="197.35299999999998"/>
    <n v="419.90000000000003"/>
  </r>
  <r>
    <s v="United States"/>
    <x v="418"/>
    <s v="Standard Class"/>
    <s v="Corporate"/>
    <s v="Labels"/>
    <n v="9"/>
    <n v="0"/>
    <n v="24.695999999999998"/>
    <n v="53.55"/>
  </r>
  <r>
    <s v="United States"/>
    <x v="418"/>
    <s v="Standard Class"/>
    <s v="Corporate"/>
    <s v="Paper"/>
    <n v="3"/>
    <n v="0"/>
    <n v="31.519199999999998"/>
    <n v="68.52"/>
  </r>
  <r>
    <s v="United States"/>
    <x v="418"/>
    <s v="Standard Class"/>
    <s v="Home Office"/>
    <s v="Appliances"/>
    <n v="2"/>
    <n v="0"/>
    <n v="178.90999999999997"/>
    <n v="715.64"/>
  </r>
  <r>
    <s v="United States"/>
    <x v="418"/>
    <s v="Standard Class"/>
    <s v="Home Office"/>
    <s v="Binders"/>
    <n v="3"/>
    <n v="0"/>
    <n v="34.389600000000002"/>
    <n v="74.760000000000005"/>
  </r>
  <r>
    <s v="United States"/>
    <x v="418"/>
    <s v="Standard Class"/>
    <s v="Home Office"/>
    <s v="Copiers"/>
    <n v="1"/>
    <n v="0"/>
    <n v="274.995"/>
    <n v="549.99"/>
  </r>
  <r>
    <s v="United States"/>
    <x v="418"/>
    <s v="Standard Class"/>
    <s v="Home Office"/>
    <s v="Fasteners"/>
    <n v="2"/>
    <n v="0"/>
    <n v="1.1656"/>
    <n v="2.48"/>
  </r>
  <r>
    <s v="United States"/>
    <x v="418"/>
    <s v="Standard Class"/>
    <s v="Home Office"/>
    <s v="Furnishings"/>
    <n v="3"/>
    <n v="0"/>
    <n v="12.856800000000002"/>
    <n v="29.22"/>
  </r>
  <r>
    <s v="United States"/>
    <x v="418"/>
    <s v="Standard Class"/>
    <s v="Home Office"/>
    <s v="Storage"/>
    <n v="3"/>
    <n v="0"/>
    <n v="143.19179999999994"/>
    <n v="795.51"/>
  </r>
  <r>
    <s v="United States"/>
    <x v="419"/>
    <s v="First Class"/>
    <s v="Consumer"/>
    <s v="Accessories"/>
    <n v="5"/>
    <n v="0"/>
    <n v="65.978000000000009"/>
    <n v="149.94999999999999"/>
  </r>
  <r>
    <s v="United States"/>
    <x v="419"/>
    <s v="Second Class"/>
    <s v="Corporate"/>
    <s v="Appliances"/>
    <n v="7"/>
    <n v="0"/>
    <n v="361.29939999999988"/>
    <n v="1245.8599999999999"/>
  </r>
  <r>
    <s v="United States"/>
    <x v="419"/>
    <s v="Second Class"/>
    <s v="Corporate"/>
    <s v="Envelopes"/>
    <n v="3"/>
    <n v="0"/>
    <n v="8.7906000000000013"/>
    <n v="17.940000000000001"/>
  </r>
  <r>
    <s v="United States"/>
    <x v="419"/>
    <s v="Second Class"/>
    <s v="Home Office"/>
    <s v="Chairs"/>
    <n v="4"/>
    <n v="0"/>
    <n v="188.2192"/>
    <n v="723.92"/>
  </r>
  <r>
    <s v="United States"/>
    <x v="419"/>
    <s v="Second Class"/>
    <s v="Home Office"/>
    <s v="Paper"/>
    <n v="3"/>
    <n v="0"/>
    <n v="49.970399999999991"/>
    <n v="106.32"/>
  </r>
  <r>
    <s v="United States"/>
    <x v="419"/>
    <s v="Standard Class"/>
    <s v="Consumer"/>
    <s v="Accessories"/>
    <n v="11"/>
    <n v="0"/>
    <n v="132.99839999999995"/>
    <n v="721.88999999999987"/>
  </r>
  <r>
    <s v="United States"/>
    <x v="419"/>
    <s v="Standard Class"/>
    <s v="Consumer"/>
    <s v="Art"/>
    <n v="3"/>
    <n v="0"/>
    <n v="3.1520000000000001"/>
    <n v="10.34"/>
  </r>
  <r>
    <s v="United States"/>
    <x v="419"/>
    <s v="Standard Class"/>
    <s v="Consumer"/>
    <s v="Envelopes"/>
    <n v="2"/>
    <n v="0"/>
    <n v="7.4871999999999996"/>
    <n v="15.28"/>
  </r>
  <r>
    <s v="United States"/>
    <x v="419"/>
    <s v="Standard Class"/>
    <s v="Consumer"/>
    <s v="Paper"/>
    <n v="11"/>
    <n v="0"/>
    <n v="151.64180000000002"/>
    <n v="310.18"/>
  </r>
  <r>
    <s v="United States"/>
    <x v="419"/>
    <s v="Standard Class"/>
    <s v="Consumer"/>
    <s v="Phones"/>
    <n v="3"/>
    <n v="0"/>
    <n v="67.191599999999994"/>
    <n v="239.96999999999997"/>
  </r>
  <r>
    <s v="United States"/>
    <x v="419"/>
    <s v="Standard Class"/>
    <s v="Consumer"/>
    <s v="Storage"/>
    <n v="2"/>
    <n v="0"/>
    <n v="107.08199999999997"/>
    <n v="356.94"/>
  </r>
  <r>
    <s v="United States"/>
    <x v="419"/>
    <s v="Standard Class"/>
    <s v="Corporate"/>
    <s v="Binders"/>
    <n v="3"/>
    <n v="0"/>
    <n v="1264.7558999999999"/>
    <n v="2690.9700000000003"/>
  </r>
  <r>
    <s v="United States"/>
    <x v="419"/>
    <s v="Standard Class"/>
    <s v="Corporate"/>
    <s v="Furnishings"/>
    <n v="6"/>
    <n v="0"/>
    <n v="15.758400000000002"/>
    <n v="56.28"/>
  </r>
  <r>
    <s v="United States"/>
    <x v="419"/>
    <s v="Standard Class"/>
    <s v="Corporate"/>
    <s v="Paper"/>
    <n v="1"/>
    <n v="0"/>
    <n v="3.1104000000000003"/>
    <n v="6.48"/>
  </r>
  <r>
    <s v="United States"/>
    <x v="420"/>
    <s v="Second Class"/>
    <s v="Corporate"/>
    <s v="Furnishings"/>
    <n v="5"/>
    <n v="0.6"/>
    <n v="-427.45000000000005"/>
    <n v="341.96"/>
  </r>
  <r>
    <s v="United States"/>
    <x v="420"/>
    <s v="Standard Class"/>
    <s v="Consumer"/>
    <s v="Accessories"/>
    <n v="7"/>
    <n v="0.2"/>
    <n v="5.7364999999999977"/>
    <n v="41.720000000000006"/>
  </r>
  <r>
    <s v="United States"/>
    <x v="420"/>
    <s v="Standard Class"/>
    <s v="Consumer"/>
    <s v="Art"/>
    <n v="2"/>
    <n v="0.2"/>
    <n v="2.7168000000000001"/>
    <n v="27.168000000000003"/>
  </r>
  <r>
    <s v="United States"/>
    <x v="420"/>
    <s v="Standard Class"/>
    <s v="Consumer"/>
    <s v="Bookcases"/>
    <n v="2"/>
    <n v="0.32"/>
    <n v="-11.595999999999997"/>
    <n v="78.852799999999988"/>
  </r>
  <r>
    <s v="United States"/>
    <x v="420"/>
    <s v="Standard Class"/>
    <s v="Consumer"/>
    <s v="Fasteners"/>
    <n v="1"/>
    <n v="0.2"/>
    <n v="0.77759999999999996"/>
    <n v="2.3039999999999998"/>
  </r>
  <r>
    <s v="United States"/>
    <x v="420"/>
    <s v="Standard Class"/>
    <s v="Consumer"/>
    <s v="Phones"/>
    <n v="3"/>
    <n v="0.2"/>
    <n v="32.398200000000017"/>
    <n v="431.97600000000006"/>
  </r>
  <r>
    <s v="United States"/>
    <x v="420"/>
    <s v="Standard Class"/>
    <s v="Consumer"/>
    <s v="Supplies"/>
    <n v="3"/>
    <n v="0.2"/>
    <n v="-786.01440000000025"/>
    <n v="3930.0720000000001"/>
  </r>
  <r>
    <s v="United States"/>
    <x v="421"/>
    <s v="Standard Class"/>
    <s v="Consumer"/>
    <s v="Paper"/>
    <n v="4"/>
    <n v="0"/>
    <n v="16.963200000000001"/>
    <n v="35.340000000000003"/>
  </r>
  <r>
    <s v="United States"/>
    <x v="422"/>
    <s v="Second Class"/>
    <s v="Consumer"/>
    <s v="Chairs"/>
    <n v="1"/>
    <n v="0.2"/>
    <n v="-18.106799999999993"/>
    <n v="120.71199999999999"/>
  </r>
  <r>
    <s v="United States"/>
    <x v="422"/>
    <s v="Second Class"/>
    <s v="Corporate"/>
    <s v="Binders"/>
    <n v="6"/>
    <n v="0.4"/>
    <n v="11.048399999999997"/>
    <n v="32.736000000000004"/>
  </r>
  <r>
    <s v="United States"/>
    <x v="422"/>
    <s v="Second Class"/>
    <s v="Corporate"/>
    <s v="Phones"/>
    <n v="2"/>
    <n v="0.2"/>
    <n v="30.238400000000013"/>
    <n v="302.38400000000001"/>
  </r>
  <r>
    <s v="United States"/>
    <x v="422"/>
    <s v="Standard Class"/>
    <s v="Consumer"/>
    <s v="Storage"/>
    <n v="1"/>
    <n v="0"/>
    <n v="4.068699999999998"/>
    <n v="14.03"/>
  </r>
  <r>
    <s v="United States"/>
    <x v="422"/>
    <s v="Standard Class"/>
    <s v="Consumer"/>
    <s v="Supplies"/>
    <n v="2"/>
    <n v="0"/>
    <n v="7.2696000000000005"/>
    <n v="27.96"/>
  </r>
  <r>
    <s v="United States"/>
    <x v="422"/>
    <s v="Standard Class"/>
    <s v="Corporate"/>
    <s v="Accessories"/>
    <n v="6"/>
    <n v="0"/>
    <n v="39.888599999999997"/>
    <n v="209.94"/>
  </r>
  <r>
    <s v="United States"/>
    <x v="422"/>
    <s v="Standard Class"/>
    <s v="Corporate"/>
    <s v="Binders"/>
    <n v="7"/>
    <n v="0.4"/>
    <n v="1910.8157999999999"/>
    <n v="5096.7920000000004"/>
  </r>
  <r>
    <s v="United States"/>
    <x v="422"/>
    <s v="Standard Class"/>
    <s v="Corporate"/>
    <s v="Chairs"/>
    <n v="5"/>
    <n v="0.2"/>
    <n v="70.196000000000026"/>
    <n v="1403.9200000000003"/>
  </r>
  <r>
    <s v="United States"/>
    <x v="422"/>
    <s v="Standard Class"/>
    <s v="Corporate"/>
    <s v="Phones"/>
    <n v="2"/>
    <n v="0.2"/>
    <n v="-7.9959999999999996"/>
    <n v="31.983999999999998"/>
  </r>
  <r>
    <s v="United States"/>
    <x v="422"/>
    <s v="Standard Class"/>
    <s v="Home Office"/>
    <s v="Furnishings"/>
    <n v="4"/>
    <n v="0"/>
    <n v="22.263199999999998"/>
    <n v="70.820000000000007"/>
  </r>
  <r>
    <s v="United States"/>
    <x v="423"/>
    <s v="Standard Class"/>
    <s v="Consumer"/>
    <s v="Binders"/>
    <n v="4"/>
    <n v="0"/>
    <n v="7.4824000000000002"/>
    <n v="15.92"/>
  </r>
  <r>
    <s v="United States"/>
    <x v="423"/>
    <s v="Standard Class"/>
    <s v="Consumer"/>
    <s v="Fasteners"/>
    <n v="9"/>
    <n v="0"/>
    <n v="16.209899999999998"/>
    <n v="52.29"/>
  </r>
  <r>
    <s v="United States"/>
    <x v="423"/>
    <s v="Standard Class"/>
    <s v="Consumer"/>
    <s v="Phones"/>
    <n v="2"/>
    <n v="0"/>
    <n v="35.634600000000006"/>
    <n v="131.97999999999999"/>
  </r>
  <r>
    <s v="United States"/>
    <x v="423"/>
    <s v="Standard Class"/>
    <s v="Consumer"/>
    <s v="Storage"/>
    <n v="5"/>
    <n v="0"/>
    <n v="9.5539999999999878"/>
    <n v="175.91"/>
  </r>
  <r>
    <s v="United States"/>
    <x v="423"/>
    <s v="Standard Class"/>
    <s v="Home Office"/>
    <s v="Furnishings"/>
    <n v="4"/>
    <n v="0"/>
    <n v="8.2992000000000008"/>
    <n v="19.760000000000002"/>
  </r>
  <r>
    <s v="United States"/>
    <x v="424"/>
    <s v="First Class"/>
    <s v="Consumer"/>
    <s v="Paper"/>
    <n v="2"/>
    <n v="0"/>
    <n v="5.6644000000000005"/>
    <n v="11.56"/>
  </r>
  <r>
    <s v="United States"/>
    <x v="424"/>
    <s v="Same Day"/>
    <s v="Consumer"/>
    <s v="Accessories"/>
    <n v="4"/>
    <n v="0"/>
    <n v="46.543199999999999"/>
    <n v="113.52"/>
  </r>
  <r>
    <s v="United States"/>
    <x v="424"/>
    <s v="Same Day"/>
    <s v="Consumer"/>
    <s v="Furnishings"/>
    <n v="5"/>
    <n v="0"/>
    <n v="37.883999999999993"/>
    <n v="135.29999999999998"/>
  </r>
  <r>
    <s v="United States"/>
    <x v="424"/>
    <s v="Second Class"/>
    <s v="Consumer"/>
    <s v="Furnishings"/>
    <n v="2"/>
    <n v="0.6"/>
    <n v="-31.861200000000004"/>
    <n v="30.344000000000001"/>
  </r>
  <r>
    <s v="United States"/>
    <x v="424"/>
    <s v="Second Class"/>
    <s v="Home Office"/>
    <s v="Accessories"/>
    <n v="8"/>
    <n v="0.2"/>
    <n v="135.45599999999996"/>
    <n v="637.44000000000005"/>
  </r>
  <r>
    <s v="United States"/>
    <x v="424"/>
    <s v="Second Class"/>
    <s v="Home Office"/>
    <s v="Art"/>
    <n v="2"/>
    <n v="0.2"/>
    <n v="14.227200000000003"/>
    <n v="59.903999999999996"/>
  </r>
  <r>
    <s v="United States"/>
    <x v="424"/>
    <s v="Second Class"/>
    <s v="Home Office"/>
    <s v="Furnishings"/>
    <n v="3"/>
    <n v="0.6"/>
    <n v="-33.641399999999997"/>
    <n v="51.756000000000007"/>
  </r>
  <r>
    <s v="United States"/>
    <x v="424"/>
    <s v="Second Class"/>
    <s v="Home Office"/>
    <s v="Machines"/>
    <n v="2"/>
    <n v="0.3"/>
    <n v="137.26399999999995"/>
    <n v="600.53"/>
  </r>
  <r>
    <s v="United States"/>
    <x v="424"/>
    <s v="Standard Class"/>
    <s v="Corporate"/>
    <s v="Paper"/>
    <n v="2"/>
    <n v="0"/>
    <n v="4.7519999999999998"/>
    <n v="10.56"/>
  </r>
  <r>
    <s v="United States"/>
    <x v="424"/>
    <s v="Standard Class"/>
    <s v="Home Office"/>
    <s v="Furnishings"/>
    <n v="3"/>
    <n v="0.6"/>
    <n v="-4.804800000000002"/>
    <n v="8.7360000000000007"/>
  </r>
  <r>
    <s v="United States"/>
    <x v="425"/>
    <s v="Standard Class"/>
    <s v="Corporate"/>
    <s v="Accessories"/>
    <n v="9"/>
    <n v="0"/>
    <n v="288.43799999999999"/>
    <n v="727.90000000000009"/>
  </r>
  <r>
    <s v="United States"/>
    <x v="425"/>
    <s v="Standard Class"/>
    <s v="Corporate"/>
    <s v="Chairs"/>
    <n v="4"/>
    <n v="0"/>
    <n v="181.17599999999993"/>
    <n v="603.91999999999996"/>
  </r>
  <r>
    <s v="United States"/>
    <x v="426"/>
    <s v="First Class"/>
    <s v="Consumer"/>
    <s v="Appliances"/>
    <n v="10"/>
    <n v="0"/>
    <n v="20.975000000000001"/>
    <n v="83.9"/>
  </r>
  <r>
    <s v="United States"/>
    <x v="426"/>
    <s v="First Class"/>
    <s v="Consumer"/>
    <s v="Paper"/>
    <n v="2"/>
    <n v="0"/>
    <n v="5.7623999999999995"/>
    <n v="11.76"/>
  </r>
  <r>
    <s v="United States"/>
    <x v="426"/>
    <s v="Second Class"/>
    <s v="Consumer"/>
    <s v="Accessories"/>
    <n v="7"/>
    <n v="0"/>
    <n v="43.598100000000002"/>
    <n v="111.79"/>
  </r>
  <r>
    <s v="United States"/>
    <x v="426"/>
    <s v="Second Class"/>
    <s v="Corporate"/>
    <s v="Paper"/>
    <n v="4"/>
    <n v="0"/>
    <n v="12.441600000000001"/>
    <n v="25.92"/>
  </r>
  <r>
    <s v="United States"/>
    <x v="426"/>
    <s v="Standard Class"/>
    <s v="Corporate"/>
    <s v="Supplies"/>
    <n v="3"/>
    <n v="0"/>
    <n v="15.776999999999996"/>
    <n v="52.59"/>
  </r>
  <r>
    <s v="United States"/>
    <x v="427"/>
    <s v="Second Class"/>
    <s v="Corporate"/>
    <s v="Phones"/>
    <n v="5"/>
    <n v="0"/>
    <n v="2.2990000000000066"/>
    <n v="114.94999999999999"/>
  </r>
  <r>
    <s v="United States"/>
    <x v="427"/>
    <s v="Standard Class"/>
    <s v="Corporate"/>
    <s v="Appliances"/>
    <n v="6"/>
    <n v="0"/>
    <n v="22.585199999999993"/>
    <n v="77.88"/>
  </r>
  <r>
    <s v="United States"/>
    <x v="428"/>
    <s v="Standard Class"/>
    <s v="Home Office"/>
    <s v="Tables"/>
    <n v="4"/>
    <n v="0"/>
    <n v="146.40359999999998"/>
    <n v="697.16"/>
  </r>
  <r>
    <s v="United States"/>
    <x v="429"/>
    <s v="First Class"/>
    <s v="Consumer"/>
    <s v="Furnishings"/>
    <n v="2"/>
    <n v="0.2"/>
    <n v="1.9989999999999979"/>
    <n v="31.983999999999998"/>
  </r>
  <r>
    <s v="United States"/>
    <x v="429"/>
    <s v="Standard Class"/>
    <s v="Consumer"/>
    <s v="Binders"/>
    <n v="2"/>
    <n v="0.7"/>
    <n v="-12.224"/>
    <n v="18.336000000000002"/>
  </r>
  <r>
    <s v="United States"/>
    <x v="429"/>
    <s v="Standard Class"/>
    <s v="Consumer"/>
    <s v="Furnishings"/>
    <n v="2"/>
    <n v="0.2"/>
    <n v="1.0679999999999996"/>
    <n v="17.088000000000001"/>
  </r>
  <r>
    <s v="United States"/>
    <x v="429"/>
    <s v="Standard Class"/>
    <s v="Consumer"/>
    <s v="Phones"/>
    <n v="5"/>
    <n v="0.2"/>
    <n v="13.571999999999996"/>
    <n v="180.96"/>
  </r>
  <r>
    <s v="United States"/>
    <x v="429"/>
    <s v="Standard Class"/>
    <s v="Corporate"/>
    <s v="Art"/>
    <n v="2"/>
    <n v="0.2"/>
    <n v="0.3335999999999999"/>
    <n v="4.4479999999999995"/>
  </r>
  <r>
    <s v="United States"/>
    <x v="429"/>
    <s v="Standard Class"/>
    <s v="Corporate"/>
    <s v="Binders"/>
    <n v="2"/>
    <n v="0.7"/>
    <n v="-13.393599999999999"/>
    <n v="18.264000000000003"/>
  </r>
  <r>
    <s v="United States"/>
    <x v="429"/>
    <s v="Standard Class"/>
    <s v="Corporate"/>
    <s v="Furnishings"/>
    <n v="9"/>
    <n v="0.4"/>
    <n v="68.78309999999999"/>
    <n v="484.08800000000008"/>
  </r>
  <r>
    <s v="United States"/>
    <x v="429"/>
    <s v="Standard Class"/>
    <s v="Corporate"/>
    <s v="Labels"/>
    <n v="3"/>
    <n v="0.2"/>
    <n v="3.1499999999999995"/>
    <n v="9"/>
  </r>
  <r>
    <s v="United States"/>
    <x v="429"/>
    <s v="Standard Class"/>
    <s v="Corporate"/>
    <s v="Paper"/>
    <n v="20"/>
    <n v="0.60000000000000009"/>
    <n v="72.858199999999982"/>
    <n v="231.28000000000003"/>
  </r>
  <r>
    <s v="United States"/>
    <x v="429"/>
    <s v="Standard Class"/>
    <s v="Corporate"/>
    <s v="Phones"/>
    <n v="2"/>
    <n v="0.2"/>
    <n v="22.297999999999973"/>
    <n v="178.38400000000001"/>
  </r>
  <r>
    <s v="United States"/>
    <x v="429"/>
    <s v="Standard Class"/>
    <s v="Corporate"/>
    <s v="Storage"/>
    <n v="4"/>
    <n v="0.2"/>
    <n v="-6.4619999999999891"/>
    <n v="516.96"/>
  </r>
  <r>
    <s v="United States"/>
    <x v="430"/>
    <s v="First Class"/>
    <s v="Consumer"/>
    <s v="Art"/>
    <n v="1"/>
    <n v="0.2"/>
    <n v="1.7730000000000004"/>
    <n v="7.88"/>
  </r>
  <r>
    <s v="United States"/>
    <x v="430"/>
    <s v="First Class"/>
    <s v="Consumer"/>
    <s v="Chairs"/>
    <n v="2"/>
    <n v="0"/>
    <n v="168.47040000000004"/>
    <n v="701.96"/>
  </r>
  <r>
    <s v="United States"/>
    <x v="430"/>
    <s v="First Class"/>
    <s v="Home Office"/>
    <s v="Accessories"/>
    <n v="3"/>
    <n v="0.2"/>
    <n v="-8.4581999999999979"/>
    <n v="112.77600000000001"/>
  </r>
  <r>
    <s v="United States"/>
    <x v="430"/>
    <s v="First Class"/>
    <s v="Home Office"/>
    <s v="Art"/>
    <n v="5"/>
    <n v="0.4"/>
    <n v="2.8919999999999995"/>
    <n v="20.911999999999999"/>
  </r>
  <r>
    <s v="United States"/>
    <x v="430"/>
    <s v="First Class"/>
    <s v="Home Office"/>
    <s v="Binders"/>
    <n v="4"/>
    <n v="0.7"/>
    <n v="-30.159999999999997"/>
    <n v="45.240000000000009"/>
  </r>
  <r>
    <s v="United States"/>
    <x v="430"/>
    <s v="First Class"/>
    <s v="Home Office"/>
    <s v="Labels"/>
    <n v="4"/>
    <n v="0.2"/>
    <n v="5.1791999999999998"/>
    <n v="15.936000000000002"/>
  </r>
  <r>
    <s v="United States"/>
    <x v="430"/>
    <s v="First Class"/>
    <s v="Home Office"/>
    <s v="Paper"/>
    <n v="2"/>
    <n v="0.2"/>
    <n v="3.7855999999999992"/>
    <n v="11.648000000000001"/>
  </r>
  <r>
    <s v="United States"/>
    <x v="430"/>
    <s v="First Class"/>
    <s v="Home Office"/>
    <s v="Phones"/>
    <n v="3"/>
    <n v="0.2"/>
    <n v="-7.17"/>
    <n v="28.68"/>
  </r>
  <r>
    <s v="United States"/>
    <x v="430"/>
    <s v="First Class"/>
    <s v="Home Office"/>
    <s v="Tables"/>
    <n v="5"/>
    <n v="0.5"/>
    <n v="-264.21500000000003"/>
    <n v="377.45"/>
  </r>
  <r>
    <s v="United States"/>
    <x v="430"/>
    <s v="Second Class"/>
    <s v="Consumer"/>
    <s v="Art"/>
    <n v="7"/>
    <n v="0"/>
    <n v="9.1937999999999978"/>
    <n v="27.86"/>
  </r>
  <r>
    <s v="United States"/>
    <x v="430"/>
    <s v="Second Class"/>
    <s v="Consumer"/>
    <s v="Storage"/>
    <n v="3"/>
    <n v="0.2"/>
    <n v="2.5641000000000034"/>
    <n v="29.304000000000002"/>
  </r>
  <r>
    <s v="United States"/>
    <x v="430"/>
    <s v="Second Class"/>
    <s v="Corporate"/>
    <s v="Art"/>
    <n v="12"/>
    <n v="0.4"/>
    <n v="18.724200000000003"/>
    <n v="80.960000000000008"/>
  </r>
  <r>
    <s v="United States"/>
    <x v="430"/>
    <s v="Second Class"/>
    <s v="Corporate"/>
    <s v="Phones"/>
    <n v="5"/>
    <n v="0.2"/>
    <n v="19.796999999999997"/>
    <n v="263.96000000000004"/>
  </r>
  <r>
    <s v="United States"/>
    <x v="430"/>
    <s v="Standard Class"/>
    <s v="Consumer"/>
    <s v="Accessories"/>
    <n v="10"/>
    <n v="0.2"/>
    <n v="-18.186000000000014"/>
    <n v="103.92000000000002"/>
  </r>
  <r>
    <s v="United States"/>
    <x v="430"/>
    <s v="Standard Class"/>
    <s v="Consumer"/>
    <s v="Appliances"/>
    <n v="2"/>
    <n v="0"/>
    <n v="12.263999999999999"/>
    <n v="35.04"/>
  </r>
  <r>
    <s v="United States"/>
    <x v="430"/>
    <s v="Standard Class"/>
    <s v="Consumer"/>
    <s v="Art"/>
    <n v="14"/>
    <n v="0.2"/>
    <n v="35.860199999999985"/>
    <n v="126.86799999999999"/>
  </r>
  <r>
    <s v="United States"/>
    <x v="430"/>
    <s v="Standard Class"/>
    <s v="Consumer"/>
    <s v="Binders"/>
    <n v="10"/>
    <n v="1.4"/>
    <n v="-10.244100000000001"/>
    <n v="38.217000000000006"/>
  </r>
  <r>
    <s v="United States"/>
    <x v="430"/>
    <s v="Standard Class"/>
    <s v="Consumer"/>
    <s v="Bookcases"/>
    <n v="3"/>
    <n v="0"/>
    <n v="69.67619999999998"/>
    <n v="302.94"/>
  </r>
  <r>
    <s v="United States"/>
    <x v="430"/>
    <s v="Standard Class"/>
    <s v="Consumer"/>
    <s v="Furnishings"/>
    <n v="5"/>
    <n v="0"/>
    <n v="3.8720000000000003"/>
    <n v="8.8000000000000007"/>
  </r>
  <r>
    <s v="United States"/>
    <x v="430"/>
    <s v="Standard Class"/>
    <s v="Consumer"/>
    <s v="Labels"/>
    <n v="12"/>
    <n v="0.4"/>
    <n v="12.807599999999997"/>
    <n v="39.408000000000001"/>
  </r>
  <r>
    <s v="United States"/>
    <x v="430"/>
    <s v="Standard Class"/>
    <s v="Consumer"/>
    <s v="Paper"/>
    <n v="12"/>
    <n v="0.60000000000000009"/>
    <n v="37.601599999999998"/>
    <n v="90.592000000000013"/>
  </r>
  <r>
    <s v="United States"/>
    <x v="430"/>
    <s v="Standard Class"/>
    <s v="Consumer"/>
    <s v="Phones"/>
    <n v="9"/>
    <n v="0.4"/>
    <n v="67.608800000000002"/>
    <n v="409.42399999999998"/>
  </r>
  <r>
    <s v="United States"/>
    <x v="430"/>
    <s v="Standard Class"/>
    <s v="Consumer"/>
    <s v="Storage"/>
    <n v="3"/>
    <n v="0.2"/>
    <n v="2.9304000000000023"/>
    <n v="39.072000000000003"/>
  </r>
  <r>
    <s v="United States"/>
    <x v="430"/>
    <s v="Standard Class"/>
    <s v="Consumer"/>
    <s v="Supplies"/>
    <n v="7"/>
    <n v="0.2"/>
    <n v="8.9834999999999834"/>
    <n v="245.6"/>
  </r>
  <r>
    <s v="United States"/>
    <x v="430"/>
    <s v="Standard Class"/>
    <s v="Home Office"/>
    <s v="Envelopes"/>
    <n v="3"/>
    <n v="0"/>
    <n v="118.34129999999999"/>
    <n v="251.79000000000002"/>
  </r>
  <r>
    <s v="United States"/>
    <x v="430"/>
    <s v="Standard Class"/>
    <s v="Home Office"/>
    <s v="Phones"/>
    <n v="2"/>
    <n v="0"/>
    <n v="6.104000000000001"/>
    <n v="21.8"/>
  </r>
  <r>
    <s v="United States"/>
    <x v="430"/>
    <s v="Standard Class"/>
    <s v="Home Office"/>
    <s v="Supplies"/>
    <n v="2"/>
    <n v="0.2"/>
    <n v="0.69839999999999902"/>
    <n v="6.2080000000000002"/>
  </r>
  <r>
    <s v="United States"/>
    <x v="431"/>
    <s v="Second Class"/>
    <s v="Corporate"/>
    <s v="Art"/>
    <n v="2"/>
    <n v="0"/>
    <n v="1.3416000000000001"/>
    <n v="5.16"/>
  </r>
  <r>
    <s v="United States"/>
    <x v="431"/>
    <s v="Second Class"/>
    <s v="Corporate"/>
    <s v="Binders"/>
    <n v="9"/>
    <n v="0.60000000000000009"/>
    <n v="31.123099999999997"/>
    <n v="94.424000000000007"/>
  </r>
  <r>
    <s v="United States"/>
    <x v="431"/>
    <s v="Second Class"/>
    <s v="Corporate"/>
    <s v="Envelopes"/>
    <n v="5"/>
    <n v="0"/>
    <n v="7.08"/>
    <n v="14.75"/>
  </r>
  <r>
    <s v="United States"/>
    <x v="431"/>
    <s v="Second Class"/>
    <s v="Corporate"/>
    <s v="Labels"/>
    <n v="14"/>
    <n v="0"/>
    <n v="196.61320000000001"/>
    <n v="427.42"/>
  </r>
  <r>
    <s v="United States"/>
    <x v="431"/>
    <s v="Second Class"/>
    <s v="Corporate"/>
    <s v="Paper"/>
    <n v="6"/>
    <n v="0"/>
    <n v="18.662400000000002"/>
    <n v="38.880000000000003"/>
  </r>
  <r>
    <s v="United States"/>
    <x v="431"/>
    <s v="Second Class"/>
    <s v="Home Office"/>
    <s v="Bookcases"/>
    <n v="3"/>
    <n v="0.15"/>
    <n v="15.697800000000004"/>
    <n v="148.25700000000001"/>
  </r>
  <r>
    <s v="United States"/>
    <x v="432"/>
    <s v="Second Class"/>
    <s v="Consumer"/>
    <s v="Binders"/>
    <n v="9"/>
    <n v="0.2"/>
    <n v="106.95779999999998"/>
    <n v="295.05599999999998"/>
  </r>
  <r>
    <s v="United States"/>
    <x v="432"/>
    <s v="Second Class"/>
    <s v="Home Office"/>
    <s v="Paper"/>
    <n v="3"/>
    <n v="0"/>
    <n v="79.891199999999998"/>
    <n v="166.44"/>
  </r>
  <r>
    <s v="United States"/>
    <x v="432"/>
    <s v="Standard Class"/>
    <s v="Consumer"/>
    <s v="Binders"/>
    <n v="3"/>
    <n v="0.2"/>
    <n v="37.235999999999997"/>
    <n v="102.72"/>
  </r>
  <r>
    <s v="United States"/>
    <x v="432"/>
    <s v="Standard Class"/>
    <s v="Consumer"/>
    <s v="Paper"/>
    <n v="3"/>
    <n v="0"/>
    <n v="9.3312000000000008"/>
    <n v="19.440000000000001"/>
  </r>
  <r>
    <s v="United States"/>
    <x v="432"/>
    <s v="Standard Class"/>
    <s v="Home Office"/>
    <s v="Binders"/>
    <n v="5"/>
    <n v="0.2"/>
    <n v="13.037499999999998"/>
    <n v="41.72"/>
  </r>
  <r>
    <s v="United States"/>
    <x v="432"/>
    <s v="Standard Class"/>
    <s v="Home Office"/>
    <s v="Paper"/>
    <n v="19"/>
    <n v="0"/>
    <n v="82.806399999999996"/>
    <n v="177.39999999999998"/>
  </r>
  <r>
    <s v="United States"/>
    <x v="433"/>
    <s v="Second Class"/>
    <s v="Consumer"/>
    <s v="Appliances"/>
    <n v="4"/>
    <n v="0.8"/>
    <n v="-30.867200000000004"/>
    <n v="11.647999999999998"/>
  </r>
  <r>
    <s v="United States"/>
    <x v="433"/>
    <s v="Second Class"/>
    <s v="Consumer"/>
    <s v="Chairs"/>
    <n v="7"/>
    <n v="0.6"/>
    <n v="-18.96279999999998"/>
    <n v="333.67599999999999"/>
  </r>
  <r>
    <s v="United States"/>
    <x v="433"/>
    <s v="Standard Class"/>
    <s v="Corporate"/>
    <s v="Chairs"/>
    <n v="2"/>
    <n v="0.3"/>
    <n v="-8.7232000000000198"/>
    <n v="305.31200000000001"/>
  </r>
  <r>
    <s v="United States"/>
    <x v="434"/>
    <s v="First Class"/>
    <s v="Consumer"/>
    <s v="Chairs"/>
    <n v="3"/>
    <n v="0.3"/>
    <n v="-9.1335000000000122"/>
    <n v="127.869"/>
  </r>
  <r>
    <s v="United States"/>
    <x v="434"/>
    <s v="First Class"/>
    <s v="Corporate"/>
    <s v="Accessories"/>
    <n v="5"/>
    <n v="0.2"/>
    <n v="29.798999999999999"/>
    <n v="113.52000000000001"/>
  </r>
  <r>
    <s v="United States"/>
    <x v="434"/>
    <s v="First Class"/>
    <s v="Corporate"/>
    <s v="Art"/>
    <n v="4"/>
    <n v="0.2"/>
    <n v="8.7384000000000022"/>
    <n v="31.776"/>
  </r>
  <r>
    <s v="United States"/>
    <x v="434"/>
    <s v="First Class"/>
    <s v="Corporate"/>
    <s v="Phones"/>
    <n v="3"/>
    <n v="0.2"/>
    <n v="22.492499999999993"/>
    <n v="359.88"/>
  </r>
  <r>
    <s v="United States"/>
    <x v="434"/>
    <s v="First Class"/>
    <s v="Corporate"/>
    <s v="Tables"/>
    <n v="6"/>
    <n v="0.3"/>
    <n v="-71.811599999999999"/>
    <n v="718.11599999999987"/>
  </r>
  <r>
    <s v="United States"/>
    <x v="434"/>
    <s v="Same Day"/>
    <s v="Consumer"/>
    <s v="Storage"/>
    <n v="4"/>
    <n v="0.2"/>
    <n v="4.9632000000000005"/>
    <n v="49.632000000000005"/>
  </r>
  <r>
    <s v="United States"/>
    <x v="434"/>
    <s v="Same Day"/>
    <s v="Corporate"/>
    <s v="Binders"/>
    <n v="2"/>
    <n v="0.8"/>
    <n v="-336.62720000000013"/>
    <n v="210.39199999999997"/>
  </r>
  <r>
    <s v="United States"/>
    <x v="434"/>
    <s v="Second Class"/>
    <s v="Consumer"/>
    <s v="Art"/>
    <n v="3"/>
    <n v="0.2"/>
    <n v="0.89880000000000004"/>
    <n v="10.272000000000002"/>
  </r>
  <r>
    <s v="United States"/>
    <x v="434"/>
    <s v="Second Class"/>
    <s v="Consumer"/>
    <s v="Binders"/>
    <n v="3"/>
    <n v="0.8"/>
    <n v="-6.2370000000000019"/>
    <n v="3.5639999999999992"/>
  </r>
  <r>
    <s v="United States"/>
    <x v="434"/>
    <s v="Second Class"/>
    <s v="Consumer"/>
    <s v="Chairs"/>
    <n v="6"/>
    <n v="0.6"/>
    <n v="-33.183199999999999"/>
    <n v="210.61599999999999"/>
  </r>
  <r>
    <s v="United States"/>
    <x v="434"/>
    <s v="Second Class"/>
    <s v="Consumer"/>
    <s v="Machines"/>
    <n v="2"/>
    <n v="0.4"/>
    <n v="-79.908000000000015"/>
    <n v="399.53999999999996"/>
  </r>
  <r>
    <s v="United States"/>
    <x v="434"/>
    <s v="Second Class"/>
    <s v="Consumer"/>
    <s v="Phones"/>
    <n v="5"/>
    <n v="0.2"/>
    <n v="51.497499999999974"/>
    <n v="823.96000000000015"/>
  </r>
  <r>
    <s v="United States"/>
    <x v="434"/>
    <s v="Second Class"/>
    <s v="Corporate"/>
    <s v="Furnishings"/>
    <n v="2"/>
    <n v="0.6"/>
    <n v="-30.588000000000001"/>
    <n v="40.783999999999999"/>
  </r>
  <r>
    <s v="United States"/>
    <x v="434"/>
    <s v="Second Class"/>
    <s v="Corporate"/>
    <s v="Labels"/>
    <n v="4"/>
    <n v="0.2"/>
    <n v="13.532399999999996"/>
    <n v="40.096000000000004"/>
  </r>
  <r>
    <s v="United States"/>
    <x v="434"/>
    <s v="Standard Class"/>
    <s v="Consumer"/>
    <s v="Accessories"/>
    <n v="21"/>
    <n v="0.60000000000000009"/>
    <n v="11.765999999999963"/>
    <n v="921.16800000000012"/>
  </r>
  <r>
    <s v="United States"/>
    <x v="434"/>
    <s v="Standard Class"/>
    <s v="Consumer"/>
    <s v="Appliances"/>
    <n v="15"/>
    <n v="2.4000000000000004"/>
    <n v="-1647.2214000000001"/>
    <n v="646.06399999999985"/>
  </r>
  <r>
    <s v="United States"/>
    <x v="434"/>
    <s v="Standard Class"/>
    <s v="Consumer"/>
    <s v="Art"/>
    <n v="9"/>
    <n v="0.4"/>
    <n v="9.5459999999999976"/>
    <n v="42"/>
  </r>
  <r>
    <s v="United States"/>
    <x v="434"/>
    <s v="Standard Class"/>
    <s v="Consumer"/>
    <s v="Binders"/>
    <n v="19"/>
    <n v="3.2"/>
    <n v="-3744.2296000000019"/>
    <n v="2204.5199999999995"/>
  </r>
  <r>
    <s v="United States"/>
    <x v="434"/>
    <s v="Standard Class"/>
    <s v="Consumer"/>
    <s v="Chairs"/>
    <n v="9"/>
    <n v="0.3"/>
    <n v="-24.858000000000175"/>
    <n v="1740.0599999999997"/>
  </r>
  <r>
    <s v="United States"/>
    <x v="434"/>
    <s v="Standard Class"/>
    <s v="Consumer"/>
    <s v="Envelopes"/>
    <n v="3"/>
    <n v="0.2"/>
    <n v="11.894999999999994"/>
    <n v="36.6"/>
  </r>
  <r>
    <s v="United States"/>
    <x v="434"/>
    <s v="Standard Class"/>
    <s v="Consumer"/>
    <s v="Furnishings"/>
    <n v="3"/>
    <n v="0.6"/>
    <n v="-10.060199999999998"/>
    <n v="17.496000000000002"/>
  </r>
  <r>
    <s v="United States"/>
    <x v="434"/>
    <s v="Standard Class"/>
    <s v="Consumer"/>
    <s v="Machines"/>
    <n v="11"/>
    <n v="0.8"/>
    <n v="-1326.402500000002"/>
    <n v="8447.8619999999992"/>
  </r>
  <r>
    <s v="United States"/>
    <x v="434"/>
    <s v="Standard Class"/>
    <s v="Consumer"/>
    <s v="Paper"/>
    <n v="5"/>
    <n v="0.2"/>
    <n v="24.527999999999995"/>
    <n v="70.08"/>
  </r>
  <r>
    <s v="United States"/>
    <x v="434"/>
    <s v="Standard Class"/>
    <s v="Consumer"/>
    <s v="Phones"/>
    <n v="6"/>
    <n v="0.4"/>
    <n v="56.036100000000033"/>
    <n v="614.35200000000009"/>
  </r>
  <r>
    <s v="United States"/>
    <x v="434"/>
    <s v="Standard Class"/>
    <s v="Consumer"/>
    <s v="Storage"/>
    <n v="6"/>
    <n v="0.4"/>
    <n v="-76.157700000000006"/>
    <n v="369.38400000000001"/>
  </r>
  <r>
    <s v="United States"/>
    <x v="434"/>
    <s v="Standard Class"/>
    <s v="Consumer"/>
    <s v="Tables"/>
    <n v="8"/>
    <n v="0.6"/>
    <n v="-127.57919999999996"/>
    <n v="1195.481"/>
  </r>
  <r>
    <s v="United States"/>
    <x v="434"/>
    <s v="Standard Class"/>
    <s v="Corporate"/>
    <s v="Accessories"/>
    <n v="5"/>
    <n v="0.4"/>
    <n v="-11.474000000000014"/>
    <n v="195.68000000000004"/>
  </r>
  <r>
    <s v="United States"/>
    <x v="434"/>
    <s v="Standard Class"/>
    <s v="Corporate"/>
    <s v="Art"/>
    <n v="6"/>
    <n v="0.2"/>
    <n v="0.50039999999999996"/>
    <n v="6.6719999999999988"/>
  </r>
  <r>
    <s v="United States"/>
    <x v="434"/>
    <s v="Standard Class"/>
    <s v="Corporate"/>
    <s v="Binders"/>
    <n v="20"/>
    <n v="3.2"/>
    <n v="-111.37600000000005"/>
    <n v="67.579999999999984"/>
  </r>
  <r>
    <s v="United States"/>
    <x v="434"/>
    <s v="Standard Class"/>
    <s v="Corporate"/>
    <s v="Chairs"/>
    <n v="4"/>
    <n v="0.3"/>
    <n v="-56.995999999999981"/>
    <n v="797.94399999999996"/>
  </r>
  <r>
    <s v="United States"/>
    <x v="434"/>
    <s v="Standard Class"/>
    <s v="Corporate"/>
    <s v="Fasteners"/>
    <n v="3"/>
    <n v="0.2"/>
    <n v="1.2431999999999999"/>
    <n v="3.5519999999999996"/>
  </r>
  <r>
    <s v="United States"/>
    <x v="434"/>
    <s v="Standard Class"/>
    <s v="Corporate"/>
    <s v="Paper"/>
    <n v="19"/>
    <n v="0.8"/>
    <n v="139.70400000000001"/>
    <n v="403.68"/>
  </r>
  <r>
    <s v="United States"/>
    <x v="434"/>
    <s v="Standard Class"/>
    <s v="Corporate"/>
    <s v="Phones"/>
    <n v="7"/>
    <n v="0.4"/>
    <n v="52.351199999999984"/>
    <n v="525.66399999999999"/>
  </r>
  <r>
    <s v="United States"/>
    <x v="434"/>
    <s v="Standard Class"/>
    <s v="Corporate"/>
    <s v="Storage"/>
    <n v="2"/>
    <n v="0.2"/>
    <n v="2.3673999999999991"/>
    <n v="27.056000000000001"/>
  </r>
  <r>
    <s v="United States"/>
    <x v="434"/>
    <s v="Standard Class"/>
    <s v="Corporate"/>
    <s v="Tables"/>
    <n v="2"/>
    <n v="0.3"/>
    <n v="-18.556200000000018"/>
    <n v="99.918000000000006"/>
  </r>
  <r>
    <s v="United States"/>
    <x v="434"/>
    <s v="Standard Class"/>
    <s v="Home Office"/>
    <s v="Binders"/>
    <n v="4"/>
    <n v="0.8"/>
    <n v="-6.2860000000000031"/>
    <n v="3.5919999999999992"/>
  </r>
  <r>
    <s v="United States"/>
    <x v="434"/>
    <s v="Standard Class"/>
    <s v="Home Office"/>
    <s v="Labels"/>
    <n v="6"/>
    <n v="0.2"/>
    <n v="20.298599999999993"/>
    <n v="60.144000000000005"/>
  </r>
  <r>
    <s v="United States"/>
    <x v="434"/>
    <s v="Standard Class"/>
    <s v="Home Office"/>
    <s v="Tables"/>
    <n v="2"/>
    <n v="0.3"/>
    <n v="-32.522600000000011"/>
    <n v="206.96200000000002"/>
  </r>
  <r>
    <s v="United States"/>
    <x v="435"/>
    <s v="Standard Class"/>
    <s v="Consumer"/>
    <s v="Binders"/>
    <n v="6"/>
    <n v="0.60000000000000009"/>
    <n v="22.797599999999996"/>
    <n v="67.36"/>
  </r>
  <r>
    <s v="United States"/>
    <x v="435"/>
    <s v="Standard Class"/>
    <s v="Consumer"/>
    <s v="Bookcases"/>
    <n v="4"/>
    <n v="0.15"/>
    <n v="-40.196000000000055"/>
    <n v="683.33199999999999"/>
  </r>
  <r>
    <s v="United States"/>
    <x v="435"/>
    <s v="Standard Class"/>
    <s v="Consumer"/>
    <s v="Labels"/>
    <n v="2"/>
    <n v="0"/>
    <n v="6.8713999999999995"/>
    <n v="14.62"/>
  </r>
  <r>
    <s v="United States"/>
    <x v="435"/>
    <s v="Standard Class"/>
    <s v="Consumer"/>
    <s v="Paper"/>
    <n v="13"/>
    <n v="0"/>
    <n v="33.150599999999997"/>
    <n v="70.099999999999994"/>
  </r>
  <r>
    <s v="United States"/>
    <x v="435"/>
    <s v="Standard Class"/>
    <s v="Consumer"/>
    <s v="Supplies"/>
    <n v="4"/>
    <n v="0"/>
    <n v="8.6736000000000004"/>
    <n v="33.36"/>
  </r>
  <r>
    <s v="United States"/>
    <x v="435"/>
    <s v="Standard Class"/>
    <s v="Home Office"/>
    <s v="Binders"/>
    <n v="4"/>
    <n v="0.2"/>
    <n v="38.684799999999996"/>
    <n v="110.52800000000001"/>
  </r>
  <r>
    <s v="United States"/>
    <x v="436"/>
    <s v="Standard Class"/>
    <s v="Consumer"/>
    <s v="Binders"/>
    <n v="7"/>
    <n v="0.2"/>
    <n v="6.5569000000000006"/>
    <n v="18.088000000000001"/>
  </r>
  <r>
    <s v="United States"/>
    <x v="436"/>
    <s v="Standard Class"/>
    <s v="Consumer"/>
    <s v="Envelopes"/>
    <n v="3"/>
    <n v="0"/>
    <n v="35.984999999999999"/>
    <n v="71.97"/>
  </r>
  <r>
    <s v="United States"/>
    <x v="437"/>
    <s v="First Class"/>
    <s v="Consumer"/>
    <s v="Appliances"/>
    <n v="1"/>
    <n v="0"/>
    <n v="3.632200000000001"/>
    <n v="13.97"/>
  </r>
  <r>
    <s v="United States"/>
    <x v="437"/>
    <s v="First Class"/>
    <s v="Consumer"/>
    <s v="Binders"/>
    <n v="4"/>
    <n v="0.4"/>
    <n v="12.017599999999998"/>
    <n v="33.152000000000001"/>
  </r>
  <r>
    <s v="United States"/>
    <x v="437"/>
    <s v="First Class"/>
    <s v="Consumer"/>
    <s v="Fasteners"/>
    <n v="2"/>
    <n v="0"/>
    <n v="3.6155999999999997"/>
    <n v="7.86"/>
  </r>
  <r>
    <s v="United States"/>
    <x v="437"/>
    <s v="First Class"/>
    <s v="Consumer"/>
    <s v="Furnishings"/>
    <n v="7"/>
    <n v="0"/>
    <n v="42.79679999999999"/>
    <n v="194.74"/>
  </r>
  <r>
    <s v="United States"/>
    <x v="437"/>
    <s v="First Class"/>
    <s v="Consumer"/>
    <s v="Paper"/>
    <n v="5"/>
    <n v="0"/>
    <n v="60.088799999999999"/>
    <n v="124.77"/>
  </r>
  <r>
    <s v="United States"/>
    <x v="437"/>
    <s v="First Class"/>
    <s v="Consumer"/>
    <s v="Storage"/>
    <n v="4"/>
    <n v="0"/>
    <n v="8.8783999999999992"/>
    <n v="443.92"/>
  </r>
  <r>
    <s v="United States"/>
    <x v="437"/>
    <s v="First Class"/>
    <s v="Corporate"/>
    <s v="Binders"/>
    <n v="4"/>
    <n v="0.2"/>
    <n v="33.635999999999996"/>
    <n v="89.696000000000012"/>
  </r>
  <r>
    <s v="United States"/>
    <x v="437"/>
    <s v="First Class"/>
    <s v="Corporate"/>
    <s v="Chairs"/>
    <n v="6"/>
    <n v="0.4"/>
    <n v="91.035799999999966"/>
    <n v="1684.5600000000002"/>
  </r>
  <r>
    <s v="United States"/>
    <x v="437"/>
    <s v="First Class"/>
    <s v="Corporate"/>
    <s v="Envelopes"/>
    <n v="2"/>
    <n v="0"/>
    <n v="1.9175999999999997"/>
    <n v="4.08"/>
  </r>
  <r>
    <s v="United States"/>
    <x v="437"/>
    <s v="First Class"/>
    <s v="Corporate"/>
    <s v="Furnishings"/>
    <n v="1"/>
    <n v="0"/>
    <n v="7.3358999999999988"/>
    <n v="22.23"/>
  </r>
  <r>
    <s v="United States"/>
    <x v="437"/>
    <s v="First Class"/>
    <s v="Corporate"/>
    <s v="Labels"/>
    <n v="10"/>
    <n v="0"/>
    <n v="40.944399999999995"/>
    <n v="87.919999999999987"/>
  </r>
  <r>
    <s v="United States"/>
    <x v="437"/>
    <s v="First Class"/>
    <s v="Corporate"/>
    <s v="Phones"/>
    <n v="2"/>
    <n v="0.2"/>
    <n v="18.897199999999991"/>
    <n v="215.96799999999999"/>
  </r>
  <r>
    <s v="United States"/>
    <x v="437"/>
    <s v="First Class"/>
    <s v="Corporate"/>
    <s v="Storage"/>
    <n v="10"/>
    <n v="0"/>
    <n v="35.047999999999995"/>
    <n v="134.80000000000001"/>
  </r>
  <r>
    <s v="United States"/>
    <x v="437"/>
    <s v="First Class"/>
    <s v="Home Office"/>
    <s v="Accessories"/>
    <n v="5"/>
    <n v="0"/>
    <n v="87.890000000000015"/>
    <n v="199.75"/>
  </r>
  <r>
    <s v="United States"/>
    <x v="437"/>
    <s v="First Class"/>
    <s v="Home Office"/>
    <s v="Chairs"/>
    <n v="3"/>
    <n v="0.2"/>
    <n v="73.19399999999996"/>
    <n v="585.55200000000002"/>
  </r>
  <r>
    <s v="United States"/>
    <x v="437"/>
    <s v="First Class"/>
    <s v="Home Office"/>
    <s v="Paper"/>
    <n v="3"/>
    <n v="0"/>
    <n v="9.3312000000000008"/>
    <n v="19.440000000000001"/>
  </r>
  <r>
    <s v="United States"/>
    <x v="437"/>
    <s v="First Class"/>
    <s v="Home Office"/>
    <s v="Phones"/>
    <n v="3"/>
    <n v="0.2"/>
    <n v="25.496999999999986"/>
    <n v="203.976"/>
  </r>
  <r>
    <s v="United States"/>
    <x v="437"/>
    <s v="First Class"/>
    <s v="Home Office"/>
    <s v="Tables"/>
    <n v="15"/>
    <n v="0.4"/>
    <n v="12.485399999999998"/>
    <n v="2347.5360000000001"/>
  </r>
  <r>
    <s v="United States"/>
    <x v="437"/>
    <s v="Same Day"/>
    <s v="Consumer"/>
    <s v="Paper"/>
    <n v="3"/>
    <n v="0"/>
    <n v="79.891199999999998"/>
    <n v="166.44"/>
  </r>
  <r>
    <s v="United States"/>
    <x v="437"/>
    <s v="Same Day"/>
    <s v="Corporate"/>
    <s v="Storage"/>
    <n v="4"/>
    <n v="0"/>
    <n v="7.1863999999999919"/>
    <n v="359.32"/>
  </r>
  <r>
    <s v="United States"/>
    <x v="437"/>
    <s v="Same Day"/>
    <s v="Corporate"/>
    <s v="Tables"/>
    <n v="10"/>
    <n v="0.2"/>
    <n v="-28.355999999999952"/>
    <n v="567.12"/>
  </r>
  <r>
    <s v="United States"/>
    <x v="437"/>
    <s v="Second Class"/>
    <s v="Consumer"/>
    <s v="Accessories"/>
    <n v="12"/>
    <n v="0"/>
    <n v="84.545100000000005"/>
    <n v="201.57"/>
  </r>
  <r>
    <s v="United States"/>
    <x v="437"/>
    <s v="Second Class"/>
    <s v="Consumer"/>
    <s v="Appliances"/>
    <n v="3"/>
    <n v="0"/>
    <n v="72.431999999999988"/>
    <n v="241.44"/>
  </r>
  <r>
    <s v="United States"/>
    <x v="437"/>
    <s v="Second Class"/>
    <s v="Consumer"/>
    <s v="Art"/>
    <n v="4"/>
    <n v="0"/>
    <n v="2.7664"/>
    <n v="10.64"/>
  </r>
  <r>
    <s v="United States"/>
    <x v="437"/>
    <s v="Second Class"/>
    <s v="Consumer"/>
    <s v="Chairs"/>
    <n v="20"/>
    <n v="1"/>
    <n v="156.25580000000002"/>
    <n v="2442.1600000000003"/>
  </r>
  <r>
    <s v="United States"/>
    <x v="437"/>
    <s v="Second Class"/>
    <s v="Consumer"/>
    <s v="Copiers"/>
    <n v="5"/>
    <n v="0.2"/>
    <n v="224.99249999999995"/>
    <n v="1199.96"/>
  </r>
  <r>
    <s v="United States"/>
    <x v="437"/>
    <s v="Second Class"/>
    <s v="Consumer"/>
    <s v="Envelopes"/>
    <n v="4"/>
    <n v="0"/>
    <n v="5.6639999999999997"/>
    <n v="11.8"/>
  </r>
  <r>
    <s v="United States"/>
    <x v="437"/>
    <s v="Second Class"/>
    <s v="Consumer"/>
    <s v="Furnishings"/>
    <n v="5"/>
    <n v="0"/>
    <n v="11.532799999999998"/>
    <n v="26.08"/>
  </r>
  <r>
    <s v="United States"/>
    <x v="437"/>
    <s v="Second Class"/>
    <s v="Consumer"/>
    <s v="Machines"/>
    <n v="4"/>
    <n v="0.2"/>
    <n v="503.63999999999965"/>
    <n v="4476.8"/>
  </r>
  <r>
    <s v="United States"/>
    <x v="437"/>
    <s v="Second Class"/>
    <s v="Consumer"/>
    <s v="Paper"/>
    <n v="21"/>
    <n v="0"/>
    <n v="216.54339999999999"/>
    <n v="462.4"/>
  </r>
  <r>
    <s v="United States"/>
    <x v="437"/>
    <s v="Second Class"/>
    <s v="Consumer"/>
    <s v="Storage"/>
    <n v="3"/>
    <n v="0"/>
    <n v="22.9068"/>
    <n v="84.84"/>
  </r>
  <r>
    <s v="United States"/>
    <x v="437"/>
    <s v="Second Class"/>
    <s v="Home Office"/>
    <s v="Accessories"/>
    <n v="3"/>
    <n v="0"/>
    <n v="66.954599999999971"/>
    <n v="371.96999999999997"/>
  </r>
  <r>
    <s v="United States"/>
    <x v="437"/>
    <s v="Second Class"/>
    <s v="Home Office"/>
    <s v="Binders"/>
    <n v="2"/>
    <n v="0.2"/>
    <n v="7.4255999999999993"/>
    <n v="22.847999999999999"/>
  </r>
  <r>
    <s v="United States"/>
    <x v="437"/>
    <s v="Second Class"/>
    <s v="Home Office"/>
    <s v="Fasteners"/>
    <n v="1"/>
    <n v="0"/>
    <n v="2.4"/>
    <n v="5"/>
  </r>
  <r>
    <s v="United States"/>
    <x v="437"/>
    <s v="Second Class"/>
    <s v="Home Office"/>
    <s v="Paper"/>
    <n v="3"/>
    <n v="0"/>
    <n v="68.975999999999999"/>
    <n v="143.69999999999999"/>
  </r>
  <r>
    <s v="United States"/>
    <x v="437"/>
    <s v="Standard Class"/>
    <s v="Consumer"/>
    <s v="Accessories"/>
    <n v="31"/>
    <n v="0"/>
    <n v="1082.7429999999997"/>
    <n v="5327.5199999999995"/>
  </r>
  <r>
    <s v="United States"/>
    <x v="437"/>
    <s v="Standard Class"/>
    <s v="Consumer"/>
    <s v="Appliances"/>
    <n v="2"/>
    <n v="0"/>
    <n v="22.074799999999996"/>
    <n v="76.12"/>
  </r>
  <r>
    <s v="United States"/>
    <x v="437"/>
    <s v="Standard Class"/>
    <s v="Consumer"/>
    <s v="Art"/>
    <n v="21"/>
    <n v="0"/>
    <n v="70.920399999999987"/>
    <n v="243.66999999999996"/>
  </r>
  <r>
    <s v="United States"/>
    <x v="437"/>
    <s v="Standard Class"/>
    <s v="Consumer"/>
    <s v="Binders"/>
    <n v="23"/>
    <n v="1.2"/>
    <n v="80.00739999999999"/>
    <n v="230.40000000000003"/>
  </r>
  <r>
    <s v="United States"/>
    <x v="437"/>
    <s v="Standard Class"/>
    <s v="Consumer"/>
    <s v="Bookcases"/>
    <n v="10"/>
    <n v="0.44999999999999996"/>
    <n v="-55.68260000000005"/>
    <n v="1217.03"/>
  </r>
  <r>
    <s v="United States"/>
    <x v="437"/>
    <s v="Standard Class"/>
    <s v="Consumer"/>
    <s v="Chairs"/>
    <n v="18"/>
    <n v="1"/>
    <n v="255.55119999999985"/>
    <n v="2952.7040000000002"/>
  </r>
  <r>
    <s v="United States"/>
    <x v="437"/>
    <s v="Standard Class"/>
    <s v="Consumer"/>
    <s v="Copiers"/>
    <n v="3"/>
    <n v="0.2"/>
    <n v="434.99130000000002"/>
    <n v="1199.9760000000001"/>
  </r>
  <r>
    <s v="United States"/>
    <x v="437"/>
    <s v="Standard Class"/>
    <s v="Consumer"/>
    <s v="Furnishings"/>
    <n v="36"/>
    <n v="0"/>
    <n v="222.00920000000008"/>
    <n v="714.10000000000014"/>
  </r>
  <r>
    <s v="United States"/>
    <x v="437"/>
    <s v="Standard Class"/>
    <s v="Consumer"/>
    <s v="Labels"/>
    <n v="25"/>
    <n v="0"/>
    <n v="88.167000000000002"/>
    <n v="185.35"/>
  </r>
  <r>
    <s v="United States"/>
    <x v="437"/>
    <s v="Standard Class"/>
    <s v="Consumer"/>
    <s v="Machines"/>
    <n v="2"/>
    <n v="0.2"/>
    <n v="77.219999999999914"/>
    <n v="686.40000000000009"/>
  </r>
  <r>
    <s v="United States"/>
    <x v="437"/>
    <s v="Standard Class"/>
    <s v="Consumer"/>
    <s v="Paper"/>
    <n v="27"/>
    <n v="0"/>
    <n v="208.59989999999999"/>
    <n v="439.68999999999994"/>
  </r>
  <r>
    <s v="United States"/>
    <x v="437"/>
    <s v="Standard Class"/>
    <s v="Consumer"/>
    <s v="Phones"/>
    <n v="32"/>
    <n v="1.4"/>
    <n v="163.5150999999999"/>
    <n v="2040.816"/>
  </r>
  <r>
    <s v="United States"/>
    <x v="437"/>
    <s v="Standard Class"/>
    <s v="Consumer"/>
    <s v="Storage"/>
    <n v="39"/>
    <n v="0"/>
    <n v="152.73399999999995"/>
    <n v="2375.36"/>
  </r>
  <r>
    <s v="United States"/>
    <x v="437"/>
    <s v="Standard Class"/>
    <s v="Consumer"/>
    <s v="Supplies"/>
    <n v="6"/>
    <n v="0"/>
    <n v="9.3423000000000016"/>
    <n v="44.849999999999994"/>
  </r>
  <r>
    <s v="United States"/>
    <x v="437"/>
    <s v="Standard Class"/>
    <s v="Consumer"/>
    <s v="Tables"/>
    <n v="10"/>
    <n v="0.60000000000000009"/>
    <n v="-33.166600000000088"/>
    <n v="1517.08"/>
  </r>
  <r>
    <s v="United States"/>
    <x v="437"/>
    <s v="Standard Class"/>
    <s v="Corporate"/>
    <s v="Accessories"/>
    <n v="14"/>
    <n v="0"/>
    <n v="150.66079999999999"/>
    <n v="391.96000000000004"/>
  </r>
  <r>
    <s v="United States"/>
    <x v="437"/>
    <s v="Standard Class"/>
    <s v="Corporate"/>
    <s v="Art"/>
    <n v="10"/>
    <n v="0"/>
    <n v="95.233199999999968"/>
    <n v="325.37999999999994"/>
  </r>
  <r>
    <s v="United States"/>
    <x v="437"/>
    <s v="Standard Class"/>
    <s v="Corporate"/>
    <s v="Binders"/>
    <n v="28"/>
    <n v="1.5999999999999999"/>
    <n v="111.27899999999998"/>
    <n v="326.50400000000002"/>
  </r>
  <r>
    <s v="United States"/>
    <x v="437"/>
    <s v="Standard Class"/>
    <s v="Corporate"/>
    <s v="Bookcases"/>
    <n v="3"/>
    <n v="0.15"/>
    <n v="20.517599999999987"/>
    <n v="435.99900000000002"/>
  </r>
  <r>
    <s v="United States"/>
    <x v="437"/>
    <s v="Standard Class"/>
    <s v="Corporate"/>
    <s v="Chairs"/>
    <n v="17"/>
    <n v="0.8"/>
    <n v="9.2088999999998897"/>
    <n v="2274.4240000000004"/>
  </r>
  <r>
    <s v="United States"/>
    <x v="437"/>
    <s v="Standard Class"/>
    <s v="Corporate"/>
    <s v="Furnishings"/>
    <n v="6"/>
    <n v="0"/>
    <n v="42.93979999999997"/>
    <n v="347"/>
  </r>
  <r>
    <s v="United States"/>
    <x v="437"/>
    <s v="Standard Class"/>
    <s v="Corporate"/>
    <s v="Machines"/>
    <n v="2"/>
    <n v="0.2"/>
    <n v="38.997399999999971"/>
    <n v="239.98400000000004"/>
  </r>
  <r>
    <s v="United States"/>
    <x v="437"/>
    <s v="Standard Class"/>
    <s v="Corporate"/>
    <s v="Paper"/>
    <n v="15"/>
    <n v="0"/>
    <n v="233.15710000000001"/>
    <n v="482.99"/>
  </r>
  <r>
    <s v="United States"/>
    <x v="437"/>
    <s v="Standard Class"/>
    <s v="Corporate"/>
    <s v="Phones"/>
    <n v="17"/>
    <n v="1.2"/>
    <n v="300.59669999999983"/>
    <n v="2420.4560000000001"/>
  </r>
  <r>
    <s v="United States"/>
    <x v="437"/>
    <s v="Standard Class"/>
    <s v="Corporate"/>
    <s v="Storage"/>
    <n v="2"/>
    <n v="0"/>
    <n v="0.40679999999999694"/>
    <n v="40.68"/>
  </r>
  <r>
    <s v="United States"/>
    <x v="437"/>
    <s v="Standard Class"/>
    <s v="Home Office"/>
    <s v="Accessories"/>
    <n v="7"/>
    <n v="0"/>
    <n v="4.4540999999999986"/>
    <n v="21.209999999999997"/>
  </r>
  <r>
    <s v="United States"/>
    <x v="437"/>
    <s v="Standard Class"/>
    <s v="Home Office"/>
    <s v="Art"/>
    <n v="9"/>
    <n v="0"/>
    <n v="15.434299999999995"/>
    <n v="48.83"/>
  </r>
  <r>
    <s v="United States"/>
    <x v="437"/>
    <s v="Standard Class"/>
    <s v="Home Office"/>
    <s v="Binders"/>
    <n v="17"/>
    <n v="0.4"/>
    <n v="51.749600000000001"/>
    <n v="147.85599999999999"/>
  </r>
  <r>
    <s v="United States"/>
    <x v="437"/>
    <s v="Standard Class"/>
    <s v="Home Office"/>
    <s v="Chairs"/>
    <n v="9"/>
    <n v="0.2"/>
    <n v="267.66720000000009"/>
    <n v="2676.672"/>
  </r>
  <r>
    <s v="United States"/>
    <x v="437"/>
    <s v="Standard Class"/>
    <s v="Home Office"/>
    <s v="Envelopes"/>
    <n v="7"/>
    <n v="0"/>
    <n v="79.035199999999989"/>
    <n v="168.16"/>
  </r>
  <r>
    <s v="United States"/>
    <x v="437"/>
    <s v="Standard Class"/>
    <s v="Home Office"/>
    <s v="Fasteners"/>
    <n v="5"/>
    <n v="0"/>
    <n v="5.8045"/>
    <n v="12.350000000000001"/>
  </r>
  <r>
    <s v="United States"/>
    <x v="437"/>
    <s v="Standard Class"/>
    <s v="Home Office"/>
    <s v="Furnishings"/>
    <n v="3"/>
    <n v="0"/>
    <n v="11.025000000000002"/>
    <n v="26.25"/>
  </r>
  <r>
    <s v="United States"/>
    <x v="437"/>
    <s v="Standard Class"/>
    <s v="Home Office"/>
    <s v="Labels"/>
    <n v="8"/>
    <n v="0"/>
    <n v="9.6047999999999991"/>
    <n v="20.88"/>
  </r>
  <r>
    <s v="United States"/>
    <x v="437"/>
    <s v="Standard Class"/>
    <s v="Home Office"/>
    <s v="Paper"/>
    <n v="4"/>
    <n v="0"/>
    <n v="16.0928"/>
    <n v="34.24"/>
  </r>
  <r>
    <s v="United States"/>
    <x v="437"/>
    <s v="Standard Class"/>
    <s v="Home Office"/>
    <s v="Phones"/>
    <n v="5"/>
    <n v="0.2"/>
    <n v="41.697000000000003"/>
    <n v="555.96"/>
  </r>
  <r>
    <s v="United States"/>
    <x v="437"/>
    <s v="Standard Class"/>
    <s v="Home Office"/>
    <s v="Storage"/>
    <n v="3"/>
    <n v="0"/>
    <n v="18.609299999999998"/>
    <n v="64.17"/>
  </r>
  <r>
    <s v="United States"/>
    <x v="438"/>
    <s v="First Class"/>
    <s v="Consumer"/>
    <s v="Accessories"/>
    <n v="24"/>
    <n v="0"/>
    <n v="346.66949999999997"/>
    <n v="989.31999999999994"/>
  </r>
  <r>
    <s v="United States"/>
    <x v="438"/>
    <s v="First Class"/>
    <s v="Consumer"/>
    <s v="Appliances"/>
    <n v="7"/>
    <n v="0"/>
    <n v="27.188800000000001"/>
    <n v="88.960000000000008"/>
  </r>
  <r>
    <s v="United States"/>
    <x v="438"/>
    <s v="First Class"/>
    <s v="Consumer"/>
    <s v="Art"/>
    <n v="7"/>
    <n v="0"/>
    <n v="12.551400000000001"/>
    <n v="36.58"/>
  </r>
  <r>
    <s v="United States"/>
    <x v="438"/>
    <s v="First Class"/>
    <s v="Consumer"/>
    <s v="Binders"/>
    <n v="29"/>
    <n v="1.7999999999999998"/>
    <n v="142.9006"/>
    <n v="407.61599999999999"/>
  </r>
  <r>
    <s v="United States"/>
    <x v="438"/>
    <s v="First Class"/>
    <s v="Consumer"/>
    <s v="Bookcases"/>
    <n v="5"/>
    <n v="0.15"/>
    <n v="225.73499999999993"/>
    <n v="1279.165"/>
  </r>
  <r>
    <s v="United States"/>
    <x v="438"/>
    <s v="First Class"/>
    <s v="Consumer"/>
    <s v="Chairs"/>
    <n v="11"/>
    <n v="0.4"/>
    <n v="103.14999999999996"/>
    <n v="1407.808"/>
  </r>
  <r>
    <s v="United States"/>
    <x v="438"/>
    <s v="First Class"/>
    <s v="Consumer"/>
    <s v="Envelopes"/>
    <n v="5"/>
    <n v="0"/>
    <n v="23.537600000000001"/>
    <n v="50.08"/>
  </r>
  <r>
    <s v="United States"/>
    <x v="438"/>
    <s v="First Class"/>
    <s v="Consumer"/>
    <s v="Furnishings"/>
    <n v="24"/>
    <n v="0"/>
    <n v="45.096699999999998"/>
    <n v="124.21000000000001"/>
  </r>
  <r>
    <s v="United States"/>
    <x v="438"/>
    <s v="First Class"/>
    <s v="Consumer"/>
    <s v="Labels"/>
    <n v="9"/>
    <n v="0"/>
    <n v="12.2247"/>
    <n v="26.01"/>
  </r>
  <r>
    <s v="United States"/>
    <x v="438"/>
    <s v="First Class"/>
    <s v="Consumer"/>
    <s v="Paper"/>
    <n v="5"/>
    <n v="0"/>
    <n v="19.443899999999999"/>
    <n v="41.370000000000005"/>
  </r>
  <r>
    <s v="United States"/>
    <x v="438"/>
    <s v="First Class"/>
    <s v="Consumer"/>
    <s v="Phones"/>
    <n v="11"/>
    <n v="0.4"/>
    <n v="-5.503799999999984"/>
    <n v="2337.4639999999999"/>
  </r>
  <r>
    <s v="United States"/>
    <x v="438"/>
    <s v="First Class"/>
    <s v="Consumer"/>
    <s v="Storage"/>
    <n v="18"/>
    <n v="0"/>
    <n v="103.5527"/>
    <n v="446.19"/>
  </r>
  <r>
    <s v="United States"/>
    <x v="438"/>
    <s v="First Class"/>
    <s v="Consumer"/>
    <s v="Tables"/>
    <n v="1"/>
    <n v="0.2"/>
    <n v="2.625099999999982"/>
    <n v="210.00800000000001"/>
  </r>
  <r>
    <s v="United States"/>
    <x v="438"/>
    <s v="First Class"/>
    <s v="Corporate"/>
    <s v="Accessories"/>
    <n v="3"/>
    <n v="0"/>
    <n v="23.69769999999999"/>
    <n v="136.49"/>
  </r>
  <r>
    <s v="United States"/>
    <x v="438"/>
    <s v="First Class"/>
    <s v="Corporate"/>
    <s v="Appliances"/>
    <n v="10"/>
    <n v="0"/>
    <n v="280.86379999999997"/>
    <n v="1043.9000000000001"/>
  </r>
  <r>
    <s v="United States"/>
    <x v="438"/>
    <s v="First Class"/>
    <s v="Corporate"/>
    <s v="Binders"/>
    <n v="17"/>
    <n v="1"/>
    <n v="108.33410000000001"/>
    <n v="310.73599999999999"/>
  </r>
  <r>
    <s v="United States"/>
    <x v="438"/>
    <s v="First Class"/>
    <s v="Corporate"/>
    <s v="Bookcases"/>
    <n v="22"/>
    <n v="0.6"/>
    <n v="376.97360000000009"/>
    <n v="3069.826"/>
  </r>
  <r>
    <s v="United States"/>
    <x v="438"/>
    <s v="First Class"/>
    <s v="Corporate"/>
    <s v="Chairs"/>
    <n v="4"/>
    <n v="0.2"/>
    <n v="84.501999999999953"/>
    <n v="1352.0320000000002"/>
  </r>
  <r>
    <s v="United States"/>
    <x v="438"/>
    <s v="First Class"/>
    <s v="Corporate"/>
    <s v="Copiers"/>
    <n v="3"/>
    <n v="0.2"/>
    <n v="374.99249999999995"/>
    <n v="1199.9760000000001"/>
  </r>
  <r>
    <s v="United States"/>
    <x v="438"/>
    <s v="First Class"/>
    <s v="Corporate"/>
    <s v="Envelopes"/>
    <n v="2"/>
    <n v="0"/>
    <n v="10.94"/>
    <n v="21.88"/>
  </r>
  <r>
    <s v="United States"/>
    <x v="438"/>
    <s v="First Class"/>
    <s v="Corporate"/>
    <s v="Furnishings"/>
    <n v="6"/>
    <n v="0"/>
    <n v="12.145199999999997"/>
    <n v="41.88"/>
  </r>
  <r>
    <s v="United States"/>
    <x v="438"/>
    <s v="First Class"/>
    <s v="Corporate"/>
    <s v="Labels"/>
    <n v="8"/>
    <n v="0"/>
    <n v="27.485599999999998"/>
    <n v="58.48"/>
  </r>
  <r>
    <s v="United States"/>
    <x v="438"/>
    <s v="First Class"/>
    <s v="Corporate"/>
    <s v="Machines"/>
    <n v="5"/>
    <n v="0.4"/>
    <n v="440.99069999999961"/>
    <n v="5039.9599999999991"/>
  </r>
  <r>
    <s v="United States"/>
    <x v="438"/>
    <s v="First Class"/>
    <s v="Corporate"/>
    <s v="Paper"/>
    <n v="27"/>
    <n v="0"/>
    <n v="465.30800000000005"/>
    <n v="965.87"/>
  </r>
  <r>
    <s v="United States"/>
    <x v="438"/>
    <s v="First Class"/>
    <s v="Corporate"/>
    <s v="Phones"/>
    <n v="11"/>
    <n v="0.4"/>
    <n v="41.439599999999999"/>
    <n v="162.81600000000003"/>
  </r>
  <r>
    <s v="United States"/>
    <x v="438"/>
    <s v="First Class"/>
    <s v="Corporate"/>
    <s v="Storage"/>
    <n v="16"/>
    <n v="0"/>
    <n v="193.16880000000003"/>
    <n v="715.44"/>
  </r>
  <r>
    <s v="United States"/>
    <x v="438"/>
    <s v="First Class"/>
    <s v="Home Office"/>
    <s v="Accessories"/>
    <n v="5"/>
    <n v="0"/>
    <n v="142.69110000000003"/>
    <n v="420.25"/>
  </r>
  <r>
    <s v="United States"/>
    <x v="438"/>
    <s v="First Class"/>
    <s v="Home Office"/>
    <s v="Art"/>
    <n v="7"/>
    <n v="0"/>
    <n v="4.5472000000000001"/>
    <n v="15.68"/>
  </r>
  <r>
    <s v="United States"/>
    <x v="438"/>
    <s v="First Class"/>
    <s v="Home Office"/>
    <s v="Binders"/>
    <n v="14"/>
    <n v="0.60000000000000009"/>
    <n v="47.960400000000007"/>
    <n v="133.21600000000001"/>
  </r>
  <r>
    <s v="United States"/>
    <x v="438"/>
    <s v="First Class"/>
    <s v="Home Office"/>
    <s v="Chairs"/>
    <n v="3"/>
    <n v="0.2"/>
    <n v="40.800600000000003"/>
    <n v="544.00800000000004"/>
  </r>
  <r>
    <s v="United States"/>
    <x v="438"/>
    <s v="First Class"/>
    <s v="Home Office"/>
    <s v="Furnishings"/>
    <n v="14"/>
    <n v="0"/>
    <n v="89.922599999999989"/>
    <n v="246.39999999999998"/>
  </r>
  <r>
    <s v="United States"/>
    <x v="438"/>
    <s v="First Class"/>
    <s v="Home Office"/>
    <s v="Paper"/>
    <n v="16"/>
    <n v="0"/>
    <n v="138.1618"/>
    <n v="285.42"/>
  </r>
  <r>
    <s v="United States"/>
    <x v="438"/>
    <s v="First Class"/>
    <s v="Home Office"/>
    <s v="Phones"/>
    <n v="2"/>
    <n v="0.2"/>
    <n v="4.4979999999999958"/>
    <n v="35.984000000000002"/>
  </r>
  <r>
    <s v="United States"/>
    <x v="438"/>
    <s v="First Class"/>
    <s v="Home Office"/>
    <s v="Storage"/>
    <n v="3"/>
    <n v="0"/>
    <n v="12.097800000000001"/>
    <n v="46.53"/>
  </r>
  <r>
    <s v="United States"/>
    <x v="438"/>
    <s v="First Class"/>
    <s v="Home Office"/>
    <s v="Supplies"/>
    <n v="5"/>
    <n v="0"/>
    <n v="13.365"/>
    <n v="49.5"/>
  </r>
  <r>
    <s v="United States"/>
    <x v="438"/>
    <s v="Same Day"/>
    <s v="Consumer"/>
    <s v="Accessories"/>
    <n v="4"/>
    <n v="0"/>
    <n v="172.38130000000001"/>
    <n v="379.96000000000004"/>
  </r>
  <r>
    <s v="United States"/>
    <x v="438"/>
    <s v="Same Day"/>
    <s v="Consumer"/>
    <s v="Appliances"/>
    <n v="12"/>
    <n v="0"/>
    <n v="136.47129999999999"/>
    <n v="490.39"/>
  </r>
  <r>
    <s v="United States"/>
    <x v="438"/>
    <s v="Same Day"/>
    <s v="Consumer"/>
    <s v="Art"/>
    <n v="7"/>
    <n v="0"/>
    <n v="21.406400000000001"/>
    <n v="73"/>
  </r>
  <r>
    <s v="United States"/>
    <x v="438"/>
    <s v="Same Day"/>
    <s v="Consumer"/>
    <s v="Binders"/>
    <n v="7"/>
    <n v="0.60000000000000009"/>
    <n v="9.9833999999999996"/>
    <n v="28.240000000000002"/>
  </r>
  <r>
    <s v="United States"/>
    <x v="438"/>
    <s v="Same Day"/>
    <s v="Consumer"/>
    <s v="Chairs"/>
    <n v="1"/>
    <n v="0.2"/>
    <n v="10.858800000000002"/>
    <n v="144.78399999999999"/>
  </r>
  <r>
    <s v="United States"/>
    <x v="438"/>
    <s v="Same Day"/>
    <s v="Consumer"/>
    <s v="Copiers"/>
    <n v="5"/>
    <n v="0.2"/>
    <n v="944.98649999999986"/>
    <n v="2799.9600000000005"/>
  </r>
  <r>
    <s v="United States"/>
    <x v="438"/>
    <s v="Same Day"/>
    <s v="Consumer"/>
    <s v="Furnishings"/>
    <n v="7"/>
    <n v="0"/>
    <n v="20.386800000000001"/>
    <n v="56.629999999999995"/>
  </r>
  <r>
    <s v="United States"/>
    <x v="438"/>
    <s v="Same Day"/>
    <s v="Consumer"/>
    <s v="Paper"/>
    <n v="1"/>
    <n v="0"/>
    <n v="3.5009999999999994"/>
    <n v="7.78"/>
  </r>
  <r>
    <s v="United States"/>
    <x v="438"/>
    <s v="Same Day"/>
    <s v="Consumer"/>
    <s v="Storage"/>
    <n v="9"/>
    <n v="0"/>
    <n v="30.653799999999993"/>
    <n v="223.54000000000002"/>
  </r>
  <r>
    <s v="United States"/>
    <x v="438"/>
    <s v="Same Day"/>
    <s v="Consumer"/>
    <s v="Supplies"/>
    <n v="4"/>
    <n v="0"/>
    <n v="9.2567999999999984"/>
    <n v="31.92"/>
  </r>
  <r>
    <s v="United States"/>
    <x v="438"/>
    <s v="Same Day"/>
    <s v="Corporate"/>
    <s v="Binders"/>
    <n v="6"/>
    <n v="0.4"/>
    <n v="319.80990000000003"/>
    <n v="948.21600000000012"/>
  </r>
  <r>
    <s v="United States"/>
    <x v="438"/>
    <s v="Same Day"/>
    <s v="Corporate"/>
    <s v="Chairs"/>
    <n v="9"/>
    <n v="0.4"/>
    <n v="-140.39730000000026"/>
    <n v="2048.8560000000002"/>
  </r>
  <r>
    <s v="United States"/>
    <x v="438"/>
    <s v="Same Day"/>
    <s v="Corporate"/>
    <s v="Envelopes"/>
    <n v="6"/>
    <n v="0"/>
    <n v="33.064799999999998"/>
    <n v="71.88"/>
  </r>
  <r>
    <s v="United States"/>
    <x v="438"/>
    <s v="Same Day"/>
    <s v="Corporate"/>
    <s v="Furnishings"/>
    <n v="11"/>
    <n v="0"/>
    <n v="38.335999999999999"/>
    <n v="107.72"/>
  </r>
  <r>
    <s v="United States"/>
    <x v="438"/>
    <s v="Same Day"/>
    <s v="Corporate"/>
    <s v="Machines"/>
    <n v="3"/>
    <n v="0.2"/>
    <n v="215.99729999999977"/>
    <n v="1919.9760000000001"/>
  </r>
  <r>
    <s v="United States"/>
    <x v="438"/>
    <s v="Same Day"/>
    <s v="Corporate"/>
    <s v="Paper"/>
    <n v="10"/>
    <n v="0"/>
    <n v="76.419600000000003"/>
    <n v="159.16"/>
  </r>
  <r>
    <s v="United States"/>
    <x v="438"/>
    <s v="Same Day"/>
    <s v="Corporate"/>
    <s v="Supplies"/>
    <n v="3"/>
    <n v="0"/>
    <n v="7.6049999999999978"/>
    <n v="25.349999999999998"/>
  </r>
  <r>
    <s v="United States"/>
    <x v="438"/>
    <s v="Same Day"/>
    <s v="Home Office"/>
    <s v="Accessories"/>
    <n v="1"/>
    <n v="0"/>
    <n v="1.0169999999999995"/>
    <n v="16.95"/>
  </r>
  <r>
    <s v="United States"/>
    <x v="438"/>
    <s v="Same Day"/>
    <s v="Home Office"/>
    <s v="Art"/>
    <n v="9"/>
    <n v="0"/>
    <n v="11.151"/>
    <n v="37.17"/>
  </r>
  <r>
    <s v="United States"/>
    <x v="438"/>
    <s v="Same Day"/>
    <s v="Home Office"/>
    <s v="Binders"/>
    <n v="1"/>
    <n v="0.2"/>
    <n v="1.5602"/>
    <n v="4.3040000000000003"/>
  </r>
  <r>
    <s v="United States"/>
    <x v="438"/>
    <s v="Same Day"/>
    <s v="Home Office"/>
    <s v="Bookcases"/>
    <n v="4"/>
    <n v="0.15"/>
    <n v="-4.8391999999999769"/>
    <n v="411.33199999999999"/>
  </r>
  <r>
    <s v="United States"/>
    <x v="438"/>
    <s v="Same Day"/>
    <s v="Home Office"/>
    <s v="Fasteners"/>
    <n v="3"/>
    <n v="0"/>
    <n v="0.11340000000000017"/>
    <n v="5.67"/>
  </r>
  <r>
    <s v="United States"/>
    <x v="438"/>
    <s v="Same Day"/>
    <s v="Home Office"/>
    <s v="Labels"/>
    <n v="8"/>
    <n v="0"/>
    <n v="39.744"/>
    <n v="82.8"/>
  </r>
  <r>
    <s v="United States"/>
    <x v="438"/>
    <s v="Same Day"/>
    <s v="Home Office"/>
    <s v="Paper"/>
    <n v="12"/>
    <n v="0"/>
    <n v="63.0702"/>
    <n v="131.69999999999999"/>
  </r>
  <r>
    <s v="United States"/>
    <x v="438"/>
    <s v="Same Day"/>
    <s v="Home Office"/>
    <s v="Supplies"/>
    <n v="2"/>
    <n v="0"/>
    <n v="0.14719999999999978"/>
    <n v="7.36"/>
  </r>
  <r>
    <s v="United States"/>
    <x v="438"/>
    <s v="Second Class"/>
    <s v="Consumer"/>
    <s v="Accessories"/>
    <n v="6"/>
    <n v="0"/>
    <n v="98.749900000000011"/>
    <n v="445.96000000000004"/>
  </r>
  <r>
    <s v="United States"/>
    <x v="438"/>
    <s v="Second Class"/>
    <s v="Consumer"/>
    <s v="Appliances"/>
    <n v="4"/>
    <n v="0"/>
    <n v="22.702400000000004"/>
    <n v="81.08"/>
  </r>
  <r>
    <s v="United States"/>
    <x v="438"/>
    <s v="Second Class"/>
    <s v="Consumer"/>
    <s v="Art"/>
    <n v="12"/>
    <n v="0"/>
    <n v="10.044799999999999"/>
    <n v="36.760000000000005"/>
  </r>
  <r>
    <s v="United States"/>
    <x v="438"/>
    <s v="Second Class"/>
    <s v="Consumer"/>
    <s v="Binders"/>
    <n v="19"/>
    <n v="0.8"/>
    <n v="50.498999999999981"/>
    <n v="156.792"/>
  </r>
  <r>
    <s v="United States"/>
    <x v="438"/>
    <s v="Second Class"/>
    <s v="Consumer"/>
    <s v="Bookcases"/>
    <n v="2"/>
    <n v="0.15"/>
    <n v="10.478399999999979"/>
    <n v="222.66599999999997"/>
  </r>
  <r>
    <s v="United States"/>
    <x v="438"/>
    <s v="Second Class"/>
    <s v="Consumer"/>
    <s v="Chairs"/>
    <n v="7"/>
    <n v="0.60000000000000009"/>
    <n v="99.909200000000027"/>
    <n v="2160.8559999999998"/>
  </r>
  <r>
    <s v="United States"/>
    <x v="438"/>
    <s v="Second Class"/>
    <s v="Consumer"/>
    <s v="Fasteners"/>
    <n v="1"/>
    <n v="0"/>
    <n v="1.3535999999999999"/>
    <n v="2.88"/>
  </r>
  <r>
    <s v="United States"/>
    <x v="438"/>
    <s v="Second Class"/>
    <s v="Consumer"/>
    <s v="Furnishings"/>
    <n v="21"/>
    <n v="0"/>
    <n v="74.697200000000009"/>
    <n v="283"/>
  </r>
  <r>
    <s v="United States"/>
    <x v="438"/>
    <s v="Second Class"/>
    <s v="Consumer"/>
    <s v="Labels"/>
    <n v="10"/>
    <n v="0"/>
    <n v="37.969499999999996"/>
    <n v="79.44"/>
  </r>
  <r>
    <s v="United States"/>
    <x v="438"/>
    <s v="Second Class"/>
    <s v="Consumer"/>
    <s v="Paper"/>
    <n v="15"/>
    <n v="0"/>
    <n v="117.05119999999998"/>
    <n v="248.35999999999999"/>
  </r>
  <r>
    <s v="United States"/>
    <x v="438"/>
    <s v="Second Class"/>
    <s v="Consumer"/>
    <s v="Phones"/>
    <n v="30"/>
    <n v="1.2"/>
    <n v="318.75269999999961"/>
    <n v="3179.6640000000002"/>
  </r>
  <r>
    <s v="United States"/>
    <x v="438"/>
    <s v="Second Class"/>
    <s v="Consumer"/>
    <s v="Storage"/>
    <n v="35"/>
    <n v="0"/>
    <n v="278.25699999999995"/>
    <n v="1390.31"/>
  </r>
  <r>
    <s v="United States"/>
    <x v="438"/>
    <s v="Second Class"/>
    <s v="Consumer"/>
    <s v="Supplies"/>
    <n v="5"/>
    <n v="0"/>
    <n v="327.50599999999963"/>
    <n v="8187.65"/>
  </r>
  <r>
    <s v="United States"/>
    <x v="438"/>
    <s v="Second Class"/>
    <s v="Consumer"/>
    <s v="Tables"/>
    <n v="13"/>
    <n v="0.60000000000000009"/>
    <n v="109.77940000000002"/>
    <n v="1719.712"/>
  </r>
  <r>
    <s v="United States"/>
    <x v="438"/>
    <s v="Second Class"/>
    <s v="Corporate"/>
    <s v="Accessories"/>
    <n v="4"/>
    <n v="0"/>
    <n v="21.27239999999999"/>
    <n v="111.96"/>
  </r>
  <r>
    <s v="United States"/>
    <x v="438"/>
    <s v="Second Class"/>
    <s v="Corporate"/>
    <s v="Appliances"/>
    <n v="6"/>
    <n v="0"/>
    <n v="61.117999999999995"/>
    <n v="224.38"/>
  </r>
  <r>
    <s v="United States"/>
    <x v="438"/>
    <s v="Second Class"/>
    <s v="Corporate"/>
    <s v="Art"/>
    <n v="2"/>
    <n v="0"/>
    <n v="0.83999999999999986"/>
    <n v="3.36"/>
  </r>
  <r>
    <s v="United States"/>
    <x v="438"/>
    <s v="Second Class"/>
    <s v="Corporate"/>
    <s v="Binders"/>
    <n v="18"/>
    <n v="0.8"/>
    <n v="25.307099999999998"/>
    <n v="72.328000000000003"/>
  </r>
  <r>
    <s v="United States"/>
    <x v="438"/>
    <s v="Second Class"/>
    <s v="Corporate"/>
    <s v="Chairs"/>
    <n v="3"/>
    <n v="0.2"/>
    <n v="77.035199999999975"/>
    <n v="770.35200000000009"/>
  </r>
  <r>
    <s v="United States"/>
    <x v="438"/>
    <s v="Second Class"/>
    <s v="Corporate"/>
    <s v="Envelopes"/>
    <n v="6"/>
    <n v="0"/>
    <n v="19.275199999999998"/>
    <n v="39.519999999999996"/>
  </r>
  <r>
    <s v="United States"/>
    <x v="438"/>
    <s v="Second Class"/>
    <s v="Corporate"/>
    <s v="Furnishings"/>
    <n v="10"/>
    <n v="0"/>
    <n v="118.22280000000001"/>
    <n v="316.48"/>
  </r>
  <r>
    <s v="United States"/>
    <x v="438"/>
    <s v="Second Class"/>
    <s v="Corporate"/>
    <s v="Labels"/>
    <n v="17"/>
    <n v="0"/>
    <n v="27.144000000000002"/>
    <n v="56.55"/>
  </r>
  <r>
    <s v="United States"/>
    <x v="438"/>
    <s v="Second Class"/>
    <s v="Corporate"/>
    <s v="Paper"/>
    <n v="3"/>
    <n v="0"/>
    <n v="68.963099999999997"/>
    <n v="146.72999999999999"/>
  </r>
  <r>
    <s v="United States"/>
    <x v="438"/>
    <s v="Second Class"/>
    <s v="Corporate"/>
    <s v="Phones"/>
    <n v="8"/>
    <n v="0.60000000000000009"/>
    <n v="61.87700000000001"/>
    <n v="272.33600000000001"/>
  </r>
  <r>
    <s v="United States"/>
    <x v="438"/>
    <s v="Second Class"/>
    <s v="Corporate"/>
    <s v="Storage"/>
    <n v="11"/>
    <n v="0"/>
    <n v="234.20409999999995"/>
    <n v="1470.17"/>
  </r>
  <r>
    <s v="United States"/>
    <x v="438"/>
    <s v="Second Class"/>
    <s v="Corporate"/>
    <s v="Supplies"/>
    <n v="6"/>
    <n v="0"/>
    <n v="199.78859999999978"/>
    <n v="4923.54"/>
  </r>
  <r>
    <s v="United States"/>
    <x v="438"/>
    <s v="Second Class"/>
    <s v="Corporate"/>
    <s v="Tables"/>
    <n v="2"/>
    <n v="0.2"/>
    <n v="-3.3506000000000018"/>
    <n v="24.368000000000002"/>
  </r>
  <r>
    <s v="United States"/>
    <x v="438"/>
    <s v="Second Class"/>
    <s v="Home Office"/>
    <s v="Accessories"/>
    <n v="1"/>
    <n v="0"/>
    <n v="10.895999999999997"/>
    <n v="36.32"/>
  </r>
  <r>
    <s v="United States"/>
    <x v="438"/>
    <s v="Second Class"/>
    <s v="Home Office"/>
    <s v="Art"/>
    <n v="7"/>
    <n v="0"/>
    <n v="28.791799999999999"/>
    <n v="97.02"/>
  </r>
  <r>
    <s v="United States"/>
    <x v="438"/>
    <s v="Second Class"/>
    <s v="Home Office"/>
    <s v="Binders"/>
    <n v="3"/>
    <n v="0.2"/>
    <n v="4.1832000000000003"/>
    <n v="11.952000000000002"/>
  </r>
  <r>
    <s v="United States"/>
    <x v="438"/>
    <s v="Second Class"/>
    <s v="Home Office"/>
    <s v="Bookcases"/>
    <n v="10"/>
    <n v="0.15"/>
    <n v="70.490000000000009"/>
    <n v="1198.33"/>
  </r>
  <r>
    <s v="United States"/>
    <x v="438"/>
    <s v="Second Class"/>
    <s v="Home Office"/>
    <s v="Chairs"/>
    <n v="12"/>
    <n v="0.2"/>
    <n v="42.588000000000022"/>
    <n v="681.40800000000013"/>
  </r>
  <r>
    <s v="United States"/>
    <x v="438"/>
    <s v="Second Class"/>
    <s v="Home Office"/>
    <s v="Furnishings"/>
    <n v="3"/>
    <n v="0"/>
    <n v="4.8608999999999991"/>
    <n v="14.73"/>
  </r>
  <r>
    <s v="United States"/>
    <x v="438"/>
    <s v="Second Class"/>
    <s v="Home Office"/>
    <s v="Paper"/>
    <n v="12"/>
    <n v="0"/>
    <n v="117.84769999999997"/>
    <n v="239.76999999999998"/>
  </r>
  <r>
    <s v="United States"/>
    <x v="438"/>
    <s v="Second Class"/>
    <s v="Home Office"/>
    <s v="Phones"/>
    <n v="2"/>
    <n v="0.2"/>
    <n v="8.2781999999999982"/>
    <n v="73.584000000000003"/>
  </r>
  <r>
    <s v="United States"/>
    <x v="438"/>
    <s v="Second Class"/>
    <s v="Home Office"/>
    <s v="Storage"/>
    <n v="1"/>
    <n v="0"/>
    <n v="4.3428000000000004"/>
    <n v="15.51"/>
  </r>
  <r>
    <s v="United States"/>
    <x v="438"/>
    <s v="Second Class"/>
    <s v="Home Office"/>
    <s v="Supplies"/>
    <n v="5"/>
    <n v="0"/>
    <n v="4.0619999999999994"/>
    <n v="13.54"/>
  </r>
  <r>
    <s v="United States"/>
    <x v="438"/>
    <s v="Second Class"/>
    <s v="Home Office"/>
    <s v="Tables"/>
    <n v="1"/>
    <n v="0.2"/>
    <n v="11.283900000000017"/>
    <n v="300.904"/>
  </r>
  <r>
    <s v="United States"/>
    <x v="438"/>
    <s v="Standard Class"/>
    <s v="Consumer"/>
    <s v="Accessories"/>
    <n v="49"/>
    <n v="0"/>
    <n v="531.74590000000001"/>
    <n v="1736.95"/>
  </r>
  <r>
    <s v="United States"/>
    <x v="438"/>
    <s v="Standard Class"/>
    <s v="Consumer"/>
    <s v="Appliances"/>
    <n v="40"/>
    <n v="0"/>
    <n v="1163.3242999999998"/>
    <n v="3898.7400000000002"/>
  </r>
  <r>
    <s v="United States"/>
    <x v="438"/>
    <s v="Standard Class"/>
    <s v="Consumer"/>
    <s v="Art"/>
    <n v="77"/>
    <n v="0"/>
    <n v="203.99540000000002"/>
    <n v="633.00000000000011"/>
  </r>
  <r>
    <s v="United States"/>
    <x v="438"/>
    <s v="Standard Class"/>
    <s v="Consumer"/>
    <s v="Binders"/>
    <n v="94"/>
    <n v="4.0000000000000009"/>
    <n v="1200.6141000000002"/>
    <n v="3470.7200000000003"/>
  </r>
  <r>
    <s v="United States"/>
    <x v="438"/>
    <s v="Standard Class"/>
    <s v="Consumer"/>
    <s v="Bookcases"/>
    <n v="26"/>
    <n v="0.9"/>
    <n v="-50.403799999999983"/>
    <n v="2903.1579999999999"/>
  </r>
  <r>
    <s v="United States"/>
    <x v="438"/>
    <s v="Standard Class"/>
    <s v="Consumer"/>
    <s v="Chairs"/>
    <n v="19"/>
    <n v="1.4"/>
    <n v="5.2418999999999549"/>
    <n v="1402.8319999999999"/>
  </r>
  <r>
    <s v="United States"/>
    <x v="438"/>
    <s v="Standard Class"/>
    <s v="Consumer"/>
    <s v="Copiers"/>
    <n v="5"/>
    <n v="0.4"/>
    <n v="812.9858999999999"/>
    <n v="2319.96"/>
  </r>
  <r>
    <s v="United States"/>
    <x v="438"/>
    <s v="Standard Class"/>
    <s v="Consumer"/>
    <s v="Envelopes"/>
    <n v="14"/>
    <n v="0"/>
    <n v="139.71610000000001"/>
    <n v="295.79000000000002"/>
  </r>
  <r>
    <s v="United States"/>
    <x v="438"/>
    <s v="Standard Class"/>
    <s v="Consumer"/>
    <s v="Fasteners"/>
    <n v="13"/>
    <n v="0"/>
    <n v="20.883199999999999"/>
    <n v="42.239999999999995"/>
  </r>
  <r>
    <s v="United States"/>
    <x v="438"/>
    <s v="Standard Class"/>
    <s v="Consumer"/>
    <s v="Furnishings"/>
    <n v="59"/>
    <n v="0"/>
    <n v="519.47320000000002"/>
    <n v="1909.1"/>
  </r>
  <r>
    <s v="United States"/>
    <x v="438"/>
    <s v="Standard Class"/>
    <s v="Consumer"/>
    <s v="Labels"/>
    <n v="26"/>
    <n v="0"/>
    <n v="52.045000000000002"/>
    <n v="109.73"/>
  </r>
  <r>
    <s v="United States"/>
    <x v="438"/>
    <s v="Standard Class"/>
    <s v="Consumer"/>
    <s v="Machines"/>
    <n v="11"/>
    <n v="0.2"/>
    <n v="32.301500000000019"/>
    <n v="369.16"/>
  </r>
  <r>
    <s v="United States"/>
    <x v="438"/>
    <s v="Standard Class"/>
    <s v="Consumer"/>
    <s v="Paper"/>
    <n v="87"/>
    <n v="0"/>
    <n v="349.32399999999996"/>
    <n v="732.54"/>
  </r>
  <r>
    <s v="United States"/>
    <x v="438"/>
    <s v="Standard Class"/>
    <s v="Consumer"/>
    <s v="Phones"/>
    <n v="31"/>
    <n v="1.9999999999999998"/>
    <n v="381.61080000000004"/>
    <n v="3135.3840000000009"/>
  </r>
  <r>
    <s v="United States"/>
    <x v="438"/>
    <s v="Standard Class"/>
    <s v="Consumer"/>
    <s v="Storage"/>
    <n v="39"/>
    <n v="0"/>
    <n v="504.22319999999974"/>
    <n v="3047.97"/>
  </r>
  <r>
    <s v="United States"/>
    <x v="438"/>
    <s v="Standard Class"/>
    <s v="Consumer"/>
    <s v="Supplies"/>
    <n v="5"/>
    <n v="0"/>
    <n v="12.893399999999996"/>
    <n v="50.99"/>
  </r>
  <r>
    <s v="United States"/>
    <x v="438"/>
    <s v="Standard Class"/>
    <s v="Consumer"/>
    <s v="Tables"/>
    <n v="16"/>
    <n v="0.60000000000000009"/>
    <n v="-470.17170000000021"/>
    <n v="3260.72"/>
  </r>
  <r>
    <s v="United States"/>
    <x v="438"/>
    <s v="Standard Class"/>
    <s v="Corporate"/>
    <s v="Accessories"/>
    <n v="31"/>
    <n v="0"/>
    <n v="485.08039999999994"/>
    <n v="1400.2600000000002"/>
  </r>
  <r>
    <s v="United States"/>
    <x v="438"/>
    <s v="Standard Class"/>
    <s v="Corporate"/>
    <s v="Appliances"/>
    <n v="5"/>
    <n v="0"/>
    <n v="13.956300000000002"/>
    <n v="51.69"/>
  </r>
  <r>
    <s v="United States"/>
    <x v="438"/>
    <s v="Standard Class"/>
    <s v="Corporate"/>
    <s v="Art"/>
    <n v="23"/>
    <n v="0"/>
    <n v="48.376999999999995"/>
    <n v="180.71"/>
  </r>
  <r>
    <s v="United States"/>
    <x v="438"/>
    <s v="Standard Class"/>
    <s v="Corporate"/>
    <s v="Binders"/>
    <n v="35"/>
    <n v="2.6"/>
    <n v="262.00509999999991"/>
    <n v="765.72799999999995"/>
  </r>
  <r>
    <s v="United States"/>
    <x v="438"/>
    <s v="Standard Class"/>
    <s v="Corporate"/>
    <s v="Bookcases"/>
    <n v="6"/>
    <n v="0.15"/>
    <n v="34.493999999999971"/>
    <n v="586.39800000000002"/>
  </r>
  <r>
    <s v="United States"/>
    <x v="438"/>
    <s v="Standard Class"/>
    <s v="Corporate"/>
    <s v="Chairs"/>
    <n v="9"/>
    <n v="0.60000000000000009"/>
    <n v="148.43120000000002"/>
    <n v="2527.0560000000005"/>
  </r>
  <r>
    <s v="United States"/>
    <x v="438"/>
    <s v="Standard Class"/>
    <s v="Corporate"/>
    <s v="Envelopes"/>
    <n v="12"/>
    <n v="0"/>
    <n v="128.28020000000001"/>
    <n v="262.04000000000002"/>
  </r>
  <r>
    <s v="United States"/>
    <x v="438"/>
    <s v="Standard Class"/>
    <s v="Corporate"/>
    <s v="Fasteners"/>
    <n v="5"/>
    <n v="0"/>
    <n v="8.7710000000000008"/>
    <n v="17.899999999999999"/>
  </r>
  <r>
    <s v="United States"/>
    <x v="438"/>
    <s v="Standard Class"/>
    <s v="Corporate"/>
    <s v="Furnishings"/>
    <n v="27"/>
    <n v="0"/>
    <n v="105.721"/>
    <n v="310.58000000000004"/>
  </r>
  <r>
    <s v="United States"/>
    <x v="438"/>
    <s v="Standard Class"/>
    <s v="Corporate"/>
    <s v="Labels"/>
    <n v="9"/>
    <n v="0"/>
    <n v="126.39420000000001"/>
    <n v="274.77"/>
  </r>
  <r>
    <s v="United States"/>
    <x v="438"/>
    <s v="Standard Class"/>
    <s v="Corporate"/>
    <s v="Machines"/>
    <n v="6"/>
    <n v="0.2"/>
    <n v="287.98199999999997"/>
    <n v="767.95200000000011"/>
  </r>
  <r>
    <s v="United States"/>
    <x v="438"/>
    <s v="Standard Class"/>
    <s v="Corporate"/>
    <s v="Paper"/>
    <n v="52"/>
    <n v="0"/>
    <n v="377.80229999999995"/>
    <n v="797.56999999999994"/>
  </r>
  <r>
    <s v="United States"/>
    <x v="438"/>
    <s v="Standard Class"/>
    <s v="Corporate"/>
    <s v="Phones"/>
    <n v="38"/>
    <n v="1.5999999999999999"/>
    <n v="326.09379999999999"/>
    <n v="3224.5039999999999"/>
  </r>
  <r>
    <s v="United States"/>
    <x v="438"/>
    <s v="Standard Class"/>
    <s v="Corporate"/>
    <s v="Storage"/>
    <n v="17"/>
    <n v="0"/>
    <n v="161.58339999999998"/>
    <n v="962.7600000000001"/>
  </r>
  <r>
    <s v="United States"/>
    <x v="438"/>
    <s v="Standard Class"/>
    <s v="Corporate"/>
    <s v="Supplies"/>
    <n v="10"/>
    <n v="0"/>
    <n v="21.741400000000002"/>
    <n v="296.54000000000002"/>
  </r>
  <r>
    <s v="United States"/>
    <x v="438"/>
    <s v="Standard Class"/>
    <s v="Corporate"/>
    <s v="Tables"/>
    <n v="26"/>
    <n v="1.4"/>
    <n v="-305.37710000000015"/>
    <n v="4344.8639999999996"/>
  </r>
  <r>
    <s v="United States"/>
    <x v="438"/>
    <s v="Standard Class"/>
    <s v="Home Office"/>
    <s v="Accessories"/>
    <n v="11"/>
    <n v="0"/>
    <n v="212.49449999999999"/>
    <n v="649.74"/>
  </r>
  <r>
    <s v="United States"/>
    <x v="438"/>
    <s v="Standard Class"/>
    <s v="Home Office"/>
    <s v="Appliances"/>
    <n v="14"/>
    <n v="0"/>
    <n v="60.168700000000008"/>
    <n v="184.75"/>
  </r>
  <r>
    <s v="United States"/>
    <x v="438"/>
    <s v="Standard Class"/>
    <s v="Home Office"/>
    <s v="Art"/>
    <n v="24"/>
    <n v="0"/>
    <n v="23.7044"/>
    <n v="69.38"/>
  </r>
  <r>
    <s v="United States"/>
    <x v="438"/>
    <s v="Standard Class"/>
    <s v="Home Office"/>
    <s v="Binders"/>
    <n v="48"/>
    <n v="1.7999999999999998"/>
    <n v="85.380999999999986"/>
    <n v="249.66400000000002"/>
  </r>
  <r>
    <s v="United States"/>
    <x v="438"/>
    <s v="Standard Class"/>
    <s v="Home Office"/>
    <s v="Bookcases"/>
    <n v="1"/>
    <n v="0.15"/>
    <n v="7.0489999999999995"/>
    <n v="119.83299999999998"/>
  </r>
  <r>
    <s v="United States"/>
    <x v="438"/>
    <s v="Standard Class"/>
    <s v="Home Office"/>
    <s v="Chairs"/>
    <n v="3"/>
    <n v="0.4"/>
    <n v="-26.544999999999995"/>
    <n v="250.352"/>
  </r>
  <r>
    <s v="United States"/>
    <x v="438"/>
    <s v="Standard Class"/>
    <s v="Home Office"/>
    <s v="Fasteners"/>
    <n v="2"/>
    <n v="0"/>
    <n v="1.9697999999999998"/>
    <n v="4.0199999999999996"/>
  </r>
  <r>
    <s v="United States"/>
    <x v="438"/>
    <s v="Standard Class"/>
    <s v="Home Office"/>
    <s v="Furnishings"/>
    <n v="1"/>
    <n v="0"/>
    <n v="2.1780000000000004"/>
    <n v="4.95"/>
  </r>
  <r>
    <s v="United States"/>
    <x v="438"/>
    <s v="Standard Class"/>
    <s v="Home Office"/>
    <s v="Labels"/>
    <n v="18"/>
    <n v="0"/>
    <n v="42.202399999999997"/>
    <n v="88.899999999999991"/>
  </r>
  <r>
    <s v="United States"/>
    <x v="438"/>
    <s v="Standard Class"/>
    <s v="Home Office"/>
    <s v="Paper"/>
    <n v="42"/>
    <n v="0"/>
    <n v="558.86059999999998"/>
    <n v="1154.06"/>
  </r>
  <r>
    <s v="United States"/>
    <x v="438"/>
    <s v="Standard Class"/>
    <s v="Home Office"/>
    <s v="Phones"/>
    <n v="6"/>
    <n v="0.4"/>
    <n v="100.77659999999997"/>
    <n v="895.79200000000003"/>
  </r>
  <r>
    <s v="United States"/>
    <x v="438"/>
    <s v="Standard Class"/>
    <s v="Home Office"/>
    <s v="Storage"/>
    <n v="6"/>
    <n v="0"/>
    <n v="4.1916000000000011"/>
    <n v="41.370000000000005"/>
  </r>
  <r>
    <s v="United States"/>
    <x v="439"/>
    <s v="Standard Class"/>
    <s v="Home Office"/>
    <s v="Appliances"/>
    <n v="3"/>
    <n v="0"/>
    <n v="78.508799999999965"/>
    <n v="270.71999999999997"/>
  </r>
  <r>
    <s v="United States"/>
    <x v="439"/>
    <s v="Standard Class"/>
    <s v="Home Office"/>
    <s v="Chairs"/>
    <n v="5"/>
    <n v="0.2"/>
    <n v="148.70400000000006"/>
    <n v="1487.04"/>
  </r>
  <r>
    <s v="United States"/>
    <x v="439"/>
    <s v="Standard Class"/>
    <s v="Home Office"/>
    <s v="Furnishings"/>
    <n v="5"/>
    <n v="0"/>
    <n v="63.682499999999997"/>
    <n v="303.25"/>
  </r>
  <r>
    <s v="United States"/>
    <x v="440"/>
    <s v="First Class"/>
    <s v="Consumer"/>
    <s v="Appliances"/>
    <n v="2"/>
    <n v="0"/>
    <n v="60.490000000000009"/>
    <n v="241.96"/>
  </r>
  <r>
    <s v="United States"/>
    <x v="440"/>
    <s v="First Class"/>
    <s v="Consumer"/>
    <s v="Binders"/>
    <n v="14"/>
    <n v="0.4"/>
    <n v="21.353399999999997"/>
    <n v="63.216000000000008"/>
  </r>
  <r>
    <s v="United States"/>
    <x v="440"/>
    <s v="First Class"/>
    <s v="Consumer"/>
    <s v="Chairs"/>
    <n v="4"/>
    <n v="0.2"/>
    <n v="9.5031999999999925"/>
    <n v="108.608"/>
  </r>
  <r>
    <s v="United States"/>
    <x v="440"/>
    <s v="First Class"/>
    <s v="Consumer"/>
    <s v="Fasteners"/>
    <n v="3"/>
    <n v="0"/>
    <n v="4.9104000000000001"/>
    <n v="10.23"/>
  </r>
  <r>
    <s v="United States"/>
    <x v="440"/>
    <s v="First Class"/>
    <s v="Consumer"/>
    <s v="Paper"/>
    <n v="5"/>
    <n v="0"/>
    <n v="69.704999999999998"/>
    <n v="154.9"/>
  </r>
  <r>
    <s v="United States"/>
    <x v="440"/>
    <s v="First Class"/>
    <s v="Corporate"/>
    <s v="Paper"/>
    <n v="11"/>
    <n v="0"/>
    <n v="74.81019999999998"/>
    <n v="163.89999999999998"/>
  </r>
  <r>
    <s v="United States"/>
    <x v="440"/>
    <s v="First Class"/>
    <s v="Corporate"/>
    <s v="Storage"/>
    <n v="6"/>
    <n v="0"/>
    <n v="21.028799999999997"/>
    <n v="80.88"/>
  </r>
  <r>
    <s v="United States"/>
    <x v="440"/>
    <s v="First Class"/>
    <s v="Home Office"/>
    <s v="Binders"/>
    <n v="3"/>
    <n v="0.2"/>
    <n v="5.1929999999999996"/>
    <n v="13.847999999999999"/>
  </r>
  <r>
    <s v="United States"/>
    <x v="440"/>
    <s v="Second Class"/>
    <s v="Consumer"/>
    <s v="Accessories"/>
    <n v="4"/>
    <n v="0"/>
    <n v="12.959999999999994"/>
    <n v="72"/>
  </r>
  <r>
    <s v="United States"/>
    <x v="440"/>
    <s v="Second Class"/>
    <s v="Consumer"/>
    <s v="Chairs"/>
    <n v="2"/>
    <n v="0.2"/>
    <n v="9.9651999999999994"/>
    <n v="113.88800000000002"/>
  </r>
  <r>
    <s v="United States"/>
    <x v="440"/>
    <s v="Second Class"/>
    <s v="Consumer"/>
    <s v="Envelopes"/>
    <n v="3"/>
    <n v="0"/>
    <n v="77.483699999999999"/>
    <n v="158.13"/>
  </r>
  <r>
    <s v="United States"/>
    <x v="440"/>
    <s v="Second Class"/>
    <s v="Home Office"/>
    <s v="Furnishings"/>
    <n v="3"/>
    <n v="0"/>
    <n v="26.648999999999997"/>
    <n v="76.14"/>
  </r>
  <r>
    <s v="United States"/>
    <x v="440"/>
    <s v="Standard Class"/>
    <s v="Consumer"/>
    <s v="Art"/>
    <n v="4"/>
    <n v="0"/>
    <n v="3.1752000000000002"/>
    <n v="11.76"/>
  </r>
  <r>
    <s v="United States"/>
    <x v="440"/>
    <s v="Standard Class"/>
    <s v="Consumer"/>
    <s v="Binders"/>
    <n v="7"/>
    <n v="0.4"/>
    <n v="62.878399999999999"/>
    <n v="172.99200000000002"/>
  </r>
  <r>
    <s v="United States"/>
    <x v="440"/>
    <s v="Standard Class"/>
    <s v="Consumer"/>
    <s v="Bookcases"/>
    <n v="1"/>
    <n v="0.15"/>
    <n v="-6.0489999999999995"/>
    <n v="102.833"/>
  </r>
  <r>
    <s v="United States"/>
    <x v="440"/>
    <s v="Standard Class"/>
    <s v="Consumer"/>
    <s v="Chairs"/>
    <n v="1"/>
    <n v="0.2"/>
    <n v="32.097999999999971"/>
    <n v="256.78400000000005"/>
  </r>
  <r>
    <s v="United States"/>
    <x v="440"/>
    <s v="Standard Class"/>
    <s v="Consumer"/>
    <s v="Envelopes"/>
    <n v="7"/>
    <n v="0"/>
    <n v="18.687199999999997"/>
    <n v="39.76"/>
  </r>
  <r>
    <s v="United States"/>
    <x v="440"/>
    <s v="Standard Class"/>
    <s v="Consumer"/>
    <s v="Furnishings"/>
    <n v="15"/>
    <n v="0"/>
    <n v="113.42920000000001"/>
    <n v="426.10999999999996"/>
  </r>
  <r>
    <s v="United States"/>
    <x v="440"/>
    <s v="Standard Class"/>
    <s v="Consumer"/>
    <s v="Paper"/>
    <n v="7"/>
    <n v="0"/>
    <n v="134.11929999999998"/>
    <n v="284.51"/>
  </r>
  <r>
    <s v="United States"/>
    <x v="440"/>
    <s v="Standard Class"/>
    <s v="Consumer"/>
    <s v="Phones"/>
    <n v="5"/>
    <n v="0.2"/>
    <n v="125.30000000000007"/>
    <n v="1432.0000000000002"/>
  </r>
  <r>
    <s v="United States"/>
    <x v="440"/>
    <s v="Standard Class"/>
    <s v="Consumer"/>
    <s v="Storage"/>
    <n v="16"/>
    <n v="0"/>
    <n v="145.18610000000001"/>
    <n v="1109.3700000000001"/>
  </r>
  <r>
    <s v="United States"/>
    <x v="440"/>
    <s v="Standard Class"/>
    <s v="Consumer"/>
    <s v="Supplies"/>
    <n v="6"/>
    <n v="0"/>
    <n v="11.0808"/>
    <n v="41.04"/>
  </r>
  <r>
    <s v="United States"/>
    <x v="440"/>
    <s v="Standard Class"/>
    <s v="Corporate"/>
    <s v="Appliances"/>
    <n v="10"/>
    <n v="0"/>
    <n v="38.133399999999995"/>
    <n v="103.03999999999999"/>
  </r>
  <r>
    <s v="United States"/>
    <x v="440"/>
    <s v="Standard Class"/>
    <s v="Corporate"/>
    <s v="Binders"/>
    <n v="7"/>
    <n v="0.60000000000000009"/>
    <n v="133.07859999999999"/>
    <n v="405.67200000000003"/>
  </r>
  <r>
    <s v="United States"/>
    <x v="440"/>
    <s v="Standard Class"/>
    <s v="Corporate"/>
    <s v="Bookcases"/>
    <n v="2"/>
    <n v="0.15"/>
    <n v="-12.878400000000013"/>
    <n v="273.666"/>
  </r>
  <r>
    <s v="United States"/>
    <x v="440"/>
    <s v="Standard Class"/>
    <s v="Corporate"/>
    <s v="Furnishings"/>
    <n v="3"/>
    <n v="0"/>
    <n v="5.6627999999999998"/>
    <n v="14.52"/>
  </r>
  <r>
    <s v="United States"/>
    <x v="440"/>
    <s v="Standard Class"/>
    <s v="Corporate"/>
    <s v="Phones"/>
    <n v="3"/>
    <n v="0.2"/>
    <n v="8.2763999999999953"/>
    <n v="110.352"/>
  </r>
  <r>
    <s v="United States"/>
    <x v="440"/>
    <s v="Standard Class"/>
    <s v="Home Office"/>
    <s v="Binders"/>
    <n v="5"/>
    <n v="0.2"/>
    <n v="9.8279999999999959"/>
    <n v="29.120000000000005"/>
  </r>
  <r>
    <s v="United States"/>
    <x v="441"/>
    <s v="Standard Class"/>
    <s v="Consumer"/>
    <s v="Fasteners"/>
    <n v="2"/>
    <n v="0"/>
    <n v="1.1945999999999999"/>
    <n v="3.62"/>
  </r>
  <r>
    <s v="United States"/>
    <x v="442"/>
    <s v="Second Class"/>
    <s v="Corporate"/>
    <s v="Accessories"/>
    <n v="2"/>
    <n v="0.2"/>
    <n v="-3.6372000000000027"/>
    <n v="20.784000000000002"/>
  </r>
  <r>
    <s v="United States"/>
    <x v="442"/>
    <s v="Second Class"/>
    <s v="Corporate"/>
    <s v="Furnishings"/>
    <n v="3"/>
    <n v="0.6"/>
    <n v="-5.9408999999999992"/>
    <n v="10.332000000000001"/>
  </r>
  <r>
    <s v="United States"/>
    <x v="442"/>
    <s v="Second Class"/>
    <s v="Corporate"/>
    <s v="Paper"/>
    <n v="2"/>
    <n v="0.2"/>
    <n v="3.6288"/>
    <n v="10.368000000000002"/>
  </r>
  <r>
    <s v="United States"/>
    <x v="442"/>
    <s v="Second Class"/>
    <s v="Corporate"/>
    <s v="Storage"/>
    <n v="5"/>
    <n v="0.2"/>
    <n v="-13.392000000000003"/>
    <n v="66.959999999999994"/>
  </r>
  <r>
    <s v="United States"/>
    <x v="443"/>
    <s v="First Class"/>
    <s v="Consumer"/>
    <s v="Labels"/>
    <n v="6"/>
    <n v="0"/>
    <n v="35.334599999999995"/>
    <n v="75.179999999999993"/>
  </r>
  <r>
    <s v="United States"/>
    <x v="444"/>
    <s v="First Class"/>
    <s v="Corporate"/>
    <s v="Appliances"/>
    <n v="2"/>
    <n v="0"/>
    <n v="4.4824000000000002"/>
    <n v="17.239999999999998"/>
  </r>
  <r>
    <s v="United States"/>
    <x v="444"/>
    <s v="First Class"/>
    <s v="Corporate"/>
    <s v="Binders"/>
    <n v="6"/>
    <n v="0"/>
    <n v="54.691199999999995"/>
    <n v="113.94"/>
  </r>
  <r>
    <s v="United States"/>
    <x v="444"/>
    <s v="First Class"/>
    <s v="Corporate"/>
    <s v="Bookcases"/>
    <n v="3"/>
    <n v="0"/>
    <n v="75.735000000000014"/>
    <n v="302.94"/>
  </r>
  <r>
    <s v="United States"/>
    <x v="444"/>
    <s v="First Class"/>
    <s v="Corporate"/>
    <s v="Phones"/>
    <n v="7"/>
    <n v="0"/>
    <n v="31.311899999999998"/>
    <n v="90.72999999999999"/>
  </r>
  <r>
    <s v="United States"/>
    <x v="444"/>
    <s v="Second Class"/>
    <s v="Consumer"/>
    <s v="Art"/>
    <n v="3"/>
    <n v="0"/>
    <n v="9.7118999999999982"/>
    <n v="35.97"/>
  </r>
  <r>
    <s v="United States"/>
    <x v="444"/>
    <s v="Second Class"/>
    <s v="Consumer"/>
    <s v="Bookcases"/>
    <n v="7"/>
    <n v="0"/>
    <n v="291.37779999999987"/>
    <n v="1266.8599999999999"/>
  </r>
  <r>
    <s v="United States"/>
    <x v="444"/>
    <s v="Standard Class"/>
    <s v="Corporate"/>
    <s v="Accessories"/>
    <n v="1"/>
    <n v="0"/>
    <n v="0.83300000000000018"/>
    <n v="5.95"/>
  </r>
  <r>
    <s v="United States"/>
    <x v="444"/>
    <s v="Standard Class"/>
    <s v="Corporate"/>
    <s v="Paper"/>
    <n v="3"/>
    <n v="0"/>
    <n v="7.1627999999999998"/>
    <n v="15.24"/>
  </r>
  <r>
    <s v="United States"/>
    <x v="444"/>
    <s v="Standard Class"/>
    <s v="Home Office"/>
    <s v="Art"/>
    <n v="7"/>
    <n v="0"/>
    <n v="8.6736000000000004"/>
    <n v="27"/>
  </r>
  <r>
    <s v="United States"/>
    <x v="444"/>
    <s v="Standard Class"/>
    <s v="Home Office"/>
    <s v="Labels"/>
    <n v="5"/>
    <n v="0"/>
    <n v="7.5600000000000005"/>
    <n v="15.75"/>
  </r>
  <r>
    <s v="United States"/>
    <x v="444"/>
    <s v="Standard Class"/>
    <s v="Home Office"/>
    <s v="Phones"/>
    <n v="2"/>
    <n v="0"/>
    <n v="25.171999999999997"/>
    <n v="89.9"/>
  </r>
  <r>
    <s v="United States"/>
    <x v="444"/>
    <s v="Standard Class"/>
    <s v="Home Office"/>
    <s v="Storage"/>
    <n v="1"/>
    <n v="0"/>
    <n v="3.8774999999999995"/>
    <n v="15.51"/>
  </r>
  <r>
    <s v="United States"/>
    <x v="445"/>
    <s v="Standard Class"/>
    <s v="Home Office"/>
    <s v="Binders"/>
    <n v="3"/>
    <n v="0.7"/>
    <n v="-3.5507999999999988"/>
    <n v="4.8420000000000005"/>
  </r>
  <r>
    <s v="United States"/>
    <x v="445"/>
    <s v="Standard Class"/>
    <s v="Home Office"/>
    <s v="Furnishings"/>
    <n v="6"/>
    <n v="0.2"/>
    <n v="-8.2764000000000379"/>
    <n v="220.70400000000001"/>
  </r>
  <r>
    <s v="United States"/>
    <x v="446"/>
    <s v="First Class"/>
    <s v="Home Office"/>
    <s v="Art"/>
    <n v="2"/>
    <n v="0"/>
    <n v="15.764000000000003"/>
    <n v="56.3"/>
  </r>
  <r>
    <s v="United States"/>
    <x v="446"/>
    <s v="Same Day"/>
    <s v="Consumer"/>
    <s v="Accessories"/>
    <n v="7"/>
    <n v="0"/>
    <n v="601.96990000000005"/>
    <n v="1399.93"/>
  </r>
  <r>
    <s v="United States"/>
    <x v="446"/>
    <s v="Same Day"/>
    <s v="Consumer"/>
    <s v="Furnishings"/>
    <n v="2"/>
    <n v="0"/>
    <n v="6.2151999999999994"/>
    <n v="18.28"/>
  </r>
  <r>
    <s v="United States"/>
    <x v="446"/>
    <s v="Same Day"/>
    <s v="Consumer"/>
    <s v="Tables"/>
    <n v="1"/>
    <n v="0.2"/>
    <n v="-12.778499999999994"/>
    <n v="146.04000000000002"/>
  </r>
  <r>
    <s v="United States"/>
    <x v="446"/>
    <s v="Second Class"/>
    <s v="Corporate"/>
    <s v="Paper"/>
    <n v="3"/>
    <n v="0"/>
    <n v="9.3312000000000008"/>
    <n v="19.440000000000001"/>
  </r>
  <r>
    <s v="United States"/>
    <x v="446"/>
    <s v="Second Class"/>
    <s v="Corporate"/>
    <s v="Phones"/>
    <n v="6"/>
    <n v="0.2"/>
    <n v="17.993999999999978"/>
    <n v="143.952"/>
  </r>
  <r>
    <s v="United States"/>
    <x v="446"/>
    <s v="Standard Class"/>
    <s v="Consumer"/>
    <s v="Chairs"/>
    <n v="6"/>
    <n v="0.2"/>
    <n v="-84.823200000000071"/>
    <n v="484.70400000000006"/>
  </r>
  <r>
    <s v="United States"/>
    <x v="446"/>
    <s v="Standard Class"/>
    <s v="Consumer"/>
    <s v="Fasteners"/>
    <n v="3"/>
    <n v="0"/>
    <n v="0"/>
    <n v="5.9399999999999995"/>
  </r>
  <r>
    <s v="United States"/>
    <x v="446"/>
    <s v="Standard Class"/>
    <s v="Consumer"/>
    <s v="Machines"/>
    <n v="3"/>
    <n v="0.2"/>
    <n v="116.24249999999996"/>
    <n v="371.97600000000006"/>
  </r>
  <r>
    <s v="United States"/>
    <x v="446"/>
    <s v="Standard Class"/>
    <s v="Consumer"/>
    <s v="Paper"/>
    <n v="7"/>
    <n v="0"/>
    <n v="21.772800000000004"/>
    <n v="45.36"/>
  </r>
  <r>
    <s v="United States"/>
    <x v="446"/>
    <s v="Standard Class"/>
    <s v="Consumer"/>
    <s v="Phones"/>
    <n v="4"/>
    <n v="0.2"/>
    <n v="23.756399999999985"/>
    <n v="211.16800000000001"/>
  </r>
  <r>
    <s v="United States"/>
    <x v="446"/>
    <s v="Standard Class"/>
    <s v="Consumer"/>
    <s v="Storage"/>
    <n v="2"/>
    <n v="0"/>
    <n v="105.27499999999998"/>
    <n v="421.1"/>
  </r>
  <r>
    <s v="United States"/>
    <x v="446"/>
    <s v="Standard Class"/>
    <s v="Consumer"/>
    <s v="Supplies"/>
    <n v="2"/>
    <n v="0"/>
    <n v="6.1488000000000014"/>
    <n v="21.96"/>
  </r>
  <r>
    <s v="United States"/>
    <x v="446"/>
    <s v="Standard Class"/>
    <s v="Home Office"/>
    <s v="Labels"/>
    <n v="7"/>
    <n v="0"/>
    <n v="9.8783999999999992"/>
    <n v="20.16"/>
  </r>
  <r>
    <s v="United States"/>
    <x v="447"/>
    <s v="First Class"/>
    <s v="Corporate"/>
    <s v="Chairs"/>
    <n v="3"/>
    <n v="0.2"/>
    <n v="-54.320399999999978"/>
    <n v="362.13599999999997"/>
  </r>
  <r>
    <s v="United States"/>
    <x v="447"/>
    <s v="First Class"/>
    <s v="Corporate"/>
    <s v="Labels"/>
    <n v="3"/>
    <n v="0"/>
    <n v="14.904"/>
    <n v="31.049999999999997"/>
  </r>
  <r>
    <s v="United States"/>
    <x v="447"/>
    <s v="Second Class"/>
    <s v="Corporate"/>
    <s v="Paper"/>
    <n v="2"/>
    <n v="0"/>
    <n v="4.3904000000000005"/>
    <n v="8.9600000000000009"/>
  </r>
  <r>
    <s v="United States"/>
    <x v="447"/>
    <s v="Standard Class"/>
    <s v="Consumer"/>
    <s v="Appliances"/>
    <n v="7"/>
    <n v="0"/>
    <n v="99.901199999999989"/>
    <n v="356.78999999999996"/>
  </r>
  <r>
    <s v="United States"/>
    <x v="447"/>
    <s v="Standard Class"/>
    <s v="Home Office"/>
    <s v="Accessories"/>
    <n v="2"/>
    <n v="0"/>
    <n v="3.7744"/>
    <n v="26.96"/>
  </r>
  <r>
    <s v="United States"/>
    <x v="447"/>
    <s v="Standard Class"/>
    <s v="Home Office"/>
    <s v="Fasteners"/>
    <n v="1"/>
    <n v="0"/>
    <n v="0.65159999999999996"/>
    <n v="1.81"/>
  </r>
  <r>
    <s v="United States"/>
    <x v="447"/>
    <s v="Standard Class"/>
    <s v="Home Office"/>
    <s v="Phones"/>
    <n v="12"/>
    <n v="0.4"/>
    <n v="387.98460000000011"/>
    <n v="3501.5280000000002"/>
  </r>
  <r>
    <s v="United States"/>
    <x v="448"/>
    <s v="First Class"/>
    <s v="Consumer"/>
    <s v="Appliances"/>
    <n v="4"/>
    <n v="0"/>
    <n v="15.724800000000002"/>
    <n v="58.24"/>
  </r>
  <r>
    <s v="United States"/>
    <x v="448"/>
    <s v="First Class"/>
    <s v="Consumer"/>
    <s v="Binders"/>
    <n v="6"/>
    <n v="0.2"/>
    <n v="7.0043999999999977"/>
    <n v="21.552000000000003"/>
  </r>
  <r>
    <s v="United States"/>
    <x v="448"/>
    <s v="Second Class"/>
    <s v="Corporate"/>
    <s v="Binders"/>
    <n v="5"/>
    <n v="0.2"/>
    <n v="31.47"/>
    <n v="83.920000000000016"/>
  </r>
  <r>
    <s v="United States"/>
    <x v="448"/>
    <s v="Second Class"/>
    <s v="Corporate"/>
    <s v="Paper"/>
    <n v="2"/>
    <n v="0"/>
    <n v="9.663199999999998"/>
    <n v="20.56"/>
  </r>
  <r>
    <s v="United States"/>
    <x v="448"/>
    <s v="Second Class"/>
    <s v="Corporate"/>
    <s v="Supplies"/>
    <n v="4"/>
    <n v="0"/>
    <n v="7.3872"/>
    <n v="27.36"/>
  </r>
  <r>
    <s v="United States"/>
    <x v="448"/>
    <s v="Standard Class"/>
    <s v="Corporate"/>
    <s v="Paper"/>
    <n v="2"/>
    <n v="0"/>
    <n v="4.7519999999999998"/>
    <n v="10.56"/>
  </r>
  <r>
    <s v="United States"/>
    <x v="449"/>
    <s v="Standard Class"/>
    <s v="Consumer"/>
    <s v="Accessories"/>
    <n v="9"/>
    <n v="0"/>
    <n v="18.503999999999991"/>
    <n v="92.52"/>
  </r>
  <r>
    <s v="United States"/>
    <x v="449"/>
    <s v="Standard Class"/>
    <s v="Home Office"/>
    <s v="Art"/>
    <n v="5"/>
    <n v="0"/>
    <n v="2.1840000000000002"/>
    <n v="8.4"/>
  </r>
  <r>
    <s v="United States"/>
    <x v="450"/>
    <s v="First Class"/>
    <s v="Consumer"/>
    <s v="Storage"/>
    <n v="3"/>
    <n v="0"/>
    <n v="30.014399999999998"/>
    <n v="115.44"/>
  </r>
  <r>
    <s v="United States"/>
    <x v="451"/>
    <s v="First Class"/>
    <s v="Consumer"/>
    <s v="Binders"/>
    <n v="13"/>
    <n v="1.4"/>
    <n v="-27.236800000000002"/>
    <n v="36.741"/>
  </r>
  <r>
    <s v="United States"/>
    <x v="451"/>
    <s v="First Class"/>
    <s v="Consumer"/>
    <s v="Bookcases"/>
    <n v="5"/>
    <n v="0.7"/>
    <n v="-320.59699999999998"/>
    <n v="181.47000000000003"/>
  </r>
  <r>
    <s v="United States"/>
    <x v="451"/>
    <s v="First Class"/>
    <s v="Consumer"/>
    <s v="Envelopes"/>
    <n v="8"/>
    <n v="0.4"/>
    <n v="39.170999999999999"/>
    <n v="115.8"/>
  </r>
  <r>
    <s v="United States"/>
    <x v="451"/>
    <s v="First Class"/>
    <s v="Consumer"/>
    <s v="Paper"/>
    <n v="4"/>
    <n v="0.2"/>
    <n v="19.622399999999999"/>
    <n v="56.064"/>
  </r>
  <r>
    <s v="United States"/>
    <x v="451"/>
    <s v="First Class"/>
    <s v="Home Office"/>
    <s v="Appliances"/>
    <n v="5"/>
    <n v="0.2"/>
    <n v="17.765999999999991"/>
    <n v="157.91999999999999"/>
  </r>
  <r>
    <s v="United States"/>
    <x v="451"/>
    <s v="First Class"/>
    <s v="Home Office"/>
    <s v="Phones"/>
    <n v="2"/>
    <n v="0.2"/>
    <n v="15.238799999999991"/>
    <n v="203.184"/>
  </r>
  <r>
    <s v="United States"/>
    <x v="451"/>
    <s v="Second Class"/>
    <s v="Consumer"/>
    <s v="Phones"/>
    <n v="1"/>
    <n v="0.2"/>
    <n v="23.799300000000002"/>
    <n v="271.99200000000002"/>
  </r>
  <r>
    <s v="United States"/>
    <x v="451"/>
    <s v="Standard Class"/>
    <s v="Consumer"/>
    <s v="Envelopes"/>
    <n v="3"/>
    <n v="0.2"/>
    <n v="8.8019999999999978"/>
    <n v="23.472000000000001"/>
  </r>
  <r>
    <s v="United States"/>
    <x v="451"/>
    <s v="Standard Class"/>
    <s v="Corporate"/>
    <s v="Furnishings"/>
    <n v="7"/>
    <n v="0.2"/>
    <n v="22.377600000000001"/>
    <n v="111.88800000000001"/>
  </r>
  <r>
    <s v="United States"/>
    <x v="451"/>
    <s v="Standard Class"/>
    <s v="Corporate"/>
    <s v="Paper"/>
    <n v="7"/>
    <n v="0.2"/>
    <n v="111.5688"/>
    <n v="307.77600000000001"/>
  </r>
  <r>
    <s v="United States"/>
    <x v="452"/>
    <s v="First Class"/>
    <s v="Consumer"/>
    <s v="Accessories"/>
    <n v="9"/>
    <n v="0"/>
    <n v="99.304400000000001"/>
    <n v="296.02000000000004"/>
  </r>
  <r>
    <s v="United States"/>
    <x v="452"/>
    <s v="First Class"/>
    <s v="Consumer"/>
    <s v="Art"/>
    <n v="3"/>
    <n v="0"/>
    <n v="4.6644000000000005"/>
    <n v="17.940000000000001"/>
  </r>
  <r>
    <s v="United States"/>
    <x v="452"/>
    <s v="First Class"/>
    <s v="Consumer"/>
    <s v="Binders"/>
    <n v="12"/>
    <n v="0.60000000000000009"/>
    <n v="387.00229999999993"/>
    <n v="1236.7280000000001"/>
  </r>
  <r>
    <s v="United States"/>
    <x v="452"/>
    <s v="First Class"/>
    <s v="Consumer"/>
    <s v="Bookcases"/>
    <n v="4"/>
    <n v="0"/>
    <n v="77.74499999999999"/>
    <n v="341.94"/>
  </r>
  <r>
    <s v="United States"/>
    <x v="452"/>
    <s v="First Class"/>
    <s v="Consumer"/>
    <s v="Chairs"/>
    <n v="11"/>
    <n v="0.60000000000000009"/>
    <n v="-23.653100000000066"/>
    <n v="760.55200000000002"/>
  </r>
  <r>
    <s v="United States"/>
    <x v="452"/>
    <s v="First Class"/>
    <s v="Consumer"/>
    <s v="Copiers"/>
    <n v="4"/>
    <n v="0"/>
    <n v="6719.9807999999994"/>
    <n v="13999.96"/>
  </r>
  <r>
    <s v="United States"/>
    <x v="452"/>
    <s v="First Class"/>
    <s v="Consumer"/>
    <s v="Fasteners"/>
    <n v="4"/>
    <n v="0"/>
    <n v="1.4207999999999998"/>
    <n v="6.92"/>
  </r>
  <r>
    <s v="United States"/>
    <x v="452"/>
    <s v="First Class"/>
    <s v="Consumer"/>
    <s v="Furnishings"/>
    <n v="5"/>
    <n v="0"/>
    <n v="57.93239999999998"/>
    <n v="302.52"/>
  </r>
  <r>
    <s v="United States"/>
    <x v="452"/>
    <s v="First Class"/>
    <s v="Consumer"/>
    <s v="Labels"/>
    <n v="1"/>
    <n v="0"/>
    <n v="1.2005999999999999"/>
    <n v="2.61"/>
  </r>
  <r>
    <s v="United States"/>
    <x v="452"/>
    <s v="First Class"/>
    <s v="Consumer"/>
    <s v="Paper"/>
    <n v="10"/>
    <n v="0"/>
    <n v="46.589399999999998"/>
    <n v="98.699999999999989"/>
  </r>
  <r>
    <s v="United States"/>
    <x v="452"/>
    <s v="First Class"/>
    <s v="Consumer"/>
    <s v="Phones"/>
    <n v="3"/>
    <n v="0.2"/>
    <n v="10.787999999999997"/>
    <n v="107.88"/>
  </r>
  <r>
    <s v="United States"/>
    <x v="452"/>
    <s v="First Class"/>
    <s v="Consumer"/>
    <s v="Storage"/>
    <n v="15"/>
    <n v="0"/>
    <n v="73.128000000000014"/>
    <n v="574.33000000000004"/>
  </r>
  <r>
    <s v="United States"/>
    <x v="452"/>
    <s v="First Class"/>
    <s v="Corporate"/>
    <s v="Accessories"/>
    <n v="7"/>
    <n v="0"/>
    <n v="15.319499999999996"/>
    <n v="102.13"/>
  </r>
  <r>
    <s v="United States"/>
    <x v="452"/>
    <s v="First Class"/>
    <s v="Corporate"/>
    <s v="Appliances"/>
    <n v="6"/>
    <n v="0"/>
    <n v="26.939799999999998"/>
    <n v="84.55"/>
  </r>
  <r>
    <s v="United States"/>
    <x v="452"/>
    <s v="First Class"/>
    <s v="Corporate"/>
    <s v="Binders"/>
    <n v="10"/>
    <n v="0.60000000000000009"/>
    <n v="1072.7894999999999"/>
    <n v="2954.5360000000001"/>
  </r>
  <r>
    <s v="United States"/>
    <x v="452"/>
    <s v="First Class"/>
    <s v="Corporate"/>
    <s v="Chairs"/>
    <n v="2"/>
    <n v="0.2"/>
    <n v="-22.138200000000012"/>
    <n v="196.78399999999999"/>
  </r>
  <r>
    <s v="United States"/>
    <x v="452"/>
    <s v="First Class"/>
    <s v="Corporate"/>
    <s v="Copiers"/>
    <n v="7"/>
    <n v="0"/>
    <n v="1480.4670999999998"/>
    <n v="3149.9300000000003"/>
  </r>
  <r>
    <s v="United States"/>
    <x v="452"/>
    <s v="First Class"/>
    <s v="Corporate"/>
    <s v="Furnishings"/>
    <n v="7"/>
    <n v="0"/>
    <n v="3.8975999999999997"/>
    <n v="12.18"/>
  </r>
  <r>
    <s v="United States"/>
    <x v="452"/>
    <s v="First Class"/>
    <s v="Corporate"/>
    <s v="Paper"/>
    <n v="13"/>
    <n v="0"/>
    <n v="207.11699999999999"/>
    <n v="428.08"/>
  </r>
  <r>
    <s v="United States"/>
    <x v="452"/>
    <s v="First Class"/>
    <s v="Corporate"/>
    <s v="Storage"/>
    <n v="3"/>
    <n v="0"/>
    <n v="349.33919999999995"/>
    <n v="1247.6399999999999"/>
  </r>
  <r>
    <s v="United States"/>
    <x v="452"/>
    <s v="First Class"/>
    <s v="Corporate"/>
    <s v="Tables"/>
    <n v="2"/>
    <n v="0"/>
    <n v="80.368200000000002"/>
    <n v="892.98"/>
  </r>
  <r>
    <s v="United States"/>
    <x v="452"/>
    <s v="First Class"/>
    <s v="Home Office"/>
    <s v="Accessories"/>
    <n v="2"/>
    <n v="0"/>
    <n v="87.991200000000006"/>
    <n v="199.98"/>
  </r>
  <r>
    <s v="United States"/>
    <x v="452"/>
    <s v="First Class"/>
    <s v="Home Office"/>
    <s v="Art"/>
    <n v="2"/>
    <n v="0"/>
    <n v="6.6717999999999975"/>
    <n v="22.61"/>
  </r>
  <r>
    <s v="United States"/>
    <x v="452"/>
    <s v="First Class"/>
    <s v="Home Office"/>
    <s v="Binders"/>
    <n v="24"/>
    <n v="1.2"/>
    <n v="151.28319999999997"/>
    <n v="451.14400000000001"/>
  </r>
  <r>
    <s v="United States"/>
    <x v="452"/>
    <s v="First Class"/>
    <s v="Home Office"/>
    <s v="Furnishings"/>
    <n v="5"/>
    <n v="0"/>
    <n v="39.97999999999999"/>
    <n v="199.89999999999998"/>
  </r>
  <r>
    <s v="United States"/>
    <x v="452"/>
    <s v="First Class"/>
    <s v="Home Office"/>
    <s v="Phones"/>
    <n v="7"/>
    <n v="0.4"/>
    <n v="53.462200000000024"/>
    <n v="635.94400000000007"/>
  </r>
  <r>
    <s v="United States"/>
    <x v="452"/>
    <s v="First Class"/>
    <s v="Home Office"/>
    <s v="Storage"/>
    <n v="7"/>
    <n v="0"/>
    <n v="28.74839999999999"/>
    <n v="171.24"/>
  </r>
  <r>
    <s v="United States"/>
    <x v="452"/>
    <s v="First Class"/>
    <s v="Home Office"/>
    <s v="Tables"/>
    <n v="1"/>
    <n v="0"/>
    <n v="63.106999999999999"/>
    <n v="286.85000000000002"/>
  </r>
  <r>
    <s v="United States"/>
    <x v="452"/>
    <s v="Same Day"/>
    <s v="Consumer"/>
    <s v="Accessories"/>
    <n v="17"/>
    <n v="0"/>
    <n v="206.2079"/>
    <n v="910.87"/>
  </r>
  <r>
    <s v="United States"/>
    <x v="452"/>
    <s v="Same Day"/>
    <s v="Consumer"/>
    <s v="Appliances"/>
    <n v="2"/>
    <n v="0"/>
    <n v="9.743800000000002"/>
    <n v="22.66"/>
  </r>
  <r>
    <s v="United States"/>
    <x v="452"/>
    <s v="Same Day"/>
    <s v="Consumer"/>
    <s v="Art"/>
    <n v="5"/>
    <n v="0"/>
    <n v="5.307599999999999"/>
    <n v="17.600000000000001"/>
  </r>
  <r>
    <s v="United States"/>
    <x v="452"/>
    <s v="Same Day"/>
    <s v="Consumer"/>
    <s v="Binders"/>
    <n v="10"/>
    <n v="0.60000000000000009"/>
    <n v="505.07669999999996"/>
    <n v="1596.3440000000001"/>
  </r>
  <r>
    <s v="United States"/>
    <x v="452"/>
    <s v="Same Day"/>
    <s v="Consumer"/>
    <s v="Chairs"/>
    <n v="9"/>
    <n v="0.4"/>
    <n v="23.568599999999989"/>
    <n v="345.45600000000002"/>
  </r>
  <r>
    <s v="United States"/>
    <x v="452"/>
    <s v="Same Day"/>
    <s v="Consumer"/>
    <s v="Fasteners"/>
    <n v="5"/>
    <n v="0"/>
    <n v="2.6789999999999998"/>
    <n v="5.6999999999999993"/>
  </r>
  <r>
    <s v="United States"/>
    <x v="452"/>
    <s v="Same Day"/>
    <s v="Consumer"/>
    <s v="Furnishings"/>
    <n v="16"/>
    <n v="0"/>
    <n v="108.04409999999999"/>
    <n v="315.93"/>
  </r>
  <r>
    <s v="United States"/>
    <x v="452"/>
    <s v="Same Day"/>
    <s v="Consumer"/>
    <s v="Labels"/>
    <n v="5"/>
    <n v="0"/>
    <n v="21.135899999999996"/>
    <n v="44.97"/>
  </r>
  <r>
    <s v="United States"/>
    <x v="452"/>
    <s v="Same Day"/>
    <s v="Consumer"/>
    <s v="Paper"/>
    <n v="24"/>
    <n v="0"/>
    <n v="94.420400000000001"/>
    <n v="196.74"/>
  </r>
  <r>
    <s v="United States"/>
    <x v="452"/>
    <s v="Same Day"/>
    <s v="Consumer"/>
    <s v="Phones"/>
    <n v="5"/>
    <n v="0.2"/>
    <n v="-17.991000000000003"/>
    <n v="79.959999999999994"/>
  </r>
  <r>
    <s v="United States"/>
    <x v="452"/>
    <s v="Same Day"/>
    <s v="Consumer"/>
    <s v="Storage"/>
    <n v="3"/>
    <n v="0"/>
    <n v="8.4888000000000012"/>
    <n v="31.44"/>
  </r>
  <r>
    <s v="United States"/>
    <x v="452"/>
    <s v="Same Day"/>
    <s v="Consumer"/>
    <s v="Supplies"/>
    <n v="2"/>
    <n v="0"/>
    <n v="2.1899999999999995"/>
    <n v="7.3"/>
  </r>
  <r>
    <s v="United States"/>
    <x v="452"/>
    <s v="Same Day"/>
    <s v="Corporate"/>
    <s v="Appliances"/>
    <n v="4"/>
    <n v="0"/>
    <n v="103.81799999999998"/>
    <n v="314.60000000000002"/>
  </r>
  <r>
    <s v="United States"/>
    <x v="452"/>
    <s v="Same Day"/>
    <s v="Corporate"/>
    <s v="Tables"/>
    <n v="4"/>
    <n v="0"/>
    <n v="45.36960000000002"/>
    <n v="283.56"/>
  </r>
  <r>
    <s v="United States"/>
    <x v="452"/>
    <s v="Same Day"/>
    <s v="Home Office"/>
    <s v="Accessories"/>
    <n v="6"/>
    <n v="0"/>
    <n v="769.02320000000009"/>
    <n v="1747.78"/>
  </r>
  <r>
    <s v="United States"/>
    <x v="452"/>
    <s v="Same Day"/>
    <s v="Home Office"/>
    <s v="Chairs"/>
    <n v="3"/>
    <n v="0.2"/>
    <n v="-2.6997000000000355"/>
    <n v="215.976"/>
  </r>
  <r>
    <s v="United States"/>
    <x v="452"/>
    <s v="Same Day"/>
    <s v="Home Office"/>
    <s v="Furnishings"/>
    <n v="5"/>
    <n v="0"/>
    <n v="8.6359999999999992"/>
    <n v="25.4"/>
  </r>
  <r>
    <s v="United States"/>
    <x v="452"/>
    <s v="Same Day"/>
    <s v="Home Office"/>
    <s v="Machines"/>
    <n v="6"/>
    <n v="0.2"/>
    <n v="209.58000000000004"/>
    <n v="2395.2000000000003"/>
  </r>
  <r>
    <s v="United States"/>
    <x v="452"/>
    <s v="Same Day"/>
    <s v="Home Office"/>
    <s v="Phones"/>
    <n v="7"/>
    <n v="0.60000000000000009"/>
    <n v="31.66079999999997"/>
    <n v="257.44799999999998"/>
  </r>
  <r>
    <s v="United States"/>
    <x v="452"/>
    <s v="Second Class"/>
    <s v="Consumer"/>
    <s v="Accessories"/>
    <n v="23"/>
    <n v="0"/>
    <n v="259.99419999999998"/>
    <n v="1367.3500000000001"/>
  </r>
  <r>
    <s v="United States"/>
    <x v="452"/>
    <s v="Second Class"/>
    <s v="Consumer"/>
    <s v="Appliances"/>
    <n v="2"/>
    <n v="0"/>
    <n v="33.588800000000006"/>
    <n v="119.96"/>
  </r>
  <r>
    <s v="United States"/>
    <x v="452"/>
    <s v="Second Class"/>
    <s v="Consumer"/>
    <s v="Art"/>
    <n v="2"/>
    <n v="0"/>
    <n v="10.428399999999996"/>
    <n v="35.96"/>
  </r>
  <r>
    <s v="United States"/>
    <x v="452"/>
    <s v="Second Class"/>
    <s v="Consumer"/>
    <s v="Binders"/>
    <n v="22"/>
    <n v="1.5999999999999999"/>
    <n v="84.99169999999998"/>
    <n v="249.744"/>
  </r>
  <r>
    <s v="United States"/>
    <x v="452"/>
    <s v="Second Class"/>
    <s v="Consumer"/>
    <s v="Bookcases"/>
    <n v="9"/>
    <n v="0"/>
    <n v="106.02560000000004"/>
    <n v="927.9"/>
  </r>
  <r>
    <s v="United States"/>
    <x v="452"/>
    <s v="Second Class"/>
    <s v="Consumer"/>
    <s v="Chairs"/>
    <n v="8"/>
    <n v="0.60000000000000009"/>
    <n v="19.719199999999915"/>
    <n v="1454.3040000000003"/>
  </r>
  <r>
    <s v="United States"/>
    <x v="452"/>
    <s v="Second Class"/>
    <s v="Consumer"/>
    <s v="Fasteners"/>
    <n v="2"/>
    <n v="0"/>
    <n v="0.47100000000000009"/>
    <n v="9.42"/>
  </r>
  <r>
    <s v="United States"/>
    <x v="452"/>
    <s v="Second Class"/>
    <s v="Consumer"/>
    <s v="Furnishings"/>
    <n v="15"/>
    <n v="0"/>
    <n v="29.064400000000003"/>
    <n v="124.97"/>
  </r>
  <r>
    <s v="United States"/>
    <x v="452"/>
    <s v="Second Class"/>
    <s v="Consumer"/>
    <s v="Labels"/>
    <n v="7"/>
    <n v="0"/>
    <n v="41.223699999999994"/>
    <n v="87.71"/>
  </r>
  <r>
    <s v="United States"/>
    <x v="452"/>
    <s v="Second Class"/>
    <s v="Consumer"/>
    <s v="Machines"/>
    <n v="5"/>
    <n v="0.2"/>
    <n v="130.20749999999998"/>
    <n v="385.80000000000007"/>
  </r>
  <r>
    <s v="United States"/>
    <x v="452"/>
    <s v="Second Class"/>
    <s v="Consumer"/>
    <s v="Paper"/>
    <n v="16"/>
    <n v="0"/>
    <n v="87.183699999999988"/>
    <n v="188.47"/>
  </r>
  <r>
    <s v="United States"/>
    <x v="452"/>
    <s v="Second Class"/>
    <s v="Consumer"/>
    <s v="Phones"/>
    <n v="7"/>
    <n v="0.4"/>
    <n v="33.719600000000014"/>
    <n v="404.74400000000003"/>
  </r>
  <r>
    <s v="United States"/>
    <x v="452"/>
    <s v="Second Class"/>
    <s v="Consumer"/>
    <s v="Storage"/>
    <n v="13"/>
    <n v="0"/>
    <n v="44.592399999999984"/>
    <n v="557.79999999999995"/>
  </r>
  <r>
    <s v="United States"/>
    <x v="452"/>
    <s v="Second Class"/>
    <s v="Consumer"/>
    <s v="Supplies"/>
    <n v="3"/>
    <n v="0"/>
    <n v="0.86400000000000077"/>
    <n v="28.799999999999997"/>
  </r>
  <r>
    <s v="United States"/>
    <x v="452"/>
    <s v="Second Class"/>
    <s v="Consumer"/>
    <s v="Tables"/>
    <n v="25"/>
    <n v="0"/>
    <n v="662.38259999999991"/>
    <n v="3177.61"/>
  </r>
  <r>
    <s v="United States"/>
    <x v="452"/>
    <s v="Second Class"/>
    <s v="Corporate"/>
    <s v="Accessories"/>
    <n v="12"/>
    <n v="0"/>
    <n v="276.23489999999987"/>
    <n v="1411.65"/>
  </r>
  <r>
    <s v="United States"/>
    <x v="452"/>
    <s v="Second Class"/>
    <s v="Corporate"/>
    <s v="Art"/>
    <n v="8"/>
    <n v="0"/>
    <n v="31.081600000000002"/>
    <n v="117.44"/>
  </r>
  <r>
    <s v="United States"/>
    <x v="452"/>
    <s v="Second Class"/>
    <s v="Corporate"/>
    <s v="Binders"/>
    <n v="18"/>
    <n v="0.60000000000000009"/>
    <n v="28.228599999999997"/>
    <n v="79.712000000000003"/>
  </r>
  <r>
    <s v="United States"/>
    <x v="452"/>
    <s v="Second Class"/>
    <s v="Corporate"/>
    <s v="Chairs"/>
    <n v="10"/>
    <n v="0.4"/>
    <n v="147.22319999999988"/>
    <n v="1351.8400000000001"/>
  </r>
  <r>
    <s v="United States"/>
    <x v="452"/>
    <s v="Second Class"/>
    <s v="Corporate"/>
    <s v="Furnishings"/>
    <n v="6"/>
    <n v="0"/>
    <n v="76.095599999999976"/>
    <n v="336.18"/>
  </r>
  <r>
    <s v="United States"/>
    <x v="452"/>
    <s v="Second Class"/>
    <s v="Corporate"/>
    <s v="Paper"/>
    <n v="3"/>
    <n v="0"/>
    <n v="9.3312000000000008"/>
    <n v="19.440000000000001"/>
  </r>
  <r>
    <s v="United States"/>
    <x v="452"/>
    <s v="Second Class"/>
    <s v="Corporate"/>
    <s v="Phones"/>
    <n v="4"/>
    <n v="0.4"/>
    <n v="12.387200000000004"/>
    <n v="141.56800000000001"/>
  </r>
  <r>
    <s v="United States"/>
    <x v="452"/>
    <s v="Second Class"/>
    <s v="Corporate"/>
    <s v="Storage"/>
    <n v="12"/>
    <n v="0"/>
    <n v="77.518399999999971"/>
    <n v="913.54"/>
  </r>
  <r>
    <s v="United States"/>
    <x v="452"/>
    <s v="Second Class"/>
    <s v="Corporate"/>
    <s v="Supplies"/>
    <n v="2"/>
    <n v="0"/>
    <n v="3.6936"/>
    <n v="13.68"/>
  </r>
  <r>
    <s v="United States"/>
    <x v="452"/>
    <s v="Second Class"/>
    <s v="Home Office"/>
    <s v="Binders"/>
    <n v="4"/>
    <n v="0.2"/>
    <n v="19.375999999999998"/>
    <n v="55.360000000000007"/>
  </r>
  <r>
    <s v="United States"/>
    <x v="452"/>
    <s v="Second Class"/>
    <s v="Home Office"/>
    <s v="Chairs"/>
    <n v="5"/>
    <n v="0.2"/>
    <n v="125.24499999999995"/>
    <n v="2003.9200000000003"/>
  </r>
  <r>
    <s v="United States"/>
    <x v="452"/>
    <s v="Second Class"/>
    <s v="Home Office"/>
    <s v="Furnishings"/>
    <n v="4"/>
    <n v="0"/>
    <n v="25.670400000000001"/>
    <n v="148.12"/>
  </r>
  <r>
    <s v="United States"/>
    <x v="452"/>
    <s v="Second Class"/>
    <s v="Home Office"/>
    <s v="Machines"/>
    <n v="1"/>
    <n v="0.2"/>
    <n v="3.7569999999999992"/>
    <n v="11.56"/>
  </r>
  <r>
    <s v="United States"/>
    <x v="452"/>
    <s v="Second Class"/>
    <s v="Home Office"/>
    <s v="Paper"/>
    <n v="11"/>
    <n v="0"/>
    <n v="71.194400000000002"/>
    <n v="153.08000000000001"/>
  </r>
  <r>
    <s v="United States"/>
    <x v="452"/>
    <s v="Second Class"/>
    <s v="Home Office"/>
    <s v="Phones"/>
    <n v="3"/>
    <n v="0.2"/>
    <n v="49.498199999999969"/>
    <n v="659.97600000000011"/>
  </r>
  <r>
    <s v="United States"/>
    <x v="452"/>
    <s v="Second Class"/>
    <s v="Home Office"/>
    <s v="Storage"/>
    <n v="7"/>
    <n v="0"/>
    <n v="5.2024000000000008"/>
    <n v="233.98"/>
  </r>
  <r>
    <s v="United States"/>
    <x v="452"/>
    <s v="Second Class"/>
    <s v="Home Office"/>
    <s v="Tables"/>
    <n v="20"/>
    <n v="0"/>
    <n v="889.84659999999963"/>
    <n v="4784.18"/>
  </r>
  <r>
    <s v="United States"/>
    <x v="452"/>
    <s v="Standard Class"/>
    <s v="Consumer"/>
    <s v="Accessories"/>
    <n v="37"/>
    <n v="0"/>
    <n v="956.38530000000003"/>
    <n v="2991.7100000000005"/>
  </r>
  <r>
    <s v="United States"/>
    <x v="452"/>
    <s v="Standard Class"/>
    <s v="Consumer"/>
    <s v="Appliances"/>
    <n v="21"/>
    <n v="0"/>
    <n v="132.15959999999998"/>
    <n v="417.9"/>
  </r>
  <r>
    <s v="United States"/>
    <x v="452"/>
    <s v="Standard Class"/>
    <s v="Consumer"/>
    <s v="Art"/>
    <n v="19"/>
    <n v="0"/>
    <n v="54.665199999999999"/>
    <n v="150.83000000000001"/>
  </r>
  <r>
    <s v="United States"/>
    <x v="452"/>
    <s v="Standard Class"/>
    <s v="Consumer"/>
    <s v="Binders"/>
    <n v="119"/>
    <n v="5.200000000000002"/>
    <n v="2474.1183000000001"/>
    <n v="7582.232"/>
  </r>
  <r>
    <s v="United States"/>
    <x v="452"/>
    <s v="Standard Class"/>
    <s v="Consumer"/>
    <s v="Bookcases"/>
    <n v="4"/>
    <n v="0"/>
    <n v="66.679599999999994"/>
    <n v="257.92"/>
  </r>
  <r>
    <s v="United States"/>
    <x v="452"/>
    <s v="Standard Class"/>
    <s v="Consumer"/>
    <s v="Chairs"/>
    <n v="25"/>
    <n v="1.4"/>
    <n v="278.88479999999981"/>
    <n v="4608.0320000000002"/>
  </r>
  <r>
    <s v="United States"/>
    <x v="452"/>
    <s v="Standard Class"/>
    <s v="Consumer"/>
    <s v="Copiers"/>
    <n v="1"/>
    <n v="0"/>
    <n v="89.996999999999986"/>
    <n v="299.99"/>
  </r>
  <r>
    <s v="United States"/>
    <x v="452"/>
    <s v="Standard Class"/>
    <s v="Consumer"/>
    <s v="Envelopes"/>
    <n v="11"/>
    <n v="0"/>
    <n v="106.92449999999999"/>
    <n v="226.69000000000003"/>
  </r>
  <r>
    <s v="United States"/>
    <x v="452"/>
    <s v="Standard Class"/>
    <s v="Consumer"/>
    <s v="Fasteners"/>
    <n v="13"/>
    <n v="0"/>
    <n v="24.7818"/>
    <n v="62.55"/>
  </r>
  <r>
    <s v="United States"/>
    <x v="452"/>
    <s v="Standard Class"/>
    <s v="Consumer"/>
    <s v="Furnishings"/>
    <n v="20"/>
    <n v="0"/>
    <n v="117.15460000000003"/>
    <n v="394.24"/>
  </r>
  <r>
    <s v="United States"/>
    <x v="452"/>
    <s v="Standard Class"/>
    <s v="Consumer"/>
    <s v="Labels"/>
    <n v="21"/>
    <n v="0"/>
    <n v="54.969499999999996"/>
    <n v="116.14000000000001"/>
  </r>
  <r>
    <s v="United States"/>
    <x v="452"/>
    <s v="Standard Class"/>
    <s v="Consumer"/>
    <s v="Machines"/>
    <n v="5"/>
    <n v="0.4"/>
    <n v="104.70000000000007"/>
    <n v="1396"/>
  </r>
  <r>
    <s v="United States"/>
    <x v="452"/>
    <s v="Standard Class"/>
    <s v="Consumer"/>
    <s v="Paper"/>
    <n v="62"/>
    <n v="0"/>
    <n v="465.86359999999996"/>
    <n v="991.83"/>
  </r>
  <r>
    <s v="United States"/>
    <x v="452"/>
    <s v="Standard Class"/>
    <s v="Consumer"/>
    <s v="Phones"/>
    <n v="27"/>
    <n v="1.5999999999999999"/>
    <n v="301.62229999999988"/>
    <n v="3287.2640000000001"/>
  </r>
  <r>
    <s v="United States"/>
    <x v="452"/>
    <s v="Standard Class"/>
    <s v="Consumer"/>
    <s v="Storage"/>
    <n v="39"/>
    <n v="0"/>
    <n v="388.66520000000003"/>
    <n v="3212.7799999999997"/>
  </r>
  <r>
    <s v="United States"/>
    <x v="452"/>
    <s v="Standard Class"/>
    <s v="Consumer"/>
    <s v="Supplies"/>
    <n v="7"/>
    <n v="0"/>
    <n v="8.258499999999998"/>
    <n v="43.81"/>
  </r>
  <r>
    <s v="United States"/>
    <x v="452"/>
    <s v="Standard Class"/>
    <s v="Consumer"/>
    <s v="Tables"/>
    <n v="8"/>
    <n v="0"/>
    <n v="794.3913"/>
    <n v="2534.7799999999997"/>
  </r>
  <r>
    <s v="United States"/>
    <x v="452"/>
    <s v="Standard Class"/>
    <s v="Corporate"/>
    <s v="Accessories"/>
    <n v="40"/>
    <n v="0"/>
    <n v="860.98940000000005"/>
    <n v="3412.5799999999995"/>
  </r>
  <r>
    <s v="United States"/>
    <x v="452"/>
    <s v="Standard Class"/>
    <s v="Corporate"/>
    <s v="Appliances"/>
    <n v="2"/>
    <n v="0"/>
    <n v="22.948799999999999"/>
    <n v="81.96"/>
  </r>
  <r>
    <s v="United States"/>
    <x v="452"/>
    <s v="Standard Class"/>
    <s v="Corporate"/>
    <s v="Art"/>
    <n v="15"/>
    <n v="0"/>
    <n v="28.022799999999997"/>
    <n v="88.210000000000008"/>
  </r>
  <r>
    <s v="United States"/>
    <x v="452"/>
    <s v="Standard Class"/>
    <s v="Corporate"/>
    <s v="Binders"/>
    <n v="79"/>
    <n v="3.0000000000000004"/>
    <n v="1056.7529"/>
    <n v="3125.2720000000004"/>
  </r>
  <r>
    <s v="United States"/>
    <x v="452"/>
    <s v="Standard Class"/>
    <s v="Corporate"/>
    <s v="Bookcases"/>
    <n v="8"/>
    <n v="0"/>
    <n v="259.88959999999997"/>
    <n v="1367.84"/>
  </r>
  <r>
    <s v="United States"/>
    <x v="452"/>
    <s v="Standard Class"/>
    <s v="Corporate"/>
    <s v="Chairs"/>
    <n v="22"/>
    <n v="1.2"/>
    <n v="70.583799999999897"/>
    <n v="2168.4480000000003"/>
  </r>
  <r>
    <s v="United States"/>
    <x v="452"/>
    <s v="Standard Class"/>
    <s v="Corporate"/>
    <s v="Envelopes"/>
    <n v="2"/>
    <n v="0"/>
    <n v="30.360399999999998"/>
    <n v="61.96"/>
  </r>
  <r>
    <s v="United States"/>
    <x v="452"/>
    <s v="Standard Class"/>
    <s v="Corporate"/>
    <s v="Fasteners"/>
    <n v="5"/>
    <n v="0"/>
    <n v="0.33599999999999963"/>
    <n v="8.4"/>
  </r>
  <r>
    <s v="United States"/>
    <x v="452"/>
    <s v="Standard Class"/>
    <s v="Corporate"/>
    <s v="Furnishings"/>
    <n v="30"/>
    <n v="0"/>
    <n v="184.89840000000004"/>
    <n v="503.34000000000003"/>
  </r>
  <r>
    <s v="United States"/>
    <x v="452"/>
    <s v="Standard Class"/>
    <s v="Corporate"/>
    <s v="Labels"/>
    <n v="5"/>
    <n v="0"/>
    <n v="27.996000000000002"/>
    <n v="57.000000000000007"/>
  </r>
  <r>
    <s v="United States"/>
    <x v="452"/>
    <s v="Standard Class"/>
    <s v="Corporate"/>
    <s v="Paper"/>
    <n v="50"/>
    <n v="0"/>
    <n v="430.09959999999995"/>
    <n v="908.95999999999992"/>
  </r>
  <r>
    <s v="United States"/>
    <x v="452"/>
    <s v="Standard Class"/>
    <s v="Corporate"/>
    <s v="Phones"/>
    <n v="17"/>
    <n v="0.60000000000000009"/>
    <n v="39.561999999999998"/>
    <n v="215.72"/>
  </r>
  <r>
    <s v="United States"/>
    <x v="452"/>
    <s v="Standard Class"/>
    <s v="Corporate"/>
    <s v="Storage"/>
    <n v="39"/>
    <n v="0"/>
    <n v="441.63159999999993"/>
    <n v="3883.18"/>
  </r>
  <r>
    <s v="United States"/>
    <x v="452"/>
    <s v="Standard Class"/>
    <s v="Corporate"/>
    <s v="Supplies"/>
    <n v="13"/>
    <n v="0"/>
    <n v="22.66320000000001"/>
    <n v="364.4"/>
  </r>
  <r>
    <s v="United States"/>
    <x v="452"/>
    <s v="Standard Class"/>
    <s v="Corporate"/>
    <s v="Tables"/>
    <n v="22"/>
    <n v="0"/>
    <n v="1151.4429"/>
    <n v="5892.6"/>
  </r>
  <r>
    <s v="United States"/>
    <x v="452"/>
    <s v="Standard Class"/>
    <s v="Home Office"/>
    <s v="Accessories"/>
    <n v="13"/>
    <n v="0"/>
    <n v="183.73499999999999"/>
    <n v="647.91000000000008"/>
  </r>
  <r>
    <s v="United States"/>
    <x v="452"/>
    <s v="Standard Class"/>
    <s v="Home Office"/>
    <s v="Art"/>
    <n v="24"/>
    <n v="0"/>
    <n v="53.233499999999999"/>
    <n v="184.07"/>
  </r>
  <r>
    <s v="United States"/>
    <x v="452"/>
    <s v="Standard Class"/>
    <s v="Home Office"/>
    <s v="Binders"/>
    <n v="31"/>
    <n v="1.4"/>
    <n v="124.70840000000001"/>
    <n v="369.08000000000004"/>
  </r>
  <r>
    <s v="United States"/>
    <x v="452"/>
    <s v="Standard Class"/>
    <s v="Home Office"/>
    <s v="Bookcases"/>
    <n v="3"/>
    <n v="0"/>
    <n v="59.665599999999998"/>
    <n v="248.86"/>
  </r>
  <r>
    <s v="United States"/>
    <x v="452"/>
    <s v="Standard Class"/>
    <s v="Home Office"/>
    <s v="Chairs"/>
    <n v="9"/>
    <n v="0.8"/>
    <n v="-95.492200000000096"/>
    <n v="916.17600000000016"/>
  </r>
  <r>
    <s v="United States"/>
    <x v="452"/>
    <s v="Standard Class"/>
    <s v="Home Office"/>
    <s v="Fasteners"/>
    <n v="15"/>
    <n v="0"/>
    <n v="12.687000000000001"/>
    <n v="39.010000000000005"/>
  </r>
  <r>
    <s v="United States"/>
    <x v="452"/>
    <s v="Standard Class"/>
    <s v="Home Office"/>
    <s v="Furnishings"/>
    <n v="31"/>
    <n v="0"/>
    <n v="162.34989999999999"/>
    <n v="439.97999999999996"/>
  </r>
  <r>
    <s v="United States"/>
    <x v="452"/>
    <s v="Standard Class"/>
    <s v="Home Office"/>
    <s v="Labels"/>
    <n v="8"/>
    <n v="0"/>
    <n v="19.247199999999999"/>
    <n v="39.28"/>
  </r>
  <r>
    <s v="United States"/>
    <x v="452"/>
    <s v="Standard Class"/>
    <s v="Home Office"/>
    <s v="Paper"/>
    <n v="5"/>
    <n v="0"/>
    <n v="33.625999999999998"/>
    <n v="73.099999999999994"/>
  </r>
  <r>
    <s v="United States"/>
    <x v="452"/>
    <s v="Standard Class"/>
    <s v="Home Office"/>
    <s v="Phones"/>
    <n v="17"/>
    <n v="1.2"/>
    <n v="63.264499999999941"/>
    <n v="1989.4480000000003"/>
  </r>
  <r>
    <s v="United States"/>
    <x v="452"/>
    <s v="Standard Class"/>
    <s v="Home Office"/>
    <s v="Storage"/>
    <n v="21"/>
    <n v="0"/>
    <n v="241.9862"/>
    <n v="1551.37"/>
  </r>
  <r>
    <s v="United States"/>
    <x v="452"/>
    <s v="Standard Class"/>
    <s v="Home Office"/>
    <s v="Tables"/>
    <n v="12"/>
    <n v="0"/>
    <n v="616.93979999999999"/>
    <n v="3174.61"/>
  </r>
  <r>
    <s v="United States"/>
    <x v="453"/>
    <s v="Standard Class"/>
    <s v="Home Office"/>
    <s v="Accessories"/>
    <n v="2"/>
    <n v="0"/>
    <n v="0.89100000000000001"/>
    <n v="1.98"/>
  </r>
  <r>
    <s v="United States"/>
    <x v="453"/>
    <s v="Standard Class"/>
    <s v="Home Office"/>
    <s v="Labels"/>
    <n v="7"/>
    <n v="0"/>
    <n v="29.259299999999996"/>
    <n v="62.789999999999992"/>
  </r>
  <r>
    <s v="United States"/>
    <x v="453"/>
    <s v="Standard Class"/>
    <s v="Home Office"/>
    <s v="Storage"/>
    <n v="1"/>
    <n v="0"/>
    <n v="4.1916000000000011"/>
    <n v="14.97"/>
  </r>
  <r>
    <s v="United States"/>
    <x v="454"/>
    <s v="First Class"/>
    <s v="Home Office"/>
    <s v="Accessories"/>
    <n v="3"/>
    <n v="0"/>
    <n v="14.992499999999996"/>
    <n v="59.97"/>
  </r>
  <r>
    <s v="United States"/>
    <x v="454"/>
    <s v="First Class"/>
    <s v="Home Office"/>
    <s v="Paper"/>
    <n v="2"/>
    <n v="0"/>
    <n v="6.4127999999999998"/>
    <n v="13.36"/>
  </r>
  <r>
    <s v="United States"/>
    <x v="455"/>
    <s v="Standard Class"/>
    <s v="Consumer"/>
    <s v="Furnishings"/>
    <n v="2"/>
    <n v="0.2"/>
    <n v="3.9512"/>
    <n v="14.368000000000002"/>
  </r>
  <r>
    <s v="United States"/>
    <x v="455"/>
    <s v="Standard Class"/>
    <s v="Corporate"/>
    <s v="Appliances"/>
    <n v="2"/>
    <n v="0.2"/>
    <n v="3.0143999999999993"/>
    <n v="30.144000000000002"/>
  </r>
  <r>
    <s v="United States"/>
    <x v="455"/>
    <s v="Standard Class"/>
    <s v="Corporate"/>
    <s v="Fasteners"/>
    <n v="5"/>
    <n v="0.2"/>
    <n v="9.8624999999999972"/>
    <n v="31.560000000000002"/>
  </r>
  <r>
    <s v="United States"/>
    <x v="456"/>
    <s v="Standard Class"/>
    <s v="Consumer"/>
    <s v="Labels"/>
    <n v="7"/>
    <n v="0"/>
    <n v="9.5081000000000007"/>
    <n v="20.23"/>
  </r>
  <r>
    <s v="United States"/>
    <x v="456"/>
    <s v="Standard Class"/>
    <s v="Corporate"/>
    <s v="Accessories"/>
    <n v="6"/>
    <n v="0"/>
    <n v="133.89660000000003"/>
    <n v="392.94000000000005"/>
  </r>
  <r>
    <s v="United States"/>
    <x v="456"/>
    <s v="Standard Class"/>
    <s v="Corporate"/>
    <s v="Appliances"/>
    <n v="2"/>
    <n v="0"/>
    <n v="112.40640000000002"/>
    <n v="416.32"/>
  </r>
  <r>
    <s v="United States"/>
    <x v="456"/>
    <s v="Standard Class"/>
    <s v="Corporate"/>
    <s v="Binders"/>
    <n v="12"/>
    <n v="0"/>
    <n v="50.625"/>
    <n v="103.83"/>
  </r>
  <r>
    <s v="United States"/>
    <x v="456"/>
    <s v="Standard Class"/>
    <s v="Corporate"/>
    <s v="Chairs"/>
    <n v="3"/>
    <n v="0"/>
    <n v="27.440999999999995"/>
    <n v="182.94"/>
  </r>
  <r>
    <s v="United States"/>
    <x v="456"/>
    <s v="Standard Class"/>
    <s v="Corporate"/>
    <s v="Fasteners"/>
    <n v="3"/>
    <n v="0"/>
    <n v="2.6814000000000004"/>
    <n v="6.5400000000000009"/>
  </r>
  <r>
    <s v="United States"/>
    <x v="456"/>
    <s v="Standard Class"/>
    <s v="Corporate"/>
    <s v="Labels"/>
    <n v="2"/>
    <n v="0"/>
    <n v="6.8713999999999995"/>
    <n v="14.62"/>
  </r>
  <r>
    <s v="United States"/>
    <x v="457"/>
    <s v="First Class"/>
    <s v="Corporate"/>
    <s v="Binders"/>
    <n v="8"/>
    <n v="1.6"/>
    <n v="-19.9512"/>
    <n v="11.663999999999998"/>
  </r>
  <r>
    <s v="United States"/>
    <x v="457"/>
    <s v="First Class"/>
    <s v="Corporate"/>
    <s v="Paper"/>
    <n v="2"/>
    <n v="0.2"/>
    <n v="4.4311999999999996"/>
    <n v="12.224"/>
  </r>
  <r>
    <s v="United States"/>
    <x v="457"/>
    <s v="Same Day"/>
    <s v="Consumer"/>
    <s v="Accessories"/>
    <n v="3"/>
    <n v="0.2"/>
    <n v="-4.908000000000003"/>
    <n v="39.264000000000003"/>
  </r>
  <r>
    <s v="United States"/>
    <x v="457"/>
    <s v="Same Day"/>
    <s v="Consumer"/>
    <s v="Art"/>
    <n v="6"/>
    <n v="0.2"/>
    <n v="24.998400000000011"/>
    <n v="95.231999999999999"/>
  </r>
  <r>
    <s v="United States"/>
    <x v="457"/>
    <s v="Same Day"/>
    <s v="Consumer"/>
    <s v="Furnishings"/>
    <n v="9"/>
    <n v="1.2"/>
    <n v="-319.74299999999994"/>
    <n v="322.68000000000006"/>
  </r>
  <r>
    <s v="United States"/>
    <x v="457"/>
    <s v="Standard Class"/>
    <s v="Consumer"/>
    <s v="Binders"/>
    <n v="4"/>
    <n v="0.8"/>
    <n v="-18.872800000000009"/>
    <n v="12.175999999999998"/>
  </r>
  <r>
    <s v="United States"/>
    <x v="457"/>
    <s v="Standard Class"/>
    <s v="Consumer"/>
    <s v="Furnishings"/>
    <n v="6"/>
    <n v="0.6"/>
    <n v="-19.771199999999997"/>
    <n v="32.952000000000005"/>
  </r>
  <r>
    <s v="United States"/>
    <x v="457"/>
    <s v="Standard Class"/>
    <s v="Consumer"/>
    <s v="Storage"/>
    <n v="4"/>
    <n v="0.2"/>
    <n v="3.0015999999999998"/>
    <n v="30.016000000000005"/>
  </r>
  <r>
    <s v="United States"/>
    <x v="457"/>
    <s v="Standard Class"/>
    <s v="Corporate"/>
    <s v="Fasteners"/>
    <n v="2"/>
    <n v="0.2"/>
    <n v="3.944999999999999"/>
    <n v="12.624000000000001"/>
  </r>
  <r>
    <s v="United States"/>
    <x v="458"/>
    <s v="First Class"/>
    <s v="Corporate"/>
    <s v="Binders"/>
    <n v="3"/>
    <n v="0.7"/>
    <n v="-4.4945999999999984"/>
    <n v="6.1290000000000004"/>
  </r>
  <r>
    <s v="United States"/>
    <x v="458"/>
    <s v="First Class"/>
    <s v="Corporate"/>
    <s v="Chairs"/>
    <n v="4"/>
    <n v="0.2"/>
    <n v="56.274400000000014"/>
    <n v="643.13599999999997"/>
  </r>
  <r>
    <s v="United States"/>
    <x v="458"/>
    <s v="First Class"/>
    <s v="Corporate"/>
    <s v="Paper"/>
    <n v="4"/>
    <n v="0.2"/>
    <n v="7.2576000000000001"/>
    <n v="20.736000000000004"/>
  </r>
  <r>
    <s v="United States"/>
    <x v="458"/>
    <s v="Same Day"/>
    <s v="Home Office"/>
    <s v="Bookcases"/>
    <n v="2"/>
    <n v="0"/>
    <n v="52.795599999999979"/>
    <n v="239.98"/>
  </r>
  <r>
    <s v="United States"/>
    <x v="458"/>
    <s v="Same Day"/>
    <s v="Home Office"/>
    <s v="Envelopes"/>
    <n v="2"/>
    <n v="0"/>
    <n v="78.941199999999995"/>
    <n v="167.96"/>
  </r>
  <r>
    <s v="United States"/>
    <x v="458"/>
    <s v="Same Day"/>
    <s v="Home Office"/>
    <s v="Fasteners"/>
    <n v="5"/>
    <n v="0"/>
    <n v="0.18900000000000028"/>
    <n v="9.4499999999999993"/>
  </r>
  <r>
    <s v="United States"/>
    <x v="458"/>
    <s v="Same Day"/>
    <s v="Home Office"/>
    <s v="Furnishings"/>
    <n v="3"/>
    <n v="0"/>
    <n v="7.1592000000000002"/>
    <n v="18.84"/>
  </r>
  <r>
    <s v="United States"/>
    <x v="458"/>
    <s v="Same Day"/>
    <s v="Home Office"/>
    <s v="Paper"/>
    <n v="19"/>
    <n v="0"/>
    <n v="392.10079999999999"/>
    <n v="814.18"/>
  </r>
  <r>
    <s v="United States"/>
    <x v="458"/>
    <s v="Same Day"/>
    <s v="Home Office"/>
    <s v="Phones"/>
    <n v="6"/>
    <n v="0"/>
    <n v="154.36530000000002"/>
    <n v="589.68000000000006"/>
  </r>
  <r>
    <s v="United States"/>
    <x v="458"/>
    <s v="Same Day"/>
    <s v="Home Office"/>
    <s v="Storage"/>
    <n v="4"/>
    <n v="0"/>
    <n v="3.1640000000000086"/>
    <n v="235.42000000000002"/>
  </r>
  <r>
    <s v="United States"/>
    <x v="458"/>
    <s v="Standard Class"/>
    <s v="Consumer"/>
    <s v="Art"/>
    <n v="6"/>
    <n v="0.2"/>
    <n v="8.1264000000000003"/>
    <n v="24.612000000000002"/>
  </r>
  <r>
    <s v="United States"/>
    <x v="458"/>
    <s v="Standard Class"/>
    <s v="Consumer"/>
    <s v="Envelopes"/>
    <n v="4"/>
    <n v="0"/>
    <n v="8.6016000000000012"/>
    <n v="17.920000000000002"/>
  </r>
  <r>
    <s v="United States"/>
    <x v="458"/>
    <s v="Standard Class"/>
    <s v="Consumer"/>
    <s v="Fasteners"/>
    <n v="3"/>
    <n v="0"/>
    <n v="0.11340000000000017"/>
    <n v="5.67"/>
  </r>
  <r>
    <s v="United States"/>
    <x v="458"/>
    <s v="Standard Class"/>
    <s v="Consumer"/>
    <s v="Paper"/>
    <n v="2"/>
    <n v="0"/>
    <n v="6.2208000000000006"/>
    <n v="12.96"/>
  </r>
  <r>
    <s v="United States"/>
    <x v="458"/>
    <s v="Standard Class"/>
    <s v="Corporate"/>
    <s v="Art"/>
    <n v="3"/>
    <n v="0.2"/>
    <n v="4.5872999999999937"/>
    <n v="40.775999999999996"/>
  </r>
  <r>
    <s v="United States"/>
    <x v="458"/>
    <s v="Standard Class"/>
    <s v="Corporate"/>
    <s v="Binders"/>
    <n v="1"/>
    <n v="0.7"/>
    <n v="-51.515399999999985"/>
    <n v="67.194000000000003"/>
  </r>
  <r>
    <s v="United States"/>
    <x v="458"/>
    <s v="Standard Class"/>
    <s v="Corporate"/>
    <s v="Phones"/>
    <n v="8"/>
    <n v="0.2"/>
    <n v="5.5944000000000003"/>
    <n v="63.936000000000007"/>
  </r>
  <r>
    <s v="United States"/>
    <x v="458"/>
    <s v="Standard Class"/>
    <s v="Home Office"/>
    <s v="Art"/>
    <n v="5"/>
    <n v="0"/>
    <n v="42.22499999999998"/>
    <n v="140.75"/>
  </r>
  <r>
    <s v="United States"/>
    <x v="458"/>
    <s v="Standard Class"/>
    <s v="Home Office"/>
    <s v="Binders"/>
    <n v="2"/>
    <n v="0"/>
    <n v="54.997599999999991"/>
    <n v="119.56"/>
  </r>
  <r>
    <s v="United States"/>
    <x v="459"/>
    <s v="Second Class"/>
    <s v="Consumer"/>
    <s v="Accessories"/>
    <n v="5"/>
    <n v="0"/>
    <n v="124.68000000000004"/>
    <n v="831.2"/>
  </r>
  <r>
    <s v="United States"/>
    <x v="459"/>
    <s v="Second Class"/>
    <s v="Consumer"/>
    <s v="Envelopes"/>
    <n v="7"/>
    <n v="0"/>
    <n v="49.10499999999999"/>
    <n v="106.75"/>
  </r>
  <r>
    <s v="United States"/>
    <x v="459"/>
    <s v="Second Class"/>
    <s v="Consumer"/>
    <s v="Paper"/>
    <n v="7"/>
    <n v="0"/>
    <n v="57.855399999999989"/>
    <n v="124.22"/>
  </r>
  <r>
    <s v="United States"/>
    <x v="459"/>
    <s v="Second Class"/>
    <s v="Consumer"/>
    <s v="Storage"/>
    <n v="6"/>
    <n v="0"/>
    <n v="47.910799999999995"/>
    <n v="176.16"/>
  </r>
  <r>
    <s v="United States"/>
    <x v="460"/>
    <s v="Same Day"/>
    <s v="Corporate"/>
    <s v="Accessories"/>
    <n v="3"/>
    <n v="0"/>
    <n v="125.98740000000001"/>
    <n v="299.96999999999997"/>
  </r>
  <r>
    <s v="United States"/>
    <x v="460"/>
    <s v="Same Day"/>
    <s v="Corporate"/>
    <s v="Appliances"/>
    <n v="2"/>
    <n v="0"/>
    <n v="78.671999999999997"/>
    <n v="262.24"/>
  </r>
  <r>
    <s v="United States"/>
    <x v="460"/>
    <s v="Same Day"/>
    <s v="Corporate"/>
    <s v="Binders"/>
    <n v="6"/>
    <n v="0"/>
    <n v="112.49279999999999"/>
    <n v="234.36"/>
  </r>
  <r>
    <s v="United States"/>
    <x v="460"/>
    <s v="Same Day"/>
    <s v="Corporate"/>
    <s v="Envelopes"/>
    <n v="4"/>
    <n v="0"/>
    <n v="19.6328"/>
    <n v="42.68"/>
  </r>
  <r>
    <s v="United States"/>
    <x v="460"/>
    <s v="Standard Class"/>
    <s v="Consumer"/>
    <s v="Accessories"/>
    <n v="4"/>
    <n v="0"/>
    <n v="53.750400000000013"/>
    <n v="223.96"/>
  </r>
  <r>
    <s v="United States"/>
    <x v="460"/>
    <s v="Standard Class"/>
    <s v="Consumer"/>
    <s v="Storage"/>
    <n v="5"/>
    <n v="0"/>
    <n v="0"/>
    <n v="306.2"/>
  </r>
  <r>
    <s v="United States"/>
    <x v="460"/>
    <s v="Standard Class"/>
    <s v="Consumer"/>
    <s v="Tables"/>
    <n v="1"/>
    <n v="0"/>
    <n v="22.354800000000004"/>
    <n v="85.98"/>
  </r>
  <r>
    <s v="United States"/>
    <x v="461"/>
    <s v="Second Class"/>
    <s v="Consumer"/>
    <s v="Art"/>
    <n v="4"/>
    <n v="0"/>
    <n v="23.807999999999993"/>
    <n v="79.36"/>
  </r>
  <r>
    <s v="United States"/>
    <x v="461"/>
    <s v="Standard Class"/>
    <s v="Corporate"/>
    <s v="Machines"/>
    <n v="10"/>
    <n v="0.2"/>
    <n v="179.73000000000013"/>
    <n v="2396.4"/>
  </r>
  <r>
    <s v="United States"/>
    <x v="461"/>
    <s v="Standard Class"/>
    <s v="Home Office"/>
    <s v="Supplies"/>
    <n v="5"/>
    <n v="0"/>
    <n v="24.997999999999987"/>
    <n v="86.199999999999989"/>
  </r>
  <r>
    <s v="United States"/>
    <x v="462"/>
    <s v="First Class"/>
    <s v="Corporate"/>
    <s v="Machines"/>
    <n v="3"/>
    <n v="0.2"/>
    <n v="62.82000000000005"/>
    <n v="837.59999999999991"/>
  </r>
  <r>
    <s v="United States"/>
    <x v="462"/>
    <s v="Same Day"/>
    <s v="Consumer"/>
    <s v="Accessories"/>
    <n v="6"/>
    <n v="0"/>
    <n v="26.393399999999986"/>
    <n v="239.94"/>
  </r>
  <r>
    <s v="United States"/>
    <x v="462"/>
    <s v="Same Day"/>
    <s v="Consumer"/>
    <s v="Art"/>
    <n v="8"/>
    <n v="0"/>
    <n v="6.4368000000000016"/>
    <n v="23.84"/>
  </r>
  <r>
    <s v="United States"/>
    <x v="462"/>
    <s v="Second Class"/>
    <s v="Corporate"/>
    <s v="Chairs"/>
    <n v="2"/>
    <n v="0.2"/>
    <n v="7.119599999999906"/>
    <n v="569.5680000000001"/>
  </r>
  <r>
    <s v="United States"/>
    <x v="462"/>
    <s v="Second Class"/>
    <s v="Corporate"/>
    <s v="Storage"/>
    <n v="7"/>
    <n v="0"/>
    <n v="43.421699999999994"/>
    <n v="149.73000000000002"/>
  </r>
  <r>
    <s v="United States"/>
    <x v="462"/>
    <s v="Standard Class"/>
    <s v="Consumer"/>
    <s v="Tables"/>
    <n v="1"/>
    <n v="0"/>
    <n v="20.584199999999996"/>
    <n v="70.98"/>
  </r>
  <r>
    <s v="United States"/>
    <x v="462"/>
    <s v="Standard Class"/>
    <s v="Home Office"/>
    <s v="Storage"/>
    <n v="9"/>
    <n v="0"/>
    <n v="5.4503999999999913"/>
    <n v="136.26"/>
  </r>
  <r>
    <s v="United States"/>
    <x v="463"/>
    <s v="Standard Class"/>
    <s v="Home Office"/>
    <s v="Art"/>
    <n v="2"/>
    <n v="0"/>
    <n v="1.4189999999999996"/>
    <n v="4.3"/>
  </r>
  <r>
    <s v="United States"/>
    <x v="464"/>
    <s v="First Class"/>
    <s v="Consumer"/>
    <s v="Binders"/>
    <n v="4"/>
    <n v="0"/>
    <n v="10.7136"/>
    <n v="22.32"/>
  </r>
  <r>
    <s v="United States"/>
    <x v="464"/>
    <s v="First Class"/>
    <s v="Consumer"/>
    <s v="Labels"/>
    <n v="7"/>
    <n v="0"/>
    <n v="51.800000000000004"/>
    <n v="103.60000000000001"/>
  </r>
  <r>
    <s v="United States"/>
    <x v="464"/>
    <s v="First Class"/>
    <s v="Consumer"/>
    <s v="Paper"/>
    <n v="2"/>
    <n v="0"/>
    <n v="35.663599999999995"/>
    <n v="75.88"/>
  </r>
  <r>
    <s v="United States"/>
    <x v="464"/>
    <s v="First Class"/>
    <s v="Consumer"/>
    <s v="Tables"/>
    <n v="7"/>
    <n v="0"/>
    <n v="158.52899999999994"/>
    <n v="1056.8599999999999"/>
  </r>
  <r>
    <s v="United States"/>
    <x v="464"/>
    <s v="First Class"/>
    <s v="Corporate"/>
    <s v="Accessories"/>
    <n v="13"/>
    <n v="0.8"/>
    <n v="50.427399999999977"/>
    <n v="340.40800000000002"/>
  </r>
  <r>
    <s v="United States"/>
    <x v="464"/>
    <s v="First Class"/>
    <s v="Corporate"/>
    <s v="Appliances"/>
    <n v="7"/>
    <n v="0.2"/>
    <n v="331.37490000000003"/>
    <n v="899.64599999999996"/>
  </r>
  <r>
    <s v="United States"/>
    <x v="464"/>
    <s v="First Class"/>
    <s v="Corporate"/>
    <s v="Binders"/>
    <n v="12"/>
    <n v="1.4"/>
    <n v="-14.009599999999997"/>
    <n v="20.124000000000002"/>
  </r>
  <r>
    <s v="United States"/>
    <x v="464"/>
    <s v="First Class"/>
    <s v="Corporate"/>
    <s v="Chairs"/>
    <n v="2"/>
    <n v="0.2"/>
    <n v="47.848000000000013"/>
    <n v="478.48"/>
  </r>
  <r>
    <s v="United States"/>
    <x v="464"/>
    <s v="First Class"/>
    <s v="Corporate"/>
    <s v="Envelopes"/>
    <n v="2"/>
    <n v="0"/>
    <n v="16.98"/>
    <n v="33.96"/>
  </r>
  <r>
    <s v="United States"/>
    <x v="464"/>
    <s v="First Class"/>
    <s v="Corporate"/>
    <s v="Fasteners"/>
    <n v="5"/>
    <n v="0.2"/>
    <n v="2.289000000000001"/>
    <n v="8.7200000000000006"/>
  </r>
  <r>
    <s v="United States"/>
    <x v="464"/>
    <s v="First Class"/>
    <s v="Corporate"/>
    <s v="Furnishings"/>
    <n v="4"/>
    <n v="0"/>
    <n v="12.521600000000003"/>
    <n v="29.12"/>
  </r>
  <r>
    <s v="United States"/>
    <x v="464"/>
    <s v="First Class"/>
    <s v="Corporate"/>
    <s v="Machines"/>
    <n v="7"/>
    <n v="0.7"/>
    <n v="-935.95949999999993"/>
    <n v="652.99500000000012"/>
  </r>
  <r>
    <s v="United States"/>
    <x v="464"/>
    <s v="First Class"/>
    <s v="Corporate"/>
    <s v="Paper"/>
    <n v="1"/>
    <n v="0.2"/>
    <n v="1.8144"/>
    <n v="5.1840000000000011"/>
  </r>
  <r>
    <s v="United States"/>
    <x v="464"/>
    <s v="First Class"/>
    <s v="Corporate"/>
    <s v="Phones"/>
    <n v="5"/>
    <n v="0"/>
    <n v="168.18549999999993"/>
    <n v="579.94999999999993"/>
  </r>
  <r>
    <s v="United States"/>
    <x v="464"/>
    <s v="First Class"/>
    <s v="Corporate"/>
    <s v="Tables"/>
    <n v="3"/>
    <n v="0"/>
    <n v="300.73500000000001"/>
    <n v="1202.94"/>
  </r>
  <r>
    <s v="United States"/>
    <x v="464"/>
    <s v="First Class"/>
    <s v="Home Office"/>
    <s v="Binders"/>
    <n v="2"/>
    <n v="0"/>
    <n v="4.2047999999999996"/>
    <n v="8.76"/>
  </r>
  <r>
    <s v="United States"/>
    <x v="464"/>
    <s v="First Class"/>
    <s v="Home Office"/>
    <s v="Paper"/>
    <n v="3"/>
    <n v="0"/>
    <n v="13.070699999999999"/>
    <n v="27.81"/>
  </r>
  <r>
    <s v="United States"/>
    <x v="464"/>
    <s v="First Class"/>
    <s v="Home Office"/>
    <s v="Phones"/>
    <n v="3"/>
    <n v="0"/>
    <n v="5.9987999999999815"/>
    <n v="149.97"/>
  </r>
  <r>
    <s v="United States"/>
    <x v="464"/>
    <s v="Same Day"/>
    <s v="Consumer"/>
    <s v="Accessories"/>
    <n v="4"/>
    <n v="0"/>
    <n v="21"/>
    <n v="100"/>
  </r>
  <r>
    <s v="United States"/>
    <x v="464"/>
    <s v="Same Day"/>
    <s v="Consumer"/>
    <s v="Binders"/>
    <n v="3"/>
    <n v="0.7"/>
    <n v="-21.887999999999991"/>
    <n v="27.360000000000003"/>
  </r>
  <r>
    <s v="United States"/>
    <x v="464"/>
    <s v="Same Day"/>
    <s v="Consumer"/>
    <s v="Labels"/>
    <n v="3"/>
    <n v="0"/>
    <n v="3.6017999999999999"/>
    <n v="7.83"/>
  </r>
  <r>
    <s v="United States"/>
    <x v="464"/>
    <s v="Same Day"/>
    <s v="Consumer"/>
    <s v="Storage"/>
    <n v="1"/>
    <n v="0.2"/>
    <n v="-5.1968000000000005"/>
    <n v="25.983999999999998"/>
  </r>
  <r>
    <s v="United States"/>
    <x v="464"/>
    <s v="Second Class"/>
    <s v="Consumer"/>
    <s v="Accessories"/>
    <n v="13"/>
    <n v="0"/>
    <n v="68.199399999999983"/>
    <n v="509.63"/>
  </r>
  <r>
    <s v="United States"/>
    <x v="464"/>
    <s v="Second Class"/>
    <s v="Consumer"/>
    <s v="Appliances"/>
    <n v="5"/>
    <n v="0"/>
    <n v="21.869700000000002"/>
    <n v="58.17"/>
  </r>
  <r>
    <s v="United States"/>
    <x v="464"/>
    <s v="Second Class"/>
    <s v="Consumer"/>
    <s v="Art"/>
    <n v="9"/>
    <n v="0"/>
    <n v="8.1039999999999957"/>
    <n v="28.519999999999996"/>
  </r>
  <r>
    <s v="United States"/>
    <x v="464"/>
    <s v="Second Class"/>
    <s v="Consumer"/>
    <s v="Binders"/>
    <n v="6"/>
    <n v="0"/>
    <n v="14.3568"/>
    <n v="29.910000000000004"/>
  </r>
  <r>
    <s v="United States"/>
    <x v="464"/>
    <s v="Second Class"/>
    <s v="Consumer"/>
    <s v="Envelopes"/>
    <n v="8"/>
    <n v="0.2"/>
    <n v="23.769999999999996"/>
    <n v="56.192"/>
  </r>
  <r>
    <s v="United States"/>
    <x v="464"/>
    <s v="Second Class"/>
    <s v="Consumer"/>
    <s v="Furnishings"/>
    <n v="15"/>
    <n v="0"/>
    <n v="258.87239999999991"/>
    <n v="888.6"/>
  </r>
  <r>
    <s v="United States"/>
    <x v="464"/>
    <s v="Second Class"/>
    <s v="Consumer"/>
    <s v="Paper"/>
    <n v="11"/>
    <n v="0.2"/>
    <n v="23.6374"/>
    <n v="53.492000000000004"/>
  </r>
  <r>
    <s v="United States"/>
    <x v="464"/>
    <s v="Second Class"/>
    <s v="Consumer"/>
    <s v="Storage"/>
    <n v="17"/>
    <n v="0.4"/>
    <n v="-17.370499999999979"/>
    <n v="729.31399999999996"/>
  </r>
  <r>
    <s v="United States"/>
    <x v="464"/>
    <s v="Second Class"/>
    <s v="Consumer"/>
    <s v="Tables"/>
    <n v="1"/>
    <n v="0.5"/>
    <n v="-170.80380000000002"/>
    <n v="275.49"/>
  </r>
  <r>
    <s v="United States"/>
    <x v="464"/>
    <s v="Second Class"/>
    <s v="Corporate"/>
    <s v="Appliances"/>
    <n v="4"/>
    <n v="0.2"/>
    <n v="6.4864000000000033"/>
    <n v="64.864000000000004"/>
  </r>
  <r>
    <s v="United States"/>
    <x v="464"/>
    <s v="Second Class"/>
    <s v="Corporate"/>
    <s v="Art"/>
    <n v="6"/>
    <n v="0"/>
    <n v="54.584400000000002"/>
    <n v="209.94"/>
  </r>
  <r>
    <s v="United States"/>
    <x v="464"/>
    <s v="Second Class"/>
    <s v="Corporate"/>
    <s v="Bookcases"/>
    <n v="3"/>
    <n v="0"/>
    <n v="53.235000000000014"/>
    <n v="212.94"/>
  </r>
  <r>
    <s v="United States"/>
    <x v="464"/>
    <s v="Second Class"/>
    <s v="Corporate"/>
    <s v="Labels"/>
    <n v="2"/>
    <n v="0"/>
    <n v="11.778199999999998"/>
    <n v="25.06"/>
  </r>
  <r>
    <s v="United States"/>
    <x v="464"/>
    <s v="Second Class"/>
    <s v="Corporate"/>
    <s v="Paper"/>
    <n v="5"/>
    <n v="0"/>
    <n v="15.552000000000001"/>
    <n v="32.400000000000006"/>
  </r>
  <r>
    <s v="United States"/>
    <x v="464"/>
    <s v="Second Class"/>
    <s v="Corporate"/>
    <s v="Phones"/>
    <n v="3"/>
    <n v="0"/>
    <n v="148.49099999999996"/>
    <n v="494.97"/>
  </r>
  <r>
    <s v="United States"/>
    <x v="464"/>
    <s v="Second Class"/>
    <s v="Corporate"/>
    <s v="Supplies"/>
    <n v="5"/>
    <n v="0"/>
    <n v="83.281000000000063"/>
    <n v="4164.0499999999993"/>
  </r>
  <r>
    <s v="United States"/>
    <x v="464"/>
    <s v="Second Class"/>
    <s v="Home Office"/>
    <s v="Appliances"/>
    <n v="8"/>
    <n v="0"/>
    <n v="213.17519999999999"/>
    <n v="761.34"/>
  </r>
  <r>
    <s v="United States"/>
    <x v="464"/>
    <s v="Second Class"/>
    <s v="Home Office"/>
    <s v="Art"/>
    <n v="1"/>
    <n v="0.2"/>
    <n v="0.29960000000000009"/>
    <n v="3.4240000000000004"/>
  </r>
  <r>
    <s v="United States"/>
    <x v="464"/>
    <s v="Second Class"/>
    <s v="Home Office"/>
    <s v="Binders"/>
    <n v="7"/>
    <n v="0"/>
    <n v="20.731199999999998"/>
    <n v="43.19"/>
  </r>
  <r>
    <s v="United States"/>
    <x v="464"/>
    <s v="Second Class"/>
    <s v="Home Office"/>
    <s v="Chairs"/>
    <n v="2"/>
    <n v="0.3"/>
    <n v="-35.513599999999997"/>
    <n v="155.37199999999999"/>
  </r>
  <r>
    <s v="United States"/>
    <x v="464"/>
    <s v="Second Class"/>
    <s v="Home Office"/>
    <s v="Paper"/>
    <n v="6"/>
    <n v="0.4"/>
    <n v="26.019599999999997"/>
    <n v="78.864000000000004"/>
  </r>
  <r>
    <s v="United States"/>
    <x v="464"/>
    <s v="Second Class"/>
    <s v="Home Office"/>
    <s v="Phones"/>
    <n v="7"/>
    <n v="0.4"/>
    <n v="-7.5733999999999941"/>
    <n v="130.53799999999998"/>
  </r>
  <r>
    <s v="United States"/>
    <x v="464"/>
    <s v="Standard Class"/>
    <s v="Consumer"/>
    <s v="Accessories"/>
    <n v="19"/>
    <n v="0.4"/>
    <n v="92.764800000000022"/>
    <n v="372.92599999999999"/>
  </r>
  <r>
    <s v="United States"/>
    <x v="464"/>
    <s v="Standard Class"/>
    <s v="Consumer"/>
    <s v="Appliances"/>
    <n v="1"/>
    <n v="0.2"/>
    <n v="2.6405999999999992"/>
    <n v="35.207999999999998"/>
  </r>
  <r>
    <s v="United States"/>
    <x v="464"/>
    <s v="Standard Class"/>
    <s v="Consumer"/>
    <s v="Art"/>
    <n v="28"/>
    <n v="0.8"/>
    <n v="76.60139999999997"/>
    <n v="377.084"/>
  </r>
  <r>
    <s v="United States"/>
    <x v="464"/>
    <s v="Standard Class"/>
    <s v="Consumer"/>
    <s v="Binders"/>
    <n v="11"/>
    <n v="1.4"/>
    <n v="-10.607499999999998"/>
    <n v="42.170999999999999"/>
  </r>
  <r>
    <s v="United States"/>
    <x v="464"/>
    <s v="Standard Class"/>
    <s v="Consumer"/>
    <s v="Bookcases"/>
    <n v="11"/>
    <n v="1.2"/>
    <n v="-552.70240000000001"/>
    <n v="517.73900000000003"/>
  </r>
  <r>
    <s v="United States"/>
    <x v="464"/>
    <s v="Standard Class"/>
    <s v="Consumer"/>
    <s v="Envelopes"/>
    <n v="10"/>
    <n v="0"/>
    <n v="48.861599999999996"/>
    <n v="106.68"/>
  </r>
  <r>
    <s v="United States"/>
    <x v="464"/>
    <s v="Standard Class"/>
    <s v="Consumer"/>
    <s v="Machines"/>
    <n v="5"/>
    <n v="0.7"/>
    <n v="-21.944999999999993"/>
    <n v="29.925000000000001"/>
  </r>
  <r>
    <s v="United States"/>
    <x v="464"/>
    <s v="Standard Class"/>
    <s v="Consumer"/>
    <s v="Paper"/>
    <n v="27"/>
    <n v="0.4"/>
    <n v="127.36269999999999"/>
    <n v="328.68400000000003"/>
  </r>
  <r>
    <s v="United States"/>
    <x v="464"/>
    <s v="Standard Class"/>
    <s v="Consumer"/>
    <s v="Phones"/>
    <n v="6"/>
    <n v="0.8"/>
    <n v="-93.265199999999965"/>
    <n v="418.27199999999999"/>
  </r>
  <r>
    <s v="United States"/>
    <x v="464"/>
    <s v="Standard Class"/>
    <s v="Consumer"/>
    <s v="Storage"/>
    <n v="15"/>
    <n v="0.2"/>
    <n v="-84.608400000000017"/>
    <n v="1185.7260000000001"/>
  </r>
  <r>
    <s v="United States"/>
    <x v="464"/>
    <s v="Standard Class"/>
    <s v="Consumer"/>
    <s v="Supplies"/>
    <n v="6"/>
    <n v="0.2"/>
    <n v="4.3955999999999982"/>
    <n v="39.072000000000003"/>
  </r>
  <r>
    <s v="United States"/>
    <x v="464"/>
    <s v="Standard Class"/>
    <s v="Consumer"/>
    <s v="Tables"/>
    <n v="15"/>
    <n v="0.5"/>
    <n v="102.08219999999994"/>
    <n v="1645.8000000000002"/>
  </r>
  <r>
    <s v="United States"/>
    <x v="464"/>
    <s v="Standard Class"/>
    <s v="Corporate"/>
    <s v="Accessories"/>
    <n v="16"/>
    <n v="0.2"/>
    <n v="845.34509999999977"/>
    <n v="2896.3440000000001"/>
  </r>
  <r>
    <s v="United States"/>
    <x v="464"/>
    <s v="Standard Class"/>
    <s v="Corporate"/>
    <s v="Appliances"/>
    <n v="8"/>
    <n v="0.2"/>
    <n v="34.663799999999995"/>
    <n v="247.14000000000001"/>
  </r>
  <r>
    <s v="United States"/>
    <x v="464"/>
    <s v="Standard Class"/>
    <s v="Corporate"/>
    <s v="Art"/>
    <n v="7"/>
    <n v="0.2"/>
    <n v="9.2565999999999988"/>
    <n v="33.152000000000001"/>
  </r>
  <r>
    <s v="United States"/>
    <x v="464"/>
    <s v="Standard Class"/>
    <s v="Corporate"/>
    <s v="Binders"/>
    <n v="21"/>
    <n v="1.4"/>
    <n v="195.36499999999998"/>
    <n v="464.98899999999998"/>
  </r>
  <r>
    <s v="United States"/>
    <x v="464"/>
    <s v="Standard Class"/>
    <s v="Corporate"/>
    <s v="Bookcases"/>
    <n v="2"/>
    <n v="0.7"/>
    <n v="-128.2388"/>
    <n v="72.588000000000008"/>
  </r>
  <r>
    <s v="United States"/>
    <x v="464"/>
    <s v="Standard Class"/>
    <s v="Corporate"/>
    <s v="Chairs"/>
    <n v="7"/>
    <n v="0.3"/>
    <n v="264.39779999999996"/>
    <n v="1657.578"/>
  </r>
  <r>
    <s v="United States"/>
    <x v="464"/>
    <s v="Standard Class"/>
    <s v="Corporate"/>
    <s v="Copiers"/>
    <n v="8"/>
    <n v="0"/>
    <n v="2536.9631999999997"/>
    <n v="5499.92"/>
  </r>
  <r>
    <s v="United States"/>
    <x v="464"/>
    <s v="Standard Class"/>
    <s v="Corporate"/>
    <s v="Envelopes"/>
    <n v="11"/>
    <n v="0"/>
    <n v="178.84509999999997"/>
    <n v="377.68999999999994"/>
  </r>
  <r>
    <s v="United States"/>
    <x v="464"/>
    <s v="Standard Class"/>
    <s v="Corporate"/>
    <s v="Fasteners"/>
    <n v="3"/>
    <n v="0"/>
    <n v="5.2164000000000001"/>
    <n v="11.34"/>
  </r>
  <r>
    <s v="United States"/>
    <x v="464"/>
    <s v="Standard Class"/>
    <s v="Corporate"/>
    <s v="Furnishings"/>
    <n v="14"/>
    <n v="0.4"/>
    <n v="99.713399999999993"/>
    <n v="534.12"/>
  </r>
  <r>
    <s v="United States"/>
    <x v="464"/>
    <s v="Standard Class"/>
    <s v="Corporate"/>
    <s v="Labels"/>
    <n v="18"/>
    <n v="0.2"/>
    <n v="85.417100000000005"/>
    <n v="225.934"/>
  </r>
  <r>
    <s v="United States"/>
    <x v="464"/>
    <s v="Standard Class"/>
    <s v="Corporate"/>
    <s v="Paper"/>
    <n v="15"/>
    <n v="0.2"/>
    <n v="154.82210000000001"/>
    <n v="353.79399999999998"/>
  </r>
  <r>
    <s v="United States"/>
    <x v="464"/>
    <s v="Standard Class"/>
    <s v="Corporate"/>
    <s v="Phones"/>
    <n v="13"/>
    <n v="0.4"/>
    <n v="1004.3594000000003"/>
    <n v="4551.1060000000007"/>
  </r>
  <r>
    <s v="United States"/>
    <x v="464"/>
    <s v="Standard Class"/>
    <s v="Corporate"/>
    <s v="Storage"/>
    <n v="15"/>
    <n v="0.2"/>
    <n v="-161.01500000000004"/>
    <n v="786.54000000000008"/>
  </r>
  <r>
    <s v="United States"/>
    <x v="464"/>
    <s v="Standard Class"/>
    <s v="Corporate"/>
    <s v="Tables"/>
    <n v="10"/>
    <n v="0"/>
    <n v="386.83499999999981"/>
    <n v="2275.5"/>
  </r>
  <r>
    <s v="United States"/>
    <x v="464"/>
    <s v="Standard Class"/>
    <s v="Home Office"/>
    <s v="Accessories"/>
    <n v="13"/>
    <n v="0.2"/>
    <n v="16.51189999999999"/>
    <n v="352.08000000000004"/>
  </r>
  <r>
    <s v="United States"/>
    <x v="464"/>
    <s v="Standard Class"/>
    <s v="Home Office"/>
    <s v="Appliances"/>
    <n v="8"/>
    <n v="0.4"/>
    <n v="47.535999999999987"/>
    <n v="450.88800000000003"/>
  </r>
  <r>
    <s v="United States"/>
    <x v="464"/>
    <s v="Standard Class"/>
    <s v="Home Office"/>
    <s v="Art"/>
    <n v="9"/>
    <n v="0.4"/>
    <n v="14.826399999999998"/>
    <n v="61.816000000000003"/>
  </r>
  <r>
    <s v="United States"/>
    <x v="464"/>
    <s v="Standard Class"/>
    <s v="Home Office"/>
    <s v="Binders"/>
    <n v="12"/>
    <n v="0.7"/>
    <n v="-34.042999999999999"/>
    <n v="96.588000000000008"/>
  </r>
  <r>
    <s v="United States"/>
    <x v="464"/>
    <s v="Standard Class"/>
    <s v="Home Office"/>
    <s v="Fasteners"/>
    <n v="3"/>
    <n v="0.2"/>
    <n v="-2.1194999999999999"/>
    <n v="11.304"/>
  </r>
  <r>
    <s v="United States"/>
    <x v="464"/>
    <s v="Standard Class"/>
    <s v="Home Office"/>
    <s v="Furnishings"/>
    <n v="7"/>
    <n v="0.2"/>
    <n v="29.657599999999988"/>
    <n v="148.28800000000001"/>
  </r>
  <r>
    <s v="United States"/>
    <x v="464"/>
    <s v="Standard Class"/>
    <s v="Home Office"/>
    <s v="Labels"/>
    <n v="10"/>
    <n v="0.4"/>
    <n v="29.980800000000006"/>
    <n v="80.256"/>
  </r>
  <r>
    <s v="United States"/>
    <x v="464"/>
    <s v="Standard Class"/>
    <s v="Home Office"/>
    <s v="Paper"/>
    <n v="8"/>
    <n v="0.8"/>
    <n v="45.2821"/>
    <n v="126.80800000000001"/>
  </r>
  <r>
    <s v="United States"/>
    <x v="464"/>
    <s v="Standard Class"/>
    <s v="Home Office"/>
    <s v="Phones"/>
    <n v="7"/>
    <n v="0.4"/>
    <n v="-9.7901999999999987"/>
    <n v="41.957999999999998"/>
  </r>
  <r>
    <s v="United States"/>
    <x v="464"/>
    <s v="Standard Class"/>
    <s v="Home Office"/>
    <s v="Storage"/>
    <n v="2"/>
    <n v="0"/>
    <n v="226.36260000000004"/>
    <n v="838.38"/>
  </r>
  <r>
    <s v="United States"/>
    <x v="464"/>
    <s v="Standard Class"/>
    <s v="Home Office"/>
    <s v="Tables"/>
    <n v="4"/>
    <n v="0.9"/>
    <n v="-447.92009999999993"/>
    <n v="894.7829999999999"/>
  </r>
  <r>
    <s v="United States"/>
    <x v="465"/>
    <s v="Second Class"/>
    <s v="Home Office"/>
    <s v="Art"/>
    <n v="4"/>
    <n v="0"/>
    <n v="20.633600000000001"/>
    <n v="79.36"/>
  </r>
  <r>
    <s v="United States"/>
    <x v="465"/>
    <s v="Standard Class"/>
    <s v="Consumer"/>
    <s v="Art"/>
    <n v="2"/>
    <n v="0"/>
    <n v="3.5039999999999996"/>
    <n v="11.68"/>
  </r>
  <r>
    <s v="United States"/>
    <x v="465"/>
    <s v="Standard Class"/>
    <s v="Home Office"/>
    <s v="Binders"/>
    <n v="5"/>
    <n v="0"/>
    <n v="8.93"/>
    <n v="19"/>
  </r>
  <r>
    <s v="United States"/>
    <x v="466"/>
    <s v="First Class"/>
    <s v="Corporate"/>
    <s v="Binders"/>
    <n v="8"/>
    <n v="0.2"/>
    <n v="99.295999999999978"/>
    <n v="273.92"/>
  </r>
  <r>
    <s v="United States"/>
    <x v="466"/>
    <s v="Second Class"/>
    <s v="Consumer"/>
    <s v="Binders"/>
    <n v="4"/>
    <n v="0.2"/>
    <n v="18.683999999999997"/>
    <n v="55.360000000000007"/>
  </r>
  <r>
    <s v="United States"/>
    <x v="466"/>
    <s v="Second Class"/>
    <s v="Consumer"/>
    <s v="Paper"/>
    <n v="2"/>
    <n v="0"/>
    <n v="6.2208000000000006"/>
    <n v="12.96"/>
  </r>
  <r>
    <s v="United States"/>
    <x v="466"/>
    <s v="Second Class"/>
    <s v="Consumer"/>
    <s v="Phones"/>
    <n v="4"/>
    <n v="0.2"/>
    <n v="34.741999999999997"/>
    <n v="95.84"/>
  </r>
  <r>
    <s v="United States"/>
    <x v="466"/>
    <s v="Standard Class"/>
    <s v="Consumer"/>
    <s v="Paper"/>
    <n v="7"/>
    <n v="0"/>
    <n v="73.544799999999995"/>
    <n v="159.88"/>
  </r>
  <r>
    <s v="United States"/>
    <x v="466"/>
    <s v="Standard Class"/>
    <s v="Home Office"/>
    <s v="Furnishings"/>
    <n v="9"/>
    <n v="0"/>
    <n v="107.03879999999994"/>
    <n v="629.64"/>
  </r>
  <r>
    <s v="United States"/>
    <x v="467"/>
    <s v="First Class"/>
    <s v="Consumer"/>
    <s v="Labels"/>
    <n v="2"/>
    <n v="0"/>
    <n v="96.343800000000002"/>
    <n v="196.62"/>
  </r>
  <r>
    <s v="United States"/>
    <x v="467"/>
    <s v="First Class"/>
    <s v="Corporate"/>
    <s v="Appliances"/>
    <n v="3"/>
    <n v="0"/>
    <n v="50.383200000000009"/>
    <n v="179.94"/>
  </r>
  <r>
    <s v="United States"/>
    <x v="467"/>
    <s v="First Class"/>
    <s v="Corporate"/>
    <s v="Paper"/>
    <n v="7"/>
    <n v="0"/>
    <n v="19.675799999999999"/>
    <n v="42.86"/>
  </r>
  <r>
    <s v="United States"/>
    <x v="467"/>
    <s v="First Class"/>
    <s v="Corporate"/>
    <s v="Storage"/>
    <n v="3"/>
    <n v="0"/>
    <n v="2.9346000000000032"/>
    <n v="146.72999999999999"/>
  </r>
  <r>
    <s v="United States"/>
    <x v="467"/>
    <s v="First Class"/>
    <s v="Corporate"/>
    <s v="Tables"/>
    <n v="3"/>
    <n v="0"/>
    <n v="157.12919999999997"/>
    <n v="872.94"/>
  </r>
  <r>
    <s v="United States"/>
    <x v="467"/>
    <s v="Standard Class"/>
    <s v="Home Office"/>
    <s v="Furnishings"/>
    <n v="9"/>
    <n v="0"/>
    <n v="46.116000000000007"/>
    <n v="109.8"/>
  </r>
  <r>
    <s v="United States"/>
    <x v="467"/>
    <s v="Standard Class"/>
    <s v="Home Office"/>
    <s v="Labels"/>
    <n v="3"/>
    <n v="0"/>
    <n v="6.7115999999999998"/>
    <n v="13.95"/>
  </r>
  <r>
    <s v="United States"/>
    <x v="467"/>
    <s v="Standard Class"/>
    <s v="Home Office"/>
    <s v="Supplies"/>
    <n v="2"/>
    <n v="0"/>
    <n v="10.517999999999997"/>
    <n v="35.06"/>
  </r>
  <r>
    <s v="United States"/>
    <x v="468"/>
    <s v="Second Class"/>
    <s v="Corporate"/>
    <s v="Binders"/>
    <n v="8"/>
    <n v="0"/>
    <n v="157.36319999999998"/>
    <n v="327.84"/>
  </r>
  <r>
    <s v="United States"/>
    <x v="468"/>
    <s v="Second Class"/>
    <s v="Corporate"/>
    <s v="Phones"/>
    <n v="2"/>
    <n v="0"/>
    <n v="39.549999999999997"/>
    <n v="79.099999999999994"/>
  </r>
  <r>
    <s v="United States"/>
    <x v="469"/>
    <s v="First Class"/>
    <s v="Corporate"/>
    <s v="Chairs"/>
    <n v="3"/>
    <n v="0.2"/>
    <n v="-2.6997000000000355"/>
    <n v="215.976"/>
  </r>
  <r>
    <s v="United States"/>
    <x v="469"/>
    <s v="Second Class"/>
    <s v="Corporate"/>
    <s v="Accessories"/>
    <n v="10"/>
    <n v="0"/>
    <n v="77.077499999999986"/>
    <n v="339.9"/>
  </r>
  <r>
    <s v="United States"/>
    <x v="469"/>
    <s v="Second Class"/>
    <s v="Corporate"/>
    <s v="Art"/>
    <n v="5"/>
    <n v="0"/>
    <n v="8.6854999999999993"/>
    <n v="29.950000000000003"/>
  </r>
  <r>
    <s v="United States"/>
    <x v="469"/>
    <s v="Second Class"/>
    <s v="Corporate"/>
    <s v="Binders"/>
    <n v="2"/>
    <n v="0.2"/>
    <n v="2.2439999999999998"/>
    <n v="5.9840000000000009"/>
  </r>
  <r>
    <s v="United States"/>
    <x v="469"/>
    <s v="Second Class"/>
    <s v="Corporate"/>
    <s v="Labels"/>
    <n v="3"/>
    <n v="0"/>
    <n v="22.200000000000003"/>
    <n v="44.400000000000006"/>
  </r>
  <r>
    <s v="United States"/>
    <x v="470"/>
    <s v="Standard Class"/>
    <s v="Home Office"/>
    <s v="Appliances"/>
    <n v="3"/>
    <n v="0"/>
    <n v="109.42199999999997"/>
    <n v="364.74"/>
  </r>
  <r>
    <s v="United States"/>
    <x v="470"/>
    <s v="Standard Class"/>
    <s v="Home Office"/>
    <s v="Art"/>
    <n v="11"/>
    <n v="0"/>
    <n v="10.379399999999999"/>
    <n v="37.379999999999995"/>
  </r>
  <r>
    <s v="United States"/>
    <x v="470"/>
    <s v="Standard Class"/>
    <s v="Home Office"/>
    <s v="Furnishings"/>
    <n v="5"/>
    <n v="0"/>
    <n v="21.33"/>
    <n v="47.400000000000006"/>
  </r>
  <r>
    <s v="United States"/>
    <x v="470"/>
    <s v="Standard Class"/>
    <s v="Home Office"/>
    <s v="Paper"/>
    <n v="13"/>
    <n v="0"/>
    <n v="323.74079999999998"/>
    <n v="674.45999999999992"/>
  </r>
  <r>
    <s v="United States"/>
    <x v="470"/>
    <s v="Standard Class"/>
    <s v="Home Office"/>
    <s v="Phones"/>
    <n v="1"/>
    <n v="0"/>
    <n v="35.277200000000008"/>
    <n v="125.99"/>
  </r>
  <r>
    <s v="United States"/>
    <x v="470"/>
    <s v="Standard Class"/>
    <s v="Home Office"/>
    <s v="Storage"/>
    <n v="4"/>
    <n v="0"/>
    <n v="13.9328"/>
    <n v="49.76"/>
  </r>
  <r>
    <s v="United States"/>
    <x v="471"/>
    <s v="First Class"/>
    <s v="Consumer"/>
    <s v="Machines"/>
    <n v="2"/>
    <n v="0.5"/>
    <n v="-27.827999999999975"/>
    <n v="695.7"/>
  </r>
  <r>
    <s v="United States"/>
    <x v="471"/>
    <s v="Second Class"/>
    <s v="Consumer"/>
    <s v="Appliances"/>
    <n v="6"/>
    <n v="0.2"/>
    <n v="12.103199999999994"/>
    <n v="161.376"/>
  </r>
  <r>
    <s v="United States"/>
    <x v="471"/>
    <s v="Second Class"/>
    <s v="Consumer"/>
    <s v="Furnishings"/>
    <n v="2"/>
    <n v="0.2"/>
    <n v="0.41759999999999986"/>
    <n v="2.7840000000000003"/>
  </r>
  <r>
    <s v="United States"/>
    <x v="471"/>
    <s v="Second Class"/>
    <s v="Consumer"/>
    <s v="Paper"/>
    <n v="7"/>
    <n v="0.4"/>
    <n v="18.432999999999996"/>
    <n v="58.288000000000004"/>
  </r>
  <r>
    <s v="United States"/>
    <x v="471"/>
    <s v="Second Class"/>
    <s v="Consumer"/>
    <s v="Phones"/>
    <n v="13"/>
    <n v="0.2"/>
    <n v="327.59220000000005"/>
    <n v="4367.8960000000006"/>
  </r>
  <r>
    <s v="United States"/>
    <x v="471"/>
    <s v="Standard Class"/>
    <s v="Consumer"/>
    <s v="Binders"/>
    <n v="3"/>
    <n v="0.7"/>
    <n v="-6.0323999999999991"/>
    <n v="8.2260000000000009"/>
  </r>
  <r>
    <s v="United States"/>
    <x v="471"/>
    <s v="Standard Class"/>
    <s v="Consumer"/>
    <s v="Paper"/>
    <n v="5"/>
    <n v="0.2"/>
    <n v="9.3520000000000003"/>
    <n v="26.720000000000002"/>
  </r>
  <r>
    <s v="United States"/>
    <x v="471"/>
    <s v="Standard Class"/>
    <s v="Consumer"/>
    <s v="Phones"/>
    <n v="7"/>
    <n v="0.2"/>
    <n v="70.554400000000072"/>
    <n v="705.54399999999998"/>
  </r>
  <r>
    <s v="United States"/>
    <x v="471"/>
    <s v="Standard Class"/>
    <s v="Corporate"/>
    <s v="Art"/>
    <n v="3"/>
    <n v="0.2"/>
    <n v="0.57540000000000058"/>
    <n v="6.5760000000000005"/>
  </r>
  <r>
    <s v="United States"/>
    <x v="471"/>
    <s v="Standard Class"/>
    <s v="Corporate"/>
    <s v="Binders"/>
    <n v="3"/>
    <n v="0.7"/>
    <n v="-3.9248999999999974"/>
    <n v="5.6070000000000011"/>
  </r>
  <r>
    <s v="United States"/>
    <x v="471"/>
    <s v="Standard Class"/>
    <s v="Corporate"/>
    <s v="Chairs"/>
    <n v="8"/>
    <n v="0.2"/>
    <n v="-24.39200000000001"/>
    <n v="390.27199999999999"/>
  </r>
  <r>
    <s v="United States"/>
    <x v="471"/>
    <s v="Standard Class"/>
    <s v="Corporate"/>
    <s v="Paper"/>
    <n v="20"/>
    <n v="0.4"/>
    <n v="40.019199999999998"/>
    <n v="118.976"/>
  </r>
  <r>
    <s v="United States"/>
    <x v="471"/>
    <s v="Standard Class"/>
    <s v="Home Office"/>
    <s v="Accessories"/>
    <n v="3"/>
    <n v="0.2"/>
    <n v="-75.59580000000004"/>
    <n v="431.97600000000006"/>
  </r>
  <r>
    <s v="United States"/>
    <x v="471"/>
    <s v="Standard Class"/>
    <s v="Home Office"/>
    <s v="Paper"/>
    <n v="4"/>
    <n v="0.2"/>
    <n v="31.4712"/>
    <n v="93.248000000000005"/>
  </r>
  <r>
    <s v="United States"/>
    <x v="471"/>
    <s v="Standard Class"/>
    <s v="Home Office"/>
    <s v="Phones"/>
    <n v="3"/>
    <n v="0.2"/>
    <n v="19.966499999999982"/>
    <n v="177.48000000000002"/>
  </r>
  <r>
    <s v="United States"/>
    <x v="472"/>
    <s v="Second Class"/>
    <s v="Corporate"/>
    <s v="Appliances"/>
    <n v="2"/>
    <n v="0.2"/>
    <n v="24.315999999999974"/>
    <n v="194.52800000000002"/>
  </r>
  <r>
    <s v="United States"/>
    <x v="472"/>
    <s v="Second Class"/>
    <s v="Corporate"/>
    <s v="Binders"/>
    <n v="7"/>
    <n v="0.7"/>
    <n v="-169.3719999999999"/>
    <n v="254.05800000000002"/>
  </r>
  <r>
    <s v="United States"/>
    <x v="472"/>
    <s v="Second Class"/>
    <s v="Corporate"/>
    <s v="Supplies"/>
    <n v="5"/>
    <n v="0.2"/>
    <n v="-204.31449999999995"/>
    <n v="961.48000000000013"/>
  </r>
  <r>
    <s v="United States"/>
    <x v="472"/>
    <s v="Second Class"/>
    <s v="Home Office"/>
    <s v="Binders"/>
    <n v="1"/>
    <n v="0.7"/>
    <n v="-2.5255999999999998"/>
    <n v="3.4440000000000008"/>
  </r>
  <r>
    <s v="United States"/>
    <x v="473"/>
    <s v="First Class"/>
    <s v="Consumer"/>
    <s v="Accessories"/>
    <n v="1"/>
    <n v="0.2"/>
    <n v="-0.7295000000000007"/>
    <n v="11.672000000000001"/>
  </r>
  <r>
    <s v="United States"/>
    <x v="473"/>
    <s v="First Class"/>
    <s v="Corporate"/>
    <s v="Envelopes"/>
    <n v="1"/>
    <n v="0.2"/>
    <n v="0.97739999999999994"/>
    <n v="2.8960000000000004"/>
  </r>
  <r>
    <s v="United States"/>
    <x v="473"/>
    <s v="Same Day"/>
    <s v="Consumer"/>
    <s v="Art"/>
    <n v="2"/>
    <n v="0.2"/>
    <n v="1.0584000000000002"/>
    <n v="4.032"/>
  </r>
  <r>
    <s v="United States"/>
    <x v="473"/>
    <s v="Same Day"/>
    <s v="Consumer"/>
    <s v="Binders"/>
    <n v="5"/>
    <n v="0.7"/>
    <n v="-10.116"/>
    <n v="12.645000000000001"/>
  </r>
  <r>
    <s v="United States"/>
    <x v="473"/>
    <s v="Same Day"/>
    <s v="Consumer"/>
    <s v="Chairs"/>
    <n v="7"/>
    <n v="0.2"/>
    <n v="98.480200000000082"/>
    <n v="1125.4879999999998"/>
  </r>
  <r>
    <s v="United States"/>
    <x v="473"/>
    <s v="Second Class"/>
    <s v="Consumer"/>
    <s v="Appliances"/>
    <n v="5"/>
    <n v="0.2"/>
    <n v="1.3000000000000007"/>
    <n v="13"/>
  </r>
  <r>
    <s v="United States"/>
    <x v="473"/>
    <s v="Second Class"/>
    <s v="Consumer"/>
    <s v="Art"/>
    <n v="1"/>
    <n v="0.2"/>
    <n v="0.504"/>
    <n v="1.3440000000000001"/>
  </r>
  <r>
    <s v="United States"/>
    <x v="473"/>
    <s v="Second Class"/>
    <s v="Consumer"/>
    <s v="Chairs"/>
    <n v="1"/>
    <n v="0.2"/>
    <n v="6.4784000000000042"/>
    <n v="64.784000000000006"/>
  </r>
  <r>
    <s v="United States"/>
    <x v="473"/>
    <s v="Second Class"/>
    <s v="Consumer"/>
    <s v="Furnishings"/>
    <n v="3"/>
    <n v="0.2"/>
    <n v="3.7743000000000002"/>
    <n v="13.128"/>
  </r>
  <r>
    <s v="United States"/>
    <x v="473"/>
    <s v="Second Class"/>
    <s v="Consumer"/>
    <s v="Paper"/>
    <n v="3"/>
    <n v="0.2"/>
    <n v="15.934799999999997"/>
    <n v="45.527999999999999"/>
  </r>
  <r>
    <s v="United States"/>
    <x v="473"/>
    <s v="Second Class"/>
    <s v="Consumer"/>
    <s v="Storage"/>
    <n v="7"/>
    <n v="0.4"/>
    <n v="-11.655800000000053"/>
    <n v="508.19200000000006"/>
  </r>
  <r>
    <s v="United States"/>
    <x v="473"/>
    <s v="Standard Class"/>
    <s v="Consumer"/>
    <s v="Binders"/>
    <n v="12"/>
    <n v="2.0999999999999996"/>
    <n v="-63.937999999999995"/>
    <n v="88.596000000000018"/>
  </r>
  <r>
    <s v="United States"/>
    <x v="473"/>
    <s v="Standard Class"/>
    <s v="Consumer"/>
    <s v="Furnishings"/>
    <n v="10"/>
    <n v="0.8"/>
    <n v="31.731999999999992"/>
    <n v="175.488"/>
  </r>
  <r>
    <s v="United States"/>
    <x v="473"/>
    <s v="Standard Class"/>
    <s v="Consumer"/>
    <s v="Paper"/>
    <n v="3"/>
    <n v="0.2"/>
    <n v="47.815200000000004"/>
    <n v="131.904"/>
  </r>
  <r>
    <s v="United States"/>
    <x v="473"/>
    <s v="Standard Class"/>
    <s v="Consumer"/>
    <s v="Storage"/>
    <n v="1"/>
    <n v="0.2"/>
    <n v="17.84699999999998"/>
    <n v="142.77600000000001"/>
  </r>
  <r>
    <s v="United States"/>
    <x v="473"/>
    <s v="Standard Class"/>
    <s v="Corporate"/>
    <s v="Appliances"/>
    <n v="2"/>
    <n v="0.2"/>
    <n v="6.5164"/>
    <n v="23.696000000000002"/>
  </r>
  <r>
    <s v="United States"/>
    <x v="473"/>
    <s v="Standard Class"/>
    <s v="Corporate"/>
    <s v="Art"/>
    <n v="8"/>
    <n v="0.4"/>
    <n v="13.435199999999982"/>
    <n v="207.92000000000002"/>
  </r>
  <r>
    <s v="United States"/>
    <x v="473"/>
    <s v="Standard Class"/>
    <s v="Corporate"/>
    <s v="Furnishings"/>
    <n v="3"/>
    <n v="0.2"/>
    <n v="14.299199999999999"/>
    <n v="63.552000000000007"/>
  </r>
  <r>
    <s v="United States"/>
    <x v="473"/>
    <s v="Standard Class"/>
    <s v="Corporate"/>
    <s v="Machines"/>
    <n v="1"/>
    <n v="0.5"/>
    <n v="-111.49950000000007"/>
    <n v="265.47500000000002"/>
  </r>
  <r>
    <s v="United States"/>
    <x v="473"/>
    <s v="Standard Class"/>
    <s v="Corporate"/>
    <s v="Supplies"/>
    <n v="3"/>
    <n v="0.2"/>
    <n v="4.6547999999999927"/>
    <n v="41.375999999999998"/>
  </r>
  <r>
    <s v="United States"/>
    <x v="473"/>
    <s v="Standard Class"/>
    <s v="Home Office"/>
    <s v="Accessories"/>
    <n v="3"/>
    <n v="0.2"/>
    <n v="-7.724700000000098"/>
    <n v="617.97600000000011"/>
  </r>
  <r>
    <s v="United States"/>
    <x v="473"/>
    <s v="Standard Class"/>
    <s v="Home Office"/>
    <s v="Binders"/>
    <n v="12"/>
    <n v="2.8"/>
    <n v="-66.520800000000008"/>
    <n v="89.610000000000014"/>
  </r>
  <r>
    <s v="United States"/>
    <x v="473"/>
    <s v="Standard Class"/>
    <s v="Home Office"/>
    <s v="Furnishings"/>
    <n v="3"/>
    <n v="0.2"/>
    <n v="0"/>
    <n v="258.072"/>
  </r>
  <r>
    <s v="United States"/>
    <x v="473"/>
    <s v="Standard Class"/>
    <s v="Home Office"/>
    <s v="Storage"/>
    <n v="3"/>
    <n v="0.2"/>
    <n v="32.434200000000004"/>
    <n v="432.45600000000002"/>
  </r>
  <r>
    <s v="United States"/>
    <x v="473"/>
    <s v="Standard Class"/>
    <s v="Home Office"/>
    <s v="Tables"/>
    <n v="5"/>
    <n v="0.9"/>
    <n v="-350.29379999999992"/>
    <n v="854.47450000000015"/>
  </r>
  <r>
    <s v="United States"/>
    <x v="474"/>
    <s v="Second Class"/>
    <s v="Consumer"/>
    <s v="Chairs"/>
    <n v="2"/>
    <n v="0"/>
    <n v="33.215599999999995"/>
    <n v="301.95999999999998"/>
  </r>
  <r>
    <s v="United States"/>
    <x v="474"/>
    <s v="Second Class"/>
    <s v="Corporate"/>
    <s v="Accessories"/>
    <n v="2"/>
    <n v="0"/>
    <n v="8.7989999999999995"/>
    <n v="41.9"/>
  </r>
  <r>
    <s v="United States"/>
    <x v="474"/>
    <s v="Standard Class"/>
    <s v="Corporate"/>
    <s v="Art"/>
    <n v="3"/>
    <n v="0"/>
    <n v="2.8535999999999988"/>
    <n v="9.84"/>
  </r>
  <r>
    <s v="United States"/>
    <x v="475"/>
    <s v="First Class"/>
    <s v="Consumer"/>
    <s v="Accessories"/>
    <n v="6"/>
    <n v="0"/>
    <n v="42.59429999999999"/>
    <n v="285.09000000000003"/>
  </r>
  <r>
    <s v="United States"/>
    <x v="475"/>
    <s v="First Class"/>
    <s v="Consumer"/>
    <s v="Binders"/>
    <n v="5"/>
    <n v="0.2"/>
    <n v="9.8549999999999969"/>
    <n v="29.2"/>
  </r>
  <r>
    <s v="United States"/>
    <x v="475"/>
    <s v="First Class"/>
    <s v="Consumer"/>
    <s v="Phones"/>
    <n v="3"/>
    <n v="0.2"/>
    <n v="49.437599999999975"/>
    <n v="494.37600000000009"/>
  </r>
  <r>
    <s v="United States"/>
    <x v="476"/>
    <s v="First Class"/>
    <s v="Corporate"/>
    <s v="Accessories"/>
    <n v="1"/>
    <n v="0.2"/>
    <n v="-8.9500000000001023E-2"/>
    <n v="7.16"/>
  </r>
  <r>
    <s v="United States"/>
    <x v="476"/>
    <s v="First Class"/>
    <s v="Corporate"/>
    <s v="Envelopes"/>
    <n v="6"/>
    <n v="0.2"/>
    <n v="4.628400000000001"/>
    <n v="12.768000000000001"/>
  </r>
  <r>
    <s v="United States"/>
    <x v="476"/>
    <s v="First Class"/>
    <s v="Corporate"/>
    <s v="Fasteners"/>
    <n v="2"/>
    <n v="0.2"/>
    <n v="1.4599999999999997"/>
    <n v="4.6719999999999997"/>
  </r>
  <r>
    <s v="United States"/>
    <x v="476"/>
    <s v="First Class"/>
    <s v="Corporate"/>
    <s v="Paper"/>
    <n v="2"/>
    <n v="0.2"/>
    <n v="3.4103999999999997"/>
    <n v="9.4079999999999995"/>
  </r>
  <r>
    <s v="United States"/>
    <x v="476"/>
    <s v="First Class"/>
    <s v="Corporate"/>
    <s v="Phones"/>
    <n v="5"/>
    <n v="0.4"/>
    <n v="127.61789999999999"/>
    <n v="548.77600000000007"/>
  </r>
  <r>
    <s v="United States"/>
    <x v="476"/>
    <s v="First Class"/>
    <s v="Corporate"/>
    <s v="Supplies"/>
    <n v="2"/>
    <n v="0.2"/>
    <n v="-3.2639999999999993"/>
    <n v="15.36"/>
  </r>
  <r>
    <s v="United States"/>
    <x v="476"/>
    <s v="Same Day"/>
    <s v="Consumer"/>
    <s v="Binders"/>
    <n v="3"/>
    <n v="0.7"/>
    <n v="-2.2439999999999989"/>
    <n v="3.366000000000001"/>
  </r>
  <r>
    <s v="United States"/>
    <x v="476"/>
    <s v="Standard Class"/>
    <s v="Consumer"/>
    <s v="Chairs"/>
    <n v="5"/>
    <n v="0.2"/>
    <n v="-34.64100000000002"/>
    <n v="307.92"/>
  </r>
  <r>
    <s v="United States"/>
    <x v="476"/>
    <s v="Standard Class"/>
    <s v="Consumer"/>
    <s v="Fasteners"/>
    <n v="3"/>
    <n v="0.2"/>
    <n v="2.7222"/>
    <n v="8.3760000000000012"/>
  </r>
  <r>
    <s v="United States"/>
    <x v="476"/>
    <s v="Standard Class"/>
    <s v="Consumer"/>
    <s v="Storage"/>
    <n v="1"/>
    <n v="0.2"/>
    <n v="0.80579999999999963"/>
    <n v="10.744"/>
  </r>
  <r>
    <s v="United States"/>
    <x v="476"/>
    <s v="Standard Class"/>
    <s v="Corporate"/>
    <s v="Accessories"/>
    <n v="6"/>
    <n v="0.2"/>
    <n v="-10.911600000000007"/>
    <n v="62.352000000000004"/>
  </r>
  <r>
    <s v="United States"/>
    <x v="476"/>
    <s v="Standard Class"/>
    <s v="Corporate"/>
    <s v="Storage"/>
    <n v="5"/>
    <n v="0.2"/>
    <n v="5.9550000000000054"/>
    <n v="79.400000000000006"/>
  </r>
  <r>
    <s v="United States"/>
    <x v="477"/>
    <s v="Standard Class"/>
    <s v="Corporate"/>
    <s v="Chairs"/>
    <n v="6"/>
    <n v="0"/>
    <n v="145.2816"/>
    <n v="605.34"/>
  </r>
  <r>
    <s v="United States"/>
    <x v="477"/>
    <s v="Standard Class"/>
    <s v="Home Office"/>
    <s v="Accessories"/>
    <n v="5"/>
    <n v="0"/>
    <n v="18.093"/>
    <n v="48.9"/>
  </r>
  <r>
    <s v="United States"/>
    <x v="478"/>
    <s v="Standard Class"/>
    <s v="Consumer"/>
    <s v="Chairs"/>
    <n v="4"/>
    <n v="0.3"/>
    <n v="-8.5416000000000025"/>
    <n v="199.304"/>
  </r>
  <r>
    <s v="United States"/>
    <x v="478"/>
    <s v="Standard Class"/>
    <s v="Consumer"/>
    <s v="Tables"/>
    <n v="3"/>
    <n v="0.6"/>
    <n v="28.76339999999999"/>
    <n v="591.66800000000001"/>
  </r>
  <r>
    <s v="United States"/>
    <x v="479"/>
    <s v="First Class"/>
    <s v="Consumer"/>
    <s v="Paper"/>
    <n v="4"/>
    <n v="0.2"/>
    <n v="5.5215999999999994"/>
    <n v="15.231999999999999"/>
  </r>
  <r>
    <s v="United States"/>
    <x v="479"/>
    <s v="First Class"/>
    <s v="Consumer"/>
    <s v="Phones"/>
    <n v="3"/>
    <n v="0.2"/>
    <n v="6.7175999999999974"/>
    <n v="67.176000000000002"/>
  </r>
  <r>
    <s v="United States"/>
    <x v="479"/>
    <s v="Same Day"/>
    <s v="Consumer"/>
    <s v="Envelopes"/>
    <n v="7"/>
    <n v="0.2"/>
    <n v="19.4194"/>
    <n v="59.751999999999995"/>
  </r>
  <r>
    <s v="United States"/>
    <x v="480"/>
    <s v="Standard Class"/>
    <s v="Consumer"/>
    <s v="Binders"/>
    <n v="2"/>
    <n v="0.7"/>
    <n v="-2.4563999999999995"/>
    <n v="3.2040000000000002"/>
  </r>
  <r>
    <s v="United States"/>
    <x v="480"/>
    <s v="Standard Class"/>
    <s v="Consumer"/>
    <s v="Envelopes"/>
    <n v="3"/>
    <n v="0.2"/>
    <n v="29.984999999999985"/>
    <n v="95.951999999999998"/>
  </r>
  <r>
    <s v="United States"/>
    <x v="480"/>
    <s v="Standard Class"/>
    <s v="Consumer"/>
    <s v="Supplies"/>
    <n v="7"/>
    <n v="0.2"/>
    <n v="5.865299999999996"/>
    <n v="52.136000000000003"/>
  </r>
  <r>
    <s v="United States"/>
    <x v="481"/>
    <s v="Same Day"/>
    <s v="Consumer"/>
    <s v="Accessories"/>
    <n v="7"/>
    <n v="0.2"/>
    <n v="89.588799999999992"/>
    <n v="447.94399999999996"/>
  </r>
  <r>
    <s v="United States"/>
    <x v="481"/>
    <s v="Second Class"/>
    <s v="Consumer"/>
    <s v="Accessories"/>
    <n v="14"/>
    <n v="0.4"/>
    <n v="24.624599999999983"/>
    <n v="179.08800000000002"/>
  </r>
  <r>
    <s v="United States"/>
    <x v="481"/>
    <s v="Second Class"/>
    <s v="Consumer"/>
    <s v="Art"/>
    <n v="6"/>
    <n v="0.2"/>
    <n v="1.0007999999999999"/>
    <n v="13.343999999999998"/>
  </r>
  <r>
    <s v="United States"/>
    <x v="481"/>
    <s v="Second Class"/>
    <s v="Consumer"/>
    <s v="Furnishings"/>
    <n v="9"/>
    <n v="0.60000000000000009"/>
    <n v="15.012"/>
    <n v="56.288000000000004"/>
  </r>
  <r>
    <s v="United States"/>
    <x v="481"/>
    <s v="Second Class"/>
    <s v="Consumer"/>
    <s v="Paper"/>
    <n v="2"/>
    <n v="0.2"/>
    <n v="3.7409999999999997"/>
    <n v="10.32"/>
  </r>
  <r>
    <s v="United States"/>
    <x v="481"/>
    <s v="Second Class"/>
    <s v="Consumer"/>
    <s v="Supplies"/>
    <n v="7"/>
    <n v="0.2"/>
    <n v="5.9149999999999938"/>
    <n v="47.32"/>
  </r>
  <r>
    <s v="United States"/>
    <x v="481"/>
    <s v="Standard Class"/>
    <s v="Consumer"/>
    <s v="Supplies"/>
    <n v="2"/>
    <n v="0.2"/>
    <n v="0.95759999999999978"/>
    <n v="10.944000000000001"/>
  </r>
  <r>
    <s v="United States"/>
    <x v="482"/>
    <s v="First Class"/>
    <s v="Consumer"/>
    <s v="Phones"/>
    <n v="2"/>
    <n v="0.2"/>
    <n v="1.1988000000000003"/>
    <n v="15.984000000000002"/>
  </r>
  <r>
    <s v="United States"/>
    <x v="482"/>
    <s v="Second Class"/>
    <s v="Corporate"/>
    <s v="Art"/>
    <n v="7"/>
    <n v="0"/>
    <n v="4.1160000000000005"/>
    <n v="14.700000000000001"/>
  </r>
  <r>
    <s v="United States"/>
    <x v="482"/>
    <s v="Standard Class"/>
    <s v="Corporate"/>
    <s v="Furnishings"/>
    <n v="1"/>
    <n v="0"/>
    <n v="9.3152000000000008"/>
    <n v="22.72"/>
  </r>
  <r>
    <s v="United States"/>
    <x v="482"/>
    <s v="Standard Class"/>
    <s v="Corporate"/>
    <s v="Labels"/>
    <n v="5"/>
    <n v="0"/>
    <n v="70.219000000000008"/>
    <n v="152.65"/>
  </r>
  <r>
    <s v="United States"/>
    <x v="482"/>
    <s v="Standard Class"/>
    <s v="Home Office"/>
    <s v="Paper"/>
    <n v="5"/>
    <n v="0"/>
    <n v="15.065"/>
    <n v="32.75"/>
  </r>
  <r>
    <s v="United States"/>
    <x v="483"/>
    <s v="Standard Class"/>
    <s v="Consumer"/>
    <s v="Paper"/>
    <n v="3"/>
    <n v="0.2"/>
    <n v="5.4432"/>
    <n v="15.552000000000003"/>
  </r>
  <r>
    <s v="United States"/>
    <x v="483"/>
    <s v="Standard Class"/>
    <s v="Consumer"/>
    <s v="Phones"/>
    <n v="4"/>
    <n v="0.2"/>
    <n v="-87.667200000000037"/>
    <n v="438.33600000000001"/>
  </r>
  <r>
    <s v="United States"/>
    <x v="483"/>
    <s v="Standard Class"/>
    <s v="Consumer"/>
    <s v="Storage"/>
    <n v="5"/>
    <n v="0.2"/>
    <n v="-167.27"/>
    <n v="669.08"/>
  </r>
  <r>
    <s v="United States"/>
    <x v="483"/>
    <s v="Standard Class"/>
    <s v="Corporate"/>
    <s v="Binders"/>
    <n v="1"/>
    <n v="0.7"/>
    <n v="-3.5153999999999996"/>
    <n v="5.0220000000000002"/>
  </r>
  <r>
    <s v="United States"/>
    <x v="483"/>
    <s v="Standard Class"/>
    <s v="Corporate"/>
    <s v="Paper"/>
    <n v="9"/>
    <n v="0.2"/>
    <n v="22.518000000000001"/>
    <n v="60.048000000000002"/>
  </r>
  <r>
    <s v="United States"/>
    <x v="483"/>
    <s v="Standard Class"/>
    <s v="Home Office"/>
    <s v="Accessories"/>
    <n v="2"/>
    <n v="0.2"/>
    <n v="-3.0939999999999994"/>
    <n v="35.360000000000007"/>
  </r>
  <r>
    <s v="United States"/>
    <x v="483"/>
    <s v="Standard Class"/>
    <s v="Home Office"/>
    <s v="Furnishings"/>
    <n v="1"/>
    <n v="0.2"/>
    <n v="-0.33980000000000032"/>
    <n v="13.591999999999999"/>
  </r>
  <r>
    <s v="United States"/>
    <x v="483"/>
    <s v="Standard Class"/>
    <s v="Home Office"/>
    <s v="Phones"/>
    <n v="1"/>
    <n v="0.2"/>
    <n v="17.639099999999985"/>
    <n v="156.79200000000003"/>
  </r>
  <r>
    <s v="United States"/>
    <x v="484"/>
    <s v="First Class"/>
    <s v="Corporate"/>
    <s v="Furnishings"/>
    <n v="7"/>
    <n v="0.6"/>
    <n v="-8.9151999999999987"/>
    <n v="22.288"/>
  </r>
  <r>
    <s v="United States"/>
    <x v="485"/>
    <s v="First Class"/>
    <s v="Consumer"/>
    <s v="Accessories"/>
    <n v="2"/>
    <n v="0.2"/>
    <n v="25.596799999999998"/>
    <n v="127.98399999999999"/>
  </r>
  <r>
    <s v="United States"/>
    <x v="485"/>
    <s v="First Class"/>
    <s v="Consumer"/>
    <s v="Art"/>
    <n v="6"/>
    <n v="0.4"/>
    <n v="23.894400000000001"/>
    <n v="104.44799999999999"/>
  </r>
  <r>
    <s v="United States"/>
    <x v="485"/>
    <s v="First Class"/>
    <s v="Consumer"/>
    <s v="Binders"/>
    <n v="6"/>
    <n v="2.0999999999999996"/>
    <n v="-10.091799999999999"/>
    <n v="12.759000000000002"/>
  </r>
  <r>
    <s v="United States"/>
    <x v="485"/>
    <s v="First Class"/>
    <s v="Consumer"/>
    <s v="Labels"/>
    <n v="6"/>
    <n v="0.2"/>
    <n v="5.9777999999999993"/>
    <n v="17.712"/>
  </r>
  <r>
    <s v="United States"/>
    <x v="485"/>
    <s v="First Class"/>
    <s v="Consumer"/>
    <s v="Paper"/>
    <n v="3"/>
    <n v="0.2"/>
    <n v="5.0286000000000008"/>
    <n v="13.872000000000002"/>
  </r>
  <r>
    <s v="United States"/>
    <x v="485"/>
    <s v="First Class"/>
    <s v="Consumer"/>
    <s v="Phones"/>
    <n v="7"/>
    <n v="0.4"/>
    <n v="94.49369999999999"/>
    <n v="629.95799999999997"/>
  </r>
  <r>
    <s v="United States"/>
    <x v="485"/>
    <s v="Same Day"/>
    <s v="Home Office"/>
    <s v="Appliances"/>
    <n v="4"/>
    <n v="0.2"/>
    <n v="82.991999999999877"/>
    <n v="663.93600000000004"/>
  </r>
  <r>
    <s v="United States"/>
    <x v="485"/>
    <s v="Second Class"/>
    <s v="Consumer"/>
    <s v="Storage"/>
    <n v="3"/>
    <n v="0.2"/>
    <n v="-2.4359999999999999"/>
    <n v="38.975999999999999"/>
  </r>
  <r>
    <s v="United States"/>
    <x v="485"/>
    <s v="Second Class"/>
    <s v="Consumer"/>
    <s v="Supplies"/>
    <n v="5"/>
    <n v="0.2"/>
    <n v="-3.3120000000000012"/>
    <n v="14.720000000000002"/>
  </r>
  <r>
    <s v="United States"/>
    <x v="485"/>
    <s v="Second Class"/>
    <s v="Corporate"/>
    <s v="Appliances"/>
    <n v="5"/>
    <n v="0.2"/>
    <n v="1.3109999999999999"/>
    <n v="17.480000000000004"/>
  </r>
  <r>
    <s v="United States"/>
    <x v="485"/>
    <s v="Second Class"/>
    <s v="Corporate"/>
    <s v="Furnishings"/>
    <n v="2"/>
    <n v="0.2"/>
    <n v="3.7920000000000011"/>
    <n v="15.168000000000001"/>
  </r>
  <r>
    <s v="United States"/>
    <x v="485"/>
    <s v="Standard Class"/>
    <s v="Consumer"/>
    <s v="Furnishings"/>
    <n v="7"/>
    <n v="0.2"/>
    <n v="9.6712000000000025"/>
    <n v="35.168000000000006"/>
  </r>
  <r>
    <s v="United States"/>
    <x v="485"/>
    <s v="Standard Class"/>
    <s v="Consumer"/>
    <s v="Phones"/>
    <n v="4"/>
    <n v="0.4"/>
    <n v="-250.39600000000019"/>
    <n v="1502.376"/>
  </r>
  <r>
    <s v="United States"/>
    <x v="485"/>
    <s v="Standard Class"/>
    <s v="Consumer"/>
    <s v="Tables"/>
    <n v="1"/>
    <n v="0.4"/>
    <n v="-94.660500000000013"/>
    <n v="172.11"/>
  </r>
  <r>
    <s v="United States"/>
    <x v="485"/>
    <s v="Standard Class"/>
    <s v="Corporate"/>
    <s v="Accessories"/>
    <n v="2"/>
    <n v="0.2"/>
    <n v="2.2065999999999999"/>
    <n v="10.384"/>
  </r>
  <r>
    <s v="United States"/>
    <x v="485"/>
    <s v="Standard Class"/>
    <s v="Corporate"/>
    <s v="Appliances"/>
    <n v="8"/>
    <n v="0.4"/>
    <n v="31.958099999999959"/>
    <n v="289.096"/>
  </r>
  <r>
    <s v="United States"/>
    <x v="485"/>
    <s v="Standard Class"/>
    <s v="Corporate"/>
    <s v="Art"/>
    <n v="5"/>
    <n v="0.4"/>
    <n v="2.8343999999999987"/>
    <n v="18.240000000000002"/>
  </r>
  <r>
    <s v="United States"/>
    <x v="485"/>
    <s v="Standard Class"/>
    <s v="Corporate"/>
    <s v="Binders"/>
    <n v="18"/>
    <n v="1.4"/>
    <n v="-163.06899999999999"/>
    <n v="222.39000000000001"/>
  </r>
  <r>
    <s v="United States"/>
    <x v="485"/>
    <s v="Standard Class"/>
    <s v="Corporate"/>
    <s v="Fasteners"/>
    <n v="8"/>
    <n v="0.4"/>
    <n v="-1.9781000000000002"/>
    <n v="11.864000000000003"/>
  </r>
  <r>
    <s v="United States"/>
    <x v="485"/>
    <s v="Standard Class"/>
    <s v="Corporate"/>
    <s v="Phones"/>
    <n v="12"/>
    <n v="1.6"/>
    <n v="-89.619600000000048"/>
    <n v="487.46399999999994"/>
  </r>
  <r>
    <s v="United States"/>
    <x v="485"/>
    <s v="Standard Class"/>
    <s v="Home Office"/>
    <s v="Binders"/>
    <n v="3"/>
    <n v="0.7"/>
    <n v="-17.942399999999992"/>
    <n v="22.428000000000004"/>
  </r>
  <r>
    <s v="United States"/>
    <x v="485"/>
    <s v="Standard Class"/>
    <s v="Home Office"/>
    <s v="Storage"/>
    <n v="5"/>
    <n v="0.2"/>
    <n v="3.7519999999999989"/>
    <n v="37.52000000000001"/>
  </r>
  <r>
    <s v="United States"/>
    <x v="486"/>
    <s v="Standard Class"/>
    <s v="Corporate"/>
    <s v="Appliances"/>
    <n v="5"/>
    <n v="0"/>
    <n v="459.39599999999996"/>
    <n v="1640.6999999999998"/>
  </r>
  <r>
    <s v="United States"/>
    <x v="486"/>
    <s v="Standard Class"/>
    <s v="Corporate"/>
    <s v="Binders"/>
    <n v="2"/>
    <n v="0.2"/>
    <n v="2.2098"/>
    <n v="6.0960000000000001"/>
  </r>
  <r>
    <s v="United States"/>
    <x v="486"/>
    <s v="Standard Class"/>
    <s v="Corporate"/>
    <s v="Phones"/>
    <n v="5"/>
    <n v="0.2"/>
    <n v="41.759999999999948"/>
    <n v="371.2"/>
  </r>
  <r>
    <s v="United States"/>
    <x v="486"/>
    <s v="Standard Class"/>
    <s v="Corporate"/>
    <s v="Tables"/>
    <n v="4"/>
    <n v="0.2"/>
    <n v="41.785200000000032"/>
    <n v="1114.2719999999999"/>
  </r>
  <r>
    <s v="United States"/>
    <x v="487"/>
    <s v="Same Day"/>
    <s v="Corporate"/>
    <s v="Binders"/>
    <n v="2"/>
    <n v="0"/>
    <n v="19.814399999999999"/>
    <n v="41.28"/>
  </r>
  <r>
    <s v="United States"/>
    <x v="487"/>
    <s v="Standard Class"/>
    <s v="Consumer"/>
    <s v="Art"/>
    <n v="7"/>
    <n v="0"/>
    <n v="22.792000000000002"/>
    <n v="56.980000000000004"/>
  </r>
  <r>
    <s v="United States"/>
    <x v="487"/>
    <s v="Standard Class"/>
    <s v="Consumer"/>
    <s v="Binders"/>
    <n v="4"/>
    <n v="0"/>
    <n v="28.1142"/>
    <n v="60.930000000000007"/>
  </r>
  <r>
    <s v="United States"/>
    <x v="487"/>
    <s v="Standard Class"/>
    <s v="Consumer"/>
    <s v="Furnishings"/>
    <n v="11"/>
    <n v="0"/>
    <n v="56.7864"/>
    <n v="157.74"/>
  </r>
  <r>
    <s v="United States"/>
    <x v="487"/>
    <s v="Standard Class"/>
    <s v="Consumer"/>
    <s v="Phones"/>
    <n v="8"/>
    <n v="0"/>
    <n v="87.030599999999993"/>
    <n v="317.67999999999995"/>
  </r>
  <r>
    <s v="United States"/>
    <x v="487"/>
    <s v="Standard Class"/>
    <s v="Consumer"/>
    <s v="Storage"/>
    <n v="7"/>
    <n v="0"/>
    <n v="1.4601999999999977"/>
    <n v="20.86"/>
  </r>
  <r>
    <s v="United States"/>
    <x v="487"/>
    <s v="Standard Class"/>
    <s v="Home Office"/>
    <s v="Appliances"/>
    <n v="3"/>
    <n v="0.1"/>
    <n v="37.229999999999983"/>
    <n v="167.535"/>
  </r>
  <r>
    <s v="United States"/>
    <x v="487"/>
    <s v="Standard Class"/>
    <s v="Home Office"/>
    <s v="Copiers"/>
    <n v="1"/>
    <n v="0"/>
    <n v="274.995"/>
    <n v="549.99"/>
  </r>
  <r>
    <s v="United States"/>
    <x v="487"/>
    <s v="Standard Class"/>
    <s v="Home Office"/>
    <s v="Envelopes"/>
    <n v="3"/>
    <n v="0"/>
    <n v="17.253"/>
    <n v="38.339999999999996"/>
  </r>
  <r>
    <s v="United States"/>
    <x v="487"/>
    <s v="Standard Class"/>
    <s v="Home Office"/>
    <s v="Furnishings"/>
    <n v="6"/>
    <n v="0"/>
    <n v="22.629600000000003"/>
    <n v="53.88"/>
  </r>
  <r>
    <s v="United States"/>
    <x v="487"/>
    <s v="Standard Class"/>
    <s v="Home Office"/>
    <s v="Phones"/>
    <n v="2"/>
    <n v="0"/>
    <n v="83.994400000000013"/>
    <n v="299.98"/>
  </r>
  <r>
    <s v="United States"/>
    <x v="488"/>
    <s v="First Class"/>
    <s v="Consumer"/>
    <s v="Accessories"/>
    <n v="2"/>
    <n v="0"/>
    <n v="3.3000000000000007"/>
    <n v="30"/>
  </r>
  <r>
    <s v="United States"/>
    <x v="488"/>
    <s v="First Class"/>
    <s v="Consumer"/>
    <s v="Art"/>
    <n v="1"/>
    <n v="0"/>
    <n v="0.84"/>
    <n v="1.68"/>
  </r>
  <r>
    <s v="United States"/>
    <x v="488"/>
    <s v="First Class"/>
    <s v="Consumer"/>
    <s v="Binders"/>
    <n v="4"/>
    <n v="0.2"/>
    <n v="16.361999999999998"/>
    <n v="48.480000000000004"/>
  </r>
  <r>
    <s v="United States"/>
    <x v="488"/>
    <s v="First Class"/>
    <s v="Consumer"/>
    <s v="Chairs"/>
    <n v="5"/>
    <n v="0.1"/>
    <n v="7.0980000000000061"/>
    <n v="319.41000000000003"/>
  </r>
  <r>
    <s v="United States"/>
    <x v="488"/>
    <s v="First Class"/>
    <s v="Consumer"/>
    <s v="Paper"/>
    <n v="13"/>
    <n v="0.2"/>
    <n v="33.427199999999999"/>
    <n v="78.064000000000021"/>
  </r>
  <r>
    <s v="United States"/>
    <x v="488"/>
    <s v="First Class"/>
    <s v="Consumer"/>
    <s v="Storage"/>
    <n v="6"/>
    <n v="0"/>
    <n v="52.139999999999986"/>
    <n v="208.56"/>
  </r>
  <r>
    <s v="United States"/>
    <x v="488"/>
    <s v="First Class"/>
    <s v="Home Office"/>
    <s v="Binders"/>
    <n v="8"/>
    <n v="1.4"/>
    <n v="-15.144899999999998"/>
    <n v="20.547000000000004"/>
  </r>
  <r>
    <s v="United States"/>
    <x v="488"/>
    <s v="First Class"/>
    <s v="Home Office"/>
    <s v="Chairs"/>
    <n v="5"/>
    <n v="0.3"/>
    <n v="-12.84900000000016"/>
    <n v="899.43"/>
  </r>
  <r>
    <s v="United States"/>
    <x v="488"/>
    <s v="First Class"/>
    <s v="Home Office"/>
    <s v="Furnishings"/>
    <n v="2"/>
    <n v="0.2"/>
    <n v="8.2896000000000001"/>
    <n v="30.144000000000002"/>
  </r>
  <r>
    <s v="United States"/>
    <x v="488"/>
    <s v="First Class"/>
    <s v="Home Office"/>
    <s v="Phones"/>
    <n v="1"/>
    <n v="0.4"/>
    <n v="-11.518799999999999"/>
    <n v="57.593999999999994"/>
  </r>
  <r>
    <s v="United States"/>
    <x v="488"/>
    <s v="First Class"/>
    <s v="Home Office"/>
    <s v="Tables"/>
    <n v="5"/>
    <n v="0.4"/>
    <n v="-106.39299999999997"/>
    <n v="455.97"/>
  </r>
  <r>
    <s v="United States"/>
    <x v="488"/>
    <s v="Second Class"/>
    <s v="Consumer"/>
    <s v="Art"/>
    <n v="9"/>
    <n v="0"/>
    <n v="22.244399999999995"/>
    <n v="60.12"/>
  </r>
  <r>
    <s v="United States"/>
    <x v="488"/>
    <s v="Second Class"/>
    <s v="Consumer"/>
    <s v="Phones"/>
    <n v="5"/>
    <n v="0.4"/>
    <n v="-255.74250000000001"/>
    <n v="1022.97"/>
  </r>
  <r>
    <s v="United States"/>
    <x v="488"/>
    <s v="Second Class"/>
    <s v="Corporate"/>
    <s v="Binders"/>
    <n v="3"/>
    <n v="0.2"/>
    <n v="3.3452999999999995"/>
    <n v="9.9120000000000008"/>
  </r>
  <r>
    <s v="United States"/>
    <x v="488"/>
    <s v="Second Class"/>
    <s v="Corporate"/>
    <s v="Bookcases"/>
    <n v="6"/>
    <n v="0.5"/>
    <n v="-376.69319999999999"/>
    <n v="482.93999999999994"/>
  </r>
  <r>
    <s v="United States"/>
    <x v="488"/>
    <s v="Second Class"/>
    <s v="Corporate"/>
    <s v="Envelopes"/>
    <n v="8"/>
    <n v="0"/>
    <n v="121.44159999999999"/>
    <n v="247.84"/>
  </r>
  <r>
    <s v="United States"/>
    <x v="488"/>
    <s v="Second Class"/>
    <s v="Corporate"/>
    <s v="Paper"/>
    <n v="3"/>
    <n v="0.2"/>
    <n v="5.4432"/>
    <n v="15.552000000000003"/>
  </r>
  <r>
    <s v="United States"/>
    <x v="488"/>
    <s v="Second Class"/>
    <s v="Home Office"/>
    <s v="Accessories"/>
    <n v="3"/>
    <n v="0"/>
    <n v="37.787400000000005"/>
    <n v="89.97"/>
  </r>
  <r>
    <s v="United States"/>
    <x v="488"/>
    <s v="Second Class"/>
    <s v="Home Office"/>
    <s v="Furnishings"/>
    <n v="2"/>
    <n v="0"/>
    <n v="7.4376000000000033"/>
    <n v="82.64"/>
  </r>
  <r>
    <s v="United States"/>
    <x v="488"/>
    <s v="Second Class"/>
    <s v="Home Office"/>
    <s v="Storage"/>
    <n v="2"/>
    <n v="0"/>
    <n v="8.0652000000000008"/>
    <n v="31.02"/>
  </r>
  <r>
    <s v="United States"/>
    <x v="488"/>
    <s v="Standard Class"/>
    <s v="Consumer"/>
    <s v="Binders"/>
    <n v="3"/>
    <n v="0.7"/>
    <n v="-7.5767999999999986"/>
    <n v="10.332000000000003"/>
  </r>
  <r>
    <s v="United States"/>
    <x v="488"/>
    <s v="Standard Class"/>
    <s v="Consumer"/>
    <s v="Chairs"/>
    <n v="2"/>
    <n v="0.1"/>
    <n v="8.5371999999999968"/>
    <n v="109.764"/>
  </r>
  <r>
    <s v="United States"/>
    <x v="488"/>
    <s v="Standard Class"/>
    <s v="Consumer"/>
    <s v="Furnishings"/>
    <n v="3"/>
    <n v="0"/>
    <n v="19.295999999999999"/>
    <n v="40.200000000000003"/>
  </r>
  <r>
    <s v="United States"/>
    <x v="488"/>
    <s v="Standard Class"/>
    <s v="Corporate"/>
    <s v="Phones"/>
    <n v="4"/>
    <n v="0.4"/>
    <n v="-15.584400000000002"/>
    <n v="23.975999999999999"/>
  </r>
  <r>
    <s v="United States"/>
    <x v="488"/>
    <s v="Standard Class"/>
    <s v="Home Office"/>
    <s v="Binders"/>
    <n v="6"/>
    <n v="0.7"/>
    <n v="-100.91999999999999"/>
    <n v="121.10400000000003"/>
  </r>
  <r>
    <s v="United States"/>
    <x v="488"/>
    <s v="Standard Class"/>
    <s v="Home Office"/>
    <s v="Envelopes"/>
    <n v="1"/>
    <n v="0.2"/>
    <n v="3.2161"/>
    <n v="8.8719999999999999"/>
  </r>
  <r>
    <s v="United States"/>
    <x v="489"/>
    <s v="First Class"/>
    <s v="Consumer"/>
    <s v="Accessories"/>
    <n v="3"/>
    <n v="0.2"/>
    <n v="21.592800000000011"/>
    <n v="71.975999999999999"/>
  </r>
  <r>
    <s v="United States"/>
    <x v="489"/>
    <s v="First Class"/>
    <s v="Consumer"/>
    <s v="Chairs"/>
    <n v="3"/>
    <n v="0.2"/>
    <n v="-42.411600000000035"/>
    <n v="242.35200000000003"/>
  </r>
  <r>
    <s v="United States"/>
    <x v="489"/>
    <s v="First Class"/>
    <s v="Consumer"/>
    <s v="Furnishings"/>
    <n v="2"/>
    <n v="0.2"/>
    <n v="10.393599999999998"/>
    <n v="51.967999999999996"/>
  </r>
  <r>
    <s v="United States"/>
    <x v="489"/>
    <s v="First Class"/>
    <s v="Consumer"/>
    <s v="Paper"/>
    <n v="7"/>
    <n v="0.4"/>
    <n v="80.311999999999983"/>
    <n v="230.36800000000002"/>
  </r>
  <r>
    <s v="United States"/>
    <x v="489"/>
    <s v="First Class"/>
    <s v="Corporate"/>
    <s v="Accessories"/>
    <n v="6"/>
    <n v="0.2"/>
    <n v="-35.992800000000038"/>
    <n v="239.95200000000003"/>
  </r>
  <r>
    <s v="United States"/>
    <x v="489"/>
    <s v="First Class"/>
    <s v="Corporate"/>
    <s v="Binders"/>
    <n v="14"/>
    <n v="0.7"/>
    <n v="-25.591999999999999"/>
    <n v="38.388000000000005"/>
  </r>
  <r>
    <s v="United States"/>
    <x v="489"/>
    <s v="First Class"/>
    <s v="Corporate"/>
    <s v="Chairs"/>
    <n v="4"/>
    <n v="0.2"/>
    <n v="-146.10960000000014"/>
    <n v="899.13600000000008"/>
  </r>
  <r>
    <s v="United States"/>
    <x v="489"/>
    <s v="First Class"/>
    <s v="Corporate"/>
    <s v="Machines"/>
    <n v="2"/>
    <n v="0.7"/>
    <n v="-63.995999999999981"/>
    <n v="95.994000000000014"/>
  </r>
  <r>
    <s v="United States"/>
    <x v="489"/>
    <s v="First Class"/>
    <s v="Corporate"/>
    <s v="Phones"/>
    <n v="10"/>
    <n v="0.4"/>
    <n v="53.205200000000033"/>
    <n v="582.44800000000009"/>
  </r>
  <r>
    <s v="United States"/>
    <x v="489"/>
    <s v="Same Day"/>
    <s v="Home Office"/>
    <s v="Chairs"/>
    <n v="4"/>
    <n v="0.2"/>
    <n v="-25.913599999999988"/>
    <n v="259.13600000000002"/>
  </r>
  <r>
    <s v="United States"/>
    <x v="489"/>
    <s v="Second Class"/>
    <s v="Consumer"/>
    <s v="Phones"/>
    <n v="2"/>
    <n v="0.2"/>
    <n v="13.17"/>
    <n v="35.119999999999997"/>
  </r>
  <r>
    <s v="United States"/>
    <x v="489"/>
    <s v="Standard Class"/>
    <s v="Consumer"/>
    <s v="Accessories"/>
    <n v="18"/>
    <n v="0.4"/>
    <n v="149.2487999999999"/>
    <n v="1502.9760000000001"/>
  </r>
  <r>
    <s v="United States"/>
    <x v="489"/>
    <s v="Standard Class"/>
    <s v="Consumer"/>
    <s v="Art"/>
    <n v="7"/>
    <n v="0.4"/>
    <n v="10.633199999999988"/>
    <n v="95.543999999999997"/>
  </r>
  <r>
    <s v="United States"/>
    <x v="489"/>
    <s v="Standard Class"/>
    <s v="Consumer"/>
    <s v="Binders"/>
    <n v="5"/>
    <n v="0.7"/>
    <n v="-5.7119999999999997"/>
    <n v="8.1600000000000019"/>
  </r>
  <r>
    <s v="United States"/>
    <x v="489"/>
    <s v="Standard Class"/>
    <s v="Consumer"/>
    <s v="Furnishings"/>
    <n v="8"/>
    <n v="0.4"/>
    <n v="49.912800000000011"/>
    <n v="210.38399999999996"/>
  </r>
  <r>
    <s v="United States"/>
    <x v="489"/>
    <s v="Standard Class"/>
    <s v="Consumer"/>
    <s v="Paper"/>
    <n v="17"/>
    <n v="0.60000000000000009"/>
    <n v="96.118199999999987"/>
    <n v="302.608"/>
  </r>
  <r>
    <s v="United States"/>
    <x v="489"/>
    <s v="Standard Class"/>
    <s v="Consumer"/>
    <s v="Storage"/>
    <n v="6"/>
    <n v="0.2"/>
    <n v="-58.68719999999999"/>
    <n v="247.10399999999998"/>
  </r>
  <r>
    <s v="United States"/>
    <x v="489"/>
    <s v="Standard Class"/>
    <s v="Corporate"/>
    <s v="Binders"/>
    <n v="8"/>
    <n v="1.4"/>
    <n v="-11.827199999999998"/>
    <n v="15.654000000000002"/>
  </r>
  <r>
    <s v="United States"/>
    <x v="489"/>
    <s v="Standard Class"/>
    <s v="Corporate"/>
    <s v="Chairs"/>
    <n v="3"/>
    <n v="0.2"/>
    <n v="-35.36460000000001"/>
    <n v="314.35199999999998"/>
  </r>
  <r>
    <s v="United States"/>
    <x v="489"/>
    <s v="Standard Class"/>
    <s v="Corporate"/>
    <s v="Furnishings"/>
    <n v="3"/>
    <n v="0.2"/>
    <n v="89.306999999999988"/>
    <n v="238.15200000000004"/>
  </r>
  <r>
    <s v="United States"/>
    <x v="489"/>
    <s v="Standard Class"/>
    <s v="Corporate"/>
    <s v="Paper"/>
    <n v="3"/>
    <n v="0.2"/>
    <n v="23.234999999999992"/>
    <n v="74.352000000000004"/>
  </r>
  <r>
    <s v="United States"/>
    <x v="489"/>
    <s v="Standard Class"/>
    <s v="Corporate"/>
    <s v="Tables"/>
    <n v="6"/>
    <n v="0.5"/>
    <n v="-218.86559999999997"/>
    <n v="455.97"/>
  </r>
  <r>
    <s v="United States"/>
    <x v="489"/>
    <s v="Standard Class"/>
    <s v="Home Office"/>
    <s v="Accessories"/>
    <n v="2"/>
    <n v="0.2"/>
    <n v="11.997999999999998"/>
    <n v="95.984000000000009"/>
  </r>
  <r>
    <s v="United States"/>
    <x v="489"/>
    <s v="Standard Class"/>
    <s v="Home Office"/>
    <s v="Binders"/>
    <n v="2"/>
    <n v="0.7"/>
    <n v="-3.6212"/>
    <n v="4.9380000000000006"/>
  </r>
  <r>
    <s v="United States"/>
    <x v="490"/>
    <s v="First Class"/>
    <s v="Corporate"/>
    <s v="Phones"/>
    <n v="7"/>
    <n v="0"/>
    <n v="0.69929999999999914"/>
    <n v="69.930000000000007"/>
  </r>
  <r>
    <s v="United States"/>
    <x v="490"/>
    <s v="Same Day"/>
    <s v="Consumer"/>
    <s v="Binders"/>
    <n v="5"/>
    <n v="0"/>
    <n v="14.424999999999999"/>
    <n v="28.849999999999998"/>
  </r>
  <r>
    <s v="United States"/>
    <x v="490"/>
    <s v="Second Class"/>
    <s v="Consumer"/>
    <s v="Accessories"/>
    <n v="12"/>
    <n v="0"/>
    <n v="23.419200000000011"/>
    <n v="167.28"/>
  </r>
  <r>
    <s v="United States"/>
    <x v="490"/>
    <s v="Second Class"/>
    <s v="Consumer"/>
    <s v="Binders"/>
    <n v="3"/>
    <n v="0"/>
    <n v="20.120699999999999"/>
    <n v="42.81"/>
  </r>
  <r>
    <s v="United States"/>
    <x v="490"/>
    <s v="Second Class"/>
    <s v="Consumer"/>
    <s v="Envelopes"/>
    <n v="3"/>
    <n v="0"/>
    <n v="38.323799999999999"/>
    <n v="81.539999999999992"/>
  </r>
  <r>
    <s v="United States"/>
    <x v="490"/>
    <s v="Second Class"/>
    <s v="Consumer"/>
    <s v="Furnishings"/>
    <n v="9"/>
    <n v="0"/>
    <n v="237.3417"/>
    <n v="879.56999999999994"/>
  </r>
  <r>
    <s v="United States"/>
    <x v="490"/>
    <s v="Second Class"/>
    <s v="Consumer"/>
    <s v="Paper"/>
    <n v="2"/>
    <n v="0"/>
    <n v="6.2208000000000006"/>
    <n v="12.96"/>
  </r>
  <r>
    <s v="United States"/>
    <x v="490"/>
    <s v="Second Class"/>
    <s v="Consumer"/>
    <s v="Phones"/>
    <n v="3"/>
    <n v="0"/>
    <n v="28.309500000000007"/>
    <n v="104.85000000000001"/>
  </r>
  <r>
    <s v="United States"/>
    <x v="490"/>
    <s v="Standard Class"/>
    <s v="Consumer"/>
    <s v="Accessories"/>
    <n v="4"/>
    <n v="0"/>
    <n v="102.18599999999998"/>
    <n v="291.95999999999998"/>
  </r>
  <r>
    <s v="United States"/>
    <x v="490"/>
    <s v="Standard Class"/>
    <s v="Consumer"/>
    <s v="Binders"/>
    <n v="5"/>
    <n v="0"/>
    <n v="5.1839999999999993"/>
    <n v="10.8"/>
  </r>
  <r>
    <s v="United States"/>
    <x v="490"/>
    <s v="Standard Class"/>
    <s v="Consumer"/>
    <s v="Chairs"/>
    <n v="6"/>
    <n v="0"/>
    <n v="523.70519999999988"/>
    <n v="1805.88"/>
  </r>
  <r>
    <s v="United States"/>
    <x v="490"/>
    <s v="Standard Class"/>
    <s v="Consumer"/>
    <s v="Furnishings"/>
    <n v="5"/>
    <n v="0"/>
    <n v="138.41699999999997"/>
    <n v="477.29999999999995"/>
  </r>
  <r>
    <s v="United States"/>
    <x v="490"/>
    <s v="Standard Class"/>
    <s v="Consumer"/>
    <s v="Paper"/>
    <n v="3"/>
    <n v="0"/>
    <n v="7.0218000000000007"/>
    <n v="14.940000000000001"/>
  </r>
  <r>
    <s v="United States"/>
    <x v="490"/>
    <s v="Standard Class"/>
    <s v="Corporate"/>
    <s v="Art"/>
    <n v="3"/>
    <n v="0"/>
    <n v="3.4692000000000003"/>
    <n v="12.39"/>
  </r>
  <r>
    <s v="United States"/>
    <x v="490"/>
    <s v="Standard Class"/>
    <s v="Corporate"/>
    <s v="Chairs"/>
    <n v="3"/>
    <n v="0"/>
    <n v="81.173400000000001"/>
    <n v="368.96999999999997"/>
  </r>
  <r>
    <s v="United States"/>
    <x v="490"/>
    <s v="Standard Class"/>
    <s v="Corporate"/>
    <s v="Storage"/>
    <n v="3"/>
    <n v="0"/>
    <n v="9.9882000000000204"/>
    <n v="332.94"/>
  </r>
  <r>
    <s v="United States"/>
    <x v="490"/>
    <s v="Standard Class"/>
    <s v="Corporate"/>
    <s v="Supplies"/>
    <n v="2"/>
    <n v="0"/>
    <n v="6.1488000000000014"/>
    <n v="21.96"/>
  </r>
  <r>
    <s v="United States"/>
    <x v="490"/>
    <s v="Standard Class"/>
    <s v="Home Office"/>
    <s v="Art"/>
    <n v="4"/>
    <n v="0"/>
    <n v="12.025199999999998"/>
    <n v="36.44"/>
  </r>
  <r>
    <s v="United States"/>
    <x v="490"/>
    <s v="Standard Class"/>
    <s v="Home Office"/>
    <s v="Binders"/>
    <n v="11"/>
    <n v="0"/>
    <n v="70.322000000000003"/>
    <n v="151.48000000000002"/>
  </r>
  <r>
    <s v="United States"/>
    <x v="490"/>
    <s v="Standard Class"/>
    <s v="Home Office"/>
    <s v="Chairs"/>
    <n v="2"/>
    <n v="0"/>
    <n v="45.348800000000011"/>
    <n v="161.96"/>
  </r>
  <r>
    <s v="United States"/>
    <x v="490"/>
    <s v="Standard Class"/>
    <s v="Home Office"/>
    <s v="Paper"/>
    <n v="5"/>
    <n v="0"/>
    <n v="15.552000000000001"/>
    <n v="32.400000000000006"/>
  </r>
  <r>
    <s v="United States"/>
    <x v="490"/>
    <s v="Standard Class"/>
    <s v="Home Office"/>
    <s v="Storage"/>
    <n v="2"/>
    <n v="0"/>
    <n v="5.7593999999999976"/>
    <n v="19.86"/>
  </r>
  <r>
    <s v="United States"/>
    <x v="490"/>
    <s v="Standard Class"/>
    <s v="Home Office"/>
    <s v="Tables"/>
    <n v="5"/>
    <n v="0"/>
    <n v="111.77400000000003"/>
    <n v="429.90000000000003"/>
  </r>
  <r>
    <s v="United States"/>
    <x v="491"/>
    <s v="Standard Class"/>
    <s v="Home Office"/>
    <s v="Binders"/>
    <n v="7"/>
    <n v="0"/>
    <n v="15.5204"/>
    <n v="33.74"/>
  </r>
  <r>
    <s v="United States"/>
    <x v="491"/>
    <s v="Standard Class"/>
    <s v="Home Office"/>
    <s v="Chairs"/>
    <n v="2"/>
    <n v="0"/>
    <n v="35.490000000000009"/>
    <n v="141.96"/>
  </r>
  <r>
    <s v="United States"/>
    <x v="492"/>
    <s v="Standard Class"/>
    <s v="Corporate"/>
    <s v="Binders"/>
    <n v="4"/>
    <n v="0.2"/>
    <n v="6.6351999999999984"/>
    <n v="20.416"/>
  </r>
  <r>
    <s v="United States"/>
    <x v="492"/>
    <s v="Standard Class"/>
    <s v="Corporate"/>
    <s v="Tables"/>
    <n v="3"/>
    <n v="0"/>
    <n v="259.52970000000005"/>
    <n v="1128.3899999999999"/>
  </r>
  <r>
    <s v="United States"/>
    <x v="493"/>
    <s v="Second Class"/>
    <s v="Consumer"/>
    <s v="Binders"/>
    <n v="4"/>
    <n v="0.8"/>
    <n v="-79.335199999999986"/>
    <n v="51.183999999999983"/>
  </r>
  <r>
    <s v="United States"/>
    <x v="493"/>
    <s v="Standard Class"/>
    <s v="Consumer"/>
    <s v="Accessories"/>
    <n v="3"/>
    <n v="0.2"/>
    <n v="4.5200999999999958"/>
    <n v="27.816000000000003"/>
  </r>
  <r>
    <s v="United States"/>
    <x v="493"/>
    <s v="Standard Class"/>
    <s v="Consumer"/>
    <s v="Appliances"/>
    <n v="3"/>
    <n v="0.8"/>
    <n v="-7.3920000000000021"/>
    <n v="2.6879999999999997"/>
  </r>
  <r>
    <s v="United States"/>
    <x v="493"/>
    <s v="Standard Class"/>
    <s v="Consumer"/>
    <s v="Binders"/>
    <n v="3"/>
    <n v="0.8"/>
    <n v="-320.23950000000013"/>
    <n v="182.99399999999997"/>
  </r>
  <r>
    <s v="United States"/>
    <x v="493"/>
    <s v="Standard Class"/>
    <s v="Consumer"/>
    <s v="Furnishings"/>
    <n v="3"/>
    <n v="0.6"/>
    <n v="-41.261999999999972"/>
    <n v="82.524000000000001"/>
  </r>
  <r>
    <s v="United States"/>
    <x v="494"/>
    <s v="Standard Class"/>
    <s v="Consumer"/>
    <s v="Art"/>
    <n v="2"/>
    <n v="0"/>
    <n v="22.78799999999999"/>
    <n v="75.959999999999994"/>
  </r>
  <r>
    <s v="United States"/>
    <x v="494"/>
    <s v="Standard Class"/>
    <s v="Consumer"/>
    <s v="Binders"/>
    <n v="6"/>
    <n v="0"/>
    <n v="13.3476"/>
    <n v="27.240000000000002"/>
  </r>
  <r>
    <s v="United States"/>
    <x v="494"/>
    <s v="Standard Class"/>
    <s v="Consumer"/>
    <s v="Fasteners"/>
    <n v="4"/>
    <n v="0"/>
    <n v="21.5824"/>
    <n v="45.92"/>
  </r>
  <r>
    <s v="United States"/>
    <x v="495"/>
    <s v="Same Day"/>
    <s v="Consumer"/>
    <s v="Binders"/>
    <n v="7"/>
    <n v="0.4"/>
    <n v="10.447799999999999"/>
    <n v="30"/>
  </r>
  <r>
    <s v="United States"/>
    <x v="495"/>
    <s v="Same Day"/>
    <s v="Consumer"/>
    <s v="Labels"/>
    <n v="13"/>
    <n v="0"/>
    <n v="50.356800000000007"/>
    <n v="104.66999999999999"/>
  </r>
  <r>
    <s v="United States"/>
    <x v="495"/>
    <s v="Same Day"/>
    <s v="Consumer"/>
    <s v="Phones"/>
    <n v="10"/>
    <n v="0"/>
    <n v="84.385799999999989"/>
    <n v="399.9"/>
  </r>
  <r>
    <s v="United States"/>
    <x v="495"/>
    <s v="Standard Class"/>
    <s v="Consumer"/>
    <s v="Accessories"/>
    <n v="1"/>
    <n v="0"/>
    <n v="28.796399999999998"/>
    <n v="79.989999999999995"/>
  </r>
  <r>
    <s v="United States"/>
    <x v="495"/>
    <s v="Standard Class"/>
    <s v="Corporate"/>
    <s v="Furnishings"/>
    <n v="2"/>
    <n v="0"/>
    <n v="14.572799999999997"/>
    <n v="40.479999999999997"/>
  </r>
  <r>
    <s v="United States"/>
    <x v="496"/>
    <s v="Second Class"/>
    <s v="Consumer"/>
    <s v="Storage"/>
    <n v="11"/>
    <n v="0"/>
    <n v="110.05279999999999"/>
    <n v="423.28"/>
  </r>
  <r>
    <s v="United States"/>
    <x v="497"/>
    <s v="Second Class"/>
    <s v="Consumer"/>
    <s v="Binders"/>
    <n v="4"/>
    <n v="0.2"/>
    <n v="5.5535999999999994"/>
    <n v="17.088000000000001"/>
  </r>
  <r>
    <s v="United States"/>
    <x v="497"/>
    <s v="Second Class"/>
    <s v="Consumer"/>
    <s v="Labels"/>
    <n v="2"/>
    <n v="0"/>
    <n v="14.8"/>
    <n v="29.6"/>
  </r>
  <r>
    <s v="United States"/>
    <x v="497"/>
    <s v="Standard Class"/>
    <s v="Consumer"/>
    <s v="Binders"/>
    <n v="2"/>
    <n v="0.2"/>
    <n v="31.085599999999989"/>
    <n v="95.64800000000001"/>
  </r>
  <r>
    <s v="United States"/>
    <x v="497"/>
    <s v="Standard Class"/>
    <s v="Consumer"/>
    <s v="Labels"/>
    <n v="5"/>
    <n v="0"/>
    <n v="6.7915000000000001"/>
    <n v="14.450000000000001"/>
  </r>
  <r>
    <s v="United States"/>
    <x v="497"/>
    <s v="Standard Class"/>
    <s v="Home Office"/>
    <s v="Binders"/>
    <n v="4"/>
    <n v="0.2"/>
    <n v="5.0128000000000004"/>
    <n v="15.424000000000001"/>
  </r>
  <r>
    <s v="United States"/>
    <x v="497"/>
    <s v="Standard Class"/>
    <s v="Home Office"/>
    <s v="Furnishings"/>
    <n v="5"/>
    <n v="0"/>
    <n v="272.79200000000003"/>
    <n v="1049.2"/>
  </r>
  <r>
    <s v="United States"/>
    <x v="498"/>
    <s v="Second Class"/>
    <s v="Corporate"/>
    <s v="Accessories"/>
    <n v="4"/>
    <n v="0"/>
    <n v="31.599999999999966"/>
    <n v="316"/>
  </r>
  <r>
    <s v="United States"/>
    <x v="498"/>
    <s v="Second Class"/>
    <s v="Corporate"/>
    <s v="Furnishings"/>
    <n v="4"/>
    <n v="0"/>
    <n v="6.0680000000000014"/>
    <n v="14.8"/>
  </r>
  <r>
    <s v="United States"/>
    <x v="498"/>
    <s v="Second Class"/>
    <s v="Corporate"/>
    <s v="Phones"/>
    <n v="3"/>
    <n v="0.2"/>
    <n v="22.678200000000018"/>
    <n v="302.37599999999998"/>
  </r>
  <r>
    <s v="United States"/>
    <x v="498"/>
    <s v="Standard Class"/>
    <s v="Corporate"/>
    <s v="Furnishings"/>
    <n v="2"/>
    <n v="0"/>
    <n v="3.6632000000000007"/>
    <n v="9.64"/>
  </r>
  <r>
    <s v="United States"/>
    <x v="498"/>
    <s v="Standard Class"/>
    <s v="Home Office"/>
    <s v="Art"/>
    <n v="2"/>
    <n v="0"/>
    <n v="11.4452"/>
    <n v="44.02"/>
  </r>
  <r>
    <s v="United States"/>
    <x v="499"/>
    <s v="Second Class"/>
    <s v="Consumer"/>
    <s v="Accessories"/>
    <n v="5"/>
    <n v="0"/>
    <n v="34.960000000000008"/>
    <n v="87.4"/>
  </r>
  <r>
    <s v="United States"/>
    <x v="499"/>
    <s v="Second Class"/>
    <s v="Consumer"/>
    <s v="Furnishings"/>
    <n v="5"/>
    <n v="0"/>
    <n v="15.426000000000002"/>
    <n v="42.85"/>
  </r>
  <r>
    <s v="United States"/>
    <x v="499"/>
    <s v="Second Class"/>
    <s v="Consumer"/>
    <s v="Labels"/>
    <n v="2"/>
    <n v="0"/>
    <n v="2.9567999999999999"/>
    <n v="6.16"/>
  </r>
  <r>
    <s v="United States"/>
    <x v="499"/>
    <s v="Second Class"/>
    <s v="Consumer"/>
    <s v="Supplies"/>
    <n v="2"/>
    <n v="0"/>
    <n v="4.42"/>
    <n v="17"/>
  </r>
  <r>
    <s v="United States"/>
    <x v="499"/>
    <s v="Standard Class"/>
    <s v="Consumer"/>
    <s v="Tables"/>
    <n v="2"/>
    <n v="0.3"/>
    <n v="-31.372200000000007"/>
    <n v="244.00599999999997"/>
  </r>
  <r>
    <s v="United States"/>
    <x v="499"/>
    <s v="Standard Class"/>
    <s v="Corporate"/>
    <s v="Appliances"/>
    <n v="1"/>
    <n v="0"/>
    <n v="7.4172000000000011"/>
    <n v="26.49"/>
  </r>
  <r>
    <s v="United States"/>
    <x v="499"/>
    <s v="Standard Class"/>
    <s v="Corporate"/>
    <s v="Art"/>
    <n v="4"/>
    <n v="0"/>
    <n v="2.8911999999999995"/>
    <n v="11.12"/>
  </r>
  <r>
    <s v="United States"/>
    <x v="499"/>
    <s v="Standard Class"/>
    <s v="Corporate"/>
    <s v="Chairs"/>
    <n v="3"/>
    <n v="0"/>
    <n v="25.552800000000005"/>
    <n v="212.94"/>
  </r>
  <r>
    <s v="United States"/>
    <x v="500"/>
    <s v="First Class"/>
    <s v="Consumer"/>
    <s v="Accessories"/>
    <n v="3"/>
    <n v="0"/>
    <n v="18.893699999999995"/>
    <n v="89.97"/>
  </r>
  <r>
    <s v="United States"/>
    <x v="500"/>
    <s v="First Class"/>
    <s v="Consumer"/>
    <s v="Appliances"/>
    <n v="3"/>
    <n v="0"/>
    <n v="53.043899999999979"/>
    <n v="182.91"/>
  </r>
  <r>
    <s v="United States"/>
    <x v="500"/>
    <s v="First Class"/>
    <s v="Consumer"/>
    <s v="Furnishings"/>
    <n v="7"/>
    <n v="0"/>
    <n v="146.90959999999998"/>
    <n v="1030.76"/>
  </r>
  <r>
    <s v="United States"/>
    <x v="500"/>
    <s v="First Class"/>
    <s v="Consumer"/>
    <s v="Supplies"/>
    <n v="5"/>
    <n v="0"/>
    <n v="9.234"/>
    <n v="34.200000000000003"/>
  </r>
  <r>
    <s v="United States"/>
    <x v="500"/>
    <s v="Standard Class"/>
    <s v="Consumer"/>
    <s v="Envelopes"/>
    <n v="7"/>
    <n v="0"/>
    <n v="113.21099999999998"/>
    <n v="251.57999999999998"/>
  </r>
  <r>
    <s v="United States"/>
    <x v="500"/>
    <s v="Standard Class"/>
    <s v="Consumer"/>
    <s v="Paper"/>
    <n v="4"/>
    <n v="0"/>
    <n v="48.539199999999994"/>
    <n v="105.52"/>
  </r>
  <r>
    <s v="United States"/>
    <x v="500"/>
    <s v="Standard Class"/>
    <s v="Consumer"/>
    <s v="Tables"/>
    <n v="5"/>
    <n v="0"/>
    <n v="60.664499999999961"/>
    <n v="356.85"/>
  </r>
  <r>
    <s v="United States"/>
    <x v="500"/>
    <s v="Standard Class"/>
    <s v="Corporate"/>
    <s v="Art"/>
    <n v="4"/>
    <n v="0"/>
    <n v="2.9592000000000009"/>
    <n v="10.96"/>
  </r>
  <r>
    <s v="United States"/>
    <x v="500"/>
    <s v="Standard Class"/>
    <s v="Corporate"/>
    <s v="Binders"/>
    <n v="7"/>
    <n v="0"/>
    <n v="1276.4871000000001"/>
    <n v="2715.9300000000003"/>
  </r>
  <r>
    <s v="United States"/>
    <x v="500"/>
    <s v="Standard Class"/>
    <s v="Corporate"/>
    <s v="Furnishings"/>
    <n v="2"/>
    <n v="0"/>
    <n v="46.196799999999996"/>
    <n v="177.68"/>
  </r>
  <r>
    <s v="United States"/>
    <x v="500"/>
    <s v="Standard Class"/>
    <s v="Corporate"/>
    <s v="Phones"/>
    <n v="3"/>
    <n v="0"/>
    <n v="173.0316"/>
    <n v="617.97"/>
  </r>
  <r>
    <s v="United States"/>
    <x v="500"/>
    <s v="Standard Class"/>
    <s v="Home Office"/>
    <s v="Accessories"/>
    <n v="3"/>
    <n v="0"/>
    <n v="20.767499999999998"/>
    <n v="53.25"/>
  </r>
  <r>
    <s v="United States"/>
    <x v="500"/>
    <s v="Standard Class"/>
    <s v="Home Office"/>
    <s v="Binders"/>
    <n v="2"/>
    <n v="0"/>
    <n v="4.7236000000000002"/>
    <n v="9.64"/>
  </r>
  <r>
    <s v="United States"/>
    <x v="500"/>
    <s v="Standard Class"/>
    <s v="Home Office"/>
    <s v="Fasteners"/>
    <n v="2"/>
    <n v="0"/>
    <n v="1.3159999999999998"/>
    <n v="3.76"/>
  </r>
  <r>
    <s v="United States"/>
    <x v="500"/>
    <s v="Standard Class"/>
    <s v="Home Office"/>
    <s v="Furnishings"/>
    <n v="5"/>
    <n v="0"/>
    <n v="48.906000000000006"/>
    <n v="111.15"/>
  </r>
  <r>
    <s v="United States"/>
    <x v="501"/>
    <s v="Second Class"/>
    <s v="Corporate"/>
    <s v="Accessories"/>
    <n v="8"/>
    <n v="0"/>
    <n v="3.4848000000000008"/>
    <n v="7.92"/>
  </r>
  <r>
    <s v="United States"/>
    <x v="501"/>
    <s v="Standard Class"/>
    <s v="Consumer"/>
    <s v="Art"/>
    <n v="2"/>
    <n v="0"/>
    <n v="3.7200000000000006"/>
    <n v="14.88"/>
  </r>
  <r>
    <s v="United States"/>
    <x v="501"/>
    <s v="Standard Class"/>
    <s v="Consumer"/>
    <s v="Paper"/>
    <n v="8"/>
    <n v="0"/>
    <n v="15.407999999999998"/>
    <n v="34.24"/>
  </r>
  <r>
    <s v="United States"/>
    <x v="501"/>
    <s v="Standard Class"/>
    <s v="Consumer"/>
    <s v="Storage"/>
    <n v="2"/>
    <n v="0"/>
    <n v="65.435000000000002"/>
    <n v="261.74"/>
  </r>
  <r>
    <s v="United States"/>
    <x v="502"/>
    <s v="Same Day"/>
    <s v="Corporate"/>
    <s v="Binders"/>
    <n v="1"/>
    <n v="0.8"/>
    <n v="-0.94520000000000004"/>
    <n v="0.55599999999999983"/>
  </r>
  <r>
    <s v="United States"/>
    <x v="502"/>
    <s v="Second Class"/>
    <s v="Consumer"/>
    <s v="Art"/>
    <n v="5"/>
    <n v="0.2"/>
    <n v="0.71199999999999974"/>
    <n v="7.120000000000001"/>
  </r>
  <r>
    <s v="United States"/>
    <x v="502"/>
    <s v="Second Class"/>
    <s v="Consumer"/>
    <s v="Binders"/>
    <n v="4"/>
    <n v="0.8"/>
    <n v="-426.9860000000001"/>
    <n v="243.99199999999996"/>
  </r>
  <r>
    <s v="United States"/>
    <x v="502"/>
    <s v="Standard Class"/>
    <s v="Consumer"/>
    <s v="Binders"/>
    <n v="2"/>
    <n v="0.8"/>
    <n v="-3.5224000000000011"/>
    <n v="2.0719999999999996"/>
  </r>
  <r>
    <s v="United States"/>
    <x v="502"/>
    <s v="Standard Class"/>
    <s v="Consumer"/>
    <s v="Bookcases"/>
    <n v="3"/>
    <n v="0.32"/>
    <n v="-91.758599999999973"/>
    <n v="328.39919999999995"/>
  </r>
  <r>
    <s v="United States"/>
    <x v="502"/>
    <s v="Standard Class"/>
    <s v="Consumer"/>
    <s v="Storage"/>
    <n v="2"/>
    <n v="0.2"/>
    <n v="2.3967999999999989"/>
    <n v="23.968000000000004"/>
  </r>
  <r>
    <s v="United States"/>
    <x v="503"/>
    <s v="Second Class"/>
    <s v="Corporate"/>
    <s v="Chairs"/>
    <n v="3"/>
    <n v="0"/>
    <n v="43.223399999999984"/>
    <n v="392.93999999999994"/>
  </r>
  <r>
    <s v="United States"/>
    <x v="503"/>
    <s v="Standard Class"/>
    <s v="Consumer"/>
    <s v="Art"/>
    <n v="7"/>
    <n v="0"/>
    <n v="10.465"/>
    <n v="41.86"/>
  </r>
  <r>
    <s v="United States"/>
    <x v="504"/>
    <s v="First Class"/>
    <s v="Corporate"/>
    <s v="Paper"/>
    <n v="2"/>
    <n v="0"/>
    <n v="54.860399999999998"/>
    <n v="111.96"/>
  </r>
  <r>
    <s v="United States"/>
    <x v="504"/>
    <s v="Second Class"/>
    <s v="Corporate"/>
    <s v="Accessories"/>
    <n v="4"/>
    <n v="0"/>
    <n v="93.240000000000009"/>
    <n v="252"/>
  </r>
  <r>
    <s v="United States"/>
    <x v="504"/>
    <s v="Second Class"/>
    <s v="Corporate"/>
    <s v="Copiers"/>
    <n v="4"/>
    <n v="0"/>
    <n v="899.98199999999997"/>
    <n v="1999.96"/>
  </r>
  <r>
    <s v="United States"/>
    <x v="504"/>
    <s v="Second Class"/>
    <s v="Corporate"/>
    <s v="Paper"/>
    <n v="2"/>
    <n v="0"/>
    <n v="6.2208000000000006"/>
    <n v="12.96"/>
  </r>
  <r>
    <s v="United States"/>
    <x v="504"/>
    <s v="Second Class"/>
    <s v="Corporate"/>
    <s v="Storage"/>
    <n v="2"/>
    <n v="0"/>
    <n v="9.4923999999999964"/>
    <n v="49.96"/>
  </r>
  <r>
    <s v="United States"/>
    <x v="505"/>
    <s v="Second Class"/>
    <s v="Home Office"/>
    <s v="Art"/>
    <n v="8"/>
    <n v="0"/>
    <n v="13.2288"/>
    <n v="33.92"/>
  </r>
  <r>
    <s v="United States"/>
    <x v="505"/>
    <s v="Second Class"/>
    <s v="Home Office"/>
    <s v="Furnishings"/>
    <n v="2"/>
    <n v="0"/>
    <n v="15.825600000000001"/>
    <n v="37.68"/>
  </r>
  <r>
    <s v="United States"/>
    <x v="505"/>
    <s v="Second Class"/>
    <s v="Home Office"/>
    <s v="Paper"/>
    <n v="6"/>
    <n v="0"/>
    <n v="19.238399999999999"/>
    <n v="40.08"/>
  </r>
  <r>
    <s v="United States"/>
    <x v="505"/>
    <s v="Standard Class"/>
    <s v="Consumer"/>
    <s v="Art"/>
    <n v="3"/>
    <n v="0"/>
    <n v="8.8686000000000007"/>
    <n v="22.740000000000002"/>
  </r>
  <r>
    <s v="United States"/>
    <x v="505"/>
    <s v="Standard Class"/>
    <s v="Consumer"/>
    <s v="Binders"/>
    <n v="2"/>
    <n v="0"/>
    <n v="4.4344000000000001"/>
    <n v="9.64"/>
  </r>
  <r>
    <s v="United States"/>
    <x v="505"/>
    <s v="Standard Class"/>
    <s v="Consumer"/>
    <s v="Chairs"/>
    <n v="3"/>
    <n v="0"/>
    <n v="316.88249999999999"/>
    <n v="1267.53"/>
  </r>
  <r>
    <s v="United States"/>
    <x v="505"/>
    <s v="Standard Class"/>
    <s v="Consumer"/>
    <s v="Furnishings"/>
    <n v="3"/>
    <n v="0"/>
    <n v="17.375399999999999"/>
    <n v="41.37"/>
  </r>
  <r>
    <s v="United States"/>
    <x v="505"/>
    <s v="Standard Class"/>
    <s v="Consumer"/>
    <s v="Machines"/>
    <n v="8"/>
    <n v="0"/>
    <n v="648.56240000000003"/>
    <n v="1379.92"/>
  </r>
  <r>
    <s v="United States"/>
    <x v="505"/>
    <s v="Standard Class"/>
    <s v="Consumer"/>
    <s v="Paper"/>
    <n v="5"/>
    <n v="0"/>
    <n v="15.173200000000001"/>
    <n v="32.14"/>
  </r>
  <r>
    <s v="United States"/>
    <x v="506"/>
    <s v="First Class"/>
    <s v="Consumer"/>
    <s v="Furnishings"/>
    <n v="4"/>
    <n v="0"/>
    <n v="17.323999999999984"/>
    <n v="173.24"/>
  </r>
  <r>
    <s v="United States"/>
    <x v="506"/>
    <s v="First Class"/>
    <s v="Consumer"/>
    <s v="Labels"/>
    <n v="2"/>
    <n v="0"/>
    <n v="6.8713999999999995"/>
    <n v="14.62"/>
  </r>
  <r>
    <s v="United States"/>
    <x v="506"/>
    <s v="First Class"/>
    <s v="Consumer"/>
    <s v="Supplies"/>
    <n v="7"/>
    <n v="0"/>
    <n v="18.899299999999997"/>
    <n v="65.17"/>
  </r>
  <r>
    <s v="United States"/>
    <x v="506"/>
    <s v="Standard Class"/>
    <s v="Consumer"/>
    <s v="Art"/>
    <n v="2"/>
    <n v="0"/>
    <n v="1.0207999999999999"/>
    <n v="3.52"/>
  </r>
  <r>
    <s v="United States"/>
    <x v="506"/>
    <s v="Standard Class"/>
    <s v="Corporate"/>
    <s v="Art"/>
    <n v="3"/>
    <n v="0"/>
    <n v="2.8535999999999988"/>
    <n v="9.84"/>
  </r>
  <r>
    <s v="United States"/>
    <x v="506"/>
    <s v="Standard Class"/>
    <s v="Corporate"/>
    <s v="Binders"/>
    <n v="2"/>
    <n v="0"/>
    <n v="3.7412000000000001"/>
    <n v="7.96"/>
  </r>
  <r>
    <s v="United States"/>
    <x v="506"/>
    <s v="Standard Class"/>
    <s v="Corporate"/>
    <s v="Phones"/>
    <n v="3"/>
    <n v="0"/>
    <n v="153.08189999999999"/>
    <n v="566.97"/>
  </r>
  <r>
    <s v="United States"/>
    <x v="506"/>
    <s v="Standard Class"/>
    <s v="Home Office"/>
    <s v="Accessories"/>
    <n v="3"/>
    <n v="0"/>
    <n v="52.792200000000001"/>
    <n v="159.97"/>
  </r>
  <r>
    <s v="United States"/>
    <x v="506"/>
    <s v="Standard Class"/>
    <s v="Home Office"/>
    <s v="Storage"/>
    <n v="7"/>
    <n v="0"/>
    <n v="82.351100000000002"/>
    <n v="324.77"/>
  </r>
  <r>
    <s v="United States"/>
    <x v="507"/>
    <s v="Standard Class"/>
    <s v="Consumer"/>
    <s v="Art"/>
    <n v="4"/>
    <n v="0"/>
    <n v="11.8248"/>
    <n v="30.32"/>
  </r>
  <r>
    <s v="United States"/>
    <x v="508"/>
    <s v="First Class"/>
    <s v="Consumer"/>
    <s v="Appliances"/>
    <n v="1"/>
    <n v="0"/>
    <n v="8.9549999999999983"/>
    <n v="19.899999999999999"/>
  </r>
  <r>
    <s v="United States"/>
    <x v="508"/>
    <s v="First Class"/>
    <s v="Consumer"/>
    <s v="Furnishings"/>
    <n v="1"/>
    <n v="0"/>
    <n v="4.9496999999999929"/>
    <n v="70.709999999999994"/>
  </r>
  <r>
    <s v="United States"/>
    <x v="508"/>
    <s v="First Class"/>
    <s v="Corporate"/>
    <s v="Binders"/>
    <n v="5"/>
    <n v="0.2"/>
    <n v="302.37299999999993"/>
    <n v="895.92"/>
  </r>
  <r>
    <s v="United States"/>
    <x v="508"/>
    <s v="First Class"/>
    <s v="Corporate"/>
    <s v="Chairs"/>
    <n v="2"/>
    <n v="0.1"/>
    <n v="97.652399999999943"/>
    <n v="462.56400000000002"/>
  </r>
  <r>
    <s v="United States"/>
    <x v="508"/>
    <s v="Second Class"/>
    <s v="Corporate"/>
    <s v="Bookcases"/>
    <n v="7"/>
    <n v="0.2"/>
    <n v="196.68599999999986"/>
    <n v="1573.4880000000001"/>
  </r>
  <r>
    <s v="United States"/>
    <x v="508"/>
    <s v="Second Class"/>
    <s v="Corporate"/>
    <s v="Storage"/>
    <n v="6"/>
    <n v="0"/>
    <n v="25.053599999999996"/>
    <n v="96.359999999999985"/>
  </r>
  <r>
    <s v="United States"/>
    <x v="508"/>
    <s v="Standard Class"/>
    <s v="Consumer"/>
    <s v="Binders"/>
    <n v="5"/>
    <n v="0.2"/>
    <n v="220.98699999999997"/>
    <n v="679.96"/>
  </r>
  <r>
    <s v="United States"/>
    <x v="508"/>
    <s v="Standard Class"/>
    <s v="Consumer"/>
    <s v="Paper"/>
    <n v="2"/>
    <n v="0"/>
    <n v="8.7137999999999991"/>
    <n v="18.54"/>
  </r>
  <r>
    <s v="United States"/>
    <x v="508"/>
    <s v="Standard Class"/>
    <s v="Corporate"/>
    <s v="Appliances"/>
    <n v="3"/>
    <n v="0"/>
    <n v="9.6956999999999987"/>
    <n v="35.910000000000004"/>
  </r>
  <r>
    <s v="United States"/>
    <x v="508"/>
    <s v="Standard Class"/>
    <s v="Home Office"/>
    <s v="Chairs"/>
    <n v="3"/>
    <n v="0.1"/>
    <n v="31.94100000000001"/>
    <n v="191.64600000000002"/>
  </r>
  <r>
    <s v="United States"/>
    <x v="509"/>
    <s v="Standard Class"/>
    <s v="Consumer"/>
    <s v="Storage"/>
    <n v="5"/>
    <n v="0"/>
    <n v="14.169999999999998"/>
    <n v="54.5"/>
  </r>
  <r>
    <s v="United States"/>
    <x v="510"/>
    <s v="Standard Class"/>
    <s v="Consumer"/>
    <s v="Appliances"/>
    <n v="6"/>
    <n v="0"/>
    <n v="68.846399999999988"/>
    <n v="245.88"/>
  </r>
  <r>
    <s v="United States"/>
    <x v="510"/>
    <s v="Standard Class"/>
    <s v="Consumer"/>
    <s v="Binders"/>
    <n v="3"/>
    <n v="0"/>
    <n v="5.8232999999999997"/>
    <n v="12.39"/>
  </r>
  <r>
    <s v="United States"/>
    <x v="510"/>
    <s v="Standard Class"/>
    <s v="Consumer"/>
    <s v="Storage"/>
    <n v="5"/>
    <n v="0"/>
    <n v="15.760900000000003"/>
    <n v="59.21"/>
  </r>
  <r>
    <s v="United States"/>
    <x v="511"/>
    <s v="First Class"/>
    <s v="Consumer"/>
    <s v="Binders"/>
    <n v="1"/>
    <n v="0"/>
    <n v="4.57"/>
    <n v="9.14"/>
  </r>
  <r>
    <s v="United States"/>
    <x v="511"/>
    <s v="First Class"/>
    <s v="Consumer"/>
    <s v="Bookcases"/>
    <n v="9"/>
    <n v="0"/>
    <n v="125.58240000000001"/>
    <n v="523.26"/>
  </r>
  <r>
    <s v="United States"/>
    <x v="511"/>
    <s v="First Class"/>
    <s v="Consumer"/>
    <s v="Furnishings"/>
    <n v="7"/>
    <n v="0"/>
    <n v="119.68599999999989"/>
    <n v="1196.8599999999999"/>
  </r>
  <r>
    <s v="United States"/>
    <x v="511"/>
    <s v="First Class"/>
    <s v="Consumer"/>
    <s v="Phones"/>
    <n v="2"/>
    <n v="0"/>
    <n v="148.10640000000001"/>
    <n v="569.64"/>
  </r>
  <r>
    <s v="United States"/>
    <x v="511"/>
    <s v="Second Class"/>
    <s v="Consumer"/>
    <s v="Furnishings"/>
    <n v="1"/>
    <n v="0"/>
    <n v="14.561400000000006"/>
    <n v="104.01"/>
  </r>
  <r>
    <s v="United States"/>
    <x v="511"/>
    <s v="Second Class"/>
    <s v="Consumer"/>
    <s v="Phones"/>
    <n v="1"/>
    <n v="0"/>
    <n v="74.053200000000004"/>
    <n v="284.82"/>
  </r>
  <r>
    <s v="United States"/>
    <x v="511"/>
    <s v="Second Class"/>
    <s v="Consumer"/>
    <s v="Storage"/>
    <n v="3"/>
    <n v="0"/>
    <n v="10.315199999999999"/>
    <n v="36.839999999999996"/>
  </r>
  <r>
    <s v="United States"/>
    <x v="511"/>
    <s v="Standard Class"/>
    <s v="Home Office"/>
    <s v="Appliances"/>
    <n v="2"/>
    <n v="0"/>
    <n v="44.889600000000002"/>
    <n v="160.32"/>
  </r>
  <r>
    <s v="United States"/>
    <x v="511"/>
    <s v="Standard Class"/>
    <s v="Home Office"/>
    <s v="Binders"/>
    <n v="4"/>
    <n v="0"/>
    <n v="20.7"/>
    <n v="46"/>
  </r>
  <r>
    <s v="United States"/>
    <x v="511"/>
    <s v="Standard Class"/>
    <s v="Home Office"/>
    <s v="Furnishings"/>
    <n v="2"/>
    <n v="0"/>
    <n v="40.921599999999998"/>
    <n v="127.88"/>
  </r>
  <r>
    <s v="United States"/>
    <x v="512"/>
    <s v="Second Class"/>
    <s v="Corporate"/>
    <s v="Binders"/>
    <n v="3"/>
    <n v="0"/>
    <n v="4.1747999999999994"/>
    <n v="8.52"/>
  </r>
  <r>
    <s v="United States"/>
    <x v="512"/>
    <s v="Second Class"/>
    <s v="Corporate"/>
    <s v="Bookcases"/>
    <n v="2"/>
    <n v="0"/>
    <n v="24.195999999999998"/>
    <n v="241.96"/>
  </r>
  <r>
    <s v="United States"/>
    <x v="513"/>
    <s v="Second Class"/>
    <s v="Consumer"/>
    <s v="Storage"/>
    <n v="2"/>
    <n v="0"/>
    <n v="9.9899999999999949"/>
    <n v="55.5"/>
  </r>
  <r>
    <s v="United States"/>
    <x v="513"/>
    <s v="Standard Class"/>
    <s v="Consumer"/>
    <s v="Binders"/>
    <n v="5"/>
    <n v="0.2"/>
    <n v="28.65"/>
    <n v="91.68"/>
  </r>
  <r>
    <s v="United States"/>
    <x v="513"/>
    <s v="Standard Class"/>
    <s v="Consumer"/>
    <s v="Fasteners"/>
    <n v="3"/>
    <n v="0"/>
    <n v="0.20159999999999978"/>
    <n v="5.04"/>
  </r>
  <r>
    <s v="United States"/>
    <x v="513"/>
    <s v="Standard Class"/>
    <s v="Consumer"/>
    <s v="Furnishings"/>
    <n v="3"/>
    <n v="0"/>
    <n v="22.007699999999996"/>
    <n v="66.69"/>
  </r>
  <r>
    <s v="United States"/>
    <x v="513"/>
    <s v="Standard Class"/>
    <s v="Consumer"/>
    <s v="Paper"/>
    <n v="3"/>
    <n v="0"/>
    <n v="41.822999999999993"/>
    <n v="92.94"/>
  </r>
  <r>
    <s v="United States"/>
    <x v="514"/>
    <s v="Standard Class"/>
    <s v="Consumer"/>
    <s v="Paper"/>
    <n v="4"/>
    <n v="0.2"/>
    <n v="25.278400000000001"/>
    <n v="72.224000000000004"/>
  </r>
  <r>
    <s v="United States"/>
    <x v="514"/>
    <s v="Standard Class"/>
    <s v="Consumer"/>
    <s v="Phones"/>
    <n v="2"/>
    <n v="0.2"/>
    <n v="4.1987999999999985"/>
    <n v="55.984000000000009"/>
  </r>
  <r>
    <s v="United States"/>
    <x v="514"/>
    <s v="Standard Class"/>
    <s v="Home Office"/>
    <s v="Art"/>
    <n v="5"/>
    <n v="0.2"/>
    <n v="2.1319999999999988"/>
    <n v="13.120000000000001"/>
  </r>
  <r>
    <s v="United States"/>
    <x v="515"/>
    <s v="Standard Class"/>
    <s v="Corporate"/>
    <s v="Furnishings"/>
    <n v="6"/>
    <n v="0"/>
    <n v="23.407799999999988"/>
    <n v="161.49"/>
  </r>
  <r>
    <s v="United States"/>
    <x v="515"/>
    <s v="Standard Class"/>
    <s v="Home Office"/>
    <s v="Accessories"/>
    <n v="3"/>
    <n v="0"/>
    <n v="91.789199999999994"/>
    <n v="254.96999999999997"/>
  </r>
  <r>
    <s v="United States"/>
    <x v="515"/>
    <s v="Standard Class"/>
    <s v="Home Office"/>
    <s v="Art"/>
    <n v="2"/>
    <n v="0"/>
    <n v="1.3513999999999995"/>
    <n v="4.66"/>
  </r>
  <r>
    <s v="United States"/>
    <x v="515"/>
    <s v="Standard Class"/>
    <s v="Home Office"/>
    <s v="Envelopes"/>
    <n v="2"/>
    <n v="0"/>
    <n v="24.599800000000002"/>
    <n v="52.34"/>
  </r>
  <r>
    <s v="United States"/>
    <x v="515"/>
    <s v="Standard Class"/>
    <s v="Home Office"/>
    <s v="Storage"/>
    <n v="3"/>
    <n v="0"/>
    <n v="12.0276"/>
    <n v="46.26"/>
  </r>
  <r>
    <s v="United States"/>
    <x v="516"/>
    <s v="Second Class"/>
    <s v="Consumer"/>
    <s v="Storage"/>
    <n v="4"/>
    <n v="0"/>
    <n v="8.4783999999999935"/>
    <n v="211.96"/>
  </r>
  <r>
    <s v="United States"/>
    <x v="516"/>
    <s v="Standard Class"/>
    <s v="Consumer"/>
    <s v="Accessories"/>
    <n v="1"/>
    <n v="0"/>
    <n v="36.283500000000004"/>
    <n v="109.95"/>
  </r>
  <r>
    <s v="United States"/>
    <x v="516"/>
    <s v="Standard Class"/>
    <s v="Consumer"/>
    <s v="Appliances"/>
    <n v="4"/>
    <n v="0.1"/>
    <n v="93.581600000000009"/>
    <n v="247.71600000000001"/>
  </r>
  <r>
    <s v="United States"/>
    <x v="516"/>
    <s v="Standard Class"/>
    <s v="Consumer"/>
    <s v="Art"/>
    <n v="8"/>
    <n v="0"/>
    <n v="23.248799999999996"/>
    <n v="73.12"/>
  </r>
  <r>
    <s v="United States"/>
    <x v="516"/>
    <s v="Standard Class"/>
    <s v="Consumer"/>
    <s v="Binders"/>
    <n v="10"/>
    <n v="0"/>
    <n v="22.3185"/>
    <n v="48.75"/>
  </r>
  <r>
    <s v="United States"/>
    <x v="516"/>
    <s v="Standard Class"/>
    <s v="Consumer"/>
    <s v="Furnishings"/>
    <n v="6"/>
    <n v="0"/>
    <n v="34.88430000000001"/>
    <n v="287.67"/>
  </r>
  <r>
    <s v="United States"/>
    <x v="516"/>
    <s v="Standard Class"/>
    <s v="Consumer"/>
    <s v="Paper"/>
    <n v="5"/>
    <n v="0"/>
    <n v="15.552000000000001"/>
    <n v="32.400000000000006"/>
  </r>
  <r>
    <s v="United States"/>
    <x v="516"/>
    <s v="Standard Class"/>
    <s v="Consumer"/>
    <s v="Storage"/>
    <n v="8"/>
    <n v="0"/>
    <n v="155.25240000000002"/>
    <n v="1046.4099999999999"/>
  </r>
  <r>
    <s v="United States"/>
    <x v="517"/>
    <s v="First Class"/>
    <s v="Consumer"/>
    <s v="Phones"/>
    <n v="4"/>
    <n v="0.2"/>
    <n v="2.3976000000000006"/>
    <n v="31.968000000000004"/>
  </r>
  <r>
    <s v="United States"/>
    <x v="517"/>
    <s v="Second Class"/>
    <s v="Consumer"/>
    <s v="Appliances"/>
    <n v="2"/>
    <n v="0"/>
    <n v="72.947999999999979"/>
    <n v="243.16"/>
  </r>
  <r>
    <s v="United States"/>
    <x v="517"/>
    <s v="Standard Class"/>
    <s v="Consumer"/>
    <s v="Accessories"/>
    <n v="7"/>
    <n v="0"/>
    <n v="27.542200000000008"/>
    <n v="196.73"/>
  </r>
  <r>
    <s v="United States"/>
    <x v="517"/>
    <s v="Standard Class"/>
    <s v="Consumer"/>
    <s v="Appliances"/>
    <n v="5"/>
    <n v="0"/>
    <n v="412.46800000000007"/>
    <n v="1473.1"/>
  </r>
  <r>
    <s v="United States"/>
    <x v="517"/>
    <s v="Standard Class"/>
    <s v="Consumer"/>
    <s v="Art"/>
    <n v="4"/>
    <n v="0"/>
    <n v="20.856799999999993"/>
    <n v="71.92"/>
  </r>
  <r>
    <s v="United States"/>
    <x v="517"/>
    <s v="Standard Class"/>
    <s v="Consumer"/>
    <s v="Binders"/>
    <n v="8"/>
    <n v="0.60000000000000009"/>
    <n v="17.3018"/>
    <n v="47.528000000000006"/>
  </r>
  <r>
    <s v="United States"/>
    <x v="517"/>
    <s v="Standard Class"/>
    <s v="Consumer"/>
    <s v="Chairs"/>
    <n v="1"/>
    <n v="0.2"/>
    <n v="25.897999999999982"/>
    <n v="207.18400000000003"/>
  </r>
  <r>
    <s v="United States"/>
    <x v="517"/>
    <s v="Standard Class"/>
    <s v="Consumer"/>
    <s v="Fasteners"/>
    <n v="4"/>
    <n v="0"/>
    <n v="2.3311999999999999"/>
    <n v="4.96"/>
  </r>
  <r>
    <s v="United States"/>
    <x v="517"/>
    <s v="Standard Class"/>
    <s v="Consumer"/>
    <s v="Furnishings"/>
    <n v="7"/>
    <n v="0"/>
    <n v="73.24199999999999"/>
    <n v="347.28"/>
  </r>
  <r>
    <s v="United States"/>
    <x v="517"/>
    <s v="Standard Class"/>
    <s v="Consumer"/>
    <s v="Paper"/>
    <n v="2"/>
    <n v="0"/>
    <n v="11.543199999999999"/>
    <n v="24.56"/>
  </r>
  <r>
    <s v="United States"/>
    <x v="517"/>
    <s v="Standard Class"/>
    <s v="Consumer"/>
    <s v="Phones"/>
    <n v="6"/>
    <n v="0.4"/>
    <n v="97.15979999999999"/>
    <n v="1178.2560000000001"/>
  </r>
  <r>
    <s v="United States"/>
    <x v="518"/>
    <s v="Same Day"/>
    <s v="Consumer"/>
    <s v="Tables"/>
    <n v="3"/>
    <n v="0.3"/>
    <n v="-76.953599999999994"/>
    <n v="673.34399999999994"/>
  </r>
  <r>
    <s v="United States"/>
    <x v="518"/>
    <s v="Standard Class"/>
    <s v="Consumer"/>
    <s v="Art"/>
    <n v="4"/>
    <n v="0.2"/>
    <n v="15.191999999999979"/>
    <n v="121.536"/>
  </r>
  <r>
    <s v="United States"/>
    <x v="518"/>
    <s v="Standard Class"/>
    <s v="Consumer"/>
    <s v="Furnishings"/>
    <n v="2"/>
    <n v="0.6"/>
    <n v="-7.774799999999999"/>
    <n v="14.136000000000003"/>
  </r>
  <r>
    <s v="United States"/>
    <x v="518"/>
    <s v="Standard Class"/>
    <s v="Consumer"/>
    <s v="Tables"/>
    <n v="3"/>
    <n v="0.5"/>
    <n v="-300.73500000000001"/>
    <n v="601.47"/>
  </r>
  <r>
    <s v="United States"/>
    <x v="518"/>
    <s v="Standard Class"/>
    <s v="Home Office"/>
    <s v="Binders"/>
    <n v="7"/>
    <n v="0"/>
    <n v="43.433600000000006"/>
    <n v="88.64"/>
  </r>
  <r>
    <s v="United States"/>
    <x v="518"/>
    <s v="Standard Class"/>
    <s v="Home Office"/>
    <s v="Paper"/>
    <n v="8"/>
    <n v="0"/>
    <n v="219.44159999999999"/>
    <n v="447.84"/>
  </r>
  <r>
    <s v="United States"/>
    <x v="519"/>
    <s v="Standard Class"/>
    <s v="Consumer"/>
    <s v="Phones"/>
    <n v="4"/>
    <n v="0.2"/>
    <n v="44.476800000000026"/>
    <n v="444.76800000000003"/>
  </r>
  <r>
    <s v="United States"/>
    <x v="520"/>
    <s v="First Class"/>
    <s v="Consumer"/>
    <s v="Phones"/>
    <n v="5"/>
    <n v="0"/>
    <n v="62.929999999999993"/>
    <n v="224.75"/>
  </r>
  <r>
    <s v="United States"/>
    <x v="520"/>
    <s v="Second Class"/>
    <s v="Home Office"/>
    <s v="Art"/>
    <n v="3"/>
    <n v="0"/>
    <n v="8.071200000000001"/>
    <n v="21.240000000000002"/>
  </r>
  <r>
    <s v="United States"/>
    <x v="520"/>
    <s v="Second Class"/>
    <s v="Home Office"/>
    <s v="Binders"/>
    <n v="2"/>
    <n v="0"/>
    <n v="60.141199999999998"/>
    <n v="127.96"/>
  </r>
  <r>
    <s v="United States"/>
    <x v="520"/>
    <s v="Standard Class"/>
    <s v="Consumer"/>
    <s v="Appliances"/>
    <n v="2"/>
    <n v="0"/>
    <n v="22.948799999999999"/>
    <n v="81.96"/>
  </r>
  <r>
    <s v="United States"/>
    <x v="520"/>
    <s v="Standard Class"/>
    <s v="Consumer"/>
    <s v="Furnishings"/>
    <n v="6"/>
    <n v="0"/>
    <n v="23.990399999999994"/>
    <n v="70.56"/>
  </r>
  <r>
    <s v="United States"/>
    <x v="520"/>
    <s v="Standard Class"/>
    <s v="Consumer"/>
    <s v="Labels"/>
    <n v="3"/>
    <n v="0"/>
    <n v="8.6939999999999991"/>
    <n v="18.899999999999999"/>
  </r>
  <r>
    <s v="United States"/>
    <x v="520"/>
    <s v="Standard Class"/>
    <s v="Consumer"/>
    <s v="Paper"/>
    <n v="5"/>
    <n v="0"/>
    <n v="137.15100000000001"/>
    <n v="279.89999999999998"/>
  </r>
  <r>
    <s v="United States"/>
    <x v="521"/>
    <s v="First Class"/>
    <s v="Consumer"/>
    <s v="Binders"/>
    <n v="6"/>
    <n v="0.7"/>
    <n v="11.2524"/>
    <n v="34.122"/>
  </r>
  <r>
    <s v="United States"/>
    <x v="521"/>
    <s v="First Class"/>
    <s v="Consumer"/>
    <s v="Envelopes"/>
    <n v="9"/>
    <n v="0"/>
    <n v="51.758999999999993"/>
    <n v="115.02"/>
  </r>
  <r>
    <s v="United States"/>
    <x v="521"/>
    <s v="First Class"/>
    <s v="Consumer"/>
    <s v="Furnishings"/>
    <n v="3"/>
    <n v="0"/>
    <n v="18.345599999999997"/>
    <n v="47.04"/>
  </r>
  <r>
    <s v="United States"/>
    <x v="521"/>
    <s v="First Class"/>
    <s v="Consumer"/>
    <s v="Paper"/>
    <n v="4"/>
    <n v="0.2"/>
    <n v="3.5151999999999988"/>
    <n v="10.816000000000001"/>
  </r>
  <r>
    <s v="United States"/>
    <x v="521"/>
    <s v="First Class"/>
    <s v="Consumer"/>
    <s v="Phones"/>
    <n v="9"/>
    <n v="0"/>
    <n v="133.40579999999997"/>
    <n v="460.02000000000004"/>
  </r>
  <r>
    <s v="United States"/>
    <x v="521"/>
    <s v="First Class"/>
    <s v="Consumer"/>
    <s v="Storage"/>
    <n v="6"/>
    <n v="0"/>
    <n v="63.436800000000005"/>
    <n v="226.56"/>
  </r>
  <r>
    <s v="United States"/>
    <x v="521"/>
    <s v="First Class"/>
    <s v="Corporate"/>
    <s v="Binders"/>
    <n v="7"/>
    <n v="0"/>
    <n v="103.89819999999997"/>
    <n v="221.06"/>
  </r>
  <r>
    <s v="United States"/>
    <x v="521"/>
    <s v="First Class"/>
    <s v="Corporate"/>
    <s v="Phones"/>
    <n v="2"/>
    <n v="0"/>
    <n v="193.32000000000005"/>
    <n v="716"/>
  </r>
  <r>
    <s v="United States"/>
    <x v="521"/>
    <s v="First Class"/>
    <s v="Corporate"/>
    <s v="Tables"/>
    <n v="4"/>
    <n v="0.3"/>
    <n v="-37.112400000000036"/>
    <n v="199.83600000000001"/>
  </r>
  <r>
    <s v="United States"/>
    <x v="521"/>
    <s v="Same Day"/>
    <s v="Consumer"/>
    <s v="Paper"/>
    <n v="7"/>
    <n v="0.2"/>
    <n v="108.74079999999998"/>
    <n v="310.68799999999999"/>
  </r>
  <r>
    <s v="United States"/>
    <x v="521"/>
    <s v="Second Class"/>
    <s v="Consumer"/>
    <s v="Art"/>
    <n v="8"/>
    <n v="0.2"/>
    <n v="9.0463999999999984"/>
    <n v="32.576000000000001"/>
  </r>
  <r>
    <s v="United States"/>
    <x v="521"/>
    <s v="Second Class"/>
    <s v="Consumer"/>
    <s v="Envelopes"/>
    <n v="2"/>
    <n v="0"/>
    <n v="7.783199999999999"/>
    <n v="16.559999999999999"/>
  </r>
  <r>
    <s v="United States"/>
    <x v="521"/>
    <s v="Second Class"/>
    <s v="Consumer"/>
    <s v="Paper"/>
    <n v="15"/>
    <n v="0.2"/>
    <n v="44.677799999999998"/>
    <n v="99.25200000000001"/>
  </r>
  <r>
    <s v="United States"/>
    <x v="521"/>
    <s v="Second Class"/>
    <s v="Consumer"/>
    <s v="Phones"/>
    <n v="2"/>
    <n v="0"/>
    <n v="89.314199999999971"/>
    <n v="307.98"/>
  </r>
  <r>
    <s v="United States"/>
    <x v="521"/>
    <s v="Second Class"/>
    <s v="Corporate"/>
    <s v="Storage"/>
    <n v="5"/>
    <n v="0"/>
    <n v="21.714000000000002"/>
    <n v="77.55"/>
  </r>
  <r>
    <s v="United States"/>
    <x v="521"/>
    <s v="Standard Class"/>
    <s v="Consumer"/>
    <s v="Appliances"/>
    <n v="3"/>
    <n v="0.2"/>
    <n v="5.2650000000000006"/>
    <n v="28.08"/>
  </r>
  <r>
    <s v="United States"/>
    <x v="521"/>
    <s v="Standard Class"/>
    <s v="Consumer"/>
    <s v="Art"/>
    <n v="7"/>
    <n v="0.2"/>
    <n v="3.2367999999999979"/>
    <n v="18.8"/>
  </r>
  <r>
    <s v="United States"/>
    <x v="521"/>
    <s v="Standard Class"/>
    <s v="Consumer"/>
    <s v="Binders"/>
    <n v="3"/>
    <n v="0"/>
    <n v="13.009499999999999"/>
    <n v="26.549999999999997"/>
  </r>
  <r>
    <s v="United States"/>
    <x v="521"/>
    <s v="Standard Class"/>
    <s v="Consumer"/>
    <s v="Bookcases"/>
    <n v="4"/>
    <n v="0"/>
    <n v="82.336799999999982"/>
    <n v="283.92"/>
  </r>
  <r>
    <s v="United States"/>
    <x v="521"/>
    <s v="Standard Class"/>
    <s v="Consumer"/>
    <s v="Chairs"/>
    <n v="9"/>
    <n v="0"/>
    <n v="266.45219999999989"/>
    <n v="1268.82"/>
  </r>
  <r>
    <s v="United States"/>
    <x v="521"/>
    <s v="Standard Class"/>
    <s v="Consumer"/>
    <s v="Phones"/>
    <n v="3"/>
    <n v="0.2"/>
    <n v="37.796999999999997"/>
    <n v="302.37599999999998"/>
  </r>
  <r>
    <s v="United States"/>
    <x v="521"/>
    <s v="Standard Class"/>
    <s v="Consumer"/>
    <s v="Tables"/>
    <n v="3"/>
    <n v="0.3"/>
    <n v="-48.783900000000031"/>
    <n v="310.44300000000004"/>
  </r>
  <r>
    <s v="United States"/>
    <x v="521"/>
    <s v="Standard Class"/>
    <s v="Corporate"/>
    <s v="Art"/>
    <n v="6"/>
    <n v="0.2"/>
    <n v="9.7680000000000007"/>
    <n v="39.072000000000003"/>
  </r>
  <r>
    <s v="United States"/>
    <x v="521"/>
    <s v="Standard Class"/>
    <s v="Corporate"/>
    <s v="Binders"/>
    <n v="7"/>
    <n v="0"/>
    <n v="102.2784"/>
    <n v="213.08"/>
  </r>
  <r>
    <s v="United States"/>
    <x v="521"/>
    <s v="Standard Class"/>
    <s v="Corporate"/>
    <s v="Bookcases"/>
    <n v="6"/>
    <n v="0"/>
    <n v="235.95240000000001"/>
    <n v="1025.8799999999999"/>
  </r>
  <r>
    <s v="United States"/>
    <x v="521"/>
    <s v="Standard Class"/>
    <s v="Corporate"/>
    <s v="Labels"/>
    <n v="8"/>
    <n v="0"/>
    <n v="15.381599999999999"/>
    <n v="32.46"/>
  </r>
  <r>
    <s v="United States"/>
    <x v="521"/>
    <s v="Standard Class"/>
    <s v="Home Office"/>
    <s v="Binders"/>
    <n v="8"/>
    <n v="0"/>
    <n v="396.37189999999998"/>
    <n v="860.96"/>
  </r>
  <r>
    <s v="United States"/>
    <x v="521"/>
    <s v="Standard Class"/>
    <s v="Home Office"/>
    <s v="Paper"/>
    <n v="1"/>
    <n v="0"/>
    <n v="5.5391999999999992"/>
    <n v="11.54"/>
  </r>
  <r>
    <s v="United States"/>
    <x v="522"/>
    <s v="Standard Class"/>
    <s v="Consumer"/>
    <s v="Binders"/>
    <n v="4"/>
    <n v="0.7"/>
    <n v="-4.9127999999999989"/>
    <n v="6.4080000000000004"/>
  </r>
  <r>
    <s v="United States"/>
    <x v="522"/>
    <s v="Standard Class"/>
    <s v="Consumer"/>
    <s v="Furnishings"/>
    <n v="4"/>
    <n v="0.2"/>
    <n v="20.391999999999989"/>
    <n v="163.136"/>
  </r>
  <r>
    <s v="United States"/>
    <x v="522"/>
    <s v="Standard Class"/>
    <s v="Corporate"/>
    <s v="Paper"/>
    <n v="3"/>
    <n v="0.2"/>
    <n v="3.4668000000000001"/>
    <n v="10.272000000000002"/>
  </r>
  <r>
    <s v="United States"/>
    <x v="522"/>
    <s v="Standard Class"/>
    <s v="Corporate"/>
    <s v="Storage"/>
    <n v="4"/>
    <n v="0.4"/>
    <n v="-27.870000000000005"/>
    <n v="181.536"/>
  </r>
  <r>
    <s v="United States"/>
    <x v="522"/>
    <s v="Standard Class"/>
    <s v="Home Office"/>
    <s v="Binders"/>
    <n v="5"/>
    <n v="0.7"/>
    <n v="-5.4120000000000008"/>
    <n v="7.3800000000000008"/>
  </r>
  <r>
    <s v="United States"/>
    <x v="523"/>
    <s v="Standard Class"/>
    <s v="Corporate"/>
    <s v="Binders"/>
    <n v="3"/>
    <n v="0"/>
    <n v="15.523199999999999"/>
    <n v="32.339999999999996"/>
  </r>
  <r>
    <s v="United States"/>
    <x v="523"/>
    <s v="Standard Class"/>
    <s v="Corporate"/>
    <s v="Paper"/>
    <n v="5"/>
    <n v="0"/>
    <n v="19.950000000000003"/>
    <n v="39.900000000000006"/>
  </r>
  <r>
    <s v="United States"/>
    <x v="523"/>
    <s v="Standard Class"/>
    <s v="Corporate"/>
    <s v="Storage"/>
    <n v="3"/>
    <n v="0"/>
    <n v="160.62299999999993"/>
    <n v="535.41"/>
  </r>
  <r>
    <s v="United States"/>
    <x v="524"/>
    <s v="Second Class"/>
    <s v="Corporate"/>
    <s v="Binders"/>
    <n v="4"/>
    <n v="0.2"/>
    <n v="7.5864000000000003"/>
    <n v="20.928000000000001"/>
  </r>
  <r>
    <s v="United States"/>
    <x v="524"/>
    <s v="Second Class"/>
    <s v="Corporate"/>
    <s v="Labels"/>
    <n v="1"/>
    <n v="0"/>
    <n v="1.7999999999999998"/>
    <n v="3.75"/>
  </r>
  <r>
    <s v="United States"/>
    <x v="524"/>
    <s v="Standard Class"/>
    <s v="Consumer"/>
    <s v="Phones"/>
    <n v="2"/>
    <n v="0.2"/>
    <n v="23.998400000000004"/>
    <n v="239.98400000000004"/>
  </r>
  <r>
    <s v="United States"/>
    <x v="525"/>
    <s v="First Class"/>
    <s v="Consumer"/>
    <s v="Accessories"/>
    <n v="13"/>
    <n v="0"/>
    <n v="98.139599999999987"/>
    <n v="272.61"/>
  </r>
  <r>
    <s v="United States"/>
    <x v="525"/>
    <s v="First Class"/>
    <s v="Consumer"/>
    <s v="Binders"/>
    <n v="3"/>
    <n v="0"/>
    <n v="6.7392000000000003"/>
    <n v="14.04"/>
  </r>
  <r>
    <s v="United States"/>
    <x v="525"/>
    <s v="Standard Class"/>
    <s v="Consumer"/>
    <s v="Binders"/>
    <n v="5"/>
    <n v="0.8"/>
    <n v="-13.717499999999998"/>
    <n v="8.8499999999999979"/>
  </r>
  <r>
    <s v="United States"/>
    <x v="525"/>
    <s v="Standard Class"/>
    <s v="Corporate"/>
    <s v="Chairs"/>
    <n v="8"/>
    <n v="0.3"/>
    <n v="-12.078400000000101"/>
    <n v="845.48799999999994"/>
  </r>
  <r>
    <s v="United States"/>
    <x v="525"/>
    <s v="Standard Class"/>
    <s v="Home Office"/>
    <s v="Art"/>
    <n v="2"/>
    <n v="0.2"/>
    <n v="0.90999999999999981"/>
    <n v="2.9120000000000004"/>
  </r>
  <r>
    <s v="United States"/>
    <x v="526"/>
    <s v="First Class"/>
    <s v="Corporate"/>
    <s v="Binders"/>
    <n v="3"/>
    <n v="0"/>
    <n v="22.89"/>
    <n v="45.78"/>
  </r>
  <r>
    <s v="United States"/>
    <x v="526"/>
    <s v="First Class"/>
    <s v="Corporate"/>
    <s v="Paper"/>
    <n v="7"/>
    <n v="0"/>
    <n v="21.772800000000004"/>
    <n v="45.36"/>
  </r>
  <r>
    <s v="United States"/>
    <x v="526"/>
    <s v="Second Class"/>
    <s v="Consumer"/>
    <s v="Furnishings"/>
    <n v="2"/>
    <n v="0"/>
    <n v="20.1248"/>
    <n v="52.96"/>
  </r>
  <r>
    <s v="United States"/>
    <x v="526"/>
    <s v="Standard Class"/>
    <s v="Corporate"/>
    <s v="Storage"/>
    <n v="3"/>
    <n v="0"/>
    <n v="13.891499999999999"/>
    <n v="51.449999999999996"/>
  </r>
  <r>
    <s v="United States"/>
    <x v="527"/>
    <s v="Second Class"/>
    <s v="Consumer"/>
    <s v="Accessories"/>
    <n v="3"/>
    <n v="0"/>
    <n v="177.58890000000002"/>
    <n v="479.97"/>
  </r>
  <r>
    <s v="United States"/>
    <x v="527"/>
    <s v="Second Class"/>
    <s v="Consumer"/>
    <s v="Art"/>
    <n v="3"/>
    <n v="0"/>
    <n v="15.475200000000001"/>
    <n v="59.519999999999996"/>
  </r>
  <r>
    <s v="United States"/>
    <x v="527"/>
    <s v="Second Class"/>
    <s v="Consumer"/>
    <s v="Binders"/>
    <n v="6"/>
    <n v="0.2"/>
    <n v="16.750799999999998"/>
    <n v="49.632000000000005"/>
  </r>
  <r>
    <s v="United States"/>
    <x v="527"/>
    <s v="Second Class"/>
    <s v="Consumer"/>
    <s v="Paper"/>
    <n v="2"/>
    <n v="0"/>
    <n v="45.975399999999993"/>
    <n v="97.82"/>
  </r>
  <r>
    <s v="United States"/>
    <x v="527"/>
    <s v="Second Class"/>
    <s v="Consumer"/>
    <s v="Supplies"/>
    <n v="2"/>
    <n v="0"/>
    <n v="5.399799999999999"/>
    <n v="18.62"/>
  </r>
  <r>
    <s v="United States"/>
    <x v="527"/>
    <s v="Second Class"/>
    <s v="Home Office"/>
    <s v="Accessories"/>
    <n v="4"/>
    <n v="0"/>
    <n v="70.502800000000008"/>
    <n v="163.96"/>
  </r>
  <r>
    <s v="United States"/>
    <x v="527"/>
    <s v="Standard Class"/>
    <s v="Consumer"/>
    <s v="Binders"/>
    <n v="6"/>
    <n v="0.4"/>
    <n v="18.513599999999997"/>
    <n v="51.072000000000003"/>
  </r>
  <r>
    <s v="United States"/>
    <x v="527"/>
    <s v="Standard Class"/>
    <s v="Consumer"/>
    <s v="Furnishings"/>
    <n v="1"/>
    <n v="0"/>
    <n v="4.0203000000000007"/>
    <n v="14.89"/>
  </r>
  <r>
    <s v="United States"/>
    <x v="527"/>
    <s v="Standard Class"/>
    <s v="Consumer"/>
    <s v="Machines"/>
    <n v="7"/>
    <n v="0"/>
    <n v="2400.9656999999997"/>
    <n v="4899.93"/>
  </r>
  <r>
    <s v="United States"/>
    <x v="527"/>
    <s v="Standard Class"/>
    <s v="Consumer"/>
    <s v="Paper"/>
    <n v="1"/>
    <n v="0"/>
    <n v="12.134799999999998"/>
    <n v="26.38"/>
  </r>
  <r>
    <s v="United States"/>
    <x v="527"/>
    <s v="Standard Class"/>
    <s v="Consumer"/>
    <s v="Phones"/>
    <n v="8"/>
    <n v="0"/>
    <n v="135.98000000000002"/>
    <n v="543.91999999999996"/>
  </r>
  <r>
    <s v="United States"/>
    <x v="527"/>
    <s v="Standard Class"/>
    <s v="Consumer"/>
    <s v="Storage"/>
    <n v="2"/>
    <n v="0"/>
    <n v="105.24679999999995"/>
    <n v="362.92"/>
  </r>
  <r>
    <s v="United States"/>
    <x v="527"/>
    <s v="Standard Class"/>
    <s v="Consumer"/>
    <s v="Tables"/>
    <n v="8"/>
    <n v="0.4"/>
    <n v="-264.92079999999999"/>
    <n v="836.59199999999998"/>
  </r>
  <r>
    <s v="United States"/>
    <x v="527"/>
    <s v="Standard Class"/>
    <s v="Home Office"/>
    <s v="Machines"/>
    <n v="4"/>
    <n v="0"/>
    <n v="24.122399999999995"/>
    <n v="52.44"/>
  </r>
  <r>
    <s v="United States"/>
    <x v="528"/>
    <s v="Standard Class"/>
    <s v="Corporate"/>
    <s v="Binders"/>
    <n v="8"/>
    <n v="1.4"/>
    <n v="-56.984799999999993"/>
    <n v="75.984000000000009"/>
  </r>
  <r>
    <s v="United States"/>
    <x v="528"/>
    <s v="Standard Class"/>
    <s v="Corporate"/>
    <s v="Chairs"/>
    <n v="3"/>
    <n v="0.3"/>
    <n v="-18.088200000000001"/>
    <n v="422.05799999999994"/>
  </r>
  <r>
    <s v="United States"/>
    <x v="528"/>
    <s v="Standard Class"/>
    <s v="Corporate"/>
    <s v="Paper"/>
    <n v="2"/>
    <n v="0.2"/>
    <n v="23.7742"/>
    <n v="65.584000000000003"/>
  </r>
  <r>
    <s v="United States"/>
    <x v="528"/>
    <s v="Standard Class"/>
    <s v="Corporate"/>
    <s v="Storage"/>
    <n v="6"/>
    <n v="0.2"/>
    <n v="-50.870400000000018"/>
    <n v="254.35200000000003"/>
  </r>
  <r>
    <s v="United States"/>
    <x v="529"/>
    <s v="Standard Class"/>
    <s v="Corporate"/>
    <s v="Art"/>
    <n v="5"/>
    <n v="0"/>
    <n v="13.208000000000002"/>
    <n v="50.8"/>
  </r>
  <r>
    <s v="United States"/>
    <x v="530"/>
    <s v="Same Day"/>
    <s v="Corporate"/>
    <s v="Accessories"/>
    <n v="7"/>
    <n v="0.2"/>
    <n v="48.701099999999997"/>
    <n v="185.52800000000002"/>
  </r>
  <r>
    <s v="United States"/>
    <x v="530"/>
    <s v="Same Day"/>
    <s v="Home Office"/>
    <s v="Binders"/>
    <n v="6"/>
    <n v="0.7"/>
    <n v="-35.884799999999984"/>
    <n v="44.856000000000009"/>
  </r>
  <r>
    <s v="United States"/>
    <x v="530"/>
    <s v="Second Class"/>
    <s v="Corporate"/>
    <s v="Art"/>
    <n v="4"/>
    <n v="0.2"/>
    <n v="1.1807999999999983"/>
    <n v="10.496"/>
  </r>
  <r>
    <s v="United States"/>
    <x v="530"/>
    <s v="Standard Class"/>
    <s v="Home Office"/>
    <s v="Machines"/>
    <n v="5"/>
    <n v="0.7"/>
    <n v="-479.98799999999994"/>
    <n v="599.98500000000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707256"/>
    <x v="0"/>
    <n v="125279"/>
  </r>
  <r>
    <n v="707256"/>
    <x v="0"/>
    <n v="32090"/>
  </r>
  <r>
    <n v="707256"/>
    <x v="0"/>
    <n v="136529"/>
  </r>
  <r>
    <n v="707256"/>
    <x v="0"/>
    <n v="45305"/>
  </r>
  <r>
    <n v="712157"/>
    <x v="1"/>
    <n v="108411"/>
  </r>
  <r>
    <n v="712157"/>
    <x v="1"/>
    <n v="171781"/>
  </r>
  <r>
    <n v="712157"/>
    <x v="1"/>
    <n v="156918"/>
  </r>
  <r>
    <n v="712158"/>
    <x v="2"/>
    <n v="74676"/>
  </r>
  <r>
    <n v="712158"/>
    <x v="2"/>
    <n v="110210"/>
  </r>
  <r>
    <n v="712158"/>
    <x v="2"/>
    <n v="20866"/>
  </r>
  <r>
    <n v="712158"/>
    <x v="2"/>
    <n v="48500"/>
  </r>
  <r>
    <n v="712158"/>
    <x v="2"/>
    <n v="48500"/>
  </r>
  <r>
    <n v="777826"/>
    <x v="3"/>
    <n v="111433"/>
  </r>
  <r>
    <n v="777826"/>
    <x v="3"/>
    <n v="56903"/>
  </r>
  <r>
    <n v="777826"/>
    <x v="3"/>
    <n v="144393"/>
  </r>
  <r>
    <n v="228612"/>
    <x v="4"/>
    <n v="175059"/>
  </r>
  <r>
    <n v="228612"/>
    <x v="4"/>
    <n v="44285"/>
  </r>
  <r>
    <n v="228612"/>
    <x v="4"/>
    <n v="113265"/>
  </r>
  <r>
    <n v="220976"/>
    <x v="5"/>
    <n v="94405"/>
  </r>
  <r>
    <n v="220976"/>
    <x v="5"/>
    <n v="31483"/>
  </r>
  <r>
    <n v="220976"/>
    <x v="5"/>
    <n v="111150"/>
  </r>
  <r>
    <n v="220976"/>
    <x v="5"/>
    <n v="96454"/>
  </r>
  <r>
    <n v="220976"/>
    <x v="5"/>
    <n v="134819"/>
  </r>
  <r>
    <n v="220976"/>
    <x v="5"/>
    <n v="179814"/>
  </r>
  <r>
    <n v="477072"/>
    <x v="6"/>
    <n v="33118"/>
  </r>
  <r>
    <n v="477072"/>
    <x v="6"/>
    <n v="155513"/>
  </r>
  <r>
    <n v="477072"/>
    <x v="6"/>
    <n v="177347"/>
  </r>
  <r>
    <n v="477072"/>
    <x v="6"/>
    <n v="120875"/>
  </r>
  <r>
    <n v="258967"/>
    <x v="7"/>
    <n v="41077"/>
  </r>
  <r>
    <n v="258967"/>
    <x v="7"/>
    <n v="14986"/>
  </r>
  <r>
    <n v="258967"/>
    <x v="7"/>
    <n v="92638"/>
  </r>
  <r>
    <n v="258967"/>
    <x v="7"/>
    <n v="108512"/>
  </r>
  <r>
    <n v="258967"/>
    <x v="7"/>
    <n v="72096"/>
  </r>
  <r>
    <n v="258967"/>
    <x v="7"/>
    <n v="85242"/>
  </r>
  <r>
    <n v="258967"/>
    <x v="7"/>
    <n v="171648"/>
  </r>
  <r>
    <n v="410297"/>
    <x v="8"/>
    <n v="143004"/>
  </r>
  <r>
    <n v="410297"/>
    <x v="8"/>
    <n v="182525"/>
  </r>
  <r>
    <n v="410297"/>
    <x v="8"/>
    <n v="102964"/>
  </r>
  <r>
    <n v="744088"/>
    <x v="9"/>
    <n v="19942"/>
  </r>
  <r>
    <n v="744088"/>
    <x v="9"/>
    <n v="127960"/>
  </r>
  <r>
    <n v="744088"/>
    <x v="9"/>
    <n v="138556"/>
  </r>
  <r>
    <n v="744088"/>
    <x v="9"/>
    <n v="64088"/>
  </r>
  <r>
    <n v="744088"/>
    <x v="9"/>
    <n v="1039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3B875-155F-4F41-BF14-6867A06D4058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K3:L9" firstHeaderRow="1" firstDataRow="1" firstDataCol="1"/>
  <pivotFields count="9">
    <pivotField showAll="0"/>
    <pivotField axis="axisRow" showAll="0" measureFilter="1" sortType="descending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" showAll="0"/>
    <pivotField dataField="1" numFmtId="1" showAll="0"/>
  </pivotFields>
  <rowFields count="1">
    <field x="1"/>
  </rowFields>
  <rowItems count="6">
    <i>
      <x v="329"/>
    </i>
    <i>
      <x v="266"/>
    </i>
    <i>
      <x v="452"/>
    </i>
    <i>
      <x v="438"/>
    </i>
    <i>
      <x v="374"/>
    </i>
    <i t="grand">
      <x/>
    </i>
  </rowItems>
  <colItems count="1">
    <i/>
  </colItems>
  <dataFields count="1">
    <dataField name="Sum of Sales" fld="8" baseField="0" baseItem="0" numFmtId="1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BAE19B-AF8C-4884-B317-F97298B5A2C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I3:J7" firstHeaderRow="1" firstDataRow="1" firstDataCol="1"/>
  <pivotFields count="3">
    <pivotField showAll="0"/>
    <pivotField axis="axisRow" showAll="0" measureFilter="1" sortType="descending">
      <items count="11">
        <item x="7"/>
        <item x="3"/>
        <item x="2"/>
        <item x="1"/>
        <item x="8"/>
        <item x="0"/>
        <item x="4"/>
        <item x="6"/>
        <item x="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</pivotFields>
  <rowFields count="1">
    <field x="1"/>
  </rowFields>
  <rowItems count="4">
    <i>
      <x v="8"/>
    </i>
    <i>
      <x/>
    </i>
    <i>
      <x v="7"/>
    </i>
    <i t="grand">
      <x/>
    </i>
  </rowItems>
  <colItems count="1">
    <i/>
  </colItems>
  <dataFields count="1">
    <dataField name="Sum of Transaction Amt. Rs.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857C-0E66-42E2-9A88-28CEE655DA8D}">
  <dimension ref="A1:L5543"/>
  <sheetViews>
    <sheetView zoomScale="59" zoomScaleNormal="26" workbookViewId="0">
      <selection activeCell="D44" sqref="D44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18.88671875" bestFit="1" customWidth="1"/>
    <col min="4" max="4" width="15.88671875" bestFit="1" customWidth="1"/>
    <col min="5" max="5" width="23.6640625" bestFit="1" customWidth="1"/>
    <col min="6" max="6" width="15.44140625" bestFit="1" customWidth="1"/>
    <col min="7" max="7" width="15.88671875" bestFit="1" customWidth="1"/>
    <col min="8" max="8" width="12.88671875" bestFit="1" customWidth="1"/>
    <col min="9" max="9" width="14.6640625" bestFit="1" customWidth="1"/>
    <col min="10" max="10" width="12.109375" bestFit="1" customWidth="1"/>
    <col min="11" max="11" width="13.33203125" bestFit="1" customWidth="1"/>
    <col min="12" max="12" width="11.6640625" bestFit="1" customWidth="1"/>
  </cols>
  <sheetData>
    <row r="1" spans="1:12" ht="26.4" thickBot="1" x14ac:dyDescent="0.55000000000000004">
      <c r="A1" s="11" t="s">
        <v>566</v>
      </c>
      <c r="B1" s="11"/>
      <c r="C1" s="11"/>
      <c r="D1" s="11"/>
      <c r="E1" s="11"/>
      <c r="F1" s="11"/>
      <c r="G1" s="11"/>
      <c r="H1" s="11"/>
      <c r="I1" s="11"/>
    </row>
    <row r="2" spans="1:12" ht="16.2" thickTop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561</v>
      </c>
      <c r="G2" s="1" t="s">
        <v>562</v>
      </c>
      <c r="H2" s="1" t="s">
        <v>563</v>
      </c>
      <c r="I2" s="1" t="s">
        <v>564</v>
      </c>
    </row>
    <row r="3" spans="1:12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3</v>
      </c>
      <c r="G3">
        <v>0</v>
      </c>
      <c r="H3" s="2">
        <v>6.63</v>
      </c>
      <c r="I3" s="2">
        <v>25.5</v>
      </c>
      <c r="K3" s="12" t="s">
        <v>1</v>
      </c>
      <c r="L3" t="s">
        <v>582</v>
      </c>
    </row>
    <row r="4" spans="1:12" x14ac:dyDescent="0.3">
      <c r="A4" t="str">
        <f t="shared" ref="A4:A67" si="0">A3</f>
        <v>United States</v>
      </c>
      <c r="B4" t="s">
        <v>10</v>
      </c>
      <c r="C4" t="s">
        <v>11</v>
      </c>
      <c r="D4" t="s">
        <v>8</v>
      </c>
      <c r="E4" t="s">
        <v>12</v>
      </c>
      <c r="F4">
        <v>2</v>
      </c>
      <c r="G4">
        <v>0.8</v>
      </c>
      <c r="H4" s="2">
        <v>-3.7584000000000009</v>
      </c>
      <c r="I4" s="2">
        <v>1.3919999999999997</v>
      </c>
      <c r="K4" s="13" t="s">
        <v>359</v>
      </c>
      <c r="L4" s="2">
        <v>256368.16100000011</v>
      </c>
    </row>
    <row r="5" spans="1:12" x14ac:dyDescent="0.3">
      <c r="A5" t="str">
        <f t="shared" si="0"/>
        <v>United States</v>
      </c>
      <c r="B5" t="s">
        <v>13</v>
      </c>
      <c r="C5" t="s">
        <v>11</v>
      </c>
      <c r="D5" t="s">
        <v>8</v>
      </c>
      <c r="E5" t="s">
        <v>14</v>
      </c>
      <c r="F5">
        <v>2</v>
      </c>
      <c r="G5">
        <v>0.2</v>
      </c>
      <c r="H5" s="2">
        <v>-55.256</v>
      </c>
      <c r="I5" s="2">
        <v>221.024</v>
      </c>
      <c r="K5" s="13" t="s">
        <v>296</v>
      </c>
      <c r="L5" s="2">
        <v>175851.34099999996</v>
      </c>
    </row>
    <row r="6" spans="1:12" x14ac:dyDescent="0.3">
      <c r="A6" t="str">
        <f t="shared" si="0"/>
        <v>United States</v>
      </c>
      <c r="B6" t="str">
        <f t="shared" ref="B6:B21" si="1">B5</f>
        <v>Akron</v>
      </c>
      <c r="C6" t="str">
        <f t="shared" ref="C6:C7" si="2">C5</f>
        <v>First Class</v>
      </c>
      <c r="D6" t="s">
        <v>15</v>
      </c>
      <c r="E6" t="s">
        <v>16</v>
      </c>
      <c r="F6">
        <v>3</v>
      </c>
      <c r="G6">
        <v>0.2</v>
      </c>
      <c r="H6" s="2">
        <v>28.706399999999991</v>
      </c>
      <c r="I6" s="2">
        <v>85.055999999999997</v>
      </c>
      <c r="K6" s="13" t="s">
        <v>482</v>
      </c>
      <c r="L6" s="2">
        <v>119540.74200000006</v>
      </c>
    </row>
    <row r="7" spans="1:12" x14ac:dyDescent="0.3">
      <c r="A7" t="str">
        <f t="shared" si="0"/>
        <v>United States</v>
      </c>
      <c r="B7" t="str">
        <f t="shared" si="1"/>
        <v>Akron</v>
      </c>
      <c r="C7" t="str">
        <f t="shared" si="2"/>
        <v>First Class</v>
      </c>
      <c r="D7" t="s">
        <v>17</v>
      </c>
      <c r="E7" t="s">
        <v>18</v>
      </c>
      <c r="F7">
        <v>6</v>
      </c>
      <c r="G7">
        <v>0.2</v>
      </c>
      <c r="H7" s="2">
        <v>6.2291999999999996</v>
      </c>
      <c r="I7" s="2">
        <v>17.184000000000001</v>
      </c>
      <c r="K7" s="13" t="s">
        <v>468</v>
      </c>
      <c r="L7" s="2">
        <v>112669.092</v>
      </c>
    </row>
    <row r="8" spans="1:12" x14ac:dyDescent="0.3">
      <c r="A8" t="str">
        <f t="shared" si="0"/>
        <v>United States</v>
      </c>
      <c r="B8" t="str">
        <f t="shared" si="1"/>
        <v>Akron</v>
      </c>
      <c r="C8" t="s">
        <v>7</v>
      </c>
      <c r="D8" t="s">
        <v>8</v>
      </c>
      <c r="E8" t="s">
        <v>19</v>
      </c>
      <c r="F8">
        <v>4</v>
      </c>
      <c r="G8">
        <v>0.2</v>
      </c>
      <c r="H8" s="2">
        <v>0.61920000000000019</v>
      </c>
      <c r="I8" s="2">
        <v>8.2560000000000002</v>
      </c>
      <c r="K8" s="13" t="s">
        <v>404</v>
      </c>
      <c r="L8" s="2">
        <v>109077.01299999999</v>
      </c>
    </row>
    <row r="9" spans="1:12" x14ac:dyDescent="0.3">
      <c r="A9" t="str">
        <f t="shared" si="0"/>
        <v>United States</v>
      </c>
      <c r="B9" t="str">
        <f t="shared" si="1"/>
        <v>Akron</v>
      </c>
      <c r="C9" t="str">
        <f t="shared" ref="C9:C11" si="3">C8</f>
        <v>Second Class</v>
      </c>
      <c r="D9" t="str">
        <f t="shared" ref="D9:D11" si="4">D8</f>
        <v>Consumer</v>
      </c>
      <c r="E9" t="s">
        <v>20</v>
      </c>
      <c r="F9">
        <v>7</v>
      </c>
      <c r="G9">
        <v>1.4</v>
      </c>
      <c r="H9" s="2">
        <v>-23.505600000000001</v>
      </c>
      <c r="I9" s="2">
        <v>29.928000000000004</v>
      </c>
      <c r="K9" s="13" t="s">
        <v>581</v>
      </c>
      <c r="L9" s="2">
        <v>773506.34900000016</v>
      </c>
    </row>
    <row r="10" spans="1:12" x14ac:dyDescent="0.3">
      <c r="A10" t="str">
        <f t="shared" si="0"/>
        <v>United States</v>
      </c>
      <c r="B10" t="str">
        <f t="shared" si="1"/>
        <v>Akron</v>
      </c>
      <c r="C10" t="str">
        <f t="shared" si="3"/>
        <v>Second Class</v>
      </c>
      <c r="D10" t="str">
        <f t="shared" si="4"/>
        <v>Consumer</v>
      </c>
      <c r="E10" t="s">
        <v>21</v>
      </c>
      <c r="F10">
        <v>3</v>
      </c>
      <c r="G10">
        <v>0.2</v>
      </c>
      <c r="H10" s="2">
        <v>3.7308000000000021</v>
      </c>
      <c r="I10" s="2">
        <v>149.232</v>
      </c>
    </row>
    <row r="11" spans="1:12" x14ac:dyDescent="0.3">
      <c r="A11" t="str">
        <f t="shared" si="0"/>
        <v>United States</v>
      </c>
      <c r="B11" t="str">
        <f t="shared" si="1"/>
        <v>Akron</v>
      </c>
      <c r="C11" t="str">
        <f t="shared" si="3"/>
        <v>Second Class</v>
      </c>
      <c r="D11" t="str">
        <f t="shared" si="4"/>
        <v>Consumer</v>
      </c>
      <c r="E11" t="s">
        <v>16</v>
      </c>
      <c r="F11">
        <v>8</v>
      </c>
      <c r="G11">
        <v>0.4</v>
      </c>
      <c r="H11" s="2">
        <v>9.5208000000000013</v>
      </c>
      <c r="I11" s="2">
        <v>27.456000000000003</v>
      </c>
    </row>
    <row r="12" spans="1:12" x14ac:dyDescent="0.3">
      <c r="A12" t="str">
        <f t="shared" si="0"/>
        <v>United States</v>
      </c>
      <c r="B12" t="str">
        <f t="shared" si="1"/>
        <v>Akron</v>
      </c>
      <c r="C12" t="s">
        <v>22</v>
      </c>
      <c r="D12" t="s">
        <v>8</v>
      </c>
      <c r="E12" t="s">
        <v>23</v>
      </c>
      <c r="F12">
        <v>3</v>
      </c>
      <c r="G12">
        <v>0.2</v>
      </c>
      <c r="H12" s="2">
        <v>0.89969999999999573</v>
      </c>
      <c r="I12" s="2">
        <v>71.975999999999999</v>
      </c>
    </row>
    <row r="13" spans="1:12" x14ac:dyDescent="0.3">
      <c r="A13" t="str">
        <f t="shared" si="0"/>
        <v>United States</v>
      </c>
      <c r="B13" t="str">
        <f t="shared" si="1"/>
        <v>Akron</v>
      </c>
      <c r="C13" t="str">
        <f t="shared" ref="C13:C21" si="5">C12</f>
        <v>Standard Class</v>
      </c>
      <c r="D13" t="str">
        <f t="shared" ref="D13:D16" si="6">D12</f>
        <v>Consumer</v>
      </c>
      <c r="E13" t="s">
        <v>19</v>
      </c>
      <c r="F13">
        <v>3</v>
      </c>
      <c r="G13">
        <v>0.2</v>
      </c>
      <c r="H13" s="2">
        <v>0.8969999999999998</v>
      </c>
      <c r="I13" s="2">
        <v>14.352000000000002</v>
      </c>
    </row>
    <row r="14" spans="1:12" x14ac:dyDescent="0.3">
      <c r="A14" t="str">
        <f t="shared" si="0"/>
        <v>United States</v>
      </c>
      <c r="B14" t="str">
        <f t="shared" si="1"/>
        <v>Akron</v>
      </c>
      <c r="C14" t="str">
        <f t="shared" si="5"/>
        <v>Standard Class</v>
      </c>
      <c r="D14" t="str">
        <f t="shared" si="6"/>
        <v>Consumer</v>
      </c>
      <c r="E14" t="s">
        <v>20</v>
      </c>
      <c r="F14">
        <v>4</v>
      </c>
      <c r="G14">
        <v>1.4</v>
      </c>
      <c r="H14" s="2">
        <v>-13.637999999999996</v>
      </c>
      <c r="I14" s="2">
        <v>17.238000000000003</v>
      </c>
    </row>
    <row r="15" spans="1:12" x14ac:dyDescent="0.3">
      <c r="A15" t="str">
        <f t="shared" si="0"/>
        <v>United States</v>
      </c>
      <c r="B15" t="str">
        <f t="shared" si="1"/>
        <v>Akron</v>
      </c>
      <c r="C15" t="str">
        <f t="shared" si="5"/>
        <v>Standard Class</v>
      </c>
      <c r="D15" t="str">
        <f t="shared" si="6"/>
        <v>Consumer</v>
      </c>
      <c r="E15" t="s">
        <v>16</v>
      </c>
      <c r="F15">
        <v>3</v>
      </c>
      <c r="G15">
        <v>0.2</v>
      </c>
      <c r="H15" s="2">
        <v>6.794999999999999</v>
      </c>
      <c r="I15" s="2">
        <v>21.744000000000003</v>
      </c>
    </row>
    <row r="16" spans="1:12" x14ac:dyDescent="0.3">
      <c r="A16" t="str">
        <f t="shared" si="0"/>
        <v>United States</v>
      </c>
      <c r="B16" t="str">
        <f t="shared" si="1"/>
        <v>Akron</v>
      </c>
      <c r="C16" t="str">
        <f t="shared" si="5"/>
        <v>Standard Class</v>
      </c>
      <c r="D16" t="str">
        <f t="shared" si="6"/>
        <v>Consumer</v>
      </c>
      <c r="E16" t="s">
        <v>24</v>
      </c>
      <c r="F16">
        <v>3</v>
      </c>
      <c r="G16">
        <v>0.4</v>
      </c>
      <c r="H16" s="2">
        <v>-80.995500000000021</v>
      </c>
      <c r="I16" s="2">
        <v>323.98199999999997</v>
      </c>
    </row>
    <row r="17" spans="1:9" x14ac:dyDescent="0.3">
      <c r="A17" t="str">
        <f t="shared" si="0"/>
        <v>United States</v>
      </c>
      <c r="B17" t="str">
        <f t="shared" si="1"/>
        <v>Akron</v>
      </c>
      <c r="C17" t="str">
        <f t="shared" si="5"/>
        <v>Standard Class</v>
      </c>
      <c r="D17" t="s">
        <v>15</v>
      </c>
      <c r="E17" t="s">
        <v>23</v>
      </c>
      <c r="F17">
        <v>5</v>
      </c>
      <c r="G17">
        <v>0.2</v>
      </c>
      <c r="H17" s="2">
        <v>48.992999999999995</v>
      </c>
      <c r="I17" s="2">
        <v>279.95999999999998</v>
      </c>
    </row>
    <row r="18" spans="1:9" x14ac:dyDescent="0.3">
      <c r="A18" t="str">
        <f t="shared" si="0"/>
        <v>United States</v>
      </c>
      <c r="B18" t="str">
        <f t="shared" si="1"/>
        <v>Akron</v>
      </c>
      <c r="C18" t="str">
        <f t="shared" si="5"/>
        <v>Standard Class</v>
      </c>
      <c r="D18" t="str">
        <f t="shared" ref="D18:D20" si="7">D17</f>
        <v>Corporate</v>
      </c>
      <c r="E18" t="s">
        <v>24</v>
      </c>
      <c r="F18">
        <v>4</v>
      </c>
      <c r="G18">
        <v>0.8</v>
      </c>
      <c r="H18" s="2">
        <v>-105.7484</v>
      </c>
      <c r="I18" s="2">
        <v>507.084</v>
      </c>
    </row>
    <row r="19" spans="1:9" x14ac:dyDescent="0.3">
      <c r="A19" t="str">
        <f t="shared" si="0"/>
        <v>United States</v>
      </c>
      <c r="B19" t="str">
        <f t="shared" si="1"/>
        <v>Akron</v>
      </c>
      <c r="C19" t="str">
        <f t="shared" si="5"/>
        <v>Standard Class</v>
      </c>
      <c r="D19" t="str">
        <f t="shared" si="7"/>
        <v>Corporate</v>
      </c>
      <c r="E19" t="s">
        <v>14</v>
      </c>
      <c r="F19">
        <v>2</v>
      </c>
      <c r="G19">
        <v>0.2</v>
      </c>
      <c r="H19" s="2">
        <v>66.540799999999962</v>
      </c>
      <c r="I19" s="2">
        <v>665.40800000000002</v>
      </c>
    </row>
    <row r="20" spans="1:9" x14ac:dyDescent="0.3">
      <c r="A20" t="str">
        <f t="shared" si="0"/>
        <v>United States</v>
      </c>
      <c r="B20" t="str">
        <f t="shared" si="1"/>
        <v>Akron</v>
      </c>
      <c r="C20" t="str">
        <f t="shared" si="5"/>
        <v>Standard Class</v>
      </c>
      <c r="D20" t="str">
        <f t="shared" si="7"/>
        <v>Corporate</v>
      </c>
      <c r="E20" t="s">
        <v>25</v>
      </c>
      <c r="F20">
        <v>2</v>
      </c>
      <c r="G20">
        <v>0.4</v>
      </c>
      <c r="H20" s="2">
        <v>-75.830400000000054</v>
      </c>
      <c r="I20" s="2">
        <v>284.36399999999998</v>
      </c>
    </row>
    <row r="21" spans="1:9" x14ac:dyDescent="0.3">
      <c r="A21" t="str">
        <f t="shared" si="0"/>
        <v>United States</v>
      </c>
      <c r="B21" t="str">
        <f t="shared" si="1"/>
        <v>Akron</v>
      </c>
      <c r="C21" t="str">
        <f t="shared" si="5"/>
        <v>Standard Class</v>
      </c>
      <c r="D21" t="s">
        <v>17</v>
      </c>
      <c r="E21" t="s">
        <v>20</v>
      </c>
      <c r="F21">
        <v>3</v>
      </c>
      <c r="G21">
        <v>0.7</v>
      </c>
      <c r="H21" s="2">
        <v>-4.5935999999999986</v>
      </c>
      <c r="I21" s="2">
        <v>5.7420000000000009</v>
      </c>
    </row>
    <row r="22" spans="1:9" x14ac:dyDescent="0.3">
      <c r="A22" t="str">
        <f t="shared" si="0"/>
        <v>United States</v>
      </c>
      <c r="B22" t="s">
        <v>26</v>
      </c>
      <c r="C22" t="s">
        <v>27</v>
      </c>
      <c r="D22" t="s">
        <v>15</v>
      </c>
      <c r="E22" t="s">
        <v>19</v>
      </c>
      <c r="F22">
        <v>7</v>
      </c>
      <c r="G22">
        <v>0</v>
      </c>
      <c r="H22" s="2">
        <v>112.57400000000001</v>
      </c>
      <c r="I22" s="2">
        <v>255.84999999999997</v>
      </c>
    </row>
    <row r="23" spans="1:9" x14ac:dyDescent="0.3">
      <c r="A23" t="str">
        <f t="shared" si="0"/>
        <v>United States</v>
      </c>
      <c r="B23" t="str">
        <f t="shared" ref="B23:B34" si="8">B22</f>
        <v>Albuquerque</v>
      </c>
      <c r="C23" t="s">
        <v>7</v>
      </c>
      <c r="D23" t="s">
        <v>8</v>
      </c>
      <c r="E23" t="s">
        <v>24</v>
      </c>
      <c r="F23">
        <v>3</v>
      </c>
      <c r="G23">
        <v>0.2</v>
      </c>
      <c r="H23" s="2">
        <v>-5.694300000000001</v>
      </c>
      <c r="I23" s="2">
        <v>23.976000000000003</v>
      </c>
    </row>
    <row r="24" spans="1:9" x14ac:dyDescent="0.3">
      <c r="A24" t="str">
        <f t="shared" si="0"/>
        <v>United States</v>
      </c>
      <c r="B24" t="str">
        <f t="shared" si="8"/>
        <v>Albuquerque</v>
      </c>
      <c r="C24" t="str">
        <f t="shared" ref="C24:C28" si="9">C23</f>
        <v>Second Class</v>
      </c>
      <c r="D24" t="str">
        <f>D23</f>
        <v>Consumer</v>
      </c>
      <c r="E24" t="s">
        <v>14</v>
      </c>
      <c r="F24">
        <v>1</v>
      </c>
      <c r="G24">
        <v>0</v>
      </c>
      <c r="H24" s="2">
        <v>7.9895999999999994</v>
      </c>
      <c r="I24" s="2">
        <v>33.29</v>
      </c>
    </row>
    <row r="25" spans="1:9" x14ac:dyDescent="0.3">
      <c r="A25" t="str">
        <f t="shared" si="0"/>
        <v>United States</v>
      </c>
      <c r="B25" t="str">
        <f t="shared" si="8"/>
        <v>Albuquerque</v>
      </c>
      <c r="C25" t="str">
        <f t="shared" si="9"/>
        <v>Second Class</v>
      </c>
      <c r="D25" t="s">
        <v>17</v>
      </c>
      <c r="E25" t="s">
        <v>23</v>
      </c>
      <c r="F25">
        <v>5</v>
      </c>
      <c r="G25">
        <v>0</v>
      </c>
      <c r="H25" s="2">
        <v>88.129500000000007</v>
      </c>
      <c r="I25" s="2">
        <v>214.95000000000002</v>
      </c>
    </row>
    <row r="26" spans="1:9" x14ac:dyDescent="0.3">
      <c r="A26" t="str">
        <f t="shared" si="0"/>
        <v>United States</v>
      </c>
      <c r="B26" t="str">
        <f t="shared" si="8"/>
        <v>Albuquerque</v>
      </c>
      <c r="C26" t="str">
        <f t="shared" si="9"/>
        <v>Second Class</v>
      </c>
      <c r="D26" t="str">
        <f t="shared" ref="D26:D28" si="10">D25</f>
        <v>Home Office</v>
      </c>
      <c r="E26" t="s">
        <v>16</v>
      </c>
      <c r="F26">
        <v>13</v>
      </c>
      <c r="G26">
        <v>0</v>
      </c>
      <c r="H26" s="2">
        <v>160.12799999999999</v>
      </c>
      <c r="I26" s="2">
        <v>333.6</v>
      </c>
    </row>
    <row r="27" spans="1:9" x14ac:dyDescent="0.3">
      <c r="A27" t="str">
        <f t="shared" si="0"/>
        <v>United States</v>
      </c>
      <c r="B27" t="str">
        <f t="shared" si="8"/>
        <v>Albuquerque</v>
      </c>
      <c r="C27" t="str">
        <f t="shared" si="9"/>
        <v>Second Class</v>
      </c>
      <c r="D27" t="str">
        <f t="shared" si="10"/>
        <v>Home Office</v>
      </c>
      <c r="E27" t="s">
        <v>24</v>
      </c>
      <c r="F27">
        <v>8</v>
      </c>
      <c r="G27">
        <v>0.2</v>
      </c>
      <c r="H27" s="2">
        <v>49.257599999999996</v>
      </c>
      <c r="I27" s="2">
        <v>140.73599999999999</v>
      </c>
    </row>
    <row r="28" spans="1:9" x14ac:dyDescent="0.3">
      <c r="A28" t="str">
        <f t="shared" si="0"/>
        <v>United States</v>
      </c>
      <c r="B28" t="str">
        <f t="shared" si="8"/>
        <v>Albuquerque</v>
      </c>
      <c r="C28" t="str">
        <f t="shared" si="9"/>
        <v>Second Class</v>
      </c>
      <c r="D28" t="str">
        <f t="shared" si="10"/>
        <v>Home Office</v>
      </c>
      <c r="E28" t="s">
        <v>14</v>
      </c>
      <c r="F28">
        <v>8</v>
      </c>
      <c r="G28">
        <v>0</v>
      </c>
      <c r="H28" s="2">
        <v>25.424000000000007</v>
      </c>
      <c r="I28" s="2">
        <v>90.8</v>
      </c>
    </row>
    <row r="29" spans="1:9" x14ac:dyDescent="0.3">
      <c r="A29" t="str">
        <f t="shared" si="0"/>
        <v>United States</v>
      </c>
      <c r="B29" t="str">
        <f t="shared" si="8"/>
        <v>Albuquerque</v>
      </c>
      <c r="C29" t="s">
        <v>22</v>
      </c>
      <c r="D29" t="s">
        <v>8</v>
      </c>
      <c r="E29" t="s">
        <v>16</v>
      </c>
      <c r="F29">
        <v>1</v>
      </c>
      <c r="G29">
        <v>0</v>
      </c>
      <c r="H29" s="2">
        <v>1.9259999999999997</v>
      </c>
      <c r="I29" s="2">
        <v>4.28</v>
      </c>
    </row>
    <row r="30" spans="1:9" x14ac:dyDescent="0.3">
      <c r="A30" t="str">
        <f t="shared" si="0"/>
        <v>United States</v>
      </c>
      <c r="B30" t="str">
        <f t="shared" si="8"/>
        <v>Albuquerque</v>
      </c>
      <c r="C30" t="str">
        <f t="shared" ref="C30:C34" si="11">C29</f>
        <v>Standard Class</v>
      </c>
      <c r="D30" t="str">
        <f>D29</f>
        <v>Consumer</v>
      </c>
      <c r="E30" t="s">
        <v>14</v>
      </c>
      <c r="F30">
        <v>5</v>
      </c>
      <c r="G30">
        <v>0</v>
      </c>
      <c r="H30" s="2">
        <v>34.292499999999997</v>
      </c>
      <c r="I30" s="2">
        <v>118.25</v>
      </c>
    </row>
    <row r="31" spans="1:9" x14ac:dyDescent="0.3">
      <c r="A31" t="str">
        <f t="shared" si="0"/>
        <v>United States</v>
      </c>
      <c r="B31" t="str">
        <f t="shared" si="8"/>
        <v>Albuquerque</v>
      </c>
      <c r="C31" t="str">
        <f t="shared" si="11"/>
        <v>Standard Class</v>
      </c>
      <c r="D31" t="s">
        <v>15</v>
      </c>
      <c r="E31" t="s">
        <v>23</v>
      </c>
      <c r="F31">
        <v>5</v>
      </c>
      <c r="G31">
        <v>0</v>
      </c>
      <c r="H31" s="2">
        <v>95.200000000000031</v>
      </c>
      <c r="I31" s="2">
        <v>595</v>
      </c>
    </row>
    <row r="32" spans="1:9" x14ac:dyDescent="0.3">
      <c r="A32" t="str">
        <f t="shared" si="0"/>
        <v>United States</v>
      </c>
      <c r="B32" t="str">
        <f t="shared" si="8"/>
        <v>Albuquerque</v>
      </c>
      <c r="C32" t="str">
        <f t="shared" si="11"/>
        <v>Standard Class</v>
      </c>
      <c r="D32" t="str">
        <f t="shared" ref="D32:D33" si="12">D31</f>
        <v>Corporate</v>
      </c>
      <c r="E32" t="s">
        <v>20</v>
      </c>
      <c r="F32">
        <v>3</v>
      </c>
      <c r="G32">
        <v>0.2</v>
      </c>
      <c r="H32" s="2">
        <v>29.951999999999998</v>
      </c>
      <c r="I32" s="2">
        <v>79.872000000000014</v>
      </c>
    </row>
    <row r="33" spans="1:9" x14ac:dyDescent="0.3">
      <c r="A33" t="str">
        <f t="shared" si="0"/>
        <v>United States</v>
      </c>
      <c r="B33" t="str">
        <f t="shared" si="8"/>
        <v>Albuquerque</v>
      </c>
      <c r="C33" t="str">
        <f t="shared" si="11"/>
        <v>Standard Class</v>
      </c>
      <c r="D33" t="str">
        <f t="shared" si="12"/>
        <v>Corporate</v>
      </c>
      <c r="E33" t="s">
        <v>16</v>
      </c>
      <c r="F33">
        <v>3</v>
      </c>
      <c r="G33">
        <v>0</v>
      </c>
      <c r="H33" s="2">
        <v>12.231</v>
      </c>
      <c r="I33" s="2">
        <v>27.18</v>
      </c>
    </row>
    <row r="34" spans="1:9" x14ac:dyDescent="0.3">
      <c r="A34" t="str">
        <f t="shared" si="0"/>
        <v>United States</v>
      </c>
      <c r="B34" t="str">
        <f t="shared" si="8"/>
        <v>Albuquerque</v>
      </c>
      <c r="C34" t="str">
        <f t="shared" si="11"/>
        <v>Standard Class</v>
      </c>
      <c r="D34" t="s">
        <v>17</v>
      </c>
      <c r="E34" t="s">
        <v>24</v>
      </c>
      <c r="F34">
        <v>3</v>
      </c>
      <c r="G34">
        <v>0.2</v>
      </c>
      <c r="H34" s="2">
        <v>22.678200000000018</v>
      </c>
      <c r="I34" s="2">
        <v>302.37599999999998</v>
      </c>
    </row>
    <row r="35" spans="1:9" x14ac:dyDescent="0.3">
      <c r="A35" t="str">
        <f t="shared" si="0"/>
        <v>United States</v>
      </c>
      <c r="B35" t="s">
        <v>28</v>
      </c>
      <c r="C35" t="s">
        <v>7</v>
      </c>
      <c r="D35" t="s">
        <v>8</v>
      </c>
      <c r="E35" t="s">
        <v>14</v>
      </c>
      <c r="F35">
        <v>5</v>
      </c>
      <c r="G35">
        <v>0</v>
      </c>
      <c r="H35" s="2">
        <v>12.18</v>
      </c>
      <c r="I35" s="2">
        <v>81.199999999999989</v>
      </c>
    </row>
    <row r="36" spans="1:9" x14ac:dyDescent="0.3">
      <c r="A36" t="str">
        <f t="shared" si="0"/>
        <v>United States</v>
      </c>
      <c r="B36" t="str">
        <f t="shared" ref="B36:B46" si="13">B35</f>
        <v>Alexandria</v>
      </c>
      <c r="C36" t="str">
        <f t="shared" ref="C36:C39" si="14">C35</f>
        <v>Second Class</v>
      </c>
      <c r="D36" t="s">
        <v>15</v>
      </c>
      <c r="E36" t="s">
        <v>19</v>
      </c>
      <c r="F36">
        <v>14</v>
      </c>
      <c r="G36">
        <v>0</v>
      </c>
      <c r="H36" s="2">
        <v>14.235199999999995</v>
      </c>
      <c r="I36" s="2">
        <v>45.919999999999995</v>
      </c>
    </row>
    <row r="37" spans="1:9" x14ac:dyDescent="0.3">
      <c r="A37" t="str">
        <f t="shared" si="0"/>
        <v>United States</v>
      </c>
      <c r="B37" t="str">
        <f t="shared" si="13"/>
        <v>Alexandria</v>
      </c>
      <c r="C37" t="str">
        <f t="shared" si="14"/>
        <v>Second Class</v>
      </c>
      <c r="D37" t="str">
        <f t="shared" ref="D37:D39" si="15">D36</f>
        <v>Corporate</v>
      </c>
      <c r="E37" t="s">
        <v>16</v>
      </c>
      <c r="F37">
        <v>2</v>
      </c>
      <c r="G37">
        <v>0</v>
      </c>
      <c r="H37" s="2">
        <v>6.3504000000000005</v>
      </c>
      <c r="I37" s="2">
        <v>12.96</v>
      </c>
    </row>
    <row r="38" spans="1:9" x14ac:dyDescent="0.3">
      <c r="A38" t="str">
        <f t="shared" si="0"/>
        <v>United States</v>
      </c>
      <c r="B38" t="str">
        <f t="shared" si="13"/>
        <v>Alexandria</v>
      </c>
      <c r="C38" t="str">
        <f t="shared" si="14"/>
        <v>Second Class</v>
      </c>
      <c r="D38" t="str">
        <f t="shared" si="15"/>
        <v>Corporate</v>
      </c>
      <c r="E38" t="s">
        <v>24</v>
      </c>
      <c r="F38">
        <v>1</v>
      </c>
      <c r="G38">
        <v>0</v>
      </c>
      <c r="H38" s="2">
        <v>8.4070999999999962</v>
      </c>
      <c r="I38" s="2">
        <v>28.99</v>
      </c>
    </row>
    <row r="39" spans="1:9" x14ac:dyDescent="0.3">
      <c r="A39" t="str">
        <f t="shared" si="0"/>
        <v>United States</v>
      </c>
      <c r="B39" t="str">
        <f t="shared" si="13"/>
        <v>Alexandria</v>
      </c>
      <c r="C39" t="str">
        <f t="shared" si="14"/>
        <v>Second Class</v>
      </c>
      <c r="D39" t="str">
        <f t="shared" si="15"/>
        <v>Corporate</v>
      </c>
      <c r="E39" t="s">
        <v>9</v>
      </c>
      <c r="F39">
        <v>5</v>
      </c>
      <c r="G39">
        <v>0</v>
      </c>
      <c r="H39" s="2">
        <v>83.281000000000063</v>
      </c>
      <c r="I39" s="2">
        <v>4164.0499999999993</v>
      </c>
    </row>
    <row r="40" spans="1:9" x14ac:dyDescent="0.3">
      <c r="A40" t="str">
        <f t="shared" si="0"/>
        <v>United States</v>
      </c>
      <c r="B40" t="str">
        <f t="shared" si="13"/>
        <v>Alexandria</v>
      </c>
      <c r="C40" t="s">
        <v>22</v>
      </c>
      <c r="D40" t="s">
        <v>8</v>
      </c>
      <c r="E40" t="s">
        <v>18</v>
      </c>
      <c r="F40">
        <v>7</v>
      </c>
      <c r="G40">
        <v>0</v>
      </c>
      <c r="H40" s="2">
        <v>12.530000000000001</v>
      </c>
      <c r="I40" s="2">
        <v>25.060000000000002</v>
      </c>
    </row>
    <row r="41" spans="1:9" x14ac:dyDescent="0.3">
      <c r="A41" t="str">
        <f t="shared" si="0"/>
        <v>United States</v>
      </c>
      <c r="B41" t="str">
        <f t="shared" si="13"/>
        <v>Alexandria</v>
      </c>
      <c r="C41" t="str">
        <f t="shared" ref="C41:C46" si="16">C40</f>
        <v>Standard Class</v>
      </c>
      <c r="D41" t="str">
        <f>D40</f>
        <v>Consumer</v>
      </c>
      <c r="E41" t="s">
        <v>14</v>
      </c>
      <c r="F41">
        <v>2</v>
      </c>
      <c r="G41">
        <v>0</v>
      </c>
      <c r="H41" s="2">
        <v>6.8767999999999994</v>
      </c>
      <c r="I41" s="2">
        <v>24.56</v>
      </c>
    </row>
    <row r="42" spans="1:9" x14ac:dyDescent="0.3">
      <c r="A42" t="str">
        <f t="shared" si="0"/>
        <v>United States</v>
      </c>
      <c r="B42" t="str">
        <f t="shared" si="13"/>
        <v>Alexandria</v>
      </c>
      <c r="C42" t="str">
        <f t="shared" si="16"/>
        <v>Standard Class</v>
      </c>
      <c r="D42" t="s">
        <v>15</v>
      </c>
      <c r="E42" t="s">
        <v>21</v>
      </c>
      <c r="F42">
        <v>14</v>
      </c>
      <c r="G42">
        <v>0</v>
      </c>
      <c r="H42" s="2">
        <v>69.199200000000005</v>
      </c>
      <c r="I42" s="2">
        <v>192.22</v>
      </c>
    </row>
    <row r="43" spans="1:9" x14ac:dyDescent="0.3">
      <c r="A43" t="str">
        <f t="shared" si="0"/>
        <v>United States</v>
      </c>
      <c r="B43" t="str">
        <f t="shared" si="13"/>
        <v>Alexandria</v>
      </c>
      <c r="C43" t="str">
        <f t="shared" si="16"/>
        <v>Standard Class</v>
      </c>
      <c r="D43" t="s">
        <v>17</v>
      </c>
      <c r="E43" t="s">
        <v>21</v>
      </c>
      <c r="F43">
        <v>6</v>
      </c>
      <c r="G43">
        <v>0</v>
      </c>
      <c r="H43" s="2">
        <v>35.253</v>
      </c>
      <c r="I43" s="2">
        <v>75.240000000000009</v>
      </c>
    </row>
    <row r="44" spans="1:9" x14ac:dyDescent="0.3">
      <c r="A44" t="str">
        <f t="shared" si="0"/>
        <v>United States</v>
      </c>
      <c r="B44" t="str">
        <f t="shared" si="13"/>
        <v>Alexandria</v>
      </c>
      <c r="C44" t="str">
        <f t="shared" si="16"/>
        <v>Standard Class</v>
      </c>
      <c r="D44" t="str">
        <f t="shared" ref="D44:D46" si="17">D43</f>
        <v>Home Office</v>
      </c>
      <c r="E44" t="s">
        <v>16</v>
      </c>
      <c r="F44">
        <v>5</v>
      </c>
      <c r="G44">
        <v>0</v>
      </c>
      <c r="H44" s="2">
        <v>17.671199999999999</v>
      </c>
      <c r="I44" s="2">
        <v>36.120000000000005</v>
      </c>
    </row>
    <row r="45" spans="1:9" x14ac:dyDescent="0.3">
      <c r="A45" t="str">
        <f t="shared" si="0"/>
        <v>United States</v>
      </c>
      <c r="B45" t="str">
        <f t="shared" si="13"/>
        <v>Alexandria</v>
      </c>
      <c r="C45" t="str">
        <f t="shared" si="16"/>
        <v>Standard Class</v>
      </c>
      <c r="D45" t="str">
        <f t="shared" si="17"/>
        <v>Home Office</v>
      </c>
      <c r="E45" t="s">
        <v>24</v>
      </c>
      <c r="F45">
        <v>15</v>
      </c>
      <c r="G45">
        <v>0</v>
      </c>
      <c r="H45" s="2">
        <v>52.634399999999999</v>
      </c>
      <c r="I45" s="2">
        <v>343.33</v>
      </c>
    </row>
    <row r="46" spans="1:9" x14ac:dyDescent="0.3">
      <c r="A46" t="str">
        <f t="shared" si="0"/>
        <v>United States</v>
      </c>
      <c r="B46" t="str">
        <f t="shared" si="13"/>
        <v>Alexandria</v>
      </c>
      <c r="C46" t="str">
        <f t="shared" si="16"/>
        <v>Standard Class</v>
      </c>
      <c r="D46" t="str">
        <f t="shared" si="17"/>
        <v>Home Office</v>
      </c>
      <c r="E46" t="s">
        <v>14</v>
      </c>
      <c r="F46">
        <v>8</v>
      </c>
      <c r="G46">
        <v>0</v>
      </c>
      <c r="H46" s="2">
        <v>0</v>
      </c>
      <c r="I46" s="2">
        <v>489.92</v>
      </c>
    </row>
    <row r="47" spans="1:9" x14ac:dyDescent="0.3">
      <c r="A47" t="str">
        <f t="shared" si="0"/>
        <v>United States</v>
      </c>
      <c r="B47" t="s">
        <v>29</v>
      </c>
      <c r="C47" t="s">
        <v>11</v>
      </c>
      <c r="D47" t="s">
        <v>8</v>
      </c>
      <c r="E47" t="s">
        <v>23</v>
      </c>
      <c r="F47">
        <v>3</v>
      </c>
      <c r="G47">
        <v>0.2</v>
      </c>
      <c r="H47" s="2">
        <v>-0.26850000000000307</v>
      </c>
      <c r="I47" s="2">
        <v>21.48</v>
      </c>
    </row>
    <row r="48" spans="1:9" x14ac:dyDescent="0.3">
      <c r="A48" t="str">
        <f t="shared" si="0"/>
        <v>United States</v>
      </c>
      <c r="B48" t="str">
        <f t="shared" ref="B48:B50" si="18">B47</f>
        <v>Allen</v>
      </c>
      <c r="C48" t="str">
        <f>C47</f>
        <v>First Class</v>
      </c>
      <c r="D48" t="str">
        <f>D47</f>
        <v>Consumer</v>
      </c>
      <c r="E48" t="s">
        <v>20</v>
      </c>
      <c r="F48">
        <v>4</v>
      </c>
      <c r="G48">
        <v>0.8</v>
      </c>
      <c r="H48" s="2">
        <v>-13.615200000000002</v>
      </c>
      <c r="I48" s="2">
        <v>8.7839999999999989</v>
      </c>
    </row>
    <row r="49" spans="1:9" x14ac:dyDescent="0.3">
      <c r="A49" t="str">
        <f t="shared" si="0"/>
        <v>United States</v>
      </c>
      <c r="B49" t="str">
        <f t="shared" si="18"/>
        <v>Allen</v>
      </c>
      <c r="C49" t="s">
        <v>22</v>
      </c>
      <c r="D49" t="s">
        <v>8</v>
      </c>
      <c r="E49" t="s">
        <v>16</v>
      </c>
      <c r="F49">
        <v>4</v>
      </c>
      <c r="G49">
        <v>0.2</v>
      </c>
      <c r="H49" s="2">
        <v>5.378400000000001</v>
      </c>
      <c r="I49" s="2">
        <v>15.936000000000002</v>
      </c>
    </row>
    <row r="50" spans="1:9" x14ac:dyDescent="0.3">
      <c r="A50" t="str">
        <f t="shared" si="0"/>
        <v>United States</v>
      </c>
      <c r="B50" t="str">
        <f t="shared" si="18"/>
        <v>Allen</v>
      </c>
      <c r="C50" t="str">
        <f>C49</f>
        <v>Standard Class</v>
      </c>
      <c r="D50" t="str">
        <f>D49</f>
        <v>Consumer</v>
      </c>
      <c r="E50" t="s">
        <v>25</v>
      </c>
      <c r="F50">
        <v>2</v>
      </c>
      <c r="G50">
        <v>0.3</v>
      </c>
      <c r="H50" s="2">
        <v>-31.372200000000007</v>
      </c>
      <c r="I50" s="2">
        <v>244.00599999999997</v>
      </c>
    </row>
    <row r="51" spans="1:9" x14ac:dyDescent="0.3">
      <c r="A51" t="str">
        <f t="shared" si="0"/>
        <v>United States</v>
      </c>
      <c r="B51" t="s">
        <v>30</v>
      </c>
      <c r="C51" t="s">
        <v>22</v>
      </c>
      <c r="D51" t="s">
        <v>8</v>
      </c>
      <c r="E51" t="s">
        <v>19</v>
      </c>
      <c r="F51">
        <v>2</v>
      </c>
      <c r="G51">
        <v>0.2</v>
      </c>
      <c r="H51" s="2">
        <v>0.36400000000000032</v>
      </c>
      <c r="I51" s="2">
        <v>4.16</v>
      </c>
    </row>
    <row r="52" spans="1:9" x14ac:dyDescent="0.3">
      <c r="A52" t="str">
        <f t="shared" si="0"/>
        <v>United States</v>
      </c>
      <c r="B52" t="str">
        <f t="shared" ref="B52:B57" si="19">B51</f>
        <v>Allentown</v>
      </c>
      <c r="C52" t="str">
        <f t="shared" ref="C52:C57" si="20">C51</f>
        <v>Standard Class</v>
      </c>
      <c r="D52" t="str">
        <f>D51</f>
        <v>Consumer</v>
      </c>
      <c r="E52" t="s">
        <v>21</v>
      </c>
      <c r="F52">
        <v>2</v>
      </c>
      <c r="G52">
        <v>0.2</v>
      </c>
      <c r="H52" s="2">
        <v>3.3488000000000011</v>
      </c>
      <c r="I52" s="2">
        <v>11.648000000000001</v>
      </c>
    </row>
    <row r="53" spans="1:9" x14ac:dyDescent="0.3">
      <c r="A53" t="str">
        <f t="shared" si="0"/>
        <v>United States</v>
      </c>
      <c r="B53" t="str">
        <f t="shared" si="19"/>
        <v>Allentown</v>
      </c>
      <c r="C53" t="str">
        <f t="shared" si="20"/>
        <v>Standard Class</v>
      </c>
      <c r="D53" t="s">
        <v>17</v>
      </c>
      <c r="E53" t="s">
        <v>23</v>
      </c>
      <c r="F53">
        <v>4</v>
      </c>
      <c r="G53">
        <v>0.2</v>
      </c>
      <c r="H53" s="2">
        <v>3.8024000000000004</v>
      </c>
      <c r="I53" s="2">
        <v>21.728000000000002</v>
      </c>
    </row>
    <row r="54" spans="1:9" x14ac:dyDescent="0.3">
      <c r="A54" t="str">
        <f t="shared" si="0"/>
        <v>United States</v>
      </c>
      <c r="B54" t="str">
        <f t="shared" si="19"/>
        <v>Allentown</v>
      </c>
      <c r="C54" t="str">
        <f t="shared" si="20"/>
        <v>Standard Class</v>
      </c>
      <c r="D54" t="str">
        <f t="shared" ref="D54:D57" si="21">D53</f>
        <v>Home Office</v>
      </c>
      <c r="E54" t="s">
        <v>20</v>
      </c>
      <c r="F54">
        <v>2</v>
      </c>
      <c r="G54">
        <v>0.7</v>
      </c>
      <c r="H54" s="2">
        <v>-82.989999999999981</v>
      </c>
      <c r="I54" s="2">
        <v>99.588000000000008</v>
      </c>
    </row>
    <row r="55" spans="1:9" x14ac:dyDescent="0.3">
      <c r="A55" t="str">
        <f t="shared" si="0"/>
        <v>United States</v>
      </c>
      <c r="B55" t="str">
        <f t="shared" si="19"/>
        <v>Allentown</v>
      </c>
      <c r="C55" t="str">
        <f t="shared" si="20"/>
        <v>Standard Class</v>
      </c>
      <c r="D55" t="str">
        <f t="shared" si="21"/>
        <v>Home Office</v>
      </c>
      <c r="E55" t="s">
        <v>16</v>
      </c>
      <c r="F55">
        <v>2</v>
      </c>
      <c r="G55">
        <v>0.2</v>
      </c>
      <c r="H55" s="2">
        <v>15.489999999999997</v>
      </c>
      <c r="I55" s="2">
        <v>49.568000000000005</v>
      </c>
    </row>
    <row r="56" spans="1:9" x14ac:dyDescent="0.3">
      <c r="A56" t="str">
        <f t="shared" si="0"/>
        <v>United States</v>
      </c>
      <c r="B56" t="str">
        <f t="shared" si="19"/>
        <v>Allentown</v>
      </c>
      <c r="C56" t="str">
        <f t="shared" si="20"/>
        <v>Standard Class</v>
      </c>
      <c r="D56" t="str">
        <f t="shared" si="21"/>
        <v>Home Office</v>
      </c>
      <c r="E56" t="s">
        <v>14</v>
      </c>
      <c r="F56">
        <v>6</v>
      </c>
      <c r="G56">
        <v>0.2</v>
      </c>
      <c r="H56" s="2">
        <v>-165.768</v>
      </c>
      <c r="I56" s="2">
        <v>663.072</v>
      </c>
    </row>
    <row r="57" spans="1:9" x14ac:dyDescent="0.3">
      <c r="A57" t="str">
        <f t="shared" si="0"/>
        <v>United States</v>
      </c>
      <c r="B57" t="str">
        <f t="shared" si="19"/>
        <v>Allentown</v>
      </c>
      <c r="C57" t="str">
        <f t="shared" si="20"/>
        <v>Standard Class</v>
      </c>
      <c r="D57" t="str">
        <f t="shared" si="21"/>
        <v>Home Office</v>
      </c>
      <c r="E57" t="s">
        <v>9</v>
      </c>
      <c r="F57">
        <v>2</v>
      </c>
      <c r="G57">
        <v>0.2</v>
      </c>
      <c r="H57" s="2">
        <v>-0.69760000000000066</v>
      </c>
      <c r="I57" s="2">
        <v>3.4880000000000004</v>
      </c>
    </row>
    <row r="58" spans="1:9" x14ac:dyDescent="0.3">
      <c r="A58" t="str">
        <f t="shared" si="0"/>
        <v>United States</v>
      </c>
      <c r="B58" t="s">
        <v>31</v>
      </c>
      <c r="C58" t="s">
        <v>11</v>
      </c>
      <c r="D58" t="s">
        <v>15</v>
      </c>
      <c r="E58" t="s">
        <v>19</v>
      </c>
      <c r="F58">
        <v>6</v>
      </c>
      <c r="G58">
        <v>0.2</v>
      </c>
      <c r="H58" s="2">
        <v>2.2043999999999979</v>
      </c>
      <c r="I58" s="2">
        <v>16.032</v>
      </c>
    </row>
    <row r="59" spans="1:9" x14ac:dyDescent="0.3">
      <c r="A59" t="str">
        <f t="shared" si="0"/>
        <v>United States</v>
      </c>
      <c r="B59" t="str">
        <f>B58</f>
        <v>Altoona</v>
      </c>
      <c r="C59" t="str">
        <f>C58</f>
        <v>First Class</v>
      </c>
      <c r="D59" t="str">
        <f>D58</f>
        <v>Corporate</v>
      </c>
      <c r="E59" t="s">
        <v>20</v>
      </c>
      <c r="F59">
        <v>3</v>
      </c>
      <c r="G59">
        <v>0.7</v>
      </c>
      <c r="H59" s="2">
        <v>-3.3879000000000001</v>
      </c>
      <c r="I59" s="2">
        <v>4.4190000000000005</v>
      </c>
    </row>
    <row r="60" spans="1:9" x14ac:dyDescent="0.3">
      <c r="A60" t="str">
        <f t="shared" si="0"/>
        <v>United States</v>
      </c>
      <c r="B60" t="s">
        <v>32</v>
      </c>
      <c r="C60" t="s">
        <v>27</v>
      </c>
      <c r="D60" t="s">
        <v>8</v>
      </c>
      <c r="E60" t="s">
        <v>23</v>
      </c>
      <c r="F60">
        <v>6</v>
      </c>
      <c r="G60">
        <v>0.4</v>
      </c>
      <c r="H60" s="2">
        <v>63.752400000000009</v>
      </c>
      <c r="I60" s="2">
        <v>343.392</v>
      </c>
    </row>
    <row r="61" spans="1:9" x14ac:dyDescent="0.3">
      <c r="A61" t="str">
        <f t="shared" si="0"/>
        <v>United States</v>
      </c>
      <c r="B61" t="str">
        <f t="shared" ref="B61:B68" si="22">B60</f>
        <v>Amarillo</v>
      </c>
      <c r="C61" t="str">
        <f t="shared" ref="C61:C62" si="23">C60</f>
        <v>Same Day</v>
      </c>
      <c r="D61" t="str">
        <f t="shared" ref="D61:D62" si="24">D60</f>
        <v>Consumer</v>
      </c>
      <c r="E61" t="s">
        <v>33</v>
      </c>
      <c r="F61">
        <v>5</v>
      </c>
      <c r="G61">
        <v>0.3</v>
      </c>
      <c r="H61" s="2">
        <v>-350.4899999999999</v>
      </c>
      <c r="I61" s="2">
        <v>2453.4299999999998</v>
      </c>
    </row>
    <row r="62" spans="1:9" x14ac:dyDescent="0.3">
      <c r="A62" t="str">
        <f t="shared" si="0"/>
        <v>United States</v>
      </c>
      <c r="B62" t="str">
        <f t="shared" si="22"/>
        <v>Amarillo</v>
      </c>
      <c r="C62" t="str">
        <f t="shared" si="23"/>
        <v>Same Day</v>
      </c>
      <c r="D62" t="str">
        <f t="shared" si="24"/>
        <v>Consumer</v>
      </c>
      <c r="E62" t="s">
        <v>16</v>
      </c>
      <c r="F62">
        <v>1</v>
      </c>
      <c r="G62">
        <v>0.2</v>
      </c>
      <c r="H62" s="2">
        <v>9.568799999999996</v>
      </c>
      <c r="I62" s="2">
        <v>28.352</v>
      </c>
    </row>
    <row r="63" spans="1:9" x14ac:dyDescent="0.3">
      <c r="A63" t="str">
        <f t="shared" si="0"/>
        <v>United States</v>
      </c>
      <c r="B63" t="str">
        <f t="shared" si="22"/>
        <v>Amarillo</v>
      </c>
      <c r="C63" t="s">
        <v>7</v>
      </c>
      <c r="D63" t="s">
        <v>15</v>
      </c>
      <c r="E63" t="s">
        <v>16</v>
      </c>
      <c r="F63">
        <v>2</v>
      </c>
      <c r="G63">
        <v>0.2</v>
      </c>
      <c r="H63" s="2">
        <v>6.6311999999999989</v>
      </c>
      <c r="I63" s="2">
        <v>19.648</v>
      </c>
    </row>
    <row r="64" spans="1:9" x14ac:dyDescent="0.3">
      <c r="A64" t="str">
        <f t="shared" si="0"/>
        <v>United States</v>
      </c>
      <c r="B64" t="str">
        <f t="shared" si="22"/>
        <v>Amarillo</v>
      </c>
      <c r="C64" t="s">
        <v>22</v>
      </c>
      <c r="D64" t="s">
        <v>8</v>
      </c>
      <c r="E64" t="s">
        <v>33</v>
      </c>
      <c r="F64">
        <v>4</v>
      </c>
      <c r="G64">
        <v>0.3</v>
      </c>
      <c r="H64" s="2">
        <v>-110.02320000000003</v>
      </c>
      <c r="I64" s="2">
        <v>366.74399999999997</v>
      </c>
    </row>
    <row r="65" spans="1:9" x14ac:dyDescent="0.3">
      <c r="A65" t="str">
        <f t="shared" si="0"/>
        <v>United States</v>
      </c>
      <c r="B65" t="str">
        <f t="shared" si="22"/>
        <v>Amarillo</v>
      </c>
      <c r="C65" t="str">
        <f t="shared" ref="C65:C68" si="25">C64</f>
        <v>Standard Class</v>
      </c>
      <c r="D65" t="str">
        <f t="shared" ref="D65:D67" si="26">D64</f>
        <v>Consumer</v>
      </c>
      <c r="E65" t="s">
        <v>21</v>
      </c>
      <c r="F65">
        <v>3</v>
      </c>
      <c r="G65">
        <v>0.6</v>
      </c>
      <c r="H65" s="2">
        <v>-10.961100000000002</v>
      </c>
      <c r="I65" s="2">
        <v>23.076000000000001</v>
      </c>
    </row>
    <row r="66" spans="1:9" x14ac:dyDescent="0.3">
      <c r="A66" t="str">
        <f t="shared" si="0"/>
        <v>United States</v>
      </c>
      <c r="B66" t="str">
        <f t="shared" si="22"/>
        <v>Amarillo</v>
      </c>
      <c r="C66" t="str">
        <f t="shared" si="25"/>
        <v>Standard Class</v>
      </c>
      <c r="D66" t="str">
        <f t="shared" si="26"/>
        <v>Consumer</v>
      </c>
      <c r="E66" t="s">
        <v>16</v>
      </c>
      <c r="F66">
        <v>5</v>
      </c>
      <c r="G66">
        <v>0.2</v>
      </c>
      <c r="H66" s="2">
        <v>9.0719999999999992</v>
      </c>
      <c r="I66" s="2">
        <v>25.920000000000005</v>
      </c>
    </row>
    <row r="67" spans="1:9" x14ac:dyDescent="0.3">
      <c r="A67" t="str">
        <f t="shared" si="0"/>
        <v>United States</v>
      </c>
      <c r="B67" t="str">
        <f t="shared" si="22"/>
        <v>Amarillo</v>
      </c>
      <c r="C67" t="str">
        <f t="shared" si="25"/>
        <v>Standard Class</v>
      </c>
      <c r="D67" t="str">
        <f t="shared" si="26"/>
        <v>Consumer</v>
      </c>
      <c r="E67" t="s">
        <v>24</v>
      </c>
      <c r="F67">
        <v>4</v>
      </c>
      <c r="G67">
        <v>0.2</v>
      </c>
      <c r="H67" s="2">
        <v>30.716800000000006</v>
      </c>
      <c r="I67" s="2">
        <v>307.16800000000001</v>
      </c>
    </row>
    <row r="68" spans="1:9" x14ac:dyDescent="0.3">
      <c r="A68" t="str">
        <f t="shared" ref="A68:A131" si="27">A67</f>
        <v>United States</v>
      </c>
      <c r="B68" t="str">
        <f t="shared" si="22"/>
        <v>Amarillo</v>
      </c>
      <c r="C68" t="str">
        <f t="shared" si="25"/>
        <v>Standard Class</v>
      </c>
      <c r="D68" t="s">
        <v>15</v>
      </c>
      <c r="E68" t="s">
        <v>34</v>
      </c>
      <c r="F68">
        <v>2</v>
      </c>
      <c r="G68">
        <v>0.32</v>
      </c>
      <c r="H68" s="2">
        <v>-36.235200000000006</v>
      </c>
      <c r="I68" s="2">
        <v>205.33279999999996</v>
      </c>
    </row>
    <row r="69" spans="1:9" x14ac:dyDescent="0.3">
      <c r="A69" t="str">
        <f t="shared" si="27"/>
        <v>United States</v>
      </c>
      <c r="B69" t="s">
        <v>35</v>
      </c>
      <c r="C69" t="s">
        <v>11</v>
      </c>
      <c r="D69" t="s">
        <v>15</v>
      </c>
      <c r="E69" t="s">
        <v>20</v>
      </c>
      <c r="F69">
        <v>3</v>
      </c>
      <c r="G69">
        <v>0.2</v>
      </c>
      <c r="H69" s="2">
        <v>7.822499999999998</v>
      </c>
      <c r="I69" s="2">
        <v>25.031999999999996</v>
      </c>
    </row>
    <row r="70" spans="1:9" x14ac:dyDescent="0.3">
      <c r="A70" t="str">
        <f t="shared" si="27"/>
        <v>United States</v>
      </c>
      <c r="B70" t="str">
        <f t="shared" ref="B70:B90" si="28">B69</f>
        <v>Anaheim</v>
      </c>
      <c r="C70" t="str">
        <f t="shared" ref="C70:C72" si="29">C69</f>
        <v>First Class</v>
      </c>
      <c r="D70" t="str">
        <f t="shared" ref="D70:D72" si="30">D69</f>
        <v>Corporate</v>
      </c>
      <c r="E70" t="s">
        <v>33</v>
      </c>
      <c r="F70">
        <v>3</v>
      </c>
      <c r="G70">
        <v>0.2</v>
      </c>
      <c r="H70" s="2">
        <v>71.77200000000002</v>
      </c>
      <c r="I70" s="2">
        <v>717.72</v>
      </c>
    </row>
    <row r="71" spans="1:9" x14ac:dyDescent="0.3">
      <c r="A71" t="str">
        <f t="shared" si="27"/>
        <v>United States</v>
      </c>
      <c r="B71" t="str">
        <f t="shared" si="28"/>
        <v>Anaheim</v>
      </c>
      <c r="C71" t="str">
        <f t="shared" si="29"/>
        <v>First Class</v>
      </c>
      <c r="D71" t="str">
        <f t="shared" si="30"/>
        <v>Corporate</v>
      </c>
      <c r="E71" t="s">
        <v>21</v>
      </c>
      <c r="F71">
        <v>15</v>
      </c>
      <c r="G71">
        <v>0</v>
      </c>
      <c r="H71" s="2">
        <v>92.332499999999996</v>
      </c>
      <c r="I71" s="2">
        <v>383.90000000000003</v>
      </c>
    </row>
    <row r="72" spans="1:9" x14ac:dyDescent="0.3">
      <c r="A72" t="str">
        <f t="shared" si="27"/>
        <v>United States</v>
      </c>
      <c r="B72" t="str">
        <f t="shared" si="28"/>
        <v>Anaheim</v>
      </c>
      <c r="C72" t="str">
        <f t="shared" si="29"/>
        <v>First Class</v>
      </c>
      <c r="D72" t="str">
        <f t="shared" si="30"/>
        <v>Corporate</v>
      </c>
      <c r="E72" t="s">
        <v>16</v>
      </c>
      <c r="F72">
        <v>2</v>
      </c>
      <c r="G72">
        <v>0</v>
      </c>
      <c r="H72" s="2">
        <v>100.65599999999999</v>
      </c>
      <c r="I72" s="2">
        <v>209.7</v>
      </c>
    </row>
    <row r="73" spans="1:9" x14ac:dyDescent="0.3">
      <c r="A73" t="str">
        <f t="shared" si="27"/>
        <v>United States</v>
      </c>
      <c r="B73" t="str">
        <f t="shared" si="28"/>
        <v>Anaheim</v>
      </c>
      <c r="C73" t="s">
        <v>27</v>
      </c>
      <c r="D73" t="s">
        <v>8</v>
      </c>
      <c r="E73" t="s">
        <v>23</v>
      </c>
      <c r="F73">
        <v>4</v>
      </c>
      <c r="G73">
        <v>0</v>
      </c>
      <c r="H73" s="2">
        <v>25.191599999999994</v>
      </c>
      <c r="I73" s="2">
        <v>119.96</v>
      </c>
    </row>
    <row r="74" spans="1:9" x14ac:dyDescent="0.3">
      <c r="A74" t="str">
        <f t="shared" si="27"/>
        <v>United States</v>
      </c>
      <c r="B74" t="str">
        <f t="shared" si="28"/>
        <v>Anaheim</v>
      </c>
      <c r="C74" t="str">
        <f t="shared" ref="C74:C81" si="31">C73</f>
        <v>Same Day</v>
      </c>
      <c r="D74" t="str">
        <f t="shared" ref="D74:D80" si="32">D73</f>
        <v>Consumer</v>
      </c>
      <c r="E74" t="s">
        <v>12</v>
      </c>
      <c r="F74">
        <v>2</v>
      </c>
      <c r="G74">
        <v>0</v>
      </c>
      <c r="H74" s="2">
        <v>24.191799999999994</v>
      </c>
      <c r="I74" s="2">
        <v>83.42</v>
      </c>
    </row>
    <row r="75" spans="1:9" x14ac:dyDescent="0.3">
      <c r="A75" t="str">
        <f t="shared" si="27"/>
        <v>United States</v>
      </c>
      <c r="B75" t="str">
        <f t="shared" si="28"/>
        <v>Anaheim</v>
      </c>
      <c r="C75" t="str">
        <f t="shared" si="31"/>
        <v>Same Day</v>
      </c>
      <c r="D75" t="str">
        <f t="shared" si="32"/>
        <v>Consumer</v>
      </c>
      <c r="E75" t="s">
        <v>19</v>
      </c>
      <c r="F75">
        <v>2</v>
      </c>
      <c r="G75">
        <v>0</v>
      </c>
      <c r="H75" s="2">
        <v>6.0632000000000019</v>
      </c>
      <c r="I75" s="2">
        <v>23.32</v>
      </c>
    </row>
    <row r="76" spans="1:9" x14ac:dyDescent="0.3">
      <c r="A76" t="str">
        <f t="shared" si="27"/>
        <v>United States</v>
      </c>
      <c r="B76" t="str">
        <f t="shared" si="28"/>
        <v>Anaheim</v>
      </c>
      <c r="C76" t="str">
        <f t="shared" si="31"/>
        <v>Same Day</v>
      </c>
      <c r="D76" t="str">
        <f t="shared" si="32"/>
        <v>Consumer</v>
      </c>
      <c r="E76" t="s">
        <v>20</v>
      </c>
      <c r="F76">
        <v>19</v>
      </c>
      <c r="G76">
        <v>0.8</v>
      </c>
      <c r="H76" s="2">
        <v>121.31219999999998</v>
      </c>
      <c r="I76" s="2">
        <v>373.96800000000002</v>
      </c>
    </row>
    <row r="77" spans="1:9" x14ac:dyDescent="0.3">
      <c r="A77" t="str">
        <f t="shared" si="27"/>
        <v>United States</v>
      </c>
      <c r="B77" t="str">
        <f t="shared" si="28"/>
        <v>Anaheim</v>
      </c>
      <c r="C77" t="str">
        <f t="shared" si="31"/>
        <v>Same Day</v>
      </c>
      <c r="D77" t="str">
        <f t="shared" si="32"/>
        <v>Consumer</v>
      </c>
      <c r="E77" t="s">
        <v>33</v>
      </c>
      <c r="F77">
        <v>5</v>
      </c>
      <c r="G77">
        <v>0.2</v>
      </c>
      <c r="H77" s="2">
        <v>-31.843000000000018</v>
      </c>
      <c r="I77" s="2">
        <v>363.92</v>
      </c>
    </row>
    <row r="78" spans="1:9" x14ac:dyDescent="0.3">
      <c r="A78" t="str">
        <f t="shared" si="27"/>
        <v>United States</v>
      </c>
      <c r="B78" t="str">
        <f t="shared" si="28"/>
        <v>Anaheim</v>
      </c>
      <c r="C78" t="str">
        <f t="shared" si="31"/>
        <v>Same Day</v>
      </c>
      <c r="D78" t="str">
        <f t="shared" si="32"/>
        <v>Consumer</v>
      </c>
      <c r="E78" t="s">
        <v>16</v>
      </c>
      <c r="F78">
        <v>1</v>
      </c>
      <c r="G78">
        <v>0</v>
      </c>
      <c r="H78" s="2">
        <v>13.940999999999999</v>
      </c>
      <c r="I78" s="2">
        <v>30.98</v>
      </c>
    </row>
    <row r="79" spans="1:9" x14ac:dyDescent="0.3">
      <c r="A79" t="str">
        <f t="shared" si="27"/>
        <v>United States</v>
      </c>
      <c r="B79" t="str">
        <f t="shared" si="28"/>
        <v>Anaheim</v>
      </c>
      <c r="C79" t="str">
        <f t="shared" si="31"/>
        <v>Same Day</v>
      </c>
      <c r="D79" t="str">
        <f t="shared" si="32"/>
        <v>Consumer</v>
      </c>
      <c r="E79" t="s">
        <v>14</v>
      </c>
      <c r="F79">
        <v>3</v>
      </c>
      <c r="G79">
        <v>0</v>
      </c>
      <c r="H79" s="2">
        <v>2.0087999999999973</v>
      </c>
      <c r="I79" s="2">
        <v>50.22</v>
      </c>
    </row>
    <row r="80" spans="1:9" x14ac:dyDescent="0.3">
      <c r="A80" t="str">
        <f t="shared" si="27"/>
        <v>United States</v>
      </c>
      <c r="B80" t="str">
        <f t="shared" si="28"/>
        <v>Anaheim</v>
      </c>
      <c r="C80" t="str">
        <f t="shared" si="31"/>
        <v>Same Day</v>
      </c>
      <c r="D80" t="str">
        <f t="shared" si="32"/>
        <v>Consumer</v>
      </c>
      <c r="E80" t="s">
        <v>25</v>
      </c>
      <c r="F80">
        <v>7</v>
      </c>
      <c r="G80">
        <v>0.2</v>
      </c>
      <c r="H80" s="2">
        <v>111.51699999999991</v>
      </c>
      <c r="I80" s="2">
        <v>892.13600000000008</v>
      </c>
    </row>
    <row r="81" spans="1:9" x14ac:dyDescent="0.3">
      <c r="A81" t="str">
        <f t="shared" si="27"/>
        <v>United States</v>
      </c>
      <c r="B81" t="str">
        <f t="shared" si="28"/>
        <v>Anaheim</v>
      </c>
      <c r="C81" t="str">
        <f t="shared" si="31"/>
        <v>Same Day</v>
      </c>
      <c r="D81" t="s">
        <v>15</v>
      </c>
      <c r="E81" t="s">
        <v>25</v>
      </c>
      <c r="F81">
        <v>7</v>
      </c>
      <c r="G81">
        <v>0.2</v>
      </c>
      <c r="H81" s="2">
        <v>80.843000000000075</v>
      </c>
      <c r="I81" s="2">
        <v>1293.4879999999998</v>
      </c>
    </row>
    <row r="82" spans="1:9" x14ac:dyDescent="0.3">
      <c r="A82" t="str">
        <f t="shared" si="27"/>
        <v>United States</v>
      </c>
      <c r="B82" t="str">
        <f t="shared" si="28"/>
        <v>Anaheim</v>
      </c>
      <c r="C82" t="s">
        <v>7</v>
      </c>
      <c r="D82" t="s">
        <v>15</v>
      </c>
      <c r="E82" t="s">
        <v>14</v>
      </c>
      <c r="F82">
        <v>2</v>
      </c>
      <c r="G82">
        <v>0</v>
      </c>
      <c r="H82" s="2">
        <v>310.98720000000003</v>
      </c>
      <c r="I82" s="2">
        <v>1295.78</v>
      </c>
    </row>
    <row r="83" spans="1:9" x14ac:dyDescent="0.3">
      <c r="A83" t="str">
        <f t="shared" si="27"/>
        <v>United States</v>
      </c>
      <c r="B83" t="str">
        <f t="shared" si="28"/>
        <v>Anaheim</v>
      </c>
      <c r="C83" t="s">
        <v>22</v>
      </c>
      <c r="D83" t="s">
        <v>8</v>
      </c>
      <c r="E83" t="s">
        <v>19</v>
      </c>
      <c r="F83">
        <v>2</v>
      </c>
      <c r="G83">
        <v>0</v>
      </c>
      <c r="H83" s="2">
        <v>0.87360000000000015</v>
      </c>
      <c r="I83" s="2">
        <v>3.36</v>
      </c>
    </row>
    <row r="84" spans="1:9" x14ac:dyDescent="0.3">
      <c r="A84" t="str">
        <f t="shared" si="27"/>
        <v>United States</v>
      </c>
      <c r="B84" t="str">
        <f t="shared" si="28"/>
        <v>Anaheim</v>
      </c>
      <c r="C84" t="str">
        <f t="shared" ref="C84:C90" si="33">C83</f>
        <v>Standard Class</v>
      </c>
      <c r="D84" t="str">
        <f t="shared" ref="D84:D87" si="34">D83</f>
        <v>Consumer</v>
      </c>
      <c r="E84" t="s">
        <v>20</v>
      </c>
      <c r="F84">
        <v>5</v>
      </c>
      <c r="G84">
        <v>0.2</v>
      </c>
      <c r="H84" s="2">
        <v>64.199999999999989</v>
      </c>
      <c r="I84" s="2">
        <v>171.20000000000002</v>
      </c>
    </row>
    <row r="85" spans="1:9" x14ac:dyDescent="0.3">
      <c r="A85" t="str">
        <f t="shared" si="27"/>
        <v>United States</v>
      </c>
      <c r="B85" t="str">
        <f t="shared" si="28"/>
        <v>Anaheim</v>
      </c>
      <c r="C85" t="str">
        <f t="shared" si="33"/>
        <v>Standard Class</v>
      </c>
      <c r="D85" t="str">
        <f t="shared" si="34"/>
        <v>Consumer</v>
      </c>
      <c r="E85" t="s">
        <v>24</v>
      </c>
      <c r="F85">
        <v>3</v>
      </c>
      <c r="G85">
        <v>0.2</v>
      </c>
      <c r="H85" s="2">
        <v>22.678200000000018</v>
      </c>
      <c r="I85" s="2">
        <v>302.37599999999998</v>
      </c>
    </row>
    <row r="86" spans="1:9" x14ac:dyDescent="0.3">
      <c r="A86" t="str">
        <f t="shared" si="27"/>
        <v>United States</v>
      </c>
      <c r="B86" t="str">
        <f t="shared" si="28"/>
        <v>Anaheim</v>
      </c>
      <c r="C86" t="str">
        <f t="shared" si="33"/>
        <v>Standard Class</v>
      </c>
      <c r="D86" t="str">
        <f t="shared" si="34"/>
        <v>Consumer</v>
      </c>
      <c r="E86" t="s">
        <v>14</v>
      </c>
      <c r="F86">
        <v>9</v>
      </c>
      <c r="G86">
        <v>0</v>
      </c>
      <c r="H86" s="2">
        <v>29.964600000000061</v>
      </c>
      <c r="I86" s="2">
        <v>998.82</v>
      </c>
    </row>
    <row r="87" spans="1:9" x14ac:dyDescent="0.3">
      <c r="A87" t="str">
        <f t="shared" si="27"/>
        <v>United States</v>
      </c>
      <c r="B87" t="str">
        <f t="shared" si="28"/>
        <v>Anaheim</v>
      </c>
      <c r="C87" t="str">
        <f t="shared" si="33"/>
        <v>Standard Class</v>
      </c>
      <c r="D87" t="str">
        <f t="shared" si="34"/>
        <v>Consumer</v>
      </c>
      <c r="E87" t="s">
        <v>9</v>
      </c>
      <c r="F87">
        <v>5</v>
      </c>
      <c r="G87">
        <v>0</v>
      </c>
      <c r="H87" s="2">
        <v>13.299000000000003</v>
      </c>
      <c r="I87" s="2">
        <v>51.150000000000006</v>
      </c>
    </row>
    <row r="88" spans="1:9" x14ac:dyDescent="0.3">
      <c r="A88" t="str">
        <f t="shared" si="27"/>
        <v>United States</v>
      </c>
      <c r="B88" t="str">
        <f t="shared" si="28"/>
        <v>Anaheim</v>
      </c>
      <c r="C88" t="str">
        <f t="shared" si="33"/>
        <v>Standard Class</v>
      </c>
      <c r="D88" t="s">
        <v>15</v>
      </c>
      <c r="E88" t="s">
        <v>21</v>
      </c>
      <c r="F88">
        <v>8</v>
      </c>
      <c r="G88">
        <v>0</v>
      </c>
      <c r="H88" s="2">
        <v>37.414400000000001</v>
      </c>
      <c r="I88" s="2">
        <v>101.12</v>
      </c>
    </row>
    <row r="89" spans="1:9" x14ac:dyDescent="0.3">
      <c r="A89" t="str">
        <f t="shared" si="27"/>
        <v>United States</v>
      </c>
      <c r="B89" t="str">
        <f t="shared" si="28"/>
        <v>Anaheim</v>
      </c>
      <c r="C89" t="str">
        <f t="shared" si="33"/>
        <v>Standard Class</v>
      </c>
      <c r="D89" t="str">
        <f t="shared" ref="D89:D90" si="35">D88</f>
        <v>Corporate</v>
      </c>
      <c r="E89" t="s">
        <v>14</v>
      </c>
      <c r="F89">
        <v>4</v>
      </c>
      <c r="G89">
        <v>0</v>
      </c>
      <c r="H89" s="2">
        <v>125.14319999999998</v>
      </c>
      <c r="I89" s="2">
        <v>481.32</v>
      </c>
    </row>
    <row r="90" spans="1:9" x14ac:dyDescent="0.3">
      <c r="A90" t="str">
        <f t="shared" si="27"/>
        <v>United States</v>
      </c>
      <c r="B90" t="str">
        <f t="shared" si="28"/>
        <v>Anaheim</v>
      </c>
      <c r="C90" t="str">
        <f t="shared" si="33"/>
        <v>Standard Class</v>
      </c>
      <c r="D90" t="str">
        <f t="shared" si="35"/>
        <v>Corporate</v>
      </c>
      <c r="E90" t="s">
        <v>9</v>
      </c>
      <c r="F90">
        <v>1</v>
      </c>
      <c r="G90">
        <v>0</v>
      </c>
      <c r="H90" s="2">
        <v>3.6348000000000003</v>
      </c>
      <c r="I90" s="2">
        <v>13.98</v>
      </c>
    </row>
    <row r="91" spans="1:9" x14ac:dyDescent="0.3">
      <c r="A91" t="str">
        <f t="shared" si="27"/>
        <v>United States</v>
      </c>
      <c r="B91" t="s">
        <v>36</v>
      </c>
      <c r="C91" t="s">
        <v>11</v>
      </c>
      <c r="D91" t="s">
        <v>8</v>
      </c>
      <c r="E91" t="s">
        <v>20</v>
      </c>
      <c r="F91">
        <v>4</v>
      </c>
      <c r="G91">
        <v>0</v>
      </c>
      <c r="H91" s="2">
        <v>23.309999999999995</v>
      </c>
      <c r="I91" s="2">
        <v>51.8</v>
      </c>
    </row>
    <row r="92" spans="1:9" x14ac:dyDescent="0.3">
      <c r="A92" t="str">
        <f t="shared" si="27"/>
        <v>United States</v>
      </c>
      <c r="B92" t="str">
        <f t="shared" ref="B92:B94" si="36">B91</f>
        <v>Andover</v>
      </c>
      <c r="C92" t="str">
        <f t="shared" ref="C92:C94" si="37">C91</f>
        <v>First Class</v>
      </c>
      <c r="D92" t="str">
        <f t="shared" ref="D92:D94" si="38">D91</f>
        <v>Consumer</v>
      </c>
      <c r="E92" t="s">
        <v>33</v>
      </c>
      <c r="F92">
        <v>5</v>
      </c>
      <c r="G92">
        <v>0</v>
      </c>
      <c r="H92" s="2">
        <v>88.725000000000023</v>
      </c>
      <c r="I92" s="2">
        <v>354.90000000000003</v>
      </c>
    </row>
    <row r="93" spans="1:9" x14ac:dyDescent="0.3">
      <c r="A93" t="str">
        <f t="shared" si="27"/>
        <v>United States</v>
      </c>
      <c r="B93" t="str">
        <f t="shared" si="36"/>
        <v>Andover</v>
      </c>
      <c r="C93" t="str">
        <f t="shared" si="37"/>
        <v>First Class</v>
      </c>
      <c r="D93" t="str">
        <f t="shared" si="38"/>
        <v>Consumer</v>
      </c>
      <c r="E93" t="s">
        <v>16</v>
      </c>
      <c r="F93">
        <v>3</v>
      </c>
      <c r="G93">
        <v>0</v>
      </c>
      <c r="H93" s="2">
        <v>8.7906000000000013</v>
      </c>
      <c r="I93" s="2">
        <v>17.940000000000001</v>
      </c>
    </row>
    <row r="94" spans="1:9" x14ac:dyDescent="0.3">
      <c r="A94" t="str">
        <f t="shared" si="27"/>
        <v>United States</v>
      </c>
      <c r="B94" t="str">
        <f t="shared" si="36"/>
        <v>Andover</v>
      </c>
      <c r="C94" t="str">
        <f t="shared" si="37"/>
        <v>First Class</v>
      </c>
      <c r="D94" t="str">
        <f t="shared" si="38"/>
        <v>Consumer</v>
      </c>
      <c r="E94" t="s">
        <v>14</v>
      </c>
      <c r="F94">
        <v>1</v>
      </c>
      <c r="G94">
        <v>0</v>
      </c>
      <c r="H94" s="2">
        <v>3.3629999999999995</v>
      </c>
      <c r="I94" s="2">
        <v>11.21</v>
      </c>
    </row>
    <row r="95" spans="1:9" x14ac:dyDescent="0.3">
      <c r="A95" t="str">
        <f t="shared" si="27"/>
        <v>United States</v>
      </c>
      <c r="B95" t="s">
        <v>37</v>
      </c>
      <c r="C95" t="s">
        <v>11</v>
      </c>
      <c r="D95" t="s">
        <v>17</v>
      </c>
      <c r="E95" t="s">
        <v>20</v>
      </c>
      <c r="F95">
        <v>5</v>
      </c>
      <c r="G95">
        <v>0</v>
      </c>
      <c r="H95" s="2">
        <v>76.399999999999991</v>
      </c>
      <c r="I95" s="2">
        <v>152.79999999999998</v>
      </c>
    </row>
    <row r="96" spans="1:9" x14ac:dyDescent="0.3">
      <c r="A96" t="str">
        <f t="shared" si="27"/>
        <v>United States</v>
      </c>
      <c r="B96" t="str">
        <f t="shared" ref="B96:B99" si="39">B95</f>
        <v>Ann Arbor</v>
      </c>
      <c r="C96" t="s">
        <v>7</v>
      </c>
      <c r="D96" t="s">
        <v>15</v>
      </c>
      <c r="E96" t="s">
        <v>23</v>
      </c>
      <c r="F96">
        <v>5</v>
      </c>
      <c r="G96">
        <v>0</v>
      </c>
      <c r="H96" s="2">
        <v>111.59099999999995</v>
      </c>
      <c r="I96" s="2">
        <v>619.94999999999993</v>
      </c>
    </row>
    <row r="97" spans="1:9" x14ac:dyDescent="0.3">
      <c r="A97" t="str">
        <f t="shared" si="27"/>
        <v>United States</v>
      </c>
      <c r="B97" t="str">
        <f t="shared" si="39"/>
        <v>Ann Arbor</v>
      </c>
      <c r="C97" t="str">
        <f t="shared" ref="C97:C99" si="40">C96</f>
        <v>Second Class</v>
      </c>
      <c r="D97" t="str">
        <f t="shared" ref="D97:D99" si="41">D96</f>
        <v>Corporate</v>
      </c>
      <c r="E97" t="s">
        <v>12</v>
      </c>
      <c r="F97">
        <v>3</v>
      </c>
      <c r="G97">
        <v>0.1</v>
      </c>
      <c r="H97" s="2">
        <v>5.2272000000000007</v>
      </c>
      <c r="I97" s="2">
        <v>29.402999999999999</v>
      </c>
    </row>
    <row r="98" spans="1:9" x14ac:dyDescent="0.3">
      <c r="A98" t="str">
        <f t="shared" si="27"/>
        <v>United States</v>
      </c>
      <c r="B98" t="str">
        <f t="shared" si="39"/>
        <v>Ann Arbor</v>
      </c>
      <c r="C98" t="str">
        <f t="shared" si="40"/>
        <v>Second Class</v>
      </c>
      <c r="D98" t="str">
        <f t="shared" si="41"/>
        <v>Corporate</v>
      </c>
      <c r="E98" t="s">
        <v>38</v>
      </c>
      <c r="F98">
        <v>7</v>
      </c>
      <c r="G98">
        <v>0</v>
      </c>
      <c r="H98" s="2">
        <v>27.241199999999996</v>
      </c>
      <c r="I98" s="2">
        <v>57.959999999999994</v>
      </c>
    </row>
    <row r="99" spans="1:9" x14ac:dyDescent="0.3">
      <c r="A99" t="str">
        <f t="shared" si="27"/>
        <v>United States</v>
      </c>
      <c r="B99" t="str">
        <f t="shared" si="39"/>
        <v>Ann Arbor</v>
      </c>
      <c r="C99" t="str">
        <f t="shared" si="40"/>
        <v>Second Class</v>
      </c>
      <c r="D99" t="str">
        <f t="shared" si="41"/>
        <v>Corporate</v>
      </c>
      <c r="E99" t="s">
        <v>24</v>
      </c>
      <c r="F99">
        <v>3</v>
      </c>
      <c r="G99">
        <v>0</v>
      </c>
      <c r="H99" s="2">
        <v>8.4563999999999986</v>
      </c>
      <c r="I99" s="2">
        <v>29.160000000000004</v>
      </c>
    </row>
    <row r="100" spans="1:9" x14ac:dyDescent="0.3">
      <c r="A100" t="str">
        <f t="shared" si="27"/>
        <v>United States</v>
      </c>
      <c r="B100" t="s">
        <v>39</v>
      </c>
      <c r="C100" t="s">
        <v>11</v>
      </c>
      <c r="D100" t="s">
        <v>15</v>
      </c>
      <c r="E100" t="s">
        <v>16</v>
      </c>
      <c r="F100">
        <v>3</v>
      </c>
      <c r="G100">
        <v>0</v>
      </c>
      <c r="H100" s="2">
        <v>9.3312000000000008</v>
      </c>
      <c r="I100" s="2">
        <v>19.440000000000001</v>
      </c>
    </row>
    <row r="101" spans="1:9" x14ac:dyDescent="0.3">
      <c r="A101" t="str">
        <f t="shared" si="27"/>
        <v>United States</v>
      </c>
      <c r="B101" t="s">
        <v>40</v>
      </c>
      <c r="C101" t="s">
        <v>27</v>
      </c>
      <c r="D101" t="s">
        <v>8</v>
      </c>
      <c r="E101" t="s">
        <v>38</v>
      </c>
      <c r="F101">
        <v>7</v>
      </c>
      <c r="G101">
        <v>0.2</v>
      </c>
      <c r="H101" s="2">
        <v>16.518599999999999</v>
      </c>
      <c r="I101" s="2">
        <v>48.944000000000003</v>
      </c>
    </row>
    <row r="102" spans="1:9" x14ac:dyDescent="0.3">
      <c r="A102" t="str">
        <f t="shared" si="27"/>
        <v>United States</v>
      </c>
      <c r="B102" t="str">
        <f t="shared" ref="B102:B106" si="42">B101</f>
        <v>Apopka</v>
      </c>
      <c r="C102" t="str">
        <f t="shared" ref="C102:C103" si="43">C101</f>
        <v>Same Day</v>
      </c>
      <c r="D102" t="str">
        <f t="shared" ref="D102:D103" si="44">D101</f>
        <v>Consumer</v>
      </c>
      <c r="E102" t="s">
        <v>18</v>
      </c>
      <c r="F102">
        <v>5</v>
      </c>
      <c r="G102">
        <v>0.2</v>
      </c>
      <c r="H102" s="2">
        <v>5.1910000000000007</v>
      </c>
      <c r="I102" s="2">
        <v>14.320000000000002</v>
      </c>
    </row>
    <row r="103" spans="1:9" x14ac:dyDescent="0.3">
      <c r="A103" t="str">
        <f t="shared" si="27"/>
        <v>United States</v>
      </c>
      <c r="B103" t="str">
        <f t="shared" si="42"/>
        <v>Apopka</v>
      </c>
      <c r="C103" t="str">
        <f t="shared" si="43"/>
        <v>Same Day</v>
      </c>
      <c r="D103" t="str">
        <f t="shared" si="44"/>
        <v>Consumer</v>
      </c>
      <c r="E103" t="s">
        <v>21</v>
      </c>
      <c r="F103">
        <v>6</v>
      </c>
      <c r="G103">
        <v>0.2</v>
      </c>
      <c r="H103" s="2">
        <v>12.988799999999991</v>
      </c>
      <c r="I103" s="2">
        <v>129.88800000000001</v>
      </c>
    </row>
    <row r="104" spans="1:9" x14ac:dyDescent="0.3">
      <c r="A104" t="str">
        <f t="shared" si="27"/>
        <v>United States</v>
      </c>
      <c r="B104" t="str">
        <f t="shared" si="42"/>
        <v>Apopka</v>
      </c>
      <c r="C104" t="s">
        <v>22</v>
      </c>
      <c r="D104" t="s">
        <v>15</v>
      </c>
      <c r="E104" t="s">
        <v>20</v>
      </c>
      <c r="F104">
        <v>8</v>
      </c>
      <c r="G104">
        <v>1.4</v>
      </c>
      <c r="H104" s="2">
        <v>-23.77920000000001</v>
      </c>
      <c r="I104" s="2">
        <v>29.97000000000001</v>
      </c>
    </row>
    <row r="105" spans="1:9" x14ac:dyDescent="0.3">
      <c r="A105" t="str">
        <f t="shared" si="27"/>
        <v>United States</v>
      </c>
      <c r="B105" t="str">
        <f t="shared" si="42"/>
        <v>Apopka</v>
      </c>
      <c r="C105" t="str">
        <f t="shared" ref="C105:C106" si="45">C104</f>
        <v>Standard Class</v>
      </c>
      <c r="D105" t="s">
        <v>17</v>
      </c>
      <c r="E105" t="s">
        <v>12</v>
      </c>
      <c r="F105">
        <v>3</v>
      </c>
      <c r="G105">
        <v>0.2</v>
      </c>
      <c r="H105" s="2">
        <v>50.36579999999995</v>
      </c>
      <c r="I105" s="2">
        <v>671.5440000000001</v>
      </c>
    </row>
    <row r="106" spans="1:9" x14ac:dyDescent="0.3">
      <c r="A106" t="str">
        <f t="shared" si="27"/>
        <v>United States</v>
      </c>
      <c r="B106" t="str">
        <f t="shared" si="42"/>
        <v>Apopka</v>
      </c>
      <c r="C106" t="str">
        <f t="shared" si="45"/>
        <v>Standard Class</v>
      </c>
      <c r="D106" t="str">
        <f>D105</f>
        <v>Home Office</v>
      </c>
      <c r="E106" t="s">
        <v>20</v>
      </c>
      <c r="F106">
        <v>2</v>
      </c>
      <c r="G106">
        <v>0.7</v>
      </c>
      <c r="H106" s="2">
        <v>-6.921599999999998</v>
      </c>
      <c r="I106" s="2">
        <v>9.8880000000000017</v>
      </c>
    </row>
    <row r="107" spans="1:9" x14ac:dyDescent="0.3">
      <c r="A107" t="str">
        <f t="shared" si="27"/>
        <v>United States</v>
      </c>
      <c r="B107" t="s">
        <v>41</v>
      </c>
      <c r="C107" t="s">
        <v>11</v>
      </c>
      <c r="D107" t="s">
        <v>17</v>
      </c>
      <c r="E107" t="s">
        <v>16</v>
      </c>
      <c r="F107">
        <v>2</v>
      </c>
      <c r="G107">
        <v>0</v>
      </c>
      <c r="H107" s="2">
        <v>6.2208000000000006</v>
      </c>
      <c r="I107" s="2">
        <v>12.96</v>
      </c>
    </row>
    <row r="108" spans="1:9" x14ac:dyDescent="0.3">
      <c r="A108" t="str">
        <f t="shared" si="27"/>
        <v>United States</v>
      </c>
      <c r="B108" t="str">
        <f t="shared" ref="B108:B115" si="46">B107</f>
        <v>Apple Valley</v>
      </c>
      <c r="C108" t="str">
        <f>C107</f>
        <v>First Class</v>
      </c>
      <c r="D108" t="str">
        <f>D107</f>
        <v>Home Office</v>
      </c>
      <c r="E108" t="s">
        <v>24</v>
      </c>
      <c r="F108">
        <v>3</v>
      </c>
      <c r="G108">
        <v>0.2</v>
      </c>
      <c r="H108" s="2">
        <v>15.111599999999999</v>
      </c>
      <c r="I108" s="2">
        <v>43.176000000000002</v>
      </c>
    </row>
    <row r="109" spans="1:9" x14ac:dyDescent="0.3">
      <c r="A109" t="str">
        <f t="shared" si="27"/>
        <v>United States</v>
      </c>
      <c r="B109" t="str">
        <f t="shared" si="46"/>
        <v>Apple Valley</v>
      </c>
      <c r="C109" t="s">
        <v>7</v>
      </c>
      <c r="D109" t="s">
        <v>15</v>
      </c>
      <c r="E109" t="s">
        <v>34</v>
      </c>
      <c r="F109">
        <v>5</v>
      </c>
      <c r="G109">
        <v>0.15</v>
      </c>
      <c r="H109" s="2">
        <v>210.73499999999993</v>
      </c>
      <c r="I109" s="2">
        <v>1194.165</v>
      </c>
    </row>
    <row r="110" spans="1:9" x14ac:dyDescent="0.3">
      <c r="A110" t="str">
        <f t="shared" si="27"/>
        <v>United States</v>
      </c>
      <c r="B110" t="str">
        <f t="shared" si="46"/>
        <v>Apple Valley</v>
      </c>
      <c r="C110" t="str">
        <f t="shared" ref="C110:C112" si="47">C109</f>
        <v>Second Class</v>
      </c>
      <c r="D110" t="str">
        <f t="shared" ref="D110:D112" si="48">D109</f>
        <v>Corporate</v>
      </c>
      <c r="E110" t="s">
        <v>38</v>
      </c>
      <c r="F110">
        <v>5</v>
      </c>
      <c r="G110">
        <v>0</v>
      </c>
      <c r="H110" s="2">
        <v>28.95</v>
      </c>
      <c r="I110" s="2">
        <v>57.9</v>
      </c>
    </row>
    <row r="111" spans="1:9" x14ac:dyDescent="0.3">
      <c r="A111" t="str">
        <f t="shared" si="27"/>
        <v>United States</v>
      </c>
      <c r="B111" t="str">
        <f t="shared" si="46"/>
        <v>Apple Valley</v>
      </c>
      <c r="C111" t="str">
        <f t="shared" si="47"/>
        <v>Second Class</v>
      </c>
      <c r="D111" t="str">
        <f t="shared" si="48"/>
        <v>Corporate</v>
      </c>
      <c r="E111" t="s">
        <v>16</v>
      </c>
      <c r="F111">
        <v>5</v>
      </c>
      <c r="G111">
        <v>0</v>
      </c>
      <c r="H111" s="2">
        <v>15.552000000000001</v>
      </c>
      <c r="I111" s="2">
        <v>32.400000000000006</v>
      </c>
    </row>
    <row r="112" spans="1:9" x14ac:dyDescent="0.3">
      <c r="A112" t="str">
        <f t="shared" si="27"/>
        <v>United States</v>
      </c>
      <c r="B112" t="str">
        <f t="shared" si="46"/>
        <v>Apple Valley</v>
      </c>
      <c r="C112" t="str">
        <f t="shared" si="47"/>
        <v>Second Class</v>
      </c>
      <c r="D112" t="str">
        <f t="shared" si="48"/>
        <v>Corporate</v>
      </c>
      <c r="E112" t="s">
        <v>14</v>
      </c>
      <c r="F112">
        <v>2</v>
      </c>
      <c r="G112">
        <v>0</v>
      </c>
      <c r="H112" s="2">
        <v>0</v>
      </c>
      <c r="I112" s="2">
        <v>10.56</v>
      </c>
    </row>
    <row r="113" spans="1:9" x14ac:dyDescent="0.3">
      <c r="A113" t="str">
        <f t="shared" si="27"/>
        <v>United States</v>
      </c>
      <c r="B113" t="str">
        <f t="shared" si="46"/>
        <v>Apple Valley</v>
      </c>
      <c r="C113" t="s">
        <v>22</v>
      </c>
      <c r="D113" t="s">
        <v>8</v>
      </c>
      <c r="E113" t="s">
        <v>19</v>
      </c>
      <c r="F113">
        <v>3</v>
      </c>
      <c r="G113">
        <v>0</v>
      </c>
      <c r="H113" s="2">
        <v>2.5055999999999998</v>
      </c>
      <c r="I113" s="2">
        <v>8.64</v>
      </c>
    </row>
    <row r="114" spans="1:9" x14ac:dyDescent="0.3">
      <c r="A114" t="str">
        <f t="shared" si="27"/>
        <v>United States</v>
      </c>
      <c r="B114" t="str">
        <f t="shared" si="46"/>
        <v>Apple Valley</v>
      </c>
      <c r="C114" t="str">
        <f t="shared" ref="C114:C115" si="49">C113</f>
        <v>Standard Class</v>
      </c>
      <c r="D114" t="str">
        <f t="shared" ref="D114:D115" si="50">D113</f>
        <v>Consumer</v>
      </c>
      <c r="E114" t="s">
        <v>33</v>
      </c>
      <c r="F114">
        <v>5</v>
      </c>
      <c r="G114">
        <v>0.2</v>
      </c>
      <c r="H114" s="2">
        <v>7.0489999999999498</v>
      </c>
      <c r="I114" s="2">
        <v>563.91999999999996</v>
      </c>
    </row>
    <row r="115" spans="1:9" x14ac:dyDescent="0.3">
      <c r="A115" t="str">
        <f t="shared" si="27"/>
        <v>United States</v>
      </c>
      <c r="B115" t="str">
        <f t="shared" si="46"/>
        <v>Apple Valley</v>
      </c>
      <c r="C115" t="str">
        <f t="shared" si="49"/>
        <v>Standard Class</v>
      </c>
      <c r="D115" t="str">
        <f t="shared" si="50"/>
        <v>Consumer</v>
      </c>
      <c r="E115" t="s">
        <v>14</v>
      </c>
      <c r="F115">
        <v>2</v>
      </c>
      <c r="G115">
        <v>0</v>
      </c>
      <c r="H115" s="2">
        <v>6.4649999999999892</v>
      </c>
      <c r="I115" s="2">
        <v>129.30000000000001</v>
      </c>
    </row>
    <row r="116" spans="1:9" x14ac:dyDescent="0.3">
      <c r="A116" t="str">
        <f t="shared" si="27"/>
        <v>United States</v>
      </c>
      <c r="B116" t="s">
        <v>42</v>
      </c>
      <c r="C116" t="s">
        <v>11</v>
      </c>
      <c r="D116" t="s">
        <v>17</v>
      </c>
      <c r="E116" t="s">
        <v>43</v>
      </c>
      <c r="F116">
        <v>7</v>
      </c>
      <c r="G116">
        <v>0</v>
      </c>
      <c r="H116" s="2">
        <v>10.348799999999999</v>
      </c>
      <c r="I116" s="2">
        <v>21.560000000000002</v>
      </c>
    </row>
    <row r="117" spans="1:9" x14ac:dyDescent="0.3">
      <c r="A117" t="str">
        <f t="shared" si="27"/>
        <v>United States</v>
      </c>
      <c r="B117" t="str">
        <f>B116</f>
        <v>Appleton</v>
      </c>
      <c r="C117" t="s">
        <v>22</v>
      </c>
      <c r="D117" t="s">
        <v>8</v>
      </c>
      <c r="E117" t="s">
        <v>23</v>
      </c>
      <c r="F117">
        <v>5</v>
      </c>
      <c r="G117">
        <v>0</v>
      </c>
      <c r="H117" s="2">
        <v>544.41749999999979</v>
      </c>
      <c r="I117" s="2">
        <v>1649.75</v>
      </c>
    </row>
    <row r="118" spans="1:9" x14ac:dyDescent="0.3">
      <c r="A118" t="str">
        <f t="shared" si="27"/>
        <v>United States</v>
      </c>
      <c r="B118" t="s">
        <v>44</v>
      </c>
      <c r="C118" t="s">
        <v>11</v>
      </c>
      <c r="D118" t="s">
        <v>8</v>
      </c>
      <c r="E118" t="s">
        <v>19</v>
      </c>
      <c r="F118">
        <v>9</v>
      </c>
      <c r="G118">
        <v>0.2</v>
      </c>
      <c r="H118" s="2">
        <v>20.600699999999996</v>
      </c>
      <c r="I118" s="2">
        <v>68.477999999999994</v>
      </c>
    </row>
    <row r="119" spans="1:9" x14ac:dyDescent="0.3">
      <c r="A119" t="str">
        <f t="shared" si="27"/>
        <v>United States</v>
      </c>
      <c r="B119" t="str">
        <f t="shared" ref="B119:B158" si="51">B118</f>
        <v>Arlington</v>
      </c>
      <c r="C119" t="str">
        <f t="shared" ref="C119:C129" si="52">C118</f>
        <v>First Class</v>
      </c>
      <c r="D119" t="str">
        <f t="shared" ref="D119:D120" si="53">D118</f>
        <v>Consumer</v>
      </c>
      <c r="E119" t="s">
        <v>34</v>
      </c>
      <c r="F119">
        <v>3</v>
      </c>
      <c r="G119">
        <v>0</v>
      </c>
      <c r="H119" s="2">
        <v>79.193399999999968</v>
      </c>
      <c r="I119" s="2">
        <v>359.96999999999997</v>
      </c>
    </row>
    <row r="120" spans="1:9" x14ac:dyDescent="0.3">
      <c r="A120" t="str">
        <f t="shared" si="27"/>
        <v>United States</v>
      </c>
      <c r="B120" t="str">
        <f t="shared" si="51"/>
        <v>Arlington</v>
      </c>
      <c r="C120" t="str">
        <f t="shared" si="52"/>
        <v>First Class</v>
      </c>
      <c r="D120" t="str">
        <f t="shared" si="53"/>
        <v>Consumer</v>
      </c>
      <c r="E120" t="s">
        <v>14</v>
      </c>
      <c r="F120">
        <v>2</v>
      </c>
      <c r="G120">
        <v>0.2</v>
      </c>
      <c r="H120" s="2">
        <v>-2.9739999999999966</v>
      </c>
      <c r="I120" s="2">
        <v>47.584000000000003</v>
      </c>
    </row>
    <row r="121" spans="1:9" x14ac:dyDescent="0.3">
      <c r="A121" t="str">
        <f t="shared" si="27"/>
        <v>United States</v>
      </c>
      <c r="B121" t="str">
        <f t="shared" si="51"/>
        <v>Arlington</v>
      </c>
      <c r="C121" t="str">
        <f t="shared" si="52"/>
        <v>First Class</v>
      </c>
      <c r="D121" t="s">
        <v>15</v>
      </c>
      <c r="E121" t="s">
        <v>12</v>
      </c>
      <c r="F121">
        <v>5</v>
      </c>
      <c r="G121">
        <v>0.8</v>
      </c>
      <c r="H121" s="2">
        <v>-90.774000000000029</v>
      </c>
      <c r="I121" s="2">
        <v>33.61999999999999</v>
      </c>
    </row>
    <row r="122" spans="1:9" x14ac:dyDescent="0.3">
      <c r="A122" t="str">
        <f t="shared" si="27"/>
        <v>United States</v>
      </c>
      <c r="B122" t="str">
        <f t="shared" si="51"/>
        <v>Arlington</v>
      </c>
      <c r="C122" t="str">
        <f t="shared" si="52"/>
        <v>First Class</v>
      </c>
      <c r="D122" t="str">
        <f t="shared" ref="D122:D128" si="54">D121</f>
        <v>Corporate</v>
      </c>
      <c r="E122" t="s">
        <v>20</v>
      </c>
      <c r="F122">
        <v>9</v>
      </c>
      <c r="G122">
        <v>0.8</v>
      </c>
      <c r="H122" s="2">
        <v>-62.839600000000019</v>
      </c>
      <c r="I122" s="2">
        <v>54.495999999999995</v>
      </c>
    </row>
    <row r="123" spans="1:9" x14ac:dyDescent="0.3">
      <c r="A123" t="str">
        <f t="shared" si="27"/>
        <v>United States</v>
      </c>
      <c r="B123" t="str">
        <f t="shared" si="51"/>
        <v>Arlington</v>
      </c>
      <c r="C123" t="str">
        <f t="shared" si="52"/>
        <v>First Class</v>
      </c>
      <c r="D123" t="str">
        <f t="shared" si="54"/>
        <v>Corporate</v>
      </c>
      <c r="E123" t="s">
        <v>33</v>
      </c>
      <c r="F123">
        <v>5</v>
      </c>
      <c r="G123">
        <v>0.3</v>
      </c>
      <c r="H123" s="2">
        <v>-39.636999999999993</v>
      </c>
      <c r="I123" s="2">
        <v>213.42999999999995</v>
      </c>
    </row>
    <row r="124" spans="1:9" x14ac:dyDescent="0.3">
      <c r="A124" t="str">
        <f t="shared" si="27"/>
        <v>United States</v>
      </c>
      <c r="B124" t="str">
        <f t="shared" si="51"/>
        <v>Arlington</v>
      </c>
      <c r="C124" t="str">
        <f t="shared" si="52"/>
        <v>First Class</v>
      </c>
      <c r="D124" t="str">
        <f t="shared" si="54"/>
        <v>Corporate</v>
      </c>
      <c r="E124" t="s">
        <v>45</v>
      </c>
      <c r="F124">
        <v>2</v>
      </c>
      <c r="G124">
        <v>0.2</v>
      </c>
      <c r="H124" s="2">
        <v>107.99459999999999</v>
      </c>
      <c r="I124" s="2">
        <v>319.98400000000004</v>
      </c>
    </row>
    <row r="125" spans="1:9" x14ac:dyDescent="0.3">
      <c r="A125" t="str">
        <f t="shared" si="27"/>
        <v>United States</v>
      </c>
      <c r="B125" t="str">
        <f t="shared" si="51"/>
        <v>Arlington</v>
      </c>
      <c r="C125" t="str">
        <f t="shared" si="52"/>
        <v>First Class</v>
      </c>
      <c r="D125" t="str">
        <f t="shared" si="54"/>
        <v>Corporate</v>
      </c>
      <c r="E125" t="s">
        <v>18</v>
      </c>
      <c r="F125">
        <v>5</v>
      </c>
      <c r="G125">
        <v>0.2</v>
      </c>
      <c r="H125" s="2">
        <v>15.498000000000001</v>
      </c>
      <c r="I125" s="2">
        <v>45.92</v>
      </c>
    </row>
    <row r="126" spans="1:9" x14ac:dyDescent="0.3">
      <c r="A126" t="str">
        <f t="shared" si="27"/>
        <v>United States</v>
      </c>
      <c r="B126" t="str">
        <f t="shared" si="51"/>
        <v>Arlington</v>
      </c>
      <c r="C126" t="str">
        <f t="shared" si="52"/>
        <v>First Class</v>
      </c>
      <c r="D126" t="str">
        <f t="shared" si="54"/>
        <v>Corporate</v>
      </c>
      <c r="E126" t="s">
        <v>21</v>
      </c>
      <c r="F126">
        <v>2</v>
      </c>
      <c r="G126">
        <v>0.6</v>
      </c>
      <c r="H126" s="2">
        <v>-11.651199999999999</v>
      </c>
      <c r="I126" s="2">
        <v>21.184000000000001</v>
      </c>
    </row>
    <row r="127" spans="1:9" x14ac:dyDescent="0.3">
      <c r="A127" t="str">
        <f t="shared" si="27"/>
        <v>United States</v>
      </c>
      <c r="B127" t="str">
        <f t="shared" si="51"/>
        <v>Arlington</v>
      </c>
      <c r="C127" t="str">
        <f t="shared" si="52"/>
        <v>First Class</v>
      </c>
      <c r="D127" t="str">
        <f t="shared" si="54"/>
        <v>Corporate</v>
      </c>
      <c r="E127" t="s">
        <v>16</v>
      </c>
      <c r="F127">
        <v>5</v>
      </c>
      <c r="G127">
        <v>0.2</v>
      </c>
      <c r="H127" s="2">
        <v>23.914399999999997</v>
      </c>
      <c r="I127" s="2">
        <v>56.176000000000002</v>
      </c>
    </row>
    <row r="128" spans="1:9" x14ac:dyDescent="0.3">
      <c r="A128" t="str">
        <f t="shared" si="27"/>
        <v>United States</v>
      </c>
      <c r="B128" t="str">
        <f t="shared" si="51"/>
        <v>Arlington</v>
      </c>
      <c r="C128" t="str">
        <f t="shared" si="52"/>
        <v>First Class</v>
      </c>
      <c r="D128" t="str">
        <f t="shared" si="54"/>
        <v>Corporate</v>
      </c>
      <c r="E128" t="s">
        <v>14</v>
      </c>
      <c r="F128">
        <v>7</v>
      </c>
      <c r="G128">
        <v>0</v>
      </c>
      <c r="H128" s="2">
        <v>22.527000000000001</v>
      </c>
      <c r="I128" s="2">
        <v>87.85</v>
      </c>
    </row>
    <row r="129" spans="1:9" x14ac:dyDescent="0.3">
      <c r="A129" t="str">
        <f t="shared" si="27"/>
        <v>United States</v>
      </c>
      <c r="B129" t="str">
        <f t="shared" si="51"/>
        <v>Arlington</v>
      </c>
      <c r="C129" t="str">
        <f t="shared" si="52"/>
        <v>First Class</v>
      </c>
      <c r="D129" t="s">
        <v>17</v>
      </c>
      <c r="E129" t="s">
        <v>20</v>
      </c>
      <c r="F129">
        <v>1</v>
      </c>
      <c r="G129">
        <v>0</v>
      </c>
      <c r="H129" s="2">
        <v>4.8023999999999996</v>
      </c>
      <c r="I129" s="2">
        <v>10.44</v>
      </c>
    </row>
    <row r="130" spans="1:9" x14ac:dyDescent="0.3">
      <c r="A130" t="str">
        <f t="shared" si="27"/>
        <v>United States</v>
      </c>
      <c r="B130" t="str">
        <f t="shared" si="51"/>
        <v>Arlington</v>
      </c>
      <c r="C130" t="s">
        <v>7</v>
      </c>
      <c r="D130" t="s">
        <v>8</v>
      </c>
      <c r="E130" t="s">
        <v>20</v>
      </c>
      <c r="F130">
        <v>11</v>
      </c>
      <c r="G130">
        <v>0</v>
      </c>
      <c r="H130" s="2">
        <v>44.902999999999999</v>
      </c>
      <c r="I130" s="2">
        <v>94.45</v>
      </c>
    </row>
    <row r="131" spans="1:9" x14ac:dyDescent="0.3">
      <c r="A131" t="str">
        <f t="shared" si="27"/>
        <v>United States</v>
      </c>
      <c r="B131" t="str">
        <f t="shared" si="51"/>
        <v>Arlington</v>
      </c>
      <c r="C131" t="str">
        <f t="shared" ref="C131:C139" si="55">C130</f>
        <v>Second Class</v>
      </c>
      <c r="D131" t="str">
        <f t="shared" ref="D131:D134" si="56">D130</f>
        <v>Consumer</v>
      </c>
      <c r="E131" t="s">
        <v>21</v>
      </c>
      <c r="F131">
        <v>7</v>
      </c>
      <c r="G131">
        <v>0</v>
      </c>
      <c r="H131" s="2">
        <v>7.1021999999999998</v>
      </c>
      <c r="I131" s="2">
        <v>18.689999999999998</v>
      </c>
    </row>
    <row r="132" spans="1:9" x14ac:dyDescent="0.3">
      <c r="A132" t="str">
        <f t="shared" ref="A132:A195" si="57">A131</f>
        <v>United States</v>
      </c>
      <c r="B132" t="str">
        <f t="shared" si="51"/>
        <v>Arlington</v>
      </c>
      <c r="C132" t="str">
        <f t="shared" si="55"/>
        <v>Second Class</v>
      </c>
      <c r="D132" t="str">
        <f t="shared" si="56"/>
        <v>Consumer</v>
      </c>
      <c r="E132" t="s">
        <v>46</v>
      </c>
      <c r="F132">
        <v>5</v>
      </c>
      <c r="G132">
        <v>0</v>
      </c>
      <c r="H132" s="2">
        <v>2799.9839999999995</v>
      </c>
      <c r="I132" s="2">
        <v>8749.9500000000007</v>
      </c>
    </row>
    <row r="133" spans="1:9" x14ac:dyDescent="0.3">
      <c r="A133" t="str">
        <f t="shared" si="57"/>
        <v>United States</v>
      </c>
      <c r="B133" t="str">
        <f t="shared" si="51"/>
        <v>Arlington</v>
      </c>
      <c r="C133" t="str">
        <f t="shared" si="55"/>
        <v>Second Class</v>
      </c>
      <c r="D133" t="str">
        <f t="shared" si="56"/>
        <v>Consumer</v>
      </c>
      <c r="E133" t="s">
        <v>16</v>
      </c>
      <c r="F133">
        <v>11</v>
      </c>
      <c r="G133">
        <v>0</v>
      </c>
      <c r="H133" s="2">
        <v>34.214400000000005</v>
      </c>
      <c r="I133" s="2">
        <v>71.28</v>
      </c>
    </row>
    <row r="134" spans="1:9" x14ac:dyDescent="0.3">
      <c r="A134" t="str">
        <f t="shared" si="57"/>
        <v>United States</v>
      </c>
      <c r="B134" t="str">
        <f t="shared" si="51"/>
        <v>Arlington</v>
      </c>
      <c r="C134" t="str">
        <f t="shared" si="55"/>
        <v>Second Class</v>
      </c>
      <c r="D134" t="str">
        <f t="shared" si="56"/>
        <v>Consumer</v>
      </c>
      <c r="E134" t="s">
        <v>24</v>
      </c>
      <c r="F134">
        <v>6</v>
      </c>
      <c r="G134">
        <v>0</v>
      </c>
      <c r="H134" s="2">
        <v>50.442599999999977</v>
      </c>
      <c r="I134" s="2">
        <v>173.94</v>
      </c>
    </row>
    <row r="135" spans="1:9" x14ac:dyDescent="0.3">
      <c r="A135" t="str">
        <f t="shared" si="57"/>
        <v>United States</v>
      </c>
      <c r="B135" t="str">
        <f t="shared" si="51"/>
        <v>Arlington</v>
      </c>
      <c r="C135" t="str">
        <f t="shared" si="55"/>
        <v>Second Class</v>
      </c>
      <c r="D135" t="s">
        <v>15</v>
      </c>
      <c r="E135" t="s">
        <v>19</v>
      </c>
      <c r="F135">
        <v>3</v>
      </c>
      <c r="G135">
        <v>0.2</v>
      </c>
      <c r="H135" s="2">
        <v>3.571200000000001</v>
      </c>
      <c r="I135" s="2">
        <v>47.616</v>
      </c>
    </row>
    <row r="136" spans="1:9" x14ac:dyDescent="0.3">
      <c r="A136" t="str">
        <f t="shared" si="57"/>
        <v>United States</v>
      </c>
      <c r="B136" t="str">
        <f t="shared" si="51"/>
        <v>Arlington</v>
      </c>
      <c r="C136" t="str">
        <f t="shared" si="55"/>
        <v>Second Class</v>
      </c>
      <c r="D136" t="str">
        <f>D135</f>
        <v>Corporate</v>
      </c>
      <c r="E136" t="s">
        <v>24</v>
      </c>
      <c r="F136">
        <v>9</v>
      </c>
      <c r="G136">
        <v>0.2</v>
      </c>
      <c r="H136" s="2">
        <v>107.95499999999998</v>
      </c>
      <c r="I136" s="2">
        <v>863.6400000000001</v>
      </c>
    </row>
    <row r="137" spans="1:9" x14ac:dyDescent="0.3">
      <c r="A137" t="str">
        <f t="shared" si="57"/>
        <v>United States</v>
      </c>
      <c r="B137" t="str">
        <f t="shared" si="51"/>
        <v>Arlington</v>
      </c>
      <c r="C137" t="str">
        <f t="shared" si="55"/>
        <v>Second Class</v>
      </c>
      <c r="D137" t="s">
        <v>17</v>
      </c>
      <c r="E137" t="s">
        <v>34</v>
      </c>
      <c r="F137">
        <v>2</v>
      </c>
      <c r="G137">
        <v>0</v>
      </c>
      <c r="H137" s="2">
        <v>4.3371999999999957</v>
      </c>
      <c r="I137" s="2">
        <v>61.96</v>
      </c>
    </row>
    <row r="138" spans="1:9" x14ac:dyDescent="0.3">
      <c r="A138" t="str">
        <f t="shared" si="57"/>
        <v>United States</v>
      </c>
      <c r="B138" t="str">
        <f t="shared" si="51"/>
        <v>Arlington</v>
      </c>
      <c r="C138" t="str">
        <f t="shared" si="55"/>
        <v>Second Class</v>
      </c>
      <c r="D138" t="str">
        <f t="shared" ref="D138:D139" si="58">D137</f>
        <v>Home Office</v>
      </c>
      <c r="E138" t="s">
        <v>21</v>
      </c>
      <c r="F138">
        <v>2</v>
      </c>
      <c r="G138">
        <v>0</v>
      </c>
      <c r="H138" s="2">
        <v>11.035399999999996</v>
      </c>
      <c r="I138" s="2">
        <v>47.98</v>
      </c>
    </row>
    <row r="139" spans="1:9" x14ac:dyDescent="0.3">
      <c r="A139" t="str">
        <f t="shared" si="57"/>
        <v>United States</v>
      </c>
      <c r="B139" t="str">
        <f t="shared" si="51"/>
        <v>Arlington</v>
      </c>
      <c r="C139" t="str">
        <f t="shared" si="55"/>
        <v>Second Class</v>
      </c>
      <c r="D139" t="str">
        <f t="shared" si="58"/>
        <v>Home Office</v>
      </c>
      <c r="E139" t="s">
        <v>16</v>
      </c>
      <c r="F139">
        <v>5</v>
      </c>
      <c r="G139">
        <v>0</v>
      </c>
      <c r="H139" s="2">
        <v>15.552000000000001</v>
      </c>
      <c r="I139" s="2">
        <v>32.400000000000006</v>
      </c>
    </row>
    <row r="140" spans="1:9" x14ac:dyDescent="0.3">
      <c r="A140" t="str">
        <f t="shared" si="57"/>
        <v>United States</v>
      </c>
      <c r="B140" t="str">
        <f t="shared" si="51"/>
        <v>Arlington</v>
      </c>
      <c r="C140" t="s">
        <v>22</v>
      </c>
      <c r="D140" t="s">
        <v>8</v>
      </c>
      <c r="E140" t="s">
        <v>12</v>
      </c>
      <c r="F140">
        <v>3</v>
      </c>
      <c r="G140">
        <v>0</v>
      </c>
      <c r="H140" s="2">
        <v>10.880999999999997</v>
      </c>
      <c r="I140" s="2">
        <v>36.269999999999996</v>
      </c>
    </row>
    <row r="141" spans="1:9" x14ac:dyDescent="0.3">
      <c r="A141" t="str">
        <f t="shared" si="57"/>
        <v>United States</v>
      </c>
      <c r="B141" t="str">
        <f t="shared" si="51"/>
        <v>Arlington</v>
      </c>
      <c r="C141" t="str">
        <f t="shared" ref="C141:C158" si="59">C140</f>
        <v>Standard Class</v>
      </c>
      <c r="D141" t="str">
        <f t="shared" ref="D141:D148" si="60">D140</f>
        <v>Consumer</v>
      </c>
      <c r="E141" t="s">
        <v>19</v>
      </c>
      <c r="F141">
        <v>2</v>
      </c>
      <c r="G141">
        <v>0</v>
      </c>
      <c r="H141" s="2">
        <v>3.157</v>
      </c>
      <c r="I141" s="2">
        <v>7.7</v>
      </c>
    </row>
    <row r="142" spans="1:9" x14ac:dyDescent="0.3">
      <c r="A142" t="str">
        <f t="shared" si="57"/>
        <v>United States</v>
      </c>
      <c r="B142" t="str">
        <f t="shared" si="51"/>
        <v>Arlington</v>
      </c>
      <c r="C142" t="str">
        <f t="shared" si="59"/>
        <v>Standard Class</v>
      </c>
      <c r="D142" t="str">
        <f t="shared" si="60"/>
        <v>Consumer</v>
      </c>
      <c r="E142" t="s">
        <v>20</v>
      </c>
      <c r="F142">
        <v>7</v>
      </c>
      <c r="G142">
        <v>0.8</v>
      </c>
      <c r="H142" s="2">
        <v>28.235400000000002</v>
      </c>
      <c r="I142" s="2">
        <v>70.343999999999994</v>
      </c>
    </row>
    <row r="143" spans="1:9" x14ac:dyDescent="0.3">
      <c r="A143" t="str">
        <f t="shared" si="57"/>
        <v>United States</v>
      </c>
      <c r="B143" t="str">
        <f t="shared" si="51"/>
        <v>Arlington</v>
      </c>
      <c r="C143" t="str">
        <f t="shared" si="59"/>
        <v>Standard Class</v>
      </c>
      <c r="D143" t="str">
        <f t="shared" si="60"/>
        <v>Consumer</v>
      </c>
      <c r="E143" t="s">
        <v>33</v>
      </c>
      <c r="F143">
        <v>2</v>
      </c>
      <c r="G143">
        <v>0</v>
      </c>
      <c r="H143" s="2">
        <v>179.74880000000002</v>
      </c>
      <c r="I143" s="2">
        <v>641.96</v>
      </c>
    </row>
    <row r="144" spans="1:9" x14ac:dyDescent="0.3">
      <c r="A144" t="str">
        <f t="shared" si="57"/>
        <v>United States</v>
      </c>
      <c r="B144" t="str">
        <f t="shared" si="51"/>
        <v>Arlington</v>
      </c>
      <c r="C144" t="str">
        <f t="shared" si="59"/>
        <v>Standard Class</v>
      </c>
      <c r="D144" t="str">
        <f t="shared" si="60"/>
        <v>Consumer</v>
      </c>
      <c r="E144" t="s">
        <v>21</v>
      </c>
      <c r="F144">
        <v>3</v>
      </c>
      <c r="G144">
        <v>0</v>
      </c>
      <c r="H144" s="2">
        <v>19.468799999999998</v>
      </c>
      <c r="I144" s="2">
        <v>60.84</v>
      </c>
    </row>
    <row r="145" spans="1:9" x14ac:dyDescent="0.3">
      <c r="A145" t="str">
        <f t="shared" si="57"/>
        <v>United States</v>
      </c>
      <c r="B145" t="str">
        <f t="shared" si="51"/>
        <v>Arlington</v>
      </c>
      <c r="C145" t="str">
        <f t="shared" si="59"/>
        <v>Standard Class</v>
      </c>
      <c r="D145" t="str">
        <f t="shared" si="60"/>
        <v>Consumer</v>
      </c>
      <c r="E145" t="s">
        <v>16</v>
      </c>
      <c r="F145">
        <v>5</v>
      </c>
      <c r="G145">
        <v>0</v>
      </c>
      <c r="H145" s="2">
        <v>69.704999999999998</v>
      </c>
      <c r="I145" s="2">
        <v>154.9</v>
      </c>
    </row>
    <row r="146" spans="1:9" x14ac:dyDescent="0.3">
      <c r="A146" t="str">
        <f t="shared" si="57"/>
        <v>United States</v>
      </c>
      <c r="B146" t="str">
        <f t="shared" si="51"/>
        <v>Arlington</v>
      </c>
      <c r="C146" t="str">
        <f t="shared" si="59"/>
        <v>Standard Class</v>
      </c>
      <c r="D146" t="str">
        <f t="shared" si="60"/>
        <v>Consumer</v>
      </c>
      <c r="E146" t="s">
        <v>24</v>
      </c>
      <c r="F146">
        <v>15</v>
      </c>
      <c r="G146">
        <v>0</v>
      </c>
      <c r="H146" s="2">
        <v>701.95499999999993</v>
      </c>
      <c r="I146" s="2">
        <v>2339.8500000000004</v>
      </c>
    </row>
    <row r="147" spans="1:9" x14ac:dyDescent="0.3">
      <c r="A147" t="str">
        <f t="shared" si="57"/>
        <v>United States</v>
      </c>
      <c r="B147" t="str">
        <f t="shared" si="51"/>
        <v>Arlington</v>
      </c>
      <c r="C147" t="str">
        <f t="shared" si="59"/>
        <v>Standard Class</v>
      </c>
      <c r="D147" t="str">
        <f t="shared" si="60"/>
        <v>Consumer</v>
      </c>
      <c r="E147" t="s">
        <v>14</v>
      </c>
      <c r="F147">
        <v>28</v>
      </c>
      <c r="G147">
        <v>0.60000000000000009</v>
      </c>
      <c r="H147" s="2">
        <v>203.01459999999969</v>
      </c>
      <c r="I147" s="2">
        <v>2730.556</v>
      </c>
    </row>
    <row r="148" spans="1:9" x14ac:dyDescent="0.3">
      <c r="A148" t="str">
        <f t="shared" si="57"/>
        <v>United States</v>
      </c>
      <c r="B148" t="str">
        <f t="shared" si="51"/>
        <v>Arlington</v>
      </c>
      <c r="C148" t="str">
        <f t="shared" si="59"/>
        <v>Standard Class</v>
      </c>
      <c r="D148" t="str">
        <f t="shared" si="60"/>
        <v>Consumer</v>
      </c>
      <c r="E148" t="s">
        <v>25</v>
      </c>
      <c r="F148">
        <v>5</v>
      </c>
      <c r="G148">
        <v>0.3</v>
      </c>
      <c r="H148" s="2">
        <v>-118.12950000000006</v>
      </c>
      <c r="I148" s="2">
        <v>918.78499999999985</v>
      </c>
    </row>
    <row r="149" spans="1:9" x14ac:dyDescent="0.3">
      <c r="A149" t="str">
        <f t="shared" si="57"/>
        <v>United States</v>
      </c>
      <c r="B149" t="str">
        <f t="shared" si="51"/>
        <v>Arlington</v>
      </c>
      <c r="C149" t="str">
        <f t="shared" si="59"/>
        <v>Standard Class</v>
      </c>
      <c r="D149" t="s">
        <v>15</v>
      </c>
      <c r="E149" t="s">
        <v>23</v>
      </c>
      <c r="F149">
        <v>8</v>
      </c>
      <c r="G149">
        <v>0.4</v>
      </c>
      <c r="H149" s="2">
        <v>20.665199999999992</v>
      </c>
      <c r="I149" s="2">
        <v>302.25200000000007</v>
      </c>
    </row>
    <row r="150" spans="1:9" x14ac:dyDescent="0.3">
      <c r="A150" t="str">
        <f t="shared" si="57"/>
        <v>United States</v>
      </c>
      <c r="B150" t="str">
        <f t="shared" si="51"/>
        <v>Arlington</v>
      </c>
      <c r="C150" t="str">
        <f t="shared" si="59"/>
        <v>Standard Class</v>
      </c>
      <c r="D150" t="str">
        <f t="shared" ref="D150:D155" si="61">D149</f>
        <v>Corporate</v>
      </c>
      <c r="E150" t="s">
        <v>20</v>
      </c>
      <c r="F150">
        <v>8</v>
      </c>
      <c r="G150">
        <v>1.6</v>
      </c>
      <c r="H150" s="2">
        <v>-15.799200000000003</v>
      </c>
      <c r="I150" s="2">
        <v>9.6159999999999979</v>
      </c>
    </row>
    <row r="151" spans="1:9" x14ac:dyDescent="0.3">
      <c r="A151" t="str">
        <f t="shared" si="57"/>
        <v>United States</v>
      </c>
      <c r="B151" t="str">
        <f t="shared" si="51"/>
        <v>Arlington</v>
      </c>
      <c r="C151" t="str">
        <f t="shared" si="59"/>
        <v>Standard Class</v>
      </c>
      <c r="D151" t="str">
        <f t="shared" si="61"/>
        <v>Corporate</v>
      </c>
      <c r="E151" t="s">
        <v>38</v>
      </c>
      <c r="F151">
        <v>9</v>
      </c>
      <c r="G151">
        <v>0</v>
      </c>
      <c r="H151" s="2">
        <v>12.744</v>
      </c>
      <c r="I151" s="2">
        <v>26.55</v>
      </c>
    </row>
    <row r="152" spans="1:9" x14ac:dyDescent="0.3">
      <c r="A152" t="str">
        <f t="shared" si="57"/>
        <v>United States</v>
      </c>
      <c r="B152" t="str">
        <f t="shared" si="51"/>
        <v>Arlington</v>
      </c>
      <c r="C152" t="str">
        <f t="shared" si="59"/>
        <v>Standard Class</v>
      </c>
      <c r="D152" t="str">
        <f t="shared" si="61"/>
        <v>Corporate</v>
      </c>
      <c r="E152" t="s">
        <v>21</v>
      </c>
      <c r="F152">
        <v>10</v>
      </c>
      <c r="G152">
        <v>1.2</v>
      </c>
      <c r="H152" s="2">
        <v>-13.056800000000004</v>
      </c>
      <c r="I152" s="2">
        <v>18.64</v>
      </c>
    </row>
    <row r="153" spans="1:9" x14ac:dyDescent="0.3">
      <c r="A153" t="str">
        <f t="shared" si="57"/>
        <v>United States</v>
      </c>
      <c r="B153" t="str">
        <f t="shared" si="51"/>
        <v>Arlington</v>
      </c>
      <c r="C153" t="str">
        <f t="shared" si="59"/>
        <v>Standard Class</v>
      </c>
      <c r="D153" t="str">
        <f t="shared" si="61"/>
        <v>Corporate</v>
      </c>
      <c r="E153" t="s">
        <v>43</v>
      </c>
      <c r="F153">
        <v>3</v>
      </c>
      <c r="G153">
        <v>0.4</v>
      </c>
      <c r="H153" s="2">
        <v>2.8746</v>
      </c>
      <c r="I153" s="2">
        <v>8.4239999999999995</v>
      </c>
    </row>
    <row r="154" spans="1:9" x14ac:dyDescent="0.3">
      <c r="A154" t="str">
        <f t="shared" si="57"/>
        <v>United States</v>
      </c>
      <c r="B154" t="str">
        <f t="shared" si="51"/>
        <v>Arlington</v>
      </c>
      <c r="C154" t="str">
        <f t="shared" si="59"/>
        <v>Standard Class</v>
      </c>
      <c r="D154" t="str">
        <f t="shared" si="61"/>
        <v>Corporate</v>
      </c>
      <c r="E154" t="s">
        <v>16</v>
      </c>
      <c r="F154">
        <v>13</v>
      </c>
      <c r="G154">
        <v>0.4</v>
      </c>
      <c r="H154" s="2">
        <v>23.245199999999997</v>
      </c>
      <c r="I154" s="2">
        <v>67.536000000000016</v>
      </c>
    </row>
    <row r="155" spans="1:9" x14ac:dyDescent="0.3">
      <c r="A155" t="str">
        <f t="shared" si="57"/>
        <v>United States</v>
      </c>
      <c r="B155" t="str">
        <f t="shared" si="51"/>
        <v>Arlington</v>
      </c>
      <c r="C155" t="str">
        <f t="shared" si="59"/>
        <v>Standard Class</v>
      </c>
      <c r="D155" t="str">
        <f t="shared" si="61"/>
        <v>Corporate</v>
      </c>
      <c r="E155" t="s">
        <v>25</v>
      </c>
      <c r="F155">
        <v>5</v>
      </c>
      <c r="G155">
        <v>0.3</v>
      </c>
      <c r="H155" s="2">
        <v>-121.87349999999992</v>
      </c>
      <c r="I155" s="2">
        <v>1218.7349999999997</v>
      </c>
    </row>
    <row r="156" spans="1:9" x14ac:dyDescent="0.3">
      <c r="A156" t="str">
        <f t="shared" si="57"/>
        <v>United States</v>
      </c>
      <c r="B156" t="str">
        <f t="shared" si="51"/>
        <v>Arlington</v>
      </c>
      <c r="C156" t="str">
        <f t="shared" si="59"/>
        <v>Standard Class</v>
      </c>
      <c r="D156" t="s">
        <v>17</v>
      </c>
      <c r="E156" t="s">
        <v>23</v>
      </c>
      <c r="F156">
        <v>3</v>
      </c>
      <c r="G156">
        <v>0</v>
      </c>
      <c r="H156" s="2">
        <v>16.2486</v>
      </c>
      <c r="I156" s="2">
        <v>47.79</v>
      </c>
    </row>
    <row r="157" spans="1:9" x14ac:dyDescent="0.3">
      <c r="A157" t="str">
        <f t="shared" si="57"/>
        <v>United States</v>
      </c>
      <c r="B157" t="str">
        <f t="shared" si="51"/>
        <v>Arlington</v>
      </c>
      <c r="C157" t="str">
        <f t="shared" si="59"/>
        <v>Standard Class</v>
      </c>
      <c r="D157" t="str">
        <f t="shared" ref="D157:D158" si="62">D156</f>
        <v>Home Office</v>
      </c>
      <c r="E157" t="s">
        <v>20</v>
      </c>
      <c r="F157">
        <v>9</v>
      </c>
      <c r="G157">
        <v>0.8</v>
      </c>
      <c r="H157" s="2">
        <v>-17.469000000000005</v>
      </c>
      <c r="I157" s="2">
        <v>11.645999999999997</v>
      </c>
    </row>
    <row r="158" spans="1:9" x14ac:dyDescent="0.3">
      <c r="A158" t="str">
        <f t="shared" si="57"/>
        <v>United States</v>
      </c>
      <c r="B158" t="str">
        <f t="shared" si="51"/>
        <v>Arlington</v>
      </c>
      <c r="C158" t="str">
        <f t="shared" si="59"/>
        <v>Standard Class</v>
      </c>
      <c r="D158" t="str">
        <f t="shared" si="62"/>
        <v>Home Office</v>
      </c>
      <c r="E158" t="s">
        <v>21</v>
      </c>
      <c r="F158">
        <v>5</v>
      </c>
      <c r="G158">
        <v>0</v>
      </c>
      <c r="H158" s="2">
        <v>18.329999999999991</v>
      </c>
      <c r="I158" s="2">
        <v>61.1</v>
      </c>
    </row>
    <row r="159" spans="1:9" x14ac:dyDescent="0.3">
      <c r="A159" t="str">
        <f t="shared" si="57"/>
        <v>United States</v>
      </c>
      <c r="B159" t="s">
        <v>47</v>
      </c>
      <c r="C159" t="s">
        <v>22</v>
      </c>
      <c r="D159" t="s">
        <v>8</v>
      </c>
      <c r="E159" t="s">
        <v>19</v>
      </c>
      <c r="F159">
        <v>6</v>
      </c>
      <c r="G159">
        <v>0.2</v>
      </c>
      <c r="H159" s="2">
        <v>1.2348000000000008</v>
      </c>
      <c r="I159" s="2">
        <v>14.111999999999998</v>
      </c>
    </row>
    <row r="160" spans="1:9" x14ac:dyDescent="0.3">
      <c r="A160" t="str">
        <f t="shared" si="57"/>
        <v>United States</v>
      </c>
      <c r="B160" t="s">
        <v>48</v>
      </c>
      <c r="C160" t="s">
        <v>7</v>
      </c>
      <c r="D160" t="s">
        <v>15</v>
      </c>
      <c r="E160" t="s">
        <v>33</v>
      </c>
      <c r="F160">
        <v>2</v>
      </c>
      <c r="G160">
        <v>0.2</v>
      </c>
      <c r="H160" s="2">
        <v>52.511399999999981</v>
      </c>
      <c r="I160" s="2">
        <v>466.76800000000003</v>
      </c>
    </row>
    <row r="161" spans="1:9" x14ac:dyDescent="0.3">
      <c r="A161" t="str">
        <f t="shared" si="57"/>
        <v>United States</v>
      </c>
      <c r="B161" t="str">
        <f t="shared" ref="B161:B162" si="63">B160</f>
        <v>Arvada</v>
      </c>
      <c r="C161" t="str">
        <f t="shared" ref="C161:C162" si="64">C160</f>
        <v>Second Class</v>
      </c>
      <c r="D161" t="str">
        <f t="shared" ref="D161:D162" si="65">D160</f>
        <v>Corporate</v>
      </c>
      <c r="E161" t="s">
        <v>21</v>
      </c>
      <c r="F161">
        <v>5</v>
      </c>
      <c r="G161">
        <v>0.4</v>
      </c>
      <c r="H161" s="2">
        <v>5.3083999999999989</v>
      </c>
      <c r="I161" s="2">
        <v>30.368000000000002</v>
      </c>
    </row>
    <row r="162" spans="1:9" x14ac:dyDescent="0.3">
      <c r="A162" t="str">
        <f t="shared" si="57"/>
        <v>United States</v>
      </c>
      <c r="B162" t="str">
        <f t="shared" si="63"/>
        <v>Arvada</v>
      </c>
      <c r="C162" t="str">
        <f t="shared" si="64"/>
        <v>Second Class</v>
      </c>
      <c r="D162" t="str">
        <f t="shared" si="65"/>
        <v>Corporate</v>
      </c>
      <c r="E162" t="s">
        <v>43</v>
      </c>
      <c r="F162">
        <v>3</v>
      </c>
      <c r="G162">
        <v>0.2</v>
      </c>
      <c r="H162" s="2">
        <v>2.0358000000000001</v>
      </c>
      <c r="I162" s="2">
        <v>6.2640000000000002</v>
      </c>
    </row>
    <row r="163" spans="1:9" x14ac:dyDescent="0.3">
      <c r="A163" t="str">
        <f t="shared" si="57"/>
        <v>United States</v>
      </c>
      <c r="B163" t="s">
        <v>49</v>
      </c>
      <c r="C163" t="s">
        <v>27</v>
      </c>
      <c r="D163" t="s">
        <v>8</v>
      </c>
      <c r="E163" t="s">
        <v>24</v>
      </c>
      <c r="F163">
        <v>5</v>
      </c>
      <c r="G163">
        <v>0.2</v>
      </c>
      <c r="H163" s="2">
        <v>85.247500000000002</v>
      </c>
      <c r="I163" s="2">
        <v>1363.96</v>
      </c>
    </row>
    <row r="164" spans="1:9" x14ac:dyDescent="0.3">
      <c r="A164" t="str">
        <f t="shared" si="57"/>
        <v>United States</v>
      </c>
      <c r="B164" t="str">
        <f t="shared" ref="B164:B168" si="66">B163</f>
        <v>Asheville</v>
      </c>
      <c r="C164" t="s">
        <v>7</v>
      </c>
      <c r="D164" t="s">
        <v>15</v>
      </c>
      <c r="E164" t="s">
        <v>19</v>
      </c>
      <c r="F164">
        <v>3</v>
      </c>
      <c r="G164">
        <v>0.2</v>
      </c>
      <c r="H164" s="2">
        <v>0.88559999999999883</v>
      </c>
      <c r="I164" s="2">
        <v>7.8719999999999999</v>
      </c>
    </row>
    <row r="165" spans="1:9" x14ac:dyDescent="0.3">
      <c r="A165" t="str">
        <f t="shared" si="57"/>
        <v>United States</v>
      </c>
      <c r="B165" t="str">
        <f t="shared" si="66"/>
        <v>Asheville</v>
      </c>
      <c r="C165" t="str">
        <f>C164</f>
        <v>Second Class</v>
      </c>
      <c r="D165" t="str">
        <f>D164</f>
        <v>Corporate</v>
      </c>
      <c r="E165" t="s">
        <v>20</v>
      </c>
      <c r="F165">
        <v>8</v>
      </c>
      <c r="G165">
        <v>0.7</v>
      </c>
      <c r="H165" s="2">
        <v>-12.671999999999997</v>
      </c>
      <c r="I165" s="2">
        <v>19.008000000000003</v>
      </c>
    </row>
    <row r="166" spans="1:9" x14ac:dyDescent="0.3">
      <c r="A166" t="str">
        <f t="shared" si="57"/>
        <v>United States</v>
      </c>
      <c r="B166" t="str">
        <f t="shared" si="66"/>
        <v>Asheville</v>
      </c>
      <c r="C166" t="s">
        <v>22</v>
      </c>
      <c r="D166" t="s">
        <v>8</v>
      </c>
      <c r="E166" t="s">
        <v>12</v>
      </c>
      <c r="F166">
        <v>1</v>
      </c>
      <c r="G166">
        <v>0.2</v>
      </c>
      <c r="H166" s="2">
        <v>4.3584000000000032</v>
      </c>
      <c r="I166" s="2">
        <v>43.584000000000003</v>
      </c>
    </row>
    <row r="167" spans="1:9" x14ac:dyDescent="0.3">
      <c r="A167" t="str">
        <f t="shared" si="57"/>
        <v>United States</v>
      </c>
      <c r="B167" t="str">
        <f t="shared" si="66"/>
        <v>Asheville</v>
      </c>
      <c r="C167" t="str">
        <f t="shared" ref="C167:C168" si="67">C166</f>
        <v>Standard Class</v>
      </c>
      <c r="D167" t="str">
        <f>D166</f>
        <v>Consumer</v>
      </c>
      <c r="E167" t="s">
        <v>19</v>
      </c>
      <c r="F167">
        <v>10</v>
      </c>
      <c r="G167">
        <v>0.4</v>
      </c>
      <c r="H167" s="2">
        <v>3.5524999999999975</v>
      </c>
      <c r="I167" s="2">
        <v>24.68</v>
      </c>
    </row>
    <row r="168" spans="1:9" x14ac:dyDescent="0.3">
      <c r="A168" t="str">
        <f t="shared" si="57"/>
        <v>United States</v>
      </c>
      <c r="B168" t="str">
        <f t="shared" si="66"/>
        <v>Asheville</v>
      </c>
      <c r="C168" t="str">
        <f t="shared" si="67"/>
        <v>Standard Class</v>
      </c>
      <c r="D168" t="s">
        <v>15</v>
      </c>
      <c r="E168" t="s">
        <v>14</v>
      </c>
      <c r="F168">
        <v>1</v>
      </c>
      <c r="G168">
        <v>0.2</v>
      </c>
      <c r="H168" s="2">
        <v>-3.864600000000002</v>
      </c>
      <c r="I168" s="2">
        <v>16.272000000000002</v>
      </c>
    </row>
    <row r="169" spans="1:9" x14ac:dyDescent="0.3">
      <c r="A169" t="str">
        <f t="shared" si="57"/>
        <v>United States</v>
      </c>
      <c r="B169" t="s">
        <v>50</v>
      </c>
      <c r="C169" t="s">
        <v>11</v>
      </c>
      <c r="D169" t="s">
        <v>15</v>
      </c>
      <c r="E169" t="s">
        <v>19</v>
      </c>
      <c r="F169">
        <v>3</v>
      </c>
      <c r="G169">
        <v>0</v>
      </c>
      <c r="H169" s="2">
        <v>5.2397999999999998</v>
      </c>
      <c r="I169" s="2">
        <v>12.78</v>
      </c>
    </row>
    <row r="170" spans="1:9" x14ac:dyDescent="0.3">
      <c r="A170" t="str">
        <f t="shared" si="57"/>
        <v>United States</v>
      </c>
      <c r="B170" t="str">
        <f t="shared" ref="B170:B176" si="68">B169</f>
        <v>Athens</v>
      </c>
      <c r="C170" t="s">
        <v>27</v>
      </c>
      <c r="D170" t="s">
        <v>8</v>
      </c>
      <c r="E170" t="s">
        <v>43</v>
      </c>
      <c r="F170">
        <v>3</v>
      </c>
      <c r="G170">
        <v>0</v>
      </c>
      <c r="H170" s="2">
        <v>7.2176999999999998</v>
      </c>
      <c r="I170" s="2">
        <v>14.73</v>
      </c>
    </row>
    <row r="171" spans="1:9" x14ac:dyDescent="0.3">
      <c r="A171" t="str">
        <f t="shared" si="57"/>
        <v>United States</v>
      </c>
      <c r="B171" t="str">
        <f t="shared" si="68"/>
        <v>Athens</v>
      </c>
      <c r="C171" t="s">
        <v>22</v>
      </c>
      <c r="D171" t="s">
        <v>8</v>
      </c>
      <c r="E171" t="s">
        <v>12</v>
      </c>
      <c r="F171">
        <v>5</v>
      </c>
      <c r="G171">
        <v>0</v>
      </c>
      <c r="H171" s="2">
        <v>40.274000000000001</v>
      </c>
      <c r="I171" s="2">
        <v>154.9</v>
      </c>
    </row>
    <row r="172" spans="1:9" x14ac:dyDescent="0.3">
      <c r="A172" t="str">
        <f t="shared" si="57"/>
        <v>United States</v>
      </c>
      <c r="B172" t="str">
        <f t="shared" si="68"/>
        <v>Athens</v>
      </c>
      <c r="C172" t="str">
        <f t="shared" ref="C172:C176" si="69">C171</f>
        <v>Standard Class</v>
      </c>
      <c r="D172" t="str">
        <f t="shared" ref="D172:D174" si="70">D171</f>
        <v>Consumer</v>
      </c>
      <c r="E172" t="s">
        <v>21</v>
      </c>
      <c r="F172">
        <v>3</v>
      </c>
      <c r="G172">
        <v>0</v>
      </c>
      <c r="H172" s="2">
        <v>41.038800000000002</v>
      </c>
      <c r="I172" s="2">
        <v>186.54</v>
      </c>
    </row>
    <row r="173" spans="1:9" x14ac:dyDescent="0.3">
      <c r="A173" t="str">
        <f t="shared" si="57"/>
        <v>United States</v>
      </c>
      <c r="B173" t="str">
        <f t="shared" si="68"/>
        <v>Athens</v>
      </c>
      <c r="C173" t="str">
        <f t="shared" si="69"/>
        <v>Standard Class</v>
      </c>
      <c r="D173" t="str">
        <f t="shared" si="70"/>
        <v>Consumer</v>
      </c>
      <c r="E173" t="s">
        <v>16</v>
      </c>
      <c r="F173">
        <v>3</v>
      </c>
      <c r="G173">
        <v>0</v>
      </c>
      <c r="H173" s="2">
        <v>7.1280000000000001</v>
      </c>
      <c r="I173" s="2">
        <v>15.84</v>
      </c>
    </row>
    <row r="174" spans="1:9" x14ac:dyDescent="0.3">
      <c r="A174" t="str">
        <f t="shared" si="57"/>
        <v>United States</v>
      </c>
      <c r="B174" t="str">
        <f t="shared" si="68"/>
        <v>Athens</v>
      </c>
      <c r="C174" t="str">
        <f t="shared" si="69"/>
        <v>Standard Class</v>
      </c>
      <c r="D174" t="str">
        <f t="shared" si="70"/>
        <v>Consumer</v>
      </c>
      <c r="E174" t="s">
        <v>24</v>
      </c>
      <c r="F174">
        <v>7</v>
      </c>
      <c r="G174">
        <v>0</v>
      </c>
      <c r="H174" s="2">
        <v>293.98040000000003</v>
      </c>
      <c r="I174" s="2">
        <v>1049.93</v>
      </c>
    </row>
    <row r="175" spans="1:9" x14ac:dyDescent="0.3">
      <c r="A175" t="str">
        <f t="shared" si="57"/>
        <v>United States</v>
      </c>
      <c r="B175" t="str">
        <f t="shared" si="68"/>
        <v>Athens</v>
      </c>
      <c r="C175" t="str">
        <f t="shared" si="69"/>
        <v>Standard Class</v>
      </c>
      <c r="D175" t="s">
        <v>15</v>
      </c>
      <c r="E175" t="s">
        <v>23</v>
      </c>
      <c r="F175">
        <v>1</v>
      </c>
      <c r="G175">
        <v>0</v>
      </c>
      <c r="H175" s="2">
        <v>28.796399999999998</v>
      </c>
      <c r="I175" s="2">
        <v>79.989999999999995</v>
      </c>
    </row>
    <row r="176" spans="1:9" x14ac:dyDescent="0.3">
      <c r="A176" t="str">
        <f t="shared" si="57"/>
        <v>United States</v>
      </c>
      <c r="B176" t="str">
        <f t="shared" si="68"/>
        <v>Athens</v>
      </c>
      <c r="C176" t="str">
        <f t="shared" si="69"/>
        <v>Standard Class</v>
      </c>
      <c r="D176" t="str">
        <f>D175</f>
        <v>Corporate</v>
      </c>
      <c r="E176" t="s">
        <v>24</v>
      </c>
      <c r="F176">
        <v>5</v>
      </c>
      <c r="G176">
        <v>0</v>
      </c>
      <c r="H176" s="2">
        <v>55.647000000000006</v>
      </c>
      <c r="I176" s="2">
        <v>206.1</v>
      </c>
    </row>
    <row r="177" spans="1:9" x14ac:dyDescent="0.3">
      <c r="A177" t="str">
        <f t="shared" si="57"/>
        <v>United States</v>
      </c>
      <c r="B177" t="s">
        <v>51</v>
      </c>
      <c r="C177" t="s">
        <v>11</v>
      </c>
      <c r="D177" t="s">
        <v>8</v>
      </c>
      <c r="E177" t="s">
        <v>20</v>
      </c>
      <c r="F177">
        <v>4</v>
      </c>
      <c r="G177">
        <v>0</v>
      </c>
      <c r="H177" s="2">
        <v>7.4824000000000002</v>
      </c>
      <c r="I177" s="2">
        <v>15.92</v>
      </c>
    </row>
    <row r="178" spans="1:9" x14ac:dyDescent="0.3">
      <c r="A178" t="str">
        <f t="shared" si="57"/>
        <v>United States</v>
      </c>
      <c r="B178" t="str">
        <f t="shared" ref="B178:B201" si="71">B177</f>
        <v>Atlanta</v>
      </c>
      <c r="C178" t="str">
        <f t="shared" ref="C178:C179" si="72">C177</f>
        <v>First Class</v>
      </c>
      <c r="D178" t="str">
        <f>D177</f>
        <v>Consumer</v>
      </c>
      <c r="E178" t="s">
        <v>14</v>
      </c>
      <c r="F178">
        <v>6</v>
      </c>
      <c r="G178">
        <v>0</v>
      </c>
      <c r="H178" s="2">
        <v>175.51560000000001</v>
      </c>
      <c r="I178" s="2">
        <v>1350.1200000000001</v>
      </c>
    </row>
    <row r="179" spans="1:9" x14ac:dyDescent="0.3">
      <c r="A179" t="str">
        <f t="shared" si="57"/>
        <v>United States</v>
      </c>
      <c r="B179" t="str">
        <f t="shared" si="71"/>
        <v>Atlanta</v>
      </c>
      <c r="C179" t="str">
        <f t="shared" si="72"/>
        <v>First Class</v>
      </c>
      <c r="D179" t="s">
        <v>15</v>
      </c>
      <c r="E179" t="s">
        <v>16</v>
      </c>
      <c r="F179">
        <v>2</v>
      </c>
      <c r="G179">
        <v>0</v>
      </c>
      <c r="H179" s="2">
        <v>4.8804000000000007</v>
      </c>
      <c r="I179" s="2">
        <v>9.9600000000000009</v>
      </c>
    </row>
    <row r="180" spans="1:9" x14ac:dyDescent="0.3">
      <c r="A180" t="str">
        <f t="shared" si="57"/>
        <v>United States</v>
      </c>
      <c r="B180" t="str">
        <f t="shared" si="71"/>
        <v>Atlanta</v>
      </c>
      <c r="C180" t="s">
        <v>27</v>
      </c>
      <c r="D180" t="s">
        <v>8</v>
      </c>
      <c r="E180" t="s">
        <v>16</v>
      </c>
      <c r="F180">
        <v>4</v>
      </c>
      <c r="G180">
        <v>0</v>
      </c>
      <c r="H180" s="2">
        <v>91.950799999999987</v>
      </c>
      <c r="I180" s="2">
        <v>195.64</v>
      </c>
    </row>
    <row r="181" spans="1:9" x14ac:dyDescent="0.3">
      <c r="A181" t="str">
        <f t="shared" si="57"/>
        <v>United States</v>
      </c>
      <c r="B181" t="str">
        <f t="shared" si="71"/>
        <v>Atlanta</v>
      </c>
      <c r="C181" t="s">
        <v>7</v>
      </c>
      <c r="D181" t="s">
        <v>8</v>
      </c>
      <c r="E181" t="s">
        <v>23</v>
      </c>
      <c r="F181">
        <v>2</v>
      </c>
      <c r="G181">
        <v>0</v>
      </c>
      <c r="H181" s="2">
        <v>114.99540000000002</v>
      </c>
      <c r="I181" s="2">
        <v>499.98</v>
      </c>
    </row>
    <row r="182" spans="1:9" x14ac:dyDescent="0.3">
      <c r="A182" t="str">
        <f t="shared" si="57"/>
        <v>United States</v>
      </c>
      <c r="B182" t="str">
        <f t="shared" si="71"/>
        <v>Atlanta</v>
      </c>
      <c r="C182" t="str">
        <f t="shared" ref="C182:C186" si="73">C181</f>
        <v>Second Class</v>
      </c>
      <c r="D182" t="str">
        <f t="shared" ref="D182:D184" si="74">D181</f>
        <v>Consumer</v>
      </c>
      <c r="E182" t="s">
        <v>19</v>
      </c>
      <c r="F182">
        <v>3</v>
      </c>
      <c r="G182">
        <v>0</v>
      </c>
      <c r="H182" s="2">
        <v>4.5836999999999994</v>
      </c>
      <c r="I182" s="2">
        <v>13.89</v>
      </c>
    </row>
    <row r="183" spans="1:9" x14ac:dyDescent="0.3">
      <c r="A183" t="str">
        <f t="shared" si="57"/>
        <v>United States</v>
      </c>
      <c r="B183" t="str">
        <f t="shared" si="71"/>
        <v>Atlanta</v>
      </c>
      <c r="C183" t="str">
        <f t="shared" si="73"/>
        <v>Second Class</v>
      </c>
      <c r="D183" t="str">
        <f t="shared" si="74"/>
        <v>Consumer</v>
      </c>
      <c r="E183" t="s">
        <v>20</v>
      </c>
      <c r="F183">
        <v>2</v>
      </c>
      <c r="G183">
        <v>0</v>
      </c>
      <c r="H183" s="2">
        <v>3.8822000000000001</v>
      </c>
      <c r="I183" s="2">
        <v>8.26</v>
      </c>
    </row>
    <row r="184" spans="1:9" x14ac:dyDescent="0.3">
      <c r="A184" t="str">
        <f t="shared" si="57"/>
        <v>United States</v>
      </c>
      <c r="B184" t="str">
        <f t="shared" si="71"/>
        <v>Atlanta</v>
      </c>
      <c r="C184" t="str">
        <f t="shared" si="73"/>
        <v>Second Class</v>
      </c>
      <c r="D184" t="str">
        <f t="shared" si="74"/>
        <v>Consumer</v>
      </c>
      <c r="E184" t="s">
        <v>16</v>
      </c>
      <c r="F184">
        <v>13</v>
      </c>
      <c r="G184">
        <v>0</v>
      </c>
      <c r="H184" s="2">
        <v>35.112899999999996</v>
      </c>
      <c r="I184" s="2">
        <v>72.09</v>
      </c>
    </row>
    <row r="185" spans="1:9" x14ac:dyDescent="0.3">
      <c r="A185" t="str">
        <f t="shared" si="57"/>
        <v>United States</v>
      </c>
      <c r="B185" t="str">
        <f t="shared" si="71"/>
        <v>Atlanta</v>
      </c>
      <c r="C185" t="str">
        <f t="shared" si="73"/>
        <v>Second Class</v>
      </c>
      <c r="D185" t="s">
        <v>15</v>
      </c>
      <c r="E185" t="s">
        <v>20</v>
      </c>
      <c r="F185">
        <v>5</v>
      </c>
      <c r="G185">
        <v>0</v>
      </c>
      <c r="H185" s="2">
        <v>48.047600000000003</v>
      </c>
      <c r="I185" s="2">
        <v>98.66</v>
      </c>
    </row>
    <row r="186" spans="1:9" x14ac:dyDescent="0.3">
      <c r="A186" t="str">
        <f t="shared" si="57"/>
        <v>United States</v>
      </c>
      <c r="B186" t="str">
        <f t="shared" si="71"/>
        <v>Atlanta</v>
      </c>
      <c r="C186" t="str">
        <f t="shared" si="73"/>
        <v>Second Class</v>
      </c>
      <c r="D186" t="str">
        <f>D185</f>
        <v>Corporate</v>
      </c>
      <c r="E186" t="s">
        <v>45</v>
      </c>
      <c r="F186">
        <v>5</v>
      </c>
      <c r="G186">
        <v>0</v>
      </c>
      <c r="H186" s="2">
        <v>1439.9760000000001</v>
      </c>
      <c r="I186" s="2">
        <v>2999.95</v>
      </c>
    </row>
    <row r="187" spans="1:9" x14ac:dyDescent="0.3">
      <c r="A187" t="str">
        <f t="shared" si="57"/>
        <v>United States</v>
      </c>
      <c r="B187" t="str">
        <f t="shared" si="71"/>
        <v>Atlanta</v>
      </c>
      <c r="C187" t="s">
        <v>22</v>
      </c>
      <c r="D187" t="s">
        <v>8</v>
      </c>
      <c r="E187" t="s">
        <v>23</v>
      </c>
      <c r="F187">
        <v>13</v>
      </c>
      <c r="G187">
        <v>0</v>
      </c>
      <c r="H187" s="2">
        <v>51.93089999999998</v>
      </c>
      <c r="I187" s="2">
        <v>319.70999999999998</v>
      </c>
    </row>
    <row r="188" spans="1:9" x14ac:dyDescent="0.3">
      <c r="A188" t="str">
        <f t="shared" si="57"/>
        <v>United States</v>
      </c>
      <c r="B188" t="str">
        <f t="shared" si="71"/>
        <v>Atlanta</v>
      </c>
      <c r="C188" t="str">
        <f t="shared" ref="C188:C201" si="75">C187</f>
        <v>Standard Class</v>
      </c>
      <c r="D188" t="str">
        <f t="shared" ref="D188:D197" si="76">D187</f>
        <v>Consumer</v>
      </c>
      <c r="E188" t="s">
        <v>12</v>
      </c>
      <c r="F188">
        <v>6</v>
      </c>
      <c r="G188">
        <v>0</v>
      </c>
      <c r="H188" s="2">
        <v>158.74679999999998</v>
      </c>
      <c r="I188" s="2">
        <v>568.79999999999995</v>
      </c>
    </row>
    <row r="189" spans="1:9" x14ac:dyDescent="0.3">
      <c r="A189" t="str">
        <f t="shared" si="57"/>
        <v>United States</v>
      </c>
      <c r="B189" t="str">
        <f t="shared" si="71"/>
        <v>Atlanta</v>
      </c>
      <c r="C189" t="str">
        <f t="shared" si="75"/>
        <v>Standard Class</v>
      </c>
      <c r="D189" t="str">
        <f t="shared" si="76"/>
        <v>Consumer</v>
      </c>
      <c r="E189" t="s">
        <v>19</v>
      </c>
      <c r="F189">
        <v>4</v>
      </c>
      <c r="G189">
        <v>0</v>
      </c>
      <c r="H189" s="2">
        <v>2.9081999999999999</v>
      </c>
      <c r="I189" s="2">
        <v>11.08</v>
      </c>
    </row>
    <row r="190" spans="1:9" x14ac:dyDescent="0.3">
      <c r="A190" t="str">
        <f t="shared" si="57"/>
        <v>United States</v>
      </c>
      <c r="B190" t="str">
        <f t="shared" si="71"/>
        <v>Atlanta</v>
      </c>
      <c r="C190" t="str">
        <f t="shared" si="75"/>
        <v>Standard Class</v>
      </c>
      <c r="D190" t="str">
        <f t="shared" si="76"/>
        <v>Consumer</v>
      </c>
      <c r="E190" t="s">
        <v>20</v>
      </c>
      <c r="F190">
        <v>6</v>
      </c>
      <c r="G190">
        <v>0</v>
      </c>
      <c r="H190" s="2">
        <v>3178.8371999999999</v>
      </c>
      <c r="I190" s="2">
        <v>6357.73</v>
      </c>
    </row>
    <row r="191" spans="1:9" x14ac:dyDescent="0.3">
      <c r="A191" t="str">
        <f t="shared" si="57"/>
        <v>United States</v>
      </c>
      <c r="B191" t="str">
        <f t="shared" si="71"/>
        <v>Atlanta</v>
      </c>
      <c r="C191" t="str">
        <f t="shared" si="75"/>
        <v>Standard Class</v>
      </c>
      <c r="D191" t="str">
        <f t="shared" si="76"/>
        <v>Consumer</v>
      </c>
      <c r="E191" t="s">
        <v>34</v>
      </c>
      <c r="F191">
        <v>9</v>
      </c>
      <c r="G191">
        <v>0</v>
      </c>
      <c r="H191" s="2">
        <v>374.62859999999989</v>
      </c>
      <c r="I191" s="2">
        <v>1628.82</v>
      </c>
    </row>
    <row r="192" spans="1:9" x14ac:dyDescent="0.3">
      <c r="A192" t="str">
        <f t="shared" si="57"/>
        <v>United States</v>
      </c>
      <c r="B192" t="str">
        <f t="shared" si="71"/>
        <v>Atlanta</v>
      </c>
      <c r="C192" t="str">
        <f t="shared" si="75"/>
        <v>Standard Class</v>
      </c>
      <c r="D192" t="str">
        <f t="shared" si="76"/>
        <v>Consumer</v>
      </c>
      <c r="E192" t="s">
        <v>33</v>
      </c>
      <c r="F192">
        <v>2</v>
      </c>
      <c r="G192">
        <v>0</v>
      </c>
      <c r="H192" s="2">
        <v>18.327599999999997</v>
      </c>
      <c r="I192" s="2">
        <v>67.88</v>
      </c>
    </row>
    <row r="193" spans="1:9" x14ac:dyDescent="0.3">
      <c r="A193" t="str">
        <f t="shared" si="57"/>
        <v>United States</v>
      </c>
      <c r="B193" t="str">
        <f t="shared" si="71"/>
        <v>Atlanta</v>
      </c>
      <c r="C193" t="str">
        <f t="shared" si="75"/>
        <v>Standard Class</v>
      </c>
      <c r="D193" t="str">
        <f t="shared" si="76"/>
        <v>Consumer</v>
      </c>
      <c r="E193" t="s">
        <v>21</v>
      </c>
      <c r="F193">
        <v>6</v>
      </c>
      <c r="G193">
        <v>0</v>
      </c>
      <c r="H193" s="2">
        <v>22.248599999999989</v>
      </c>
      <c r="I193" s="2">
        <v>155.64000000000001</v>
      </c>
    </row>
    <row r="194" spans="1:9" x14ac:dyDescent="0.3">
      <c r="A194" t="str">
        <f t="shared" si="57"/>
        <v>United States</v>
      </c>
      <c r="B194" t="str">
        <f t="shared" si="71"/>
        <v>Atlanta</v>
      </c>
      <c r="C194" t="str">
        <f t="shared" si="75"/>
        <v>Standard Class</v>
      </c>
      <c r="D194" t="str">
        <f t="shared" si="76"/>
        <v>Consumer</v>
      </c>
      <c r="E194" t="s">
        <v>43</v>
      </c>
      <c r="F194">
        <v>16</v>
      </c>
      <c r="G194">
        <v>0</v>
      </c>
      <c r="H194" s="2">
        <v>80.791899999999984</v>
      </c>
      <c r="I194" s="2">
        <v>171.52999999999997</v>
      </c>
    </row>
    <row r="195" spans="1:9" x14ac:dyDescent="0.3">
      <c r="A195" t="str">
        <f t="shared" si="57"/>
        <v>United States</v>
      </c>
      <c r="B195" t="str">
        <f t="shared" si="71"/>
        <v>Atlanta</v>
      </c>
      <c r="C195" t="str">
        <f t="shared" si="75"/>
        <v>Standard Class</v>
      </c>
      <c r="D195" t="str">
        <f t="shared" si="76"/>
        <v>Consumer</v>
      </c>
      <c r="E195" t="s">
        <v>16</v>
      </c>
      <c r="F195">
        <v>26</v>
      </c>
      <c r="G195">
        <v>0</v>
      </c>
      <c r="H195" s="2">
        <v>325.59620000000001</v>
      </c>
      <c r="I195" s="2">
        <v>669.94</v>
      </c>
    </row>
    <row r="196" spans="1:9" x14ac:dyDescent="0.3">
      <c r="A196" t="str">
        <f t="shared" ref="A196:A259" si="77">A195</f>
        <v>United States</v>
      </c>
      <c r="B196" t="str">
        <f t="shared" si="71"/>
        <v>Atlanta</v>
      </c>
      <c r="C196" t="str">
        <f t="shared" si="75"/>
        <v>Standard Class</v>
      </c>
      <c r="D196" t="str">
        <f t="shared" si="76"/>
        <v>Consumer</v>
      </c>
      <c r="E196" t="s">
        <v>24</v>
      </c>
      <c r="F196">
        <v>4</v>
      </c>
      <c r="G196">
        <v>0</v>
      </c>
      <c r="H196" s="2">
        <v>137.6977</v>
      </c>
      <c r="I196" s="2">
        <v>513.91999999999996</v>
      </c>
    </row>
    <row r="197" spans="1:9" x14ac:dyDescent="0.3">
      <c r="A197" t="str">
        <f t="shared" si="77"/>
        <v>United States</v>
      </c>
      <c r="B197" t="str">
        <f t="shared" si="71"/>
        <v>Atlanta</v>
      </c>
      <c r="C197" t="str">
        <f t="shared" si="75"/>
        <v>Standard Class</v>
      </c>
      <c r="D197" t="str">
        <f t="shared" si="76"/>
        <v>Consumer</v>
      </c>
      <c r="E197" t="s">
        <v>14</v>
      </c>
      <c r="F197">
        <v>3</v>
      </c>
      <c r="G197">
        <v>0</v>
      </c>
      <c r="H197" s="2">
        <v>11.684999999999999</v>
      </c>
      <c r="I197" s="2">
        <v>46.74</v>
      </c>
    </row>
    <row r="198" spans="1:9" x14ac:dyDescent="0.3">
      <c r="A198" t="str">
        <f t="shared" si="77"/>
        <v>United States</v>
      </c>
      <c r="B198" t="str">
        <f t="shared" si="71"/>
        <v>Atlanta</v>
      </c>
      <c r="C198" t="str">
        <f t="shared" si="75"/>
        <v>Standard Class</v>
      </c>
      <c r="D198" t="s">
        <v>15</v>
      </c>
      <c r="E198" t="s">
        <v>19</v>
      </c>
      <c r="F198">
        <v>3</v>
      </c>
      <c r="G198">
        <v>0</v>
      </c>
      <c r="H198" s="2">
        <v>3.7235999999999989</v>
      </c>
      <c r="I198" s="2">
        <v>12.84</v>
      </c>
    </row>
    <row r="199" spans="1:9" x14ac:dyDescent="0.3">
      <c r="A199" t="str">
        <f t="shared" si="77"/>
        <v>United States</v>
      </c>
      <c r="B199" t="str">
        <f t="shared" si="71"/>
        <v>Atlanta</v>
      </c>
      <c r="C199" t="str">
        <f t="shared" si="75"/>
        <v>Standard Class</v>
      </c>
      <c r="D199" t="str">
        <f>D198</f>
        <v>Corporate</v>
      </c>
      <c r="E199" t="s">
        <v>43</v>
      </c>
      <c r="F199">
        <v>3</v>
      </c>
      <c r="G199">
        <v>0</v>
      </c>
      <c r="H199" s="2">
        <v>5.6993999999999998</v>
      </c>
      <c r="I199" s="2">
        <v>12.39</v>
      </c>
    </row>
    <row r="200" spans="1:9" x14ac:dyDescent="0.3">
      <c r="A200" t="str">
        <f t="shared" si="77"/>
        <v>United States</v>
      </c>
      <c r="B200" t="str">
        <f t="shared" si="71"/>
        <v>Atlanta</v>
      </c>
      <c r="C200" t="str">
        <f t="shared" si="75"/>
        <v>Standard Class</v>
      </c>
      <c r="D200" t="s">
        <v>17</v>
      </c>
      <c r="E200" t="s">
        <v>20</v>
      </c>
      <c r="F200">
        <v>1</v>
      </c>
      <c r="G200">
        <v>0</v>
      </c>
      <c r="H200" s="2">
        <v>635.495</v>
      </c>
      <c r="I200" s="2">
        <v>1270.99</v>
      </c>
    </row>
    <row r="201" spans="1:9" x14ac:dyDescent="0.3">
      <c r="A201" t="str">
        <f t="shared" si="77"/>
        <v>United States</v>
      </c>
      <c r="B201" t="str">
        <f t="shared" si="71"/>
        <v>Atlanta</v>
      </c>
      <c r="C201" t="str">
        <f t="shared" si="75"/>
        <v>Standard Class</v>
      </c>
      <c r="D201" t="str">
        <f>D200</f>
        <v>Home Office</v>
      </c>
      <c r="E201" t="s">
        <v>38</v>
      </c>
      <c r="F201">
        <v>8</v>
      </c>
      <c r="G201">
        <v>0</v>
      </c>
      <c r="H201" s="2">
        <v>58.919199999999989</v>
      </c>
      <c r="I201" s="2">
        <v>125.36</v>
      </c>
    </row>
    <row r="202" spans="1:9" x14ac:dyDescent="0.3">
      <c r="A202" t="str">
        <f t="shared" si="77"/>
        <v>United States</v>
      </c>
      <c r="B202" t="s">
        <v>52</v>
      </c>
      <c r="C202" t="s">
        <v>7</v>
      </c>
      <c r="D202" t="s">
        <v>15</v>
      </c>
      <c r="E202" t="s">
        <v>38</v>
      </c>
      <c r="F202">
        <v>2</v>
      </c>
      <c r="G202">
        <v>0</v>
      </c>
      <c r="H202" s="2">
        <v>11.68</v>
      </c>
      <c r="I202" s="2">
        <v>23.36</v>
      </c>
    </row>
    <row r="203" spans="1:9" x14ac:dyDescent="0.3">
      <c r="A203" t="str">
        <f t="shared" si="77"/>
        <v>United States</v>
      </c>
      <c r="B203" t="s">
        <v>53</v>
      </c>
      <c r="C203" t="s">
        <v>7</v>
      </c>
      <c r="D203" t="s">
        <v>8</v>
      </c>
      <c r="E203" t="s">
        <v>19</v>
      </c>
      <c r="F203">
        <v>15</v>
      </c>
      <c r="G203">
        <v>0</v>
      </c>
      <c r="H203" s="2">
        <v>97.501200000000011</v>
      </c>
      <c r="I203" s="2">
        <v>363.71999999999997</v>
      </c>
    </row>
    <row r="204" spans="1:9" x14ac:dyDescent="0.3">
      <c r="A204" t="str">
        <f t="shared" si="77"/>
        <v>United States</v>
      </c>
      <c r="B204" t="str">
        <f t="shared" ref="B204:B221" si="78">B203</f>
        <v>Auburn</v>
      </c>
      <c r="C204" t="str">
        <f t="shared" ref="C204:C209" si="79">C203</f>
        <v>Second Class</v>
      </c>
      <c r="D204" t="str">
        <f t="shared" ref="D204:D208" si="80">D203</f>
        <v>Consumer</v>
      </c>
      <c r="E204" t="s">
        <v>38</v>
      </c>
      <c r="F204">
        <v>2</v>
      </c>
      <c r="G204">
        <v>0</v>
      </c>
      <c r="H204" s="2">
        <v>3.3947999999999996</v>
      </c>
      <c r="I204" s="2">
        <v>7.38</v>
      </c>
    </row>
    <row r="205" spans="1:9" x14ac:dyDescent="0.3">
      <c r="A205" t="str">
        <f t="shared" si="77"/>
        <v>United States</v>
      </c>
      <c r="B205" t="str">
        <f t="shared" si="78"/>
        <v>Auburn</v>
      </c>
      <c r="C205" t="str">
        <f t="shared" si="79"/>
        <v>Second Class</v>
      </c>
      <c r="D205" t="str">
        <f t="shared" si="80"/>
        <v>Consumer</v>
      </c>
      <c r="E205" t="s">
        <v>18</v>
      </c>
      <c r="F205">
        <v>9</v>
      </c>
      <c r="G205">
        <v>0</v>
      </c>
      <c r="H205" s="2">
        <v>13.324499999999999</v>
      </c>
      <c r="I205" s="2">
        <v>29.61</v>
      </c>
    </row>
    <row r="206" spans="1:9" x14ac:dyDescent="0.3">
      <c r="A206" t="str">
        <f t="shared" si="77"/>
        <v>United States</v>
      </c>
      <c r="B206" t="str">
        <f t="shared" si="78"/>
        <v>Auburn</v>
      </c>
      <c r="C206" t="str">
        <f t="shared" si="79"/>
        <v>Second Class</v>
      </c>
      <c r="D206" t="str">
        <f t="shared" si="80"/>
        <v>Consumer</v>
      </c>
      <c r="E206" t="s">
        <v>43</v>
      </c>
      <c r="F206">
        <v>5</v>
      </c>
      <c r="G206">
        <v>0</v>
      </c>
      <c r="H206" s="2">
        <v>240.8595</v>
      </c>
      <c r="I206" s="2">
        <v>491.55</v>
      </c>
    </row>
    <row r="207" spans="1:9" x14ac:dyDescent="0.3">
      <c r="A207" t="str">
        <f t="shared" si="77"/>
        <v>United States</v>
      </c>
      <c r="B207" t="str">
        <f t="shared" si="78"/>
        <v>Auburn</v>
      </c>
      <c r="C207" t="str">
        <f t="shared" si="79"/>
        <v>Second Class</v>
      </c>
      <c r="D207" t="str">
        <f t="shared" si="80"/>
        <v>Consumer</v>
      </c>
      <c r="E207" t="s">
        <v>24</v>
      </c>
      <c r="F207">
        <v>4</v>
      </c>
      <c r="G207">
        <v>0</v>
      </c>
      <c r="H207" s="2">
        <v>9.1311999999999998</v>
      </c>
      <c r="I207" s="2">
        <v>35.119999999999997</v>
      </c>
    </row>
    <row r="208" spans="1:9" x14ac:dyDescent="0.3">
      <c r="A208" t="str">
        <f t="shared" si="77"/>
        <v>United States</v>
      </c>
      <c r="B208" t="str">
        <f t="shared" si="78"/>
        <v>Auburn</v>
      </c>
      <c r="C208" t="str">
        <f t="shared" si="79"/>
        <v>Second Class</v>
      </c>
      <c r="D208" t="str">
        <f t="shared" si="80"/>
        <v>Consumer</v>
      </c>
      <c r="E208" t="s">
        <v>14</v>
      </c>
      <c r="F208">
        <v>3</v>
      </c>
      <c r="G208">
        <v>0</v>
      </c>
      <c r="H208" s="2">
        <v>9.716399999999993</v>
      </c>
      <c r="I208" s="2">
        <v>161.94</v>
      </c>
    </row>
    <row r="209" spans="1:9" x14ac:dyDescent="0.3">
      <c r="A209" t="str">
        <f t="shared" si="77"/>
        <v>United States</v>
      </c>
      <c r="B209" t="str">
        <f t="shared" si="78"/>
        <v>Auburn</v>
      </c>
      <c r="C209" t="str">
        <f t="shared" si="79"/>
        <v>Second Class</v>
      </c>
      <c r="D209" t="s">
        <v>15</v>
      </c>
      <c r="E209" t="s">
        <v>16</v>
      </c>
      <c r="F209">
        <v>8</v>
      </c>
      <c r="G209">
        <v>0</v>
      </c>
      <c r="H209" s="2">
        <v>22.540800000000001</v>
      </c>
      <c r="I209" s="2">
        <v>46.96</v>
      </c>
    </row>
    <row r="210" spans="1:9" x14ac:dyDescent="0.3">
      <c r="A210" t="str">
        <f t="shared" si="77"/>
        <v>United States</v>
      </c>
      <c r="B210" t="str">
        <f t="shared" si="78"/>
        <v>Auburn</v>
      </c>
      <c r="C210" t="s">
        <v>22</v>
      </c>
      <c r="D210" t="s">
        <v>8</v>
      </c>
      <c r="E210" t="s">
        <v>19</v>
      </c>
      <c r="F210">
        <v>2</v>
      </c>
      <c r="G210">
        <v>0</v>
      </c>
      <c r="H210" s="2">
        <v>3.0557999999999996</v>
      </c>
      <c r="I210" s="2">
        <v>9.26</v>
      </c>
    </row>
    <row r="211" spans="1:9" x14ac:dyDescent="0.3">
      <c r="A211" t="str">
        <f t="shared" si="77"/>
        <v>United States</v>
      </c>
      <c r="B211" t="str">
        <f t="shared" si="78"/>
        <v>Auburn</v>
      </c>
      <c r="C211" t="str">
        <f t="shared" ref="C211:C221" si="81">C210</f>
        <v>Standard Class</v>
      </c>
      <c r="D211" t="str">
        <f t="shared" ref="D211:D217" si="82">D210</f>
        <v>Consumer</v>
      </c>
      <c r="E211" t="s">
        <v>20</v>
      </c>
      <c r="F211">
        <v>3</v>
      </c>
      <c r="G211">
        <v>0.2</v>
      </c>
      <c r="H211" s="2">
        <v>5.8230000000000004</v>
      </c>
      <c r="I211" s="2">
        <v>15.528</v>
      </c>
    </row>
    <row r="212" spans="1:9" x14ac:dyDescent="0.3">
      <c r="A212" t="str">
        <f t="shared" si="77"/>
        <v>United States</v>
      </c>
      <c r="B212" t="str">
        <f t="shared" si="78"/>
        <v>Auburn</v>
      </c>
      <c r="C212" t="str">
        <f t="shared" si="81"/>
        <v>Standard Class</v>
      </c>
      <c r="D212" t="str">
        <f t="shared" si="82"/>
        <v>Consumer</v>
      </c>
      <c r="E212" t="s">
        <v>33</v>
      </c>
      <c r="F212">
        <v>1</v>
      </c>
      <c r="G212">
        <v>0</v>
      </c>
      <c r="H212" s="2">
        <v>84.23520000000002</v>
      </c>
      <c r="I212" s="2">
        <v>350.98</v>
      </c>
    </row>
    <row r="213" spans="1:9" x14ac:dyDescent="0.3">
      <c r="A213" t="str">
        <f t="shared" si="77"/>
        <v>United States</v>
      </c>
      <c r="B213" t="str">
        <f t="shared" si="78"/>
        <v>Auburn</v>
      </c>
      <c r="C213" t="str">
        <f t="shared" si="81"/>
        <v>Standard Class</v>
      </c>
      <c r="D213" t="str">
        <f t="shared" si="82"/>
        <v>Consumer</v>
      </c>
      <c r="E213" t="s">
        <v>38</v>
      </c>
      <c r="F213">
        <v>1</v>
      </c>
      <c r="G213">
        <v>0</v>
      </c>
      <c r="H213" s="2">
        <v>12.7746</v>
      </c>
      <c r="I213" s="2">
        <v>27.18</v>
      </c>
    </row>
    <row r="214" spans="1:9" x14ac:dyDescent="0.3">
      <c r="A214" t="str">
        <f t="shared" si="77"/>
        <v>United States</v>
      </c>
      <c r="B214" t="str">
        <f t="shared" si="78"/>
        <v>Auburn</v>
      </c>
      <c r="C214" t="str">
        <f t="shared" si="81"/>
        <v>Standard Class</v>
      </c>
      <c r="D214" t="str">
        <f t="shared" si="82"/>
        <v>Consumer</v>
      </c>
      <c r="E214" t="s">
        <v>18</v>
      </c>
      <c r="F214">
        <v>1</v>
      </c>
      <c r="G214">
        <v>0</v>
      </c>
      <c r="H214" s="2">
        <v>0.58279999999999998</v>
      </c>
      <c r="I214" s="2">
        <v>1.24</v>
      </c>
    </row>
    <row r="215" spans="1:9" x14ac:dyDescent="0.3">
      <c r="A215" t="str">
        <f t="shared" si="77"/>
        <v>United States</v>
      </c>
      <c r="B215" t="str">
        <f t="shared" si="78"/>
        <v>Auburn</v>
      </c>
      <c r="C215" t="str">
        <f t="shared" si="81"/>
        <v>Standard Class</v>
      </c>
      <c r="D215" t="str">
        <f t="shared" si="82"/>
        <v>Consumer</v>
      </c>
      <c r="E215" t="s">
        <v>43</v>
      </c>
      <c r="F215">
        <v>2</v>
      </c>
      <c r="G215">
        <v>0</v>
      </c>
      <c r="H215" s="2">
        <v>9.9359999999999999</v>
      </c>
      <c r="I215" s="2">
        <v>20.7</v>
      </c>
    </row>
    <row r="216" spans="1:9" x14ac:dyDescent="0.3">
      <c r="A216" t="str">
        <f t="shared" si="77"/>
        <v>United States</v>
      </c>
      <c r="B216" t="str">
        <f t="shared" si="78"/>
        <v>Auburn</v>
      </c>
      <c r="C216" t="str">
        <f t="shared" si="81"/>
        <v>Standard Class</v>
      </c>
      <c r="D216" t="str">
        <f t="shared" si="82"/>
        <v>Consumer</v>
      </c>
      <c r="E216" t="s">
        <v>16</v>
      </c>
      <c r="F216">
        <v>7</v>
      </c>
      <c r="G216">
        <v>0</v>
      </c>
      <c r="H216" s="2">
        <v>20.177800000000001</v>
      </c>
      <c r="I216" s="2">
        <v>41.980000000000004</v>
      </c>
    </row>
    <row r="217" spans="1:9" x14ac:dyDescent="0.3">
      <c r="A217" t="str">
        <f t="shared" si="77"/>
        <v>United States</v>
      </c>
      <c r="B217" t="str">
        <f t="shared" si="78"/>
        <v>Auburn</v>
      </c>
      <c r="C217" t="str">
        <f t="shared" si="81"/>
        <v>Standard Class</v>
      </c>
      <c r="D217" t="str">
        <f t="shared" si="82"/>
        <v>Consumer</v>
      </c>
      <c r="E217" t="s">
        <v>14</v>
      </c>
      <c r="F217">
        <v>6</v>
      </c>
      <c r="G217">
        <v>0</v>
      </c>
      <c r="H217" s="2">
        <v>121.2496</v>
      </c>
      <c r="I217" s="2">
        <v>1006.0600000000001</v>
      </c>
    </row>
    <row r="218" spans="1:9" x14ac:dyDescent="0.3">
      <c r="A218" t="str">
        <f t="shared" si="77"/>
        <v>United States</v>
      </c>
      <c r="B218" t="str">
        <f t="shared" si="78"/>
        <v>Auburn</v>
      </c>
      <c r="C218" t="str">
        <f t="shared" si="81"/>
        <v>Standard Class</v>
      </c>
      <c r="D218" t="s">
        <v>15</v>
      </c>
      <c r="E218" t="s">
        <v>19</v>
      </c>
      <c r="F218">
        <v>3</v>
      </c>
      <c r="G218">
        <v>0</v>
      </c>
      <c r="H218" s="2">
        <v>5.2112999999999996</v>
      </c>
      <c r="I218" s="2">
        <v>17.97</v>
      </c>
    </row>
    <row r="219" spans="1:9" x14ac:dyDescent="0.3">
      <c r="A219" t="str">
        <f t="shared" si="77"/>
        <v>United States</v>
      </c>
      <c r="B219" t="str">
        <f t="shared" si="78"/>
        <v>Auburn</v>
      </c>
      <c r="C219" t="str">
        <f t="shared" si="81"/>
        <v>Standard Class</v>
      </c>
      <c r="D219" t="str">
        <f>D218</f>
        <v>Corporate</v>
      </c>
      <c r="E219" t="s">
        <v>21</v>
      </c>
      <c r="F219">
        <v>5</v>
      </c>
      <c r="G219">
        <v>0</v>
      </c>
      <c r="H219" s="2">
        <v>72.807000000000031</v>
      </c>
      <c r="I219" s="2">
        <v>520.05000000000007</v>
      </c>
    </row>
    <row r="220" spans="1:9" x14ac:dyDescent="0.3">
      <c r="A220" t="str">
        <f t="shared" si="77"/>
        <v>United States</v>
      </c>
      <c r="B220" t="str">
        <f t="shared" si="78"/>
        <v>Auburn</v>
      </c>
      <c r="C220" t="str">
        <f t="shared" si="81"/>
        <v>Standard Class</v>
      </c>
      <c r="D220" t="s">
        <v>17</v>
      </c>
      <c r="E220" t="s">
        <v>19</v>
      </c>
      <c r="F220">
        <v>2</v>
      </c>
      <c r="G220">
        <v>0</v>
      </c>
      <c r="H220" s="2">
        <v>1.0903999999999998</v>
      </c>
      <c r="I220" s="2">
        <v>3.76</v>
      </c>
    </row>
    <row r="221" spans="1:9" x14ac:dyDescent="0.3">
      <c r="A221" t="str">
        <f t="shared" si="77"/>
        <v>United States</v>
      </c>
      <c r="B221" t="str">
        <f t="shared" si="78"/>
        <v>Auburn</v>
      </c>
      <c r="C221" t="str">
        <f t="shared" si="81"/>
        <v>Standard Class</v>
      </c>
      <c r="D221" t="str">
        <f>D220</f>
        <v>Home Office</v>
      </c>
      <c r="E221" t="s">
        <v>21</v>
      </c>
      <c r="F221">
        <v>1</v>
      </c>
      <c r="G221">
        <v>0</v>
      </c>
      <c r="H221" s="2">
        <v>1.5047999999999999</v>
      </c>
      <c r="I221" s="2">
        <v>4.18</v>
      </c>
    </row>
    <row r="222" spans="1:9" x14ac:dyDescent="0.3">
      <c r="A222" t="str">
        <f t="shared" si="77"/>
        <v>United States</v>
      </c>
      <c r="B222" t="s">
        <v>54</v>
      </c>
      <c r="C222" t="s">
        <v>11</v>
      </c>
      <c r="D222" t="s">
        <v>8</v>
      </c>
      <c r="E222" t="s">
        <v>16</v>
      </c>
      <c r="F222">
        <v>6</v>
      </c>
      <c r="G222">
        <v>0.2</v>
      </c>
      <c r="H222" s="2">
        <v>67.442399999999992</v>
      </c>
      <c r="I222" s="2">
        <v>186.048</v>
      </c>
    </row>
    <row r="223" spans="1:9" x14ac:dyDescent="0.3">
      <c r="A223" t="str">
        <f t="shared" si="77"/>
        <v>United States</v>
      </c>
      <c r="B223" t="str">
        <f t="shared" ref="B223:B254" si="83">B222</f>
        <v>Aurora</v>
      </c>
      <c r="C223" t="str">
        <f t="shared" ref="C223:C236" si="84">C222</f>
        <v>First Class</v>
      </c>
      <c r="D223" t="str">
        <f>D222</f>
        <v>Consumer</v>
      </c>
      <c r="E223" t="s">
        <v>24</v>
      </c>
      <c r="F223">
        <v>7</v>
      </c>
      <c r="G223">
        <v>0.2</v>
      </c>
      <c r="H223" s="2">
        <v>15.742999999999984</v>
      </c>
      <c r="I223" s="2">
        <v>125.944</v>
      </c>
    </row>
    <row r="224" spans="1:9" x14ac:dyDescent="0.3">
      <c r="A224" t="str">
        <f t="shared" si="77"/>
        <v>United States</v>
      </c>
      <c r="B224" t="str">
        <f t="shared" si="83"/>
        <v>Aurora</v>
      </c>
      <c r="C224" t="str">
        <f t="shared" si="84"/>
        <v>First Class</v>
      </c>
      <c r="D224" t="s">
        <v>15</v>
      </c>
      <c r="E224" t="s">
        <v>23</v>
      </c>
      <c r="F224">
        <v>7</v>
      </c>
      <c r="G224">
        <v>0.2</v>
      </c>
      <c r="H224" s="2">
        <v>-14.793099999999995</v>
      </c>
      <c r="I224" s="2">
        <v>169.06400000000002</v>
      </c>
    </row>
    <row r="225" spans="1:9" x14ac:dyDescent="0.3">
      <c r="A225" t="str">
        <f t="shared" si="77"/>
        <v>United States</v>
      </c>
      <c r="B225" t="str">
        <f t="shared" si="83"/>
        <v>Aurora</v>
      </c>
      <c r="C225" t="str">
        <f t="shared" si="84"/>
        <v>First Class</v>
      </c>
      <c r="D225" t="str">
        <f t="shared" ref="D225:D229" si="85">D224</f>
        <v>Corporate</v>
      </c>
      <c r="E225" t="s">
        <v>12</v>
      </c>
      <c r="F225">
        <v>2</v>
      </c>
      <c r="G225">
        <v>0.2</v>
      </c>
      <c r="H225" s="2">
        <v>3.2432000000000016</v>
      </c>
      <c r="I225" s="2">
        <v>32.432000000000002</v>
      </c>
    </row>
    <row r="226" spans="1:9" x14ac:dyDescent="0.3">
      <c r="A226" t="str">
        <f t="shared" si="77"/>
        <v>United States</v>
      </c>
      <c r="B226" t="str">
        <f t="shared" si="83"/>
        <v>Aurora</v>
      </c>
      <c r="C226" t="str">
        <f t="shared" si="84"/>
        <v>First Class</v>
      </c>
      <c r="D226" t="str">
        <f t="shared" si="85"/>
        <v>Corporate</v>
      </c>
      <c r="E226" t="s">
        <v>21</v>
      </c>
      <c r="F226">
        <v>4</v>
      </c>
      <c r="G226">
        <v>0.2</v>
      </c>
      <c r="H226" s="2">
        <v>4.0039999999999978</v>
      </c>
      <c r="I226" s="2">
        <v>24.64</v>
      </c>
    </row>
    <row r="227" spans="1:9" x14ac:dyDescent="0.3">
      <c r="A227" t="str">
        <f t="shared" si="77"/>
        <v>United States</v>
      </c>
      <c r="B227" t="str">
        <f t="shared" si="83"/>
        <v>Aurora</v>
      </c>
      <c r="C227" t="str">
        <f t="shared" si="84"/>
        <v>First Class</v>
      </c>
      <c r="D227" t="str">
        <f t="shared" si="85"/>
        <v>Corporate</v>
      </c>
      <c r="E227" t="s">
        <v>16</v>
      </c>
      <c r="F227">
        <v>4</v>
      </c>
      <c r="G227">
        <v>0.2</v>
      </c>
      <c r="H227" s="2">
        <v>62.137599999999992</v>
      </c>
      <c r="I227" s="2">
        <v>177.536</v>
      </c>
    </row>
    <row r="228" spans="1:9" x14ac:dyDescent="0.3">
      <c r="A228" t="str">
        <f t="shared" si="77"/>
        <v>United States</v>
      </c>
      <c r="B228" t="str">
        <f t="shared" si="83"/>
        <v>Aurora</v>
      </c>
      <c r="C228" t="str">
        <f t="shared" si="84"/>
        <v>First Class</v>
      </c>
      <c r="D228" t="str">
        <f t="shared" si="85"/>
        <v>Corporate</v>
      </c>
      <c r="E228" t="s">
        <v>24</v>
      </c>
      <c r="F228">
        <v>1</v>
      </c>
      <c r="G228">
        <v>0.2</v>
      </c>
      <c r="H228" s="2">
        <v>2.5973999999999995</v>
      </c>
      <c r="I228" s="2">
        <v>7.9920000000000009</v>
      </c>
    </row>
    <row r="229" spans="1:9" x14ac:dyDescent="0.3">
      <c r="A229" t="str">
        <f t="shared" si="77"/>
        <v>United States</v>
      </c>
      <c r="B229" t="str">
        <f t="shared" si="83"/>
        <v>Aurora</v>
      </c>
      <c r="C229" t="str">
        <f t="shared" si="84"/>
        <v>First Class</v>
      </c>
      <c r="D229" t="str">
        <f t="shared" si="85"/>
        <v>Corporate</v>
      </c>
      <c r="E229" t="s">
        <v>14</v>
      </c>
      <c r="F229">
        <v>9</v>
      </c>
      <c r="G229">
        <v>0.2</v>
      </c>
      <c r="H229" s="2">
        <v>14.754599999999996</v>
      </c>
      <c r="I229" s="2">
        <v>168.624</v>
      </c>
    </row>
    <row r="230" spans="1:9" x14ac:dyDescent="0.3">
      <c r="A230" t="str">
        <f t="shared" si="77"/>
        <v>United States</v>
      </c>
      <c r="B230" t="str">
        <f t="shared" si="83"/>
        <v>Aurora</v>
      </c>
      <c r="C230" t="str">
        <f t="shared" si="84"/>
        <v>First Class</v>
      </c>
      <c r="D230" t="s">
        <v>17</v>
      </c>
      <c r="E230" t="s">
        <v>23</v>
      </c>
      <c r="F230">
        <v>2</v>
      </c>
      <c r="G230">
        <v>0.2</v>
      </c>
      <c r="H230" s="2">
        <v>1.359599999999995</v>
      </c>
      <c r="I230" s="2">
        <v>54.384000000000007</v>
      </c>
    </row>
    <row r="231" spans="1:9" x14ac:dyDescent="0.3">
      <c r="A231" t="str">
        <f t="shared" si="77"/>
        <v>United States</v>
      </c>
      <c r="B231" t="str">
        <f t="shared" si="83"/>
        <v>Aurora</v>
      </c>
      <c r="C231" t="str">
        <f t="shared" si="84"/>
        <v>First Class</v>
      </c>
      <c r="D231" t="str">
        <f t="shared" ref="D231:D236" si="86">D230</f>
        <v>Home Office</v>
      </c>
      <c r="E231" t="s">
        <v>12</v>
      </c>
      <c r="F231">
        <v>2</v>
      </c>
      <c r="G231">
        <v>0.2</v>
      </c>
      <c r="H231" s="2">
        <v>26.22399999999999</v>
      </c>
      <c r="I231" s="2">
        <v>209.79200000000003</v>
      </c>
    </row>
    <row r="232" spans="1:9" x14ac:dyDescent="0.3">
      <c r="A232" t="str">
        <f t="shared" si="77"/>
        <v>United States</v>
      </c>
      <c r="B232" t="str">
        <f t="shared" si="83"/>
        <v>Aurora</v>
      </c>
      <c r="C232" t="str">
        <f t="shared" si="84"/>
        <v>First Class</v>
      </c>
      <c r="D232" t="str">
        <f t="shared" si="86"/>
        <v>Home Office</v>
      </c>
      <c r="E232" t="s">
        <v>20</v>
      </c>
      <c r="F232">
        <v>4</v>
      </c>
      <c r="G232">
        <v>0.7</v>
      </c>
      <c r="H232" s="2">
        <v>-58.861599999999981</v>
      </c>
      <c r="I232" s="2">
        <v>76.77600000000001</v>
      </c>
    </row>
    <row r="233" spans="1:9" x14ac:dyDescent="0.3">
      <c r="A233" t="str">
        <f t="shared" si="77"/>
        <v>United States</v>
      </c>
      <c r="B233" t="str">
        <f t="shared" si="83"/>
        <v>Aurora</v>
      </c>
      <c r="C233" t="str">
        <f t="shared" si="84"/>
        <v>First Class</v>
      </c>
      <c r="D233" t="str">
        <f t="shared" si="86"/>
        <v>Home Office</v>
      </c>
      <c r="E233" t="s">
        <v>21</v>
      </c>
      <c r="F233">
        <v>1</v>
      </c>
      <c r="G233">
        <v>0.2</v>
      </c>
      <c r="H233" s="2">
        <v>3.2776000000000014</v>
      </c>
      <c r="I233" s="2">
        <v>32.776000000000003</v>
      </c>
    </row>
    <row r="234" spans="1:9" x14ac:dyDescent="0.3">
      <c r="A234" t="str">
        <f t="shared" si="77"/>
        <v>United States</v>
      </c>
      <c r="B234" t="str">
        <f t="shared" si="83"/>
        <v>Aurora</v>
      </c>
      <c r="C234" t="str">
        <f t="shared" si="84"/>
        <v>First Class</v>
      </c>
      <c r="D234" t="str">
        <f t="shared" si="86"/>
        <v>Home Office</v>
      </c>
      <c r="E234" t="s">
        <v>16</v>
      </c>
      <c r="F234">
        <v>3</v>
      </c>
      <c r="G234">
        <v>0.2</v>
      </c>
      <c r="H234" s="2">
        <v>5.2026000000000003</v>
      </c>
      <c r="I234" s="2">
        <v>14.352000000000002</v>
      </c>
    </row>
    <row r="235" spans="1:9" x14ac:dyDescent="0.3">
      <c r="A235" t="str">
        <f t="shared" si="77"/>
        <v>United States</v>
      </c>
      <c r="B235" t="str">
        <f t="shared" si="83"/>
        <v>Aurora</v>
      </c>
      <c r="C235" t="str">
        <f t="shared" si="84"/>
        <v>First Class</v>
      </c>
      <c r="D235" t="str">
        <f t="shared" si="86"/>
        <v>Home Office</v>
      </c>
      <c r="E235" t="s">
        <v>14</v>
      </c>
      <c r="F235">
        <v>2</v>
      </c>
      <c r="G235">
        <v>0.2</v>
      </c>
      <c r="H235" s="2">
        <v>-29.436800000000012</v>
      </c>
      <c r="I235" s="2">
        <v>147.184</v>
      </c>
    </row>
    <row r="236" spans="1:9" x14ac:dyDescent="0.3">
      <c r="A236" t="str">
        <f t="shared" si="77"/>
        <v>United States</v>
      </c>
      <c r="B236" t="str">
        <f t="shared" si="83"/>
        <v>Aurora</v>
      </c>
      <c r="C236" t="str">
        <f t="shared" si="84"/>
        <v>First Class</v>
      </c>
      <c r="D236" t="str">
        <f t="shared" si="86"/>
        <v>Home Office</v>
      </c>
      <c r="E236" t="s">
        <v>25</v>
      </c>
      <c r="F236">
        <v>7</v>
      </c>
      <c r="G236">
        <v>0.5</v>
      </c>
      <c r="H236" s="2">
        <v>-525.6405000000002</v>
      </c>
      <c r="I236" s="2">
        <v>796.42500000000007</v>
      </c>
    </row>
    <row r="237" spans="1:9" x14ac:dyDescent="0.3">
      <c r="A237" t="str">
        <f t="shared" si="77"/>
        <v>United States</v>
      </c>
      <c r="B237" t="str">
        <f t="shared" si="83"/>
        <v>Aurora</v>
      </c>
      <c r="C237" t="s">
        <v>27</v>
      </c>
      <c r="D237" t="s">
        <v>8</v>
      </c>
      <c r="E237" t="s">
        <v>33</v>
      </c>
      <c r="F237">
        <v>2</v>
      </c>
      <c r="G237">
        <v>0.3</v>
      </c>
      <c r="H237" s="2">
        <v>-14.870399999999961</v>
      </c>
      <c r="I237" s="2">
        <v>520.46399999999994</v>
      </c>
    </row>
    <row r="238" spans="1:9" x14ac:dyDescent="0.3">
      <c r="A238" t="str">
        <f t="shared" si="77"/>
        <v>United States</v>
      </c>
      <c r="B238" t="str">
        <f t="shared" si="83"/>
        <v>Aurora</v>
      </c>
      <c r="C238" t="str">
        <f t="shared" ref="C238:C243" si="87">C237</f>
        <v>Same Day</v>
      </c>
      <c r="D238" t="str">
        <f t="shared" ref="D238:D239" si="88">D237</f>
        <v>Consumer</v>
      </c>
      <c r="E238" t="s">
        <v>21</v>
      </c>
      <c r="F238">
        <v>1</v>
      </c>
      <c r="G238">
        <v>0.6</v>
      </c>
      <c r="H238" s="2">
        <v>-66.061999999999998</v>
      </c>
      <c r="I238" s="2">
        <v>77.720000000000013</v>
      </c>
    </row>
    <row r="239" spans="1:9" x14ac:dyDescent="0.3">
      <c r="A239" t="str">
        <f t="shared" si="77"/>
        <v>United States</v>
      </c>
      <c r="B239" t="str">
        <f t="shared" si="83"/>
        <v>Aurora</v>
      </c>
      <c r="C239" t="str">
        <f t="shared" si="87"/>
        <v>Same Day</v>
      </c>
      <c r="D239" t="str">
        <f t="shared" si="88"/>
        <v>Consumer</v>
      </c>
      <c r="E239" t="s">
        <v>16</v>
      </c>
      <c r="F239">
        <v>2</v>
      </c>
      <c r="G239">
        <v>0.2</v>
      </c>
      <c r="H239" s="2">
        <v>3.6288</v>
      </c>
      <c r="I239" s="2">
        <v>10.368000000000002</v>
      </c>
    </row>
    <row r="240" spans="1:9" x14ac:dyDescent="0.3">
      <c r="A240" t="str">
        <f t="shared" si="77"/>
        <v>United States</v>
      </c>
      <c r="B240" t="str">
        <f t="shared" si="83"/>
        <v>Aurora</v>
      </c>
      <c r="C240" t="str">
        <f t="shared" si="87"/>
        <v>Same Day</v>
      </c>
      <c r="D240" t="s">
        <v>17</v>
      </c>
      <c r="E240" t="s">
        <v>12</v>
      </c>
      <c r="F240">
        <v>5</v>
      </c>
      <c r="G240">
        <v>0.8</v>
      </c>
      <c r="H240" s="2">
        <v>-191.619</v>
      </c>
      <c r="I240" s="2">
        <v>70.969999999999985</v>
      </c>
    </row>
    <row r="241" spans="1:9" x14ac:dyDescent="0.3">
      <c r="A241" t="str">
        <f t="shared" si="77"/>
        <v>United States</v>
      </c>
      <c r="B241" t="str">
        <f t="shared" si="83"/>
        <v>Aurora</v>
      </c>
      <c r="C241" t="str">
        <f t="shared" si="87"/>
        <v>Same Day</v>
      </c>
      <c r="D241" t="str">
        <f t="shared" ref="D241:D243" si="89">D240</f>
        <v>Home Office</v>
      </c>
      <c r="E241" t="s">
        <v>19</v>
      </c>
      <c r="F241">
        <v>2</v>
      </c>
      <c r="G241">
        <v>0.2</v>
      </c>
      <c r="H241" s="2">
        <v>3.6784000000000017</v>
      </c>
      <c r="I241" s="2">
        <v>36.783999999999999</v>
      </c>
    </row>
    <row r="242" spans="1:9" x14ac:dyDescent="0.3">
      <c r="A242" t="str">
        <f t="shared" si="77"/>
        <v>United States</v>
      </c>
      <c r="B242" t="str">
        <f t="shared" si="83"/>
        <v>Aurora</v>
      </c>
      <c r="C242" t="str">
        <f t="shared" si="87"/>
        <v>Same Day</v>
      </c>
      <c r="D242" t="str">
        <f t="shared" si="89"/>
        <v>Home Office</v>
      </c>
      <c r="E242" t="s">
        <v>20</v>
      </c>
      <c r="F242">
        <v>2</v>
      </c>
      <c r="G242">
        <v>0.8</v>
      </c>
      <c r="H242" s="2">
        <v>-3.4619999999999997</v>
      </c>
      <c r="I242" s="2">
        <v>2.3079999999999994</v>
      </c>
    </row>
    <row r="243" spans="1:9" x14ac:dyDescent="0.3">
      <c r="A243" t="str">
        <f t="shared" si="77"/>
        <v>United States</v>
      </c>
      <c r="B243" t="str">
        <f t="shared" si="83"/>
        <v>Aurora</v>
      </c>
      <c r="C243" t="str">
        <f t="shared" si="87"/>
        <v>Same Day</v>
      </c>
      <c r="D243" t="str">
        <f t="shared" si="89"/>
        <v>Home Office</v>
      </c>
      <c r="E243" t="s">
        <v>33</v>
      </c>
      <c r="F243">
        <v>2</v>
      </c>
      <c r="G243">
        <v>0.3</v>
      </c>
      <c r="H243" s="2">
        <v>-50.098000000000013</v>
      </c>
      <c r="I243" s="2">
        <v>701.37199999999996</v>
      </c>
    </row>
    <row r="244" spans="1:9" x14ac:dyDescent="0.3">
      <c r="A244" t="str">
        <f t="shared" si="77"/>
        <v>United States</v>
      </c>
      <c r="B244" t="str">
        <f t="shared" si="83"/>
        <v>Aurora</v>
      </c>
      <c r="C244" t="s">
        <v>7</v>
      </c>
      <c r="D244" t="s">
        <v>8</v>
      </c>
      <c r="E244" t="s">
        <v>23</v>
      </c>
      <c r="F244">
        <v>5</v>
      </c>
      <c r="G244">
        <v>0.2</v>
      </c>
      <c r="H244" s="2">
        <v>29.950000000000003</v>
      </c>
      <c r="I244" s="2">
        <v>119.80000000000001</v>
      </c>
    </row>
    <row r="245" spans="1:9" x14ac:dyDescent="0.3">
      <c r="A245" t="str">
        <f t="shared" si="77"/>
        <v>United States</v>
      </c>
      <c r="B245" t="str">
        <f t="shared" si="83"/>
        <v>Aurora</v>
      </c>
      <c r="C245" t="str">
        <f t="shared" ref="C245:C256" si="90">C244</f>
        <v>Second Class</v>
      </c>
      <c r="D245" t="str">
        <f t="shared" ref="D245:D249" si="91">D244</f>
        <v>Consumer</v>
      </c>
      <c r="E245" t="s">
        <v>20</v>
      </c>
      <c r="F245">
        <v>9</v>
      </c>
      <c r="G245">
        <v>1.4</v>
      </c>
      <c r="H245" s="2">
        <v>-10.796399999999998</v>
      </c>
      <c r="I245" s="2">
        <v>14.508000000000001</v>
      </c>
    </row>
    <row r="246" spans="1:9" x14ac:dyDescent="0.3">
      <c r="A246" t="str">
        <f t="shared" si="77"/>
        <v>United States</v>
      </c>
      <c r="B246" t="str">
        <f t="shared" si="83"/>
        <v>Aurora</v>
      </c>
      <c r="C246" t="str">
        <f t="shared" si="90"/>
        <v>Second Class</v>
      </c>
      <c r="D246" t="str">
        <f t="shared" si="91"/>
        <v>Consumer</v>
      </c>
      <c r="E246" t="s">
        <v>34</v>
      </c>
      <c r="F246">
        <v>6</v>
      </c>
      <c r="G246">
        <v>0.7</v>
      </c>
      <c r="H246" s="2">
        <v>-247.79879999999997</v>
      </c>
      <c r="I246" s="2">
        <v>145.76400000000001</v>
      </c>
    </row>
    <row r="247" spans="1:9" x14ac:dyDescent="0.3">
      <c r="A247" t="str">
        <f t="shared" si="77"/>
        <v>United States</v>
      </c>
      <c r="B247" t="str">
        <f t="shared" si="83"/>
        <v>Aurora</v>
      </c>
      <c r="C247" t="str">
        <f t="shared" si="90"/>
        <v>Second Class</v>
      </c>
      <c r="D247" t="str">
        <f t="shared" si="91"/>
        <v>Consumer</v>
      </c>
      <c r="E247" t="s">
        <v>24</v>
      </c>
      <c r="F247">
        <v>4</v>
      </c>
      <c r="G247">
        <v>0.2</v>
      </c>
      <c r="H247" s="2">
        <v>30.076800000000006</v>
      </c>
      <c r="I247" s="2">
        <v>300.76799999999997</v>
      </c>
    </row>
    <row r="248" spans="1:9" x14ac:dyDescent="0.3">
      <c r="A248" t="str">
        <f t="shared" si="77"/>
        <v>United States</v>
      </c>
      <c r="B248" t="str">
        <f t="shared" si="83"/>
        <v>Aurora</v>
      </c>
      <c r="C248" t="str">
        <f t="shared" si="90"/>
        <v>Second Class</v>
      </c>
      <c r="D248" t="str">
        <f t="shared" si="91"/>
        <v>Consumer</v>
      </c>
      <c r="E248" t="s">
        <v>14</v>
      </c>
      <c r="F248">
        <v>3</v>
      </c>
      <c r="G248">
        <v>0.2</v>
      </c>
      <c r="H248" s="2">
        <v>-51.719100000000012</v>
      </c>
      <c r="I248" s="2">
        <v>243.38400000000001</v>
      </c>
    </row>
    <row r="249" spans="1:9" x14ac:dyDescent="0.3">
      <c r="A249" t="str">
        <f t="shared" si="77"/>
        <v>United States</v>
      </c>
      <c r="B249" t="str">
        <f t="shared" si="83"/>
        <v>Aurora</v>
      </c>
      <c r="C249" t="str">
        <f t="shared" si="90"/>
        <v>Second Class</v>
      </c>
      <c r="D249" t="str">
        <f t="shared" si="91"/>
        <v>Consumer</v>
      </c>
      <c r="E249" t="s">
        <v>25</v>
      </c>
      <c r="F249">
        <v>3</v>
      </c>
      <c r="G249">
        <v>0.5</v>
      </c>
      <c r="H249" s="2">
        <v>-209.76929999999999</v>
      </c>
      <c r="I249" s="2">
        <v>268.935</v>
      </c>
    </row>
    <row r="250" spans="1:9" x14ac:dyDescent="0.3">
      <c r="A250" t="str">
        <f t="shared" si="77"/>
        <v>United States</v>
      </c>
      <c r="B250" t="str">
        <f t="shared" si="83"/>
        <v>Aurora</v>
      </c>
      <c r="C250" t="str">
        <f t="shared" si="90"/>
        <v>Second Class</v>
      </c>
      <c r="D250" t="s">
        <v>15</v>
      </c>
      <c r="E250" t="s">
        <v>20</v>
      </c>
      <c r="F250">
        <v>11</v>
      </c>
      <c r="G250">
        <v>1.6</v>
      </c>
      <c r="H250" s="2">
        <v>-169.41840000000008</v>
      </c>
      <c r="I250" s="2">
        <v>97.055999999999983</v>
      </c>
    </row>
    <row r="251" spans="1:9" x14ac:dyDescent="0.3">
      <c r="A251" t="str">
        <f t="shared" si="77"/>
        <v>United States</v>
      </c>
      <c r="B251" t="str">
        <f t="shared" si="83"/>
        <v>Aurora</v>
      </c>
      <c r="C251" t="str">
        <f t="shared" si="90"/>
        <v>Second Class</v>
      </c>
      <c r="D251" t="str">
        <f t="shared" ref="D251:D254" si="92">D250</f>
        <v>Corporate</v>
      </c>
      <c r="E251" t="s">
        <v>33</v>
      </c>
      <c r="F251">
        <v>2</v>
      </c>
      <c r="G251">
        <v>0.3</v>
      </c>
      <c r="H251" s="2">
        <v>-14.478399999999993</v>
      </c>
      <c r="I251" s="2">
        <v>253.37199999999996</v>
      </c>
    </row>
    <row r="252" spans="1:9" x14ac:dyDescent="0.3">
      <c r="A252" t="str">
        <f t="shared" si="77"/>
        <v>United States</v>
      </c>
      <c r="B252" t="str">
        <f t="shared" si="83"/>
        <v>Aurora</v>
      </c>
      <c r="C252" t="str">
        <f t="shared" si="90"/>
        <v>Second Class</v>
      </c>
      <c r="D252" t="str">
        <f t="shared" si="92"/>
        <v>Corporate</v>
      </c>
      <c r="E252" t="s">
        <v>18</v>
      </c>
      <c r="F252">
        <v>1</v>
      </c>
      <c r="G252">
        <v>0.2</v>
      </c>
      <c r="H252" s="2">
        <v>0.8224999999999999</v>
      </c>
      <c r="I252" s="2">
        <v>2.6320000000000001</v>
      </c>
    </row>
    <row r="253" spans="1:9" x14ac:dyDescent="0.3">
      <c r="A253" t="str">
        <f t="shared" si="77"/>
        <v>United States</v>
      </c>
      <c r="B253" t="str">
        <f t="shared" si="83"/>
        <v>Aurora</v>
      </c>
      <c r="C253" t="str">
        <f t="shared" si="90"/>
        <v>Second Class</v>
      </c>
      <c r="D253" t="str">
        <f t="shared" si="92"/>
        <v>Corporate</v>
      </c>
      <c r="E253" t="s">
        <v>21</v>
      </c>
      <c r="F253">
        <v>8</v>
      </c>
      <c r="G253">
        <v>0.6</v>
      </c>
      <c r="H253" s="2">
        <v>-27.129599999999996</v>
      </c>
      <c r="I253" s="2">
        <v>60.288000000000004</v>
      </c>
    </row>
    <row r="254" spans="1:9" x14ac:dyDescent="0.3">
      <c r="A254" t="str">
        <f t="shared" si="77"/>
        <v>United States</v>
      </c>
      <c r="B254" t="str">
        <f t="shared" si="83"/>
        <v>Aurora</v>
      </c>
      <c r="C254" t="str">
        <f t="shared" si="90"/>
        <v>Second Class</v>
      </c>
      <c r="D254" t="str">
        <f t="shared" si="92"/>
        <v>Corporate</v>
      </c>
      <c r="E254" t="s">
        <v>16</v>
      </c>
      <c r="F254">
        <v>9</v>
      </c>
      <c r="G254">
        <v>0.2</v>
      </c>
      <c r="H254" s="2">
        <v>7.698599999999999</v>
      </c>
      <c r="I254" s="2">
        <v>23.688000000000002</v>
      </c>
    </row>
    <row r="255" spans="1:9" x14ac:dyDescent="0.3">
      <c r="A255" t="str">
        <f t="shared" si="77"/>
        <v>United States</v>
      </c>
      <c r="B255" t="str">
        <f t="shared" ref="B255:B278" si="93">B254</f>
        <v>Aurora</v>
      </c>
      <c r="C255" t="str">
        <f t="shared" si="90"/>
        <v>Second Class</v>
      </c>
      <c r="D255" t="s">
        <v>17</v>
      </c>
      <c r="E255" t="s">
        <v>23</v>
      </c>
      <c r="F255">
        <v>7</v>
      </c>
      <c r="G255">
        <v>0.2</v>
      </c>
      <c r="H255" s="2">
        <v>-0.62650000000000716</v>
      </c>
      <c r="I255" s="2">
        <v>50.120000000000005</v>
      </c>
    </row>
    <row r="256" spans="1:9" x14ac:dyDescent="0.3">
      <c r="A256" t="str">
        <f t="shared" si="77"/>
        <v>United States</v>
      </c>
      <c r="B256" t="str">
        <f t="shared" si="93"/>
        <v>Aurora</v>
      </c>
      <c r="C256" t="str">
        <f t="shared" si="90"/>
        <v>Second Class</v>
      </c>
      <c r="D256" t="str">
        <f>D255</f>
        <v>Home Office</v>
      </c>
      <c r="E256" t="s">
        <v>21</v>
      </c>
      <c r="F256">
        <v>4</v>
      </c>
      <c r="G256">
        <v>0.6</v>
      </c>
      <c r="H256" s="2">
        <v>-302.72000000000003</v>
      </c>
      <c r="I256" s="2">
        <v>242.17600000000004</v>
      </c>
    </row>
    <row r="257" spans="1:9" x14ac:dyDescent="0.3">
      <c r="A257" t="str">
        <f t="shared" si="77"/>
        <v>United States</v>
      </c>
      <c r="B257" t="str">
        <f t="shared" si="93"/>
        <v>Aurora</v>
      </c>
      <c r="C257" t="s">
        <v>22</v>
      </c>
      <c r="D257" t="s">
        <v>8</v>
      </c>
      <c r="E257" t="s">
        <v>23</v>
      </c>
      <c r="F257">
        <v>6</v>
      </c>
      <c r="G257">
        <v>0.2</v>
      </c>
      <c r="H257" s="2">
        <v>-26.875800000000012</v>
      </c>
      <c r="I257" s="2">
        <v>238.89600000000002</v>
      </c>
    </row>
    <row r="258" spans="1:9" x14ac:dyDescent="0.3">
      <c r="A258" t="str">
        <f t="shared" si="77"/>
        <v>United States</v>
      </c>
      <c r="B258" t="str">
        <f t="shared" si="93"/>
        <v>Aurora</v>
      </c>
      <c r="C258" t="str">
        <f t="shared" ref="C258:C278" si="94">C257</f>
        <v>Standard Class</v>
      </c>
      <c r="D258" t="str">
        <f t="shared" ref="D258:D268" si="95">D257</f>
        <v>Consumer</v>
      </c>
      <c r="E258" t="s">
        <v>12</v>
      </c>
      <c r="F258">
        <v>3</v>
      </c>
      <c r="G258">
        <v>0.2</v>
      </c>
      <c r="H258" s="2">
        <v>12.232799999999997</v>
      </c>
      <c r="I258" s="2">
        <v>122.328</v>
      </c>
    </row>
    <row r="259" spans="1:9" x14ac:dyDescent="0.3">
      <c r="A259" t="str">
        <f t="shared" si="77"/>
        <v>United States</v>
      </c>
      <c r="B259" t="str">
        <f t="shared" si="93"/>
        <v>Aurora</v>
      </c>
      <c r="C259" t="str">
        <f t="shared" si="94"/>
        <v>Standard Class</v>
      </c>
      <c r="D259" t="str">
        <f t="shared" si="95"/>
        <v>Consumer</v>
      </c>
      <c r="E259" t="s">
        <v>19</v>
      </c>
      <c r="F259">
        <v>2</v>
      </c>
      <c r="G259">
        <v>0.2</v>
      </c>
      <c r="H259" s="2">
        <v>3.1535999999999995</v>
      </c>
      <c r="I259" s="2">
        <v>9.3439999999999994</v>
      </c>
    </row>
    <row r="260" spans="1:9" x14ac:dyDescent="0.3">
      <c r="A260" t="str">
        <f t="shared" ref="A260:A323" si="96">A259</f>
        <v>United States</v>
      </c>
      <c r="B260" t="str">
        <f t="shared" si="93"/>
        <v>Aurora</v>
      </c>
      <c r="C260" t="str">
        <f t="shared" si="94"/>
        <v>Standard Class</v>
      </c>
      <c r="D260" t="str">
        <f t="shared" si="95"/>
        <v>Consumer</v>
      </c>
      <c r="E260" t="s">
        <v>20</v>
      </c>
      <c r="F260">
        <v>8</v>
      </c>
      <c r="G260">
        <v>2.0999999999999996</v>
      </c>
      <c r="H260" s="2">
        <v>-40.456200000000003</v>
      </c>
      <c r="I260" s="2">
        <v>56.844000000000008</v>
      </c>
    </row>
    <row r="261" spans="1:9" x14ac:dyDescent="0.3">
      <c r="A261" t="str">
        <f t="shared" si="96"/>
        <v>United States</v>
      </c>
      <c r="B261" t="str">
        <f t="shared" si="93"/>
        <v>Aurora</v>
      </c>
      <c r="C261" t="str">
        <f t="shared" si="94"/>
        <v>Standard Class</v>
      </c>
      <c r="D261" t="str">
        <f t="shared" si="95"/>
        <v>Consumer</v>
      </c>
      <c r="E261" t="s">
        <v>33</v>
      </c>
      <c r="F261">
        <v>6</v>
      </c>
      <c r="G261">
        <v>0.6</v>
      </c>
      <c r="H261" s="2">
        <v>-71.65379999999999</v>
      </c>
      <c r="I261" s="2">
        <v>367.416</v>
      </c>
    </row>
    <row r="262" spans="1:9" x14ac:dyDescent="0.3">
      <c r="A262" t="str">
        <f t="shared" si="96"/>
        <v>United States</v>
      </c>
      <c r="B262" t="str">
        <f t="shared" si="93"/>
        <v>Aurora</v>
      </c>
      <c r="C262" t="str">
        <f t="shared" si="94"/>
        <v>Standard Class</v>
      </c>
      <c r="D262" t="str">
        <f t="shared" si="95"/>
        <v>Consumer</v>
      </c>
      <c r="E262" t="s">
        <v>38</v>
      </c>
      <c r="F262">
        <v>5</v>
      </c>
      <c r="G262">
        <v>0.4</v>
      </c>
      <c r="H262" s="2">
        <v>94.875299999999982</v>
      </c>
      <c r="I262" s="2">
        <v>281.11200000000002</v>
      </c>
    </row>
    <row r="263" spans="1:9" x14ac:dyDescent="0.3">
      <c r="A263" t="str">
        <f t="shared" si="96"/>
        <v>United States</v>
      </c>
      <c r="B263" t="str">
        <f t="shared" si="93"/>
        <v>Aurora</v>
      </c>
      <c r="C263" t="str">
        <f t="shared" si="94"/>
        <v>Standard Class</v>
      </c>
      <c r="D263" t="str">
        <f t="shared" si="95"/>
        <v>Consumer</v>
      </c>
      <c r="E263" t="s">
        <v>18</v>
      </c>
      <c r="F263">
        <v>3</v>
      </c>
      <c r="G263">
        <v>0.2</v>
      </c>
      <c r="H263" s="2">
        <v>0.84599999999999964</v>
      </c>
      <c r="I263" s="2">
        <v>4.5120000000000005</v>
      </c>
    </row>
    <row r="264" spans="1:9" x14ac:dyDescent="0.3">
      <c r="A264" t="str">
        <f t="shared" si="96"/>
        <v>United States</v>
      </c>
      <c r="B264" t="str">
        <f t="shared" si="93"/>
        <v>Aurora</v>
      </c>
      <c r="C264" t="str">
        <f t="shared" si="94"/>
        <v>Standard Class</v>
      </c>
      <c r="D264" t="str">
        <f t="shared" si="95"/>
        <v>Consumer</v>
      </c>
      <c r="E264" t="s">
        <v>21</v>
      </c>
      <c r="F264">
        <v>3</v>
      </c>
      <c r="G264">
        <v>0.2</v>
      </c>
      <c r="H264" s="2">
        <v>-3.8385000000000105</v>
      </c>
      <c r="I264" s="2">
        <v>102.35999999999999</v>
      </c>
    </row>
    <row r="265" spans="1:9" x14ac:dyDescent="0.3">
      <c r="A265" t="str">
        <f t="shared" si="96"/>
        <v>United States</v>
      </c>
      <c r="B265" t="str">
        <f t="shared" si="93"/>
        <v>Aurora</v>
      </c>
      <c r="C265" t="str">
        <f t="shared" si="94"/>
        <v>Standard Class</v>
      </c>
      <c r="D265" t="str">
        <f t="shared" si="95"/>
        <v>Consumer</v>
      </c>
      <c r="E265" t="s">
        <v>24</v>
      </c>
      <c r="F265">
        <v>4</v>
      </c>
      <c r="G265">
        <v>0.2</v>
      </c>
      <c r="H265" s="2">
        <v>250.39599999999984</v>
      </c>
      <c r="I265" s="2">
        <v>2003.1680000000001</v>
      </c>
    </row>
    <row r="266" spans="1:9" x14ac:dyDescent="0.3">
      <c r="A266" t="str">
        <f t="shared" si="96"/>
        <v>United States</v>
      </c>
      <c r="B266" t="str">
        <f t="shared" si="93"/>
        <v>Aurora</v>
      </c>
      <c r="C266" t="str">
        <f t="shared" si="94"/>
        <v>Standard Class</v>
      </c>
      <c r="D266" t="str">
        <f t="shared" si="95"/>
        <v>Consumer</v>
      </c>
      <c r="E266" t="s">
        <v>14</v>
      </c>
      <c r="F266">
        <v>2</v>
      </c>
      <c r="G266">
        <v>0.2</v>
      </c>
      <c r="H266" s="2">
        <v>-55.256</v>
      </c>
      <c r="I266" s="2">
        <v>221.024</v>
      </c>
    </row>
    <row r="267" spans="1:9" x14ac:dyDescent="0.3">
      <c r="A267" t="str">
        <f t="shared" si="96"/>
        <v>United States</v>
      </c>
      <c r="B267" t="str">
        <f t="shared" si="93"/>
        <v>Aurora</v>
      </c>
      <c r="C267" t="str">
        <f t="shared" si="94"/>
        <v>Standard Class</v>
      </c>
      <c r="D267" t="str">
        <f t="shared" si="95"/>
        <v>Consumer</v>
      </c>
      <c r="E267" t="s">
        <v>9</v>
      </c>
      <c r="F267">
        <v>4</v>
      </c>
      <c r="G267">
        <v>0.2</v>
      </c>
      <c r="H267" s="2">
        <v>2.7719999999999994</v>
      </c>
      <c r="I267" s="2">
        <v>31.680000000000003</v>
      </c>
    </row>
    <row r="268" spans="1:9" x14ac:dyDescent="0.3">
      <c r="A268" t="str">
        <f t="shared" si="96"/>
        <v>United States</v>
      </c>
      <c r="B268" t="str">
        <f t="shared" si="93"/>
        <v>Aurora</v>
      </c>
      <c r="C268" t="str">
        <f t="shared" si="94"/>
        <v>Standard Class</v>
      </c>
      <c r="D268" t="str">
        <f t="shared" si="95"/>
        <v>Consumer</v>
      </c>
      <c r="E268" t="s">
        <v>25</v>
      </c>
      <c r="F268">
        <v>1</v>
      </c>
      <c r="G268">
        <v>0.5</v>
      </c>
      <c r="H268" s="2">
        <v>-47.174999999999997</v>
      </c>
      <c r="I268" s="2">
        <v>69.375</v>
      </c>
    </row>
    <row r="269" spans="1:9" x14ac:dyDescent="0.3">
      <c r="A269" t="str">
        <f t="shared" si="96"/>
        <v>United States</v>
      </c>
      <c r="B269" t="str">
        <f t="shared" si="93"/>
        <v>Aurora</v>
      </c>
      <c r="C269" t="str">
        <f t="shared" si="94"/>
        <v>Standard Class</v>
      </c>
      <c r="D269" t="s">
        <v>15</v>
      </c>
      <c r="E269" t="s">
        <v>21</v>
      </c>
      <c r="F269">
        <v>3</v>
      </c>
      <c r="G269">
        <v>0.2</v>
      </c>
      <c r="H269" s="2">
        <v>4.3679999999999986</v>
      </c>
      <c r="I269" s="2">
        <v>24.96</v>
      </c>
    </row>
    <row r="270" spans="1:9" x14ac:dyDescent="0.3">
      <c r="A270" t="str">
        <f t="shared" si="96"/>
        <v>United States</v>
      </c>
      <c r="B270" t="str">
        <f t="shared" si="93"/>
        <v>Aurora</v>
      </c>
      <c r="C270" t="str">
        <f t="shared" si="94"/>
        <v>Standard Class</v>
      </c>
      <c r="D270" t="str">
        <f t="shared" ref="D270:D271" si="97">D269</f>
        <v>Corporate</v>
      </c>
      <c r="E270" t="s">
        <v>14</v>
      </c>
      <c r="F270">
        <v>4</v>
      </c>
      <c r="G270">
        <v>0.2</v>
      </c>
      <c r="H270" s="2">
        <v>17.42799999999999</v>
      </c>
      <c r="I270" s="2">
        <v>139.42400000000001</v>
      </c>
    </row>
    <row r="271" spans="1:9" x14ac:dyDescent="0.3">
      <c r="A271" t="str">
        <f t="shared" si="96"/>
        <v>United States</v>
      </c>
      <c r="B271" t="str">
        <f t="shared" si="93"/>
        <v>Aurora</v>
      </c>
      <c r="C271" t="str">
        <f t="shared" si="94"/>
        <v>Standard Class</v>
      </c>
      <c r="D271" t="str">
        <f t="shared" si="97"/>
        <v>Corporate</v>
      </c>
      <c r="E271" t="s">
        <v>25</v>
      </c>
      <c r="F271">
        <v>13</v>
      </c>
      <c r="G271">
        <v>1.5</v>
      </c>
      <c r="H271" s="2">
        <v>-938.83780000000024</v>
      </c>
      <c r="I271" s="2">
        <v>1446.5450000000001</v>
      </c>
    </row>
    <row r="272" spans="1:9" x14ac:dyDescent="0.3">
      <c r="A272" t="str">
        <f t="shared" si="96"/>
        <v>United States</v>
      </c>
      <c r="B272" t="str">
        <f t="shared" si="93"/>
        <v>Aurora</v>
      </c>
      <c r="C272" t="str">
        <f t="shared" si="94"/>
        <v>Standard Class</v>
      </c>
      <c r="D272" t="s">
        <v>17</v>
      </c>
      <c r="E272" t="s">
        <v>12</v>
      </c>
      <c r="F272">
        <v>5</v>
      </c>
      <c r="G272">
        <v>0.2</v>
      </c>
      <c r="H272" s="2">
        <v>3.2669999999999995</v>
      </c>
      <c r="I272" s="2">
        <v>43.560000000000009</v>
      </c>
    </row>
    <row r="273" spans="1:9" x14ac:dyDescent="0.3">
      <c r="A273" t="str">
        <f t="shared" si="96"/>
        <v>United States</v>
      </c>
      <c r="B273" t="str">
        <f t="shared" si="93"/>
        <v>Aurora</v>
      </c>
      <c r="C273" t="str">
        <f t="shared" si="94"/>
        <v>Standard Class</v>
      </c>
      <c r="D273" t="str">
        <f t="shared" ref="D273:D278" si="98">D272</f>
        <v>Home Office</v>
      </c>
      <c r="E273" t="s">
        <v>19</v>
      </c>
      <c r="F273">
        <v>2</v>
      </c>
      <c r="G273">
        <v>0.2</v>
      </c>
      <c r="H273" s="2">
        <v>2.3685999999999989</v>
      </c>
      <c r="I273" s="2">
        <v>14.576000000000001</v>
      </c>
    </row>
    <row r="274" spans="1:9" x14ac:dyDescent="0.3">
      <c r="A274" t="str">
        <f t="shared" si="96"/>
        <v>United States</v>
      </c>
      <c r="B274" t="str">
        <f t="shared" si="93"/>
        <v>Aurora</v>
      </c>
      <c r="C274" t="str">
        <f t="shared" si="94"/>
        <v>Standard Class</v>
      </c>
      <c r="D274" t="str">
        <f t="shared" si="98"/>
        <v>Home Office</v>
      </c>
      <c r="E274" t="s">
        <v>20</v>
      </c>
      <c r="F274">
        <v>7</v>
      </c>
      <c r="G274">
        <v>0.8</v>
      </c>
      <c r="H274" s="2">
        <v>-46.394600000000011</v>
      </c>
      <c r="I274" s="2">
        <v>29.931999999999992</v>
      </c>
    </row>
    <row r="275" spans="1:9" x14ac:dyDescent="0.3">
      <c r="A275" t="str">
        <f t="shared" si="96"/>
        <v>United States</v>
      </c>
      <c r="B275" t="str">
        <f t="shared" si="93"/>
        <v>Aurora</v>
      </c>
      <c r="C275" t="str">
        <f t="shared" si="94"/>
        <v>Standard Class</v>
      </c>
      <c r="D275" t="str">
        <f t="shared" si="98"/>
        <v>Home Office</v>
      </c>
      <c r="E275" t="s">
        <v>21</v>
      </c>
      <c r="F275">
        <v>5</v>
      </c>
      <c r="G275">
        <v>0.8</v>
      </c>
      <c r="H275" s="2">
        <v>-82.744399999999985</v>
      </c>
      <c r="I275" s="2">
        <v>105.392</v>
      </c>
    </row>
    <row r="276" spans="1:9" x14ac:dyDescent="0.3">
      <c r="A276" t="str">
        <f t="shared" si="96"/>
        <v>United States</v>
      </c>
      <c r="B276" t="str">
        <f t="shared" si="93"/>
        <v>Aurora</v>
      </c>
      <c r="C276" t="str">
        <f t="shared" si="94"/>
        <v>Standard Class</v>
      </c>
      <c r="D276" t="str">
        <f t="shared" si="98"/>
        <v>Home Office</v>
      </c>
      <c r="E276" t="s">
        <v>24</v>
      </c>
      <c r="F276">
        <v>4</v>
      </c>
      <c r="G276">
        <v>0.2</v>
      </c>
      <c r="H276" s="2">
        <v>3.8272000000000013</v>
      </c>
      <c r="I276" s="2">
        <v>38.272000000000006</v>
      </c>
    </row>
    <row r="277" spans="1:9" x14ac:dyDescent="0.3">
      <c r="A277" t="str">
        <f t="shared" si="96"/>
        <v>United States</v>
      </c>
      <c r="B277" t="str">
        <f t="shared" si="93"/>
        <v>Aurora</v>
      </c>
      <c r="C277" t="str">
        <f t="shared" si="94"/>
        <v>Standard Class</v>
      </c>
      <c r="D277" t="str">
        <f t="shared" si="98"/>
        <v>Home Office</v>
      </c>
      <c r="E277" t="s">
        <v>14</v>
      </c>
      <c r="F277">
        <v>17</v>
      </c>
      <c r="G277">
        <v>0.60000000000000009</v>
      </c>
      <c r="H277" s="2">
        <v>-67.312200000000061</v>
      </c>
      <c r="I277" s="2">
        <v>833.47199999999998</v>
      </c>
    </row>
    <row r="278" spans="1:9" x14ac:dyDescent="0.3">
      <c r="A278" t="str">
        <f t="shared" si="96"/>
        <v>United States</v>
      </c>
      <c r="B278" t="str">
        <f t="shared" si="93"/>
        <v>Aurora</v>
      </c>
      <c r="C278" t="str">
        <f t="shared" si="94"/>
        <v>Standard Class</v>
      </c>
      <c r="D278" t="str">
        <f t="shared" si="98"/>
        <v>Home Office</v>
      </c>
      <c r="E278" t="s">
        <v>9</v>
      </c>
      <c r="F278">
        <v>2</v>
      </c>
      <c r="G278">
        <v>0.2</v>
      </c>
      <c r="H278" s="2">
        <v>0.72999999999999954</v>
      </c>
      <c r="I278" s="2">
        <v>5.84</v>
      </c>
    </row>
    <row r="279" spans="1:9" x14ac:dyDescent="0.3">
      <c r="A279" t="str">
        <f t="shared" si="96"/>
        <v>United States</v>
      </c>
      <c r="B279" t="s">
        <v>55</v>
      </c>
      <c r="C279" t="s">
        <v>11</v>
      </c>
      <c r="D279" t="s">
        <v>8</v>
      </c>
      <c r="E279" t="s">
        <v>23</v>
      </c>
      <c r="F279">
        <v>10</v>
      </c>
      <c r="G279">
        <v>0.4</v>
      </c>
      <c r="H279" s="2">
        <v>27.696000000000005</v>
      </c>
      <c r="I279" s="2">
        <v>110.57599999999999</v>
      </c>
    </row>
    <row r="280" spans="1:9" x14ac:dyDescent="0.3">
      <c r="A280" t="str">
        <f t="shared" si="96"/>
        <v>United States</v>
      </c>
      <c r="B280" t="str">
        <f t="shared" ref="B280:B304" si="99">B279</f>
        <v>Austin</v>
      </c>
      <c r="C280" t="str">
        <f>C279</f>
        <v>First Class</v>
      </c>
      <c r="D280" t="str">
        <f>D279</f>
        <v>Consumer</v>
      </c>
      <c r="E280" t="s">
        <v>20</v>
      </c>
      <c r="F280">
        <v>5</v>
      </c>
      <c r="G280">
        <v>1.6</v>
      </c>
      <c r="H280" s="2">
        <v>-59.082200000000007</v>
      </c>
      <c r="I280" s="2">
        <v>37.059999999999988</v>
      </c>
    </row>
    <row r="281" spans="1:9" x14ac:dyDescent="0.3">
      <c r="A281" t="str">
        <f t="shared" si="96"/>
        <v>United States</v>
      </c>
      <c r="B281" t="str">
        <f t="shared" si="99"/>
        <v>Austin</v>
      </c>
      <c r="C281" t="s">
        <v>27</v>
      </c>
      <c r="D281" t="s">
        <v>8</v>
      </c>
      <c r="E281" t="s">
        <v>23</v>
      </c>
      <c r="F281">
        <v>3</v>
      </c>
      <c r="G281">
        <v>0.2</v>
      </c>
      <c r="H281" s="2">
        <v>20.343900000000001</v>
      </c>
      <c r="I281" s="2">
        <v>95.736000000000004</v>
      </c>
    </row>
    <row r="282" spans="1:9" x14ac:dyDescent="0.3">
      <c r="A282" t="str">
        <f t="shared" si="96"/>
        <v>United States</v>
      </c>
      <c r="B282" t="str">
        <f t="shared" si="99"/>
        <v>Austin</v>
      </c>
      <c r="C282" t="str">
        <f>C281</f>
        <v>Same Day</v>
      </c>
      <c r="D282" t="str">
        <f>D281</f>
        <v>Consumer</v>
      </c>
      <c r="E282" t="s">
        <v>16</v>
      </c>
      <c r="F282">
        <v>2</v>
      </c>
      <c r="G282">
        <v>0.2</v>
      </c>
      <c r="H282" s="2">
        <v>3.6288</v>
      </c>
      <c r="I282" s="2">
        <v>10.368000000000002</v>
      </c>
    </row>
    <row r="283" spans="1:9" x14ac:dyDescent="0.3">
      <c r="A283" t="str">
        <f t="shared" si="96"/>
        <v>United States</v>
      </c>
      <c r="B283" t="str">
        <f t="shared" si="99"/>
        <v>Austin</v>
      </c>
      <c r="C283" t="s">
        <v>7</v>
      </c>
      <c r="D283" t="s">
        <v>17</v>
      </c>
      <c r="E283" t="s">
        <v>20</v>
      </c>
      <c r="F283">
        <v>3</v>
      </c>
      <c r="G283">
        <v>0.8</v>
      </c>
      <c r="H283" s="2">
        <v>-5.8230000000000004</v>
      </c>
      <c r="I283" s="2">
        <v>3.8819999999999988</v>
      </c>
    </row>
    <row r="284" spans="1:9" x14ac:dyDescent="0.3">
      <c r="A284" t="str">
        <f t="shared" si="96"/>
        <v>United States</v>
      </c>
      <c r="B284" t="str">
        <f t="shared" si="99"/>
        <v>Austin</v>
      </c>
      <c r="C284" t="str">
        <f>C283</f>
        <v>Second Class</v>
      </c>
      <c r="D284" t="str">
        <f>D283</f>
        <v>Home Office</v>
      </c>
      <c r="E284" t="s">
        <v>24</v>
      </c>
      <c r="F284">
        <v>6</v>
      </c>
      <c r="G284">
        <v>0.2</v>
      </c>
      <c r="H284" s="2">
        <v>265.42320000000001</v>
      </c>
      <c r="I284" s="2">
        <v>758.35200000000009</v>
      </c>
    </row>
    <row r="285" spans="1:9" x14ac:dyDescent="0.3">
      <c r="A285" t="str">
        <f t="shared" si="96"/>
        <v>United States</v>
      </c>
      <c r="B285" t="str">
        <f t="shared" si="99"/>
        <v>Austin</v>
      </c>
      <c r="C285" t="s">
        <v>22</v>
      </c>
      <c r="D285" t="s">
        <v>8</v>
      </c>
      <c r="E285" t="s">
        <v>23</v>
      </c>
      <c r="F285">
        <v>5</v>
      </c>
      <c r="G285">
        <v>0.4</v>
      </c>
      <c r="H285" s="2">
        <v>4.3607999999999976</v>
      </c>
      <c r="I285" s="2">
        <v>77.568000000000012</v>
      </c>
    </row>
    <row r="286" spans="1:9" x14ac:dyDescent="0.3">
      <c r="A286" t="str">
        <f t="shared" si="96"/>
        <v>United States</v>
      </c>
      <c r="B286" t="str">
        <f t="shared" si="99"/>
        <v>Austin</v>
      </c>
      <c r="C286" t="str">
        <f t="shared" ref="C286:C304" si="100">C285</f>
        <v>Standard Class</v>
      </c>
      <c r="D286" t="str">
        <f t="shared" ref="D286:D292" si="101">D285</f>
        <v>Consumer</v>
      </c>
      <c r="E286" t="s">
        <v>20</v>
      </c>
      <c r="F286">
        <v>10</v>
      </c>
      <c r="G286">
        <v>1.6</v>
      </c>
      <c r="H286" s="2">
        <v>-19.982100000000003</v>
      </c>
      <c r="I286" s="2">
        <v>12.533999999999995</v>
      </c>
    </row>
    <row r="287" spans="1:9" x14ac:dyDescent="0.3">
      <c r="A287" t="str">
        <f t="shared" si="96"/>
        <v>United States</v>
      </c>
      <c r="B287" t="str">
        <f t="shared" si="99"/>
        <v>Austin</v>
      </c>
      <c r="C287" t="str">
        <f t="shared" si="100"/>
        <v>Standard Class</v>
      </c>
      <c r="D287" t="str">
        <f t="shared" si="101"/>
        <v>Consumer</v>
      </c>
      <c r="E287" t="s">
        <v>38</v>
      </c>
      <c r="F287">
        <v>2</v>
      </c>
      <c r="G287">
        <v>0.2</v>
      </c>
      <c r="H287" s="2">
        <v>6.3684000000000003</v>
      </c>
      <c r="I287" s="2">
        <v>17.568000000000001</v>
      </c>
    </row>
    <row r="288" spans="1:9" x14ac:dyDescent="0.3">
      <c r="A288" t="str">
        <f t="shared" si="96"/>
        <v>United States</v>
      </c>
      <c r="B288" t="str">
        <f t="shared" si="99"/>
        <v>Austin</v>
      </c>
      <c r="C288" t="str">
        <f t="shared" si="100"/>
        <v>Standard Class</v>
      </c>
      <c r="D288" t="str">
        <f t="shared" si="101"/>
        <v>Consumer</v>
      </c>
      <c r="E288" t="s">
        <v>18</v>
      </c>
      <c r="F288">
        <v>2</v>
      </c>
      <c r="G288">
        <v>0.2</v>
      </c>
      <c r="H288" s="2">
        <v>0.56679999999999997</v>
      </c>
      <c r="I288" s="2">
        <v>3.4880000000000004</v>
      </c>
    </row>
    <row r="289" spans="1:9" x14ac:dyDescent="0.3">
      <c r="A289" t="str">
        <f t="shared" si="96"/>
        <v>United States</v>
      </c>
      <c r="B289" t="str">
        <f t="shared" si="99"/>
        <v>Austin</v>
      </c>
      <c r="C289" t="str">
        <f t="shared" si="100"/>
        <v>Standard Class</v>
      </c>
      <c r="D289" t="str">
        <f t="shared" si="101"/>
        <v>Consumer</v>
      </c>
      <c r="E289" t="s">
        <v>16</v>
      </c>
      <c r="F289">
        <v>16</v>
      </c>
      <c r="G289">
        <v>0.60000000000000009</v>
      </c>
      <c r="H289" s="2">
        <v>192.95729999999998</v>
      </c>
      <c r="I289" s="2">
        <v>574.63200000000006</v>
      </c>
    </row>
    <row r="290" spans="1:9" x14ac:dyDescent="0.3">
      <c r="A290" t="str">
        <f t="shared" si="96"/>
        <v>United States</v>
      </c>
      <c r="B290" t="str">
        <f t="shared" si="99"/>
        <v>Austin</v>
      </c>
      <c r="C290" t="str">
        <f t="shared" si="100"/>
        <v>Standard Class</v>
      </c>
      <c r="D290" t="str">
        <f t="shared" si="101"/>
        <v>Consumer</v>
      </c>
      <c r="E290" t="s">
        <v>24</v>
      </c>
      <c r="F290">
        <v>1</v>
      </c>
      <c r="G290">
        <v>0.2</v>
      </c>
      <c r="H290" s="2">
        <v>5.5992000000000015</v>
      </c>
      <c r="I290" s="2">
        <v>55.991999999999997</v>
      </c>
    </row>
    <row r="291" spans="1:9" x14ac:dyDescent="0.3">
      <c r="A291" t="str">
        <f t="shared" si="96"/>
        <v>United States</v>
      </c>
      <c r="B291" t="str">
        <f t="shared" si="99"/>
        <v>Austin</v>
      </c>
      <c r="C291" t="str">
        <f t="shared" si="100"/>
        <v>Standard Class</v>
      </c>
      <c r="D291" t="str">
        <f t="shared" si="101"/>
        <v>Consumer</v>
      </c>
      <c r="E291" t="s">
        <v>14</v>
      </c>
      <c r="F291">
        <v>14</v>
      </c>
      <c r="G291">
        <v>1</v>
      </c>
      <c r="H291" s="2">
        <v>-133.2997</v>
      </c>
      <c r="I291" s="2">
        <v>1054.3920000000001</v>
      </c>
    </row>
    <row r="292" spans="1:9" x14ac:dyDescent="0.3">
      <c r="A292" t="str">
        <f t="shared" si="96"/>
        <v>United States</v>
      </c>
      <c r="B292" t="str">
        <f t="shared" si="99"/>
        <v>Austin</v>
      </c>
      <c r="C292" t="str">
        <f t="shared" si="100"/>
        <v>Standard Class</v>
      </c>
      <c r="D292" t="str">
        <f t="shared" si="101"/>
        <v>Consumer</v>
      </c>
      <c r="E292" t="s">
        <v>9</v>
      </c>
      <c r="F292">
        <v>2</v>
      </c>
      <c r="G292">
        <v>0.2</v>
      </c>
      <c r="H292" s="2">
        <v>-1.3248000000000004</v>
      </c>
      <c r="I292" s="2">
        <v>5.8880000000000008</v>
      </c>
    </row>
    <row r="293" spans="1:9" x14ac:dyDescent="0.3">
      <c r="A293" t="str">
        <f t="shared" si="96"/>
        <v>United States</v>
      </c>
      <c r="B293" t="str">
        <f t="shared" si="99"/>
        <v>Austin</v>
      </c>
      <c r="C293" t="str">
        <f t="shared" si="100"/>
        <v>Standard Class</v>
      </c>
      <c r="D293" t="s">
        <v>15</v>
      </c>
      <c r="E293" t="s">
        <v>12</v>
      </c>
      <c r="F293">
        <v>4</v>
      </c>
      <c r="G293">
        <v>0.8</v>
      </c>
      <c r="H293" s="2">
        <v>-131.71680000000001</v>
      </c>
      <c r="I293" s="2">
        <v>48.783999999999985</v>
      </c>
    </row>
    <row r="294" spans="1:9" x14ac:dyDescent="0.3">
      <c r="A294" t="str">
        <f t="shared" si="96"/>
        <v>United States</v>
      </c>
      <c r="B294" t="str">
        <f t="shared" si="99"/>
        <v>Austin</v>
      </c>
      <c r="C294" t="str">
        <f t="shared" si="100"/>
        <v>Standard Class</v>
      </c>
      <c r="D294" t="str">
        <f t="shared" ref="D294:D300" si="102">D293</f>
        <v>Corporate</v>
      </c>
      <c r="E294" t="s">
        <v>20</v>
      </c>
      <c r="F294">
        <v>10</v>
      </c>
      <c r="G294">
        <v>1.6</v>
      </c>
      <c r="H294" s="2">
        <v>-48.227199999999996</v>
      </c>
      <c r="I294" s="2">
        <v>31.711999999999993</v>
      </c>
    </row>
    <row r="295" spans="1:9" x14ac:dyDescent="0.3">
      <c r="A295" t="str">
        <f t="shared" si="96"/>
        <v>United States</v>
      </c>
      <c r="B295" t="str">
        <f t="shared" si="99"/>
        <v>Austin</v>
      </c>
      <c r="C295" t="str">
        <f t="shared" si="100"/>
        <v>Standard Class</v>
      </c>
      <c r="D295" t="str">
        <f t="shared" si="102"/>
        <v>Corporate</v>
      </c>
      <c r="E295" t="s">
        <v>33</v>
      </c>
      <c r="F295">
        <v>8</v>
      </c>
      <c r="G295">
        <v>0.6</v>
      </c>
      <c r="H295" s="2">
        <v>-27.41279999999999</v>
      </c>
      <c r="I295" s="2">
        <v>527.68799999999999</v>
      </c>
    </row>
    <row r="296" spans="1:9" x14ac:dyDescent="0.3">
      <c r="A296" t="str">
        <f t="shared" si="96"/>
        <v>United States</v>
      </c>
      <c r="B296" t="str">
        <f t="shared" si="99"/>
        <v>Austin</v>
      </c>
      <c r="C296" t="str">
        <f t="shared" si="100"/>
        <v>Standard Class</v>
      </c>
      <c r="D296" t="str">
        <f t="shared" si="102"/>
        <v>Corporate</v>
      </c>
      <c r="E296" t="s">
        <v>18</v>
      </c>
      <c r="F296">
        <v>2</v>
      </c>
      <c r="G296">
        <v>0.2</v>
      </c>
      <c r="H296" s="2">
        <v>0.4705999999999998</v>
      </c>
      <c r="I296" s="2">
        <v>2.8960000000000004</v>
      </c>
    </row>
    <row r="297" spans="1:9" x14ac:dyDescent="0.3">
      <c r="A297" t="str">
        <f t="shared" si="96"/>
        <v>United States</v>
      </c>
      <c r="B297" t="str">
        <f t="shared" si="99"/>
        <v>Austin</v>
      </c>
      <c r="C297" t="str">
        <f t="shared" si="100"/>
        <v>Standard Class</v>
      </c>
      <c r="D297" t="str">
        <f t="shared" si="102"/>
        <v>Corporate</v>
      </c>
      <c r="E297" t="s">
        <v>46</v>
      </c>
      <c r="F297">
        <v>3</v>
      </c>
      <c r="G297">
        <v>0.4</v>
      </c>
      <c r="H297" s="2">
        <v>-263.99670000000026</v>
      </c>
      <c r="I297" s="2">
        <v>1439.982</v>
      </c>
    </row>
    <row r="298" spans="1:9" x14ac:dyDescent="0.3">
      <c r="A298" t="str">
        <f t="shared" si="96"/>
        <v>United States</v>
      </c>
      <c r="B298" t="str">
        <f t="shared" si="99"/>
        <v>Austin</v>
      </c>
      <c r="C298" t="str">
        <f t="shared" si="100"/>
        <v>Standard Class</v>
      </c>
      <c r="D298" t="str">
        <f t="shared" si="102"/>
        <v>Corporate</v>
      </c>
      <c r="E298" t="s">
        <v>16</v>
      </c>
      <c r="F298">
        <v>9</v>
      </c>
      <c r="G298">
        <v>0.4</v>
      </c>
      <c r="H298" s="2">
        <v>39.524799999999999</v>
      </c>
      <c r="I298" s="2">
        <v>112.92800000000001</v>
      </c>
    </row>
    <row r="299" spans="1:9" x14ac:dyDescent="0.3">
      <c r="A299" t="str">
        <f t="shared" si="96"/>
        <v>United States</v>
      </c>
      <c r="B299" t="str">
        <f t="shared" si="99"/>
        <v>Austin</v>
      </c>
      <c r="C299" t="str">
        <f t="shared" si="100"/>
        <v>Standard Class</v>
      </c>
      <c r="D299" t="str">
        <f t="shared" si="102"/>
        <v>Corporate</v>
      </c>
      <c r="E299" t="s">
        <v>24</v>
      </c>
      <c r="F299">
        <v>1</v>
      </c>
      <c r="G299">
        <v>0.2</v>
      </c>
      <c r="H299" s="2">
        <v>15.598999999999993</v>
      </c>
      <c r="I299" s="2">
        <v>124.79200000000002</v>
      </c>
    </row>
    <row r="300" spans="1:9" x14ac:dyDescent="0.3">
      <c r="A300" t="str">
        <f t="shared" si="96"/>
        <v>United States</v>
      </c>
      <c r="B300" t="str">
        <f t="shared" si="99"/>
        <v>Austin</v>
      </c>
      <c r="C300" t="str">
        <f t="shared" si="100"/>
        <v>Standard Class</v>
      </c>
      <c r="D300" t="str">
        <f t="shared" si="102"/>
        <v>Corporate</v>
      </c>
      <c r="E300" t="s">
        <v>14</v>
      </c>
      <c r="F300">
        <v>6</v>
      </c>
      <c r="G300">
        <v>0.2</v>
      </c>
      <c r="H300" s="2">
        <v>107.08199999999985</v>
      </c>
      <c r="I300" s="2">
        <v>856.65600000000006</v>
      </c>
    </row>
    <row r="301" spans="1:9" x14ac:dyDescent="0.3">
      <c r="A301" t="str">
        <f t="shared" si="96"/>
        <v>United States</v>
      </c>
      <c r="B301" t="str">
        <f t="shared" si="99"/>
        <v>Austin</v>
      </c>
      <c r="C301" t="str">
        <f t="shared" si="100"/>
        <v>Standard Class</v>
      </c>
      <c r="D301" t="s">
        <v>17</v>
      </c>
      <c r="E301" t="s">
        <v>19</v>
      </c>
      <c r="F301">
        <v>2</v>
      </c>
      <c r="G301">
        <v>0.2</v>
      </c>
      <c r="H301" s="2">
        <v>0.59039999999999915</v>
      </c>
      <c r="I301" s="2">
        <v>5.2480000000000002</v>
      </c>
    </row>
    <row r="302" spans="1:9" x14ac:dyDescent="0.3">
      <c r="A302" t="str">
        <f t="shared" si="96"/>
        <v>United States</v>
      </c>
      <c r="B302" t="str">
        <f t="shared" si="99"/>
        <v>Austin</v>
      </c>
      <c r="C302" t="str">
        <f t="shared" si="100"/>
        <v>Standard Class</v>
      </c>
      <c r="D302" t="str">
        <f t="shared" ref="D302:D304" si="103">D301</f>
        <v>Home Office</v>
      </c>
      <c r="E302" t="s">
        <v>21</v>
      </c>
      <c r="F302">
        <v>1</v>
      </c>
      <c r="G302">
        <v>0.6</v>
      </c>
      <c r="H302" s="2">
        <v>-6.9964999999999993</v>
      </c>
      <c r="I302" s="2">
        <v>7.9959999999999996</v>
      </c>
    </row>
    <row r="303" spans="1:9" x14ac:dyDescent="0.3">
      <c r="A303" t="str">
        <f t="shared" si="96"/>
        <v>United States</v>
      </c>
      <c r="B303" t="str">
        <f t="shared" si="99"/>
        <v>Austin</v>
      </c>
      <c r="C303" t="str">
        <f t="shared" si="100"/>
        <v>Standard Class</v>
      </c>
      <c r="D303" t="str">
        <f t="shared" si="103"/>
        <v>Home Office</v>
      </c>
      <c r="E303" t="s">
        <v>16</v>
      </c>
      <c r="F303">
        <v>2</v>
      </c>
      <c r="G303">
        <v>0.2</v>
      </c>
      <c r="H303" s="2">
        <v>2.1399999999999992</v>
      </c>
      <c r="I303" s="2">
        <v>6.8480000000000008</v>
      </c>
    </row>
    <row r="304" spans="1:9" x14ac:dyDescent="0.3">
      <c r="A304" t="str">
        <f t="shared" si="96"/>
        <v>United States</v>
      </c>
      <c r="B304" t="str">
        <f t="shared" si="99"/>
        <v>Austin</v>
      </c>
      <c r="C304" t="str">
        <f t="shared" si="100"/>
        <v>Standard Class</v>
      </c>
      <c r="D304" t="str">
        <f t="shared" si="103"/>
        <v>Home Office</v>
      </c>
      <c r="E304" t="s">
        <v>14</v>
      </c>
      <c r="F304">
        <v>2</v>
      </c>
      <c r="G304">
        <v>0.2</v>
      </c>
      <c r="H304" s="2">
        <v>-14.883200000000002</v>
      </c>
      <c r="I304" s="2">
        <v>74.415999999999997</v>
      </c>
    </row>
    <row r="305" spans="1:9" x14ac:dyDescent="0.3">
      <c r="A305" t="str">
        <f t="shared" si="96"/>
        <v>United States</v>
      </c>
      <c r="B305" t="s">
        <v>56</v>
      </c>
      <c r="C305" t="s">
        <v>7</v>
      </c>
      <c r="D305" t="s">
        <v>8</v>
      </c>
      <c r="E305" t="s">
        <v>23</v>
      </c>
      <c r="F305">
        <v>2</v>
      </c>
      <c r="G305">
        <v>0.2</v>
      </c>
      <c r="H305" s="2">
        <v>1.4499999999999993</v>
      </c>
      <c r="I305" s="2">
        <v>23.200000000000003</v>
      </c>
    </row>
    <row r="306" spans="1:9" x14ac:dyDescent="0.3">
      <c r="A306" t="str">
        <f t="shared" si="96"/>
        <v>United States</v>
      </c>
      <c r="B306" t="str">
        <f t="shared" ref="B306:B309" si="104">B305</f>
        <v>Avondale</v>
      </c>
      <c r="C306" t="str">
        <f t="shared" ref="C306:C307" si="105">C305</f>
        <v>Second Class</v>
      </c>
      <c r="D306" t="str">
        <f t="shared" ref="D306:D307" si="106">D305</f>
        <v>Consumer</v>
      </c>
      <c r="E306" t="s">
        <v>19</v>
      </c>
      <c r="F306">
        <v>9</v>
      </c>
      <c r="G306">
        <v>0.4</v>
      </c>
      <c r="H306" s="2">
        <v>4.2207999999999979</v>
      </c>
      <c r="I306" s="2">
        <v>31.04</v>
      </c>
    </row>
    <row r="307" spans="1:9" x14ac:dyDescent="0.3">
      <c r="A307" t="str">
        <f t="shared" si="96"/>
        <v>United States</v>
      </c>
      <c r="B307" t="str">
        <f t="shared" si="104"/>
        <v>Avondale</v>
      </c>
      <c r="C307" t="str">
        <f t="shared" si="105"/>
        <v>Second Class</v>
      </c>
      <c r="D307" t="str">
        <f t="shared" si="106"/>
        <v>Consumer</v>
      </c>
      <c r="E307" t="s">
        <v>24</v>
      </c>
      <c r="F307">
        <v>8</v>
      </c>
      <c r="G307">
        <v>0.2</v>
      </c>
      <c r="H307" s="2">
        <v>83.512799999999913</v>
      </c>
      <c r="I307" s="2">
        <v>742.33600000000001</v>
      </c>
    </row>
    <row r="308" spans="1:9" x14ac:dyDescent="0.3">
      <c r="A308" t="str">
        <f t="shared" si="96"/>
        <v>United States</v>
      </c>
      <c r="B308" t="str">
        <f t="shared" si="104"/>
        <v>Avondale</v>
      </c>
      <c r="C308" t="s">
        <v>22</v>
      </c>
      <c r="D308" t="s">
        <v>8</v>
      </c>
      <c r="E308" t="s">
        <v>23</v>
      </c>
      <c r="F308">
        <v>4</v>
      </c>
      <c r="G308">
        <v>0.2</v>
      </c>
      <c r="H308" s="2">
        <v>-16.614000000000004</v>
      </c>
      <c r="I308" s="2">
        <v>102.24000000000001</v>
      </c>
    </row>
    <row r="309" spans="1:9" x14ac:dyDescent="0.3">
      <c r="A309" t="str">
        <f t="shared" si="96"/>
        <v>United States</v>
      </c>
      <c r="B309" t="str">
        <f t="shared" si="104"/>
        <v>Avondale</v>
      </c>
      <c r="C309" t="str">
        <f>C308</f>
        <v>Standard Class</v>
      </c>
      <c r="D309" t="str">
        <f>D308</f>
        <v>Consumer</v>
      </c>
      <c r="E309" t="s">
        <v>9</v>
      </c>
      <c r="F309">
        <v>7</v>
      </c>
      <c r="G309">
        <v>0.2</v>
      </c>
      <c r="H309" s="2">
        <v>3.5993999999999993</v>
      </c>
      <c r="I309" s="2">
        <v>47.992000000000004</v>
      </c>
    </row>
    <row r="310" spans="1:9" x14ac:dyDescent="0.3">
      <c r="A310" t="str">
        <f t="shared" si="96"/>
        <v>United States</v>
      </c>
      <c r="B310" t="s">
        <v>57</v>
      </c>
      <c r="C310" t="s">
        <v>11</v>
      </c>
      <c r="D310" t="s">
        <v>8</v>
      </c>
      <c r="E310" t="s">
        <v>12</v>
      </c>
      <c r="F310">
        <v>2</v>
      </c>
      <c r="G310">
        <v>0</v>
      </c>
      <c r="H310" s="2">
        <v>25.438400000000001</v>
      </c>
      <c r="I310" s="2">
        <v>97.84</v>
      </c>
    </row>
    <row r="311" spans="1:9" x14ac:dyDescent="0.3">
      <c r="A311" t="str">
        <f t="shared" si="96"/>
        <v>United States</v>
      </c>
      <c r="B311" t="str">
        <f t="shared" ref="B311:B324" si="107">B310</f>
        <v>Bakersfield</v>
      </c>
      <c r="C311" t="str">
        <f t="shared" ref="C311:C314" si="108">C310</f>
        <v>First Class</v>
      </c>
      <c r="D311" t="str">
        <f t="shared" ref="D311:D314" si="109">D310</f>
        <v>Consumer</v>
      </c>
      <c r="E311" t="s">
        <v>20</v>
      </c>
      <c r="F311">
        <v>2</v>
      </c>
      <c r="G311">
        <v>0.2</v>
      </c>
      <c r="H311" s="2">
        <v>16.3352</v>
      </c>
      <c r="I311" s="2">
        <v>46.672000000000004</v>
      </c>
    </row>
    <row r="312" spans="1:9" x14ac:dyDescent="0.3">
      <c r="A312" t="str">
        <f t="shared" si="96"/>
        <v>United States</v>
      </c>
      <c r="B312" t="str">
        <f t="shared" si="107"/>
        <v>Bakersfield</v>
      </c>
      <c r="C312" t="str">
        <f t="shared" si="108"/>
        <v>First Class</v>
      </c>
      <c r="D312" t="str">
        <f t="shared" si="109"/>
        <v>Consumer</v>
      </c>
      <c r="E312" t="s">
        <v>33</v>
      </c>
      <c r="F312">
        <v>1</v>
      </c>
      <c r="G312">
        <v>0.2</v>
      </c>
      <c r="H312" s="2">
        <v>0</v>
      </c>
      <c r="I312" s="2">
        <v>72.784000000000006</v>
      </c>
    </row>
    <row r="313" spans="1:9" x14ac:dyDescent="0.3">
      <c r="A313" t="str">
        <f t="shared" si="96"/>
        <v>United States</v>
      </c>
      <c r="B313" t="str">
        <f t="shared" si="107"/>
        <v>Bakersfield</v>
      </c>
      <c r="C313" t="str">
        <f t="shared" si="108"/>
        <v>First Class</v>
      </c>
      <c r="D313" t="str">
        <f t="shared" si="109"/>
        <v>Consumer</v>
      </c>
      <c r="E313" t="s">
        <v>18</v>
      </c>
      <c r="F313">
        <v>7</v>
      </c>
      <c r="G313">
        <v>0</v>
      </c>
      <c r="H313" s="2">
        <v>16.8</v>
      </c>
      <c r="I313" s="2">
        <v>35</v>
      </c>
    </row>
    <row r="314" spans="1:9" x14ac:dyDescent="0.3">
      <c r="A314" t="str">
        <f t="shared" si="96"/>
        <v>United States</v>
      </c>
      <c r="B314" t="str">
        <f t="shared" si="107"/>
        <v>Bakersfield</v>
      </c>
      <c r="C314" t="str">
        <f t="shared" si="108"/>
        <v>First Class</v>
      </c>
      <c r="D314" t="str">
        <f t="shared" si="109"/>
        <v>Consumer</v>
      </c>
      <c r="E314" t="s">
        <v>21</v>
      </c>
      <c r="F314">
        <v>1</v>
      </c>
      <c r="G314">
        <v>0</v>
      </c>
      <c r="H314" s="2">
        <v>15.524999999999999</v>
      </c>
      <c r="I314" s="2">
        <v>51.75</v>
      </c>
    </row>
    <row r="315" spans="1:9" x14ac:dyDescent="0.3">
      <c r="A315" t="str">
        <f t="shared" si="96"/>
        <v>United States</v>
      </c>
      <c r="B315" t="str">
        <f t="shared" si="107"/>
        <v>Bakersfield</v>
      </c>
      <c r="C315" t="s">
        <v>7</v>
      </c>
      <c r="D315" t="s">
        <v>8</v>
      </c>
      <c r="E315" t="s">
        <v>34</v>
      </c>
      <c r="F315">
        <v>2</v>
      </c>
      <c r="G315">
        <v>0.15</v>
      </c>
      <c r="H315" s="2">
        <v>-13.797600000000017</v>
      </c>
      <c r="I315" s="2">
        <v>195.46600000000001</v>
      </c>
    </row>
    <row r="316" spans="1:9" x14ac:dyDescent="0.3">
      <c r="A316" t="str">
        <f t="shared" si="96"/>
        <v>United States</v>
      </c>
      <c r="B316" t="str">
        <f t="shared" si="107"/>
        <v>Bakersfield</v>
      </c>
      <c r="C316" t="s">
        <v>22</v>
      </c>
      <c r="D316" t="s">
        <v>8</v>
      </c>
      <c r="E316" t="s">
        <v>19</v>
      </c>
      <c r="F316">
        <v>5</v>
      </c>
      <c r="G316">
        <v>0</v>
      </c>
      <c r="H316" s="2">
        <v>2.7259999999999995</v>
      </c>
      <c r="I316" s="2">
        <v>9.3999999999999986</v>
      </c>
    </row>
    <row r="317" spans="1:9" x14ac:dyDescent="0.3">
      <c r="A317" t="str">
        <f t="shared" si="96"/>
        <v>United States</v>
      </c>
      <c r="B317" t="str">
        <f t="shared" si="107"/>
        <v>Bakersfield</v>
      </c>
      <c r="C317" t="str">
        <f t="shared" ref="C317:C324" si="110">C316</f>
        <v>Standard Class</v>
      </c>
      <c r="D317" t="str">
        <f t="shared" ref="D317:D320" si="111">D316</f>
        <v>Consumer</v>
      </c>
      <c r="E317" t="s">
        <v>21</v>
      </c>
      <c r="F317">
        <v>4</v>
      </c>
      <c r="G317">
        <v>0</v>
      </c>
      <c r="H317" s="2">
        <v>14.143999999999998</v>
      </c>
      <c r="I317" s="2">
        <v>41.6</v>
      </c>
    </row>
    <row r="318" spans="1:9" x14ac:dyDescent="0.3">
      <c r="A318" t="str">
        <f t="shared" si="96"/>
        <v>United States</v>
      </c>
      <c r="B318" t="str">
        <f t="shared" si="107"/>
        <v>Bakersfield</v>
      </c>
      <c r="C318" t="str">
        <f t="shared" si="110"/>
        <v>Standard Class</v>
      </c>
      <c r="D318" t="str">
        <f t="shared" si="111"/>
        <v>Consumer</v>
      </c>
      <c r="E318" t="s">
        <v>43</v>
      </c>
      <c r="F318">
        <v>5</v>
      </c>
      <c r="G318">
        <v>0</v>
      </c>
      <c r="H318" s="2">
        <v>37</v>
      </c>
      <c r="I318" s="2">
        <v>74</v>
      </c>
    </row>
    <row r="319" spans="1:9" x14ac:dyDescent="0.3">
      <c r="A319" t="str">
        <f t="shared" si="96"/>
        <v>United States</v>
      </c>
      <c r="B319" t="str">
        <f t="shared" si="107"/>
        <v>Bakersfield</v>
      </c>
      <c r="C319" t="str">
        <f t="shared" si="110"/>
        <v>Standard Class</v>
      </c>
      <c r="D319" t="str">
        <f t="shared" si="111"/>
        <v>Consumer</v>
      </c>
      <c r="E319" t="s">
        <v>24</v>
      </c>
      <c r="F319">
        <v>2</v>
      </c>
      <c r="G319">
        <v>0.2</v>
      </c>
      <c r="H319" s="2">
        <v>12.599000000000004</v>
      </c>
      <c r="I319" s="2">
        <v>201.584</v>
      </c>
    </row>
    <row r="320" spans="1:9" x14ac:dyDescent="0.3">
      <c r="A320" t="str">
        <f t="shared" si="96"/>
        <v>United States</v>
      </c>
      <c r="B320" t="str">
        <f t="shared" si="107"/>
        <v>Bakersfield</v>
      </c>
      <c r="C320" t="str">
        <f t="shared" si="110"/>
        <v>Standard Class</v>
      </c>
      <c r="D320" t="str">
        <f t="shared" si="111"/>
        <v>Consumer</v>
      </c>
      <c r="E320" t="s">
        <v>25</v>
      </c>
      <c r="F320">
        <v>4</v>
      </c>
      <c r="G320">
        <v>0.2</v>
      </c>
      <c r="H320" s="2">
        <v>36.477600000000024</v>
      </c>
      <c r="I320" s="2">
        <v>486.36800000000005</v>
      </c>
    </row>
    <row r="321" spans="1:9" x14ac:dyDescent="0.3">
      <c r="A321" t="str">
        <f t="shared" si="96"/>
        <v>United States</v>
      </c>
      <c r="B321" t="str">
        <f t="shared" si="107"/>
        <v>Bakersfield</v>
      </c>
      <c r="C321" t="str">
        <f t="shared" si="110"/>
        <v>Standard Class</v>
      </c>
      <c r="D321" t="s">
        <v>15</v>
      </c>
      <c r="E321" t="s">
        <v>20</v>
      </c>
      <c r="F321">
        <v>5</v>
      </c>
      <c r="G321">
        <v>0.2</v>
      </c>
      <c r="H321" s="2">
        <v>8.1199999999999974</v>
      </c>
      <c r="I321" s="2">
        <v>23.2</v>
      </c>
    </row>
    <row r="322" spans="1:9" x14ac:dyDescent="0.3">
      <c r="A322" t="str">
        <f t="shared" si="96"/>
        <v>United States</v>
      </c>
      <c r="B322" t="str">
        <f t="shared" si="107"/>
        <v>Bakersfield</v>
      </c>
      <c r="C322" t="str">
        <f t="shared" si="110"/>
        <v>Standard Class</v>
      </c>
      <c r="D322" t="str">
        <f>D321</f>
        <v>Corporate</v>
      </c>
      <c r="E322" t="s">
        <v>16</v>
      </c>
      <c r="F322">
        <v>2</v>
      </c>
      <c r="G322">
        <v>0</v>
      </c>
      <c r="H322" s="2">
        <v>6.2208000000000006</v>
      </c>
      <c r="I322" s="2">
        <v>12.96</v>
      </c>
    </row>
    <row r="323" spans="1:9" x14ac:dyDescent="0.3">
      <c r="A323" t="str">
        <f t="shared" si="96"/>
        <v>United States</v>
      </c>
      <c r="B323" t="str">
        <f t="shared" si="107"/>
        <v>Bakersfield</v>
      </c>
      <c r="C323" t="str">
        <f t="shared" si="110"/>
        <v>Standard Class</v>
      </c>
      <c r="D323" t="s">
        <v>17</v>
      </c>
      <c r="E323" t="s">
        <v>20</v>
      </c>
      <c r="F323">
        <v>4</v>
      </c>
      <c r="G323">
        <v>0.4</v>
      </c>
      <c r="H323" s="2">
        <v>8.0186000000000011</v>
      </c>
      <c r="I323" s="2">
        <v>23.936</v>
      </c>
    </row>
    <row r="324" spans="1:9" x14ac:dyDescent="0.3">
      <c r="A324" t="str">
        <f t="shared" ref="A324:A387" si="112">A323</f>
        <v>United States</v>
      </c>
      <c r="B324" t="str">
        <f t="shared" si="107"/>
        <v>Bakersfield</v>
      </c>
      <c r="C324" t="str">
        <f t="shared" si="110"/>
        <v>Standard Class</v>
      </c>
      <c r="D324" t="str">
        <f>D323</f>
        <v>Home Office</v>
      </c>
      <c r="E324" t="s">
        <v>16</v>
      </c>
      <c r="F324">
        <v>1</v>
      </c>
      <c r="G324">
        <v>0</v>
      </c>
      <c r="H324" s="2">
        <v>2.3177000000000003</v>
      </c>
      <c r="I324" s="2">
        <v>4.7300000000000004</v>
      </c>
    </row>
    <row r="325" spans="1:9" x14ac:dyDescent="0.3">
      <c r="A325" t="str">
        <f t="shared" si="112"/>
        <v>United States</v>
      </c>
      <c r="B325" t="s">
        <v>58</v>
      </c>
      <c r="C325" t="s">
        <v>11</v>
      </c>
      <c r="D325" t="s">
        <v>8</v>
      </c>
      <c r="E325" t="s">
        <v>23</v>
      </c>
      <c r="F325">
        <v>6</v>
      </c>
      <c r="G325">
        <v>0</v>
      </c>
      <c r="H325" s="2">
        <v>9.8159999999999954</v>
      </c>
      <c r="I325" s="2">
        <v>98.16</v>
      </c>
    </row>
    <row r="326" spans="1:9" x14ac:dyDescent="0.3">
      <c r="A326" t="str">
        <f t="shared" si="112"/>
        <v>United States</v>
      </c>
      <c r="B326" t="str">
        <f t="shared" ref="B326:B359" si="113">B325</f>
        <v>Baltimore</v>
      </c>
      <c r="C326" t="str">
        <f t="shared" ref="C326:C334" si="114">C325</f>
        <v>First Class</v>
      </c>
      <c r="D326" t="str">
        <f t="shared" ref="D326:D329" si="115">D325</f>
        <v>Consumer</v>
      </c>
      <c r="E326" t="s">
        <v>12</v>
      </c>
      <c r="F326">
        <v>7</v>
      </c>
      <c r="G326">
        <v>0</v>
      </c>
      <c r="H326" s="2">
        <v>26.349399999999992</v>
      </c>
      <c r="I326" s="2">
        <v>90.86</v>
      </c>
    </row>
    <row r="327" spans="1:9" x14ac:dyDescent="0.3">
      <c r="A327" t="str">
        <f t="shared" si="112"/>
        <v>United States</v>
      </c>
      <c r="B327" t="str">
        <f t="shared" si="113"/>
        <v>Baltimore</v>
      </c>
      <c r="C327" t="str">
        <f t="shared" si="114"/>
        <v>First Class</v>
      </c>
      <c r="D327" t="str">
        <f t="shared" si="115"/>
        <v>Consumer</v>
      </c>
      <c r="E327" t="s">
        <v>20</v>
      </c>
      <c r="F327">
        <v>2</v>
      </c>
      <c r="G327">
        <v>0</v>
      </c>
      <c r="H327" s="2">
        <v>11.778199999999998</v>
      </c>
      <c r="I327" s="2">
        <v>25.06</v>
      </c>
    </row>
    <row r="328" spans="1:9" x14ac:dyDescent="0.3">
      <c r="A328" t="str">
        <f t="shared" si="112"/>
        <v>United States</v>
      </c>
      <c r="B328" t="str">
        <f t="shared" si="113"/>
        <v>Baltimore</v>
      </c>
      <c r="C328" t="str">
        <f t="shared" si="114"/>
        <v>First Class</v>
      </c>
      <c r="D328" t="str">
        <f t="shared" si="115"/>
        <v>Consumer</v>
      </c>
      <c r="E328" t="s">
        <v>33</v>
      </c>
      <c r="F328">
        <v>9</v>
      </c>
      <c r="G328">
        <v>0</v>
      </c>
      <c r="H328" s="2">
        <v>227.20500000000004</v>
      </c>
      <c r="I328" s="2">
        <v>908.82</v>
      </c>
    </row>
    <row r="329" spans="1:9" x14ac:dyDescent="0.3">
      <c r="A329" t="str">
        <f t="shared" si="112"/>
        <v>United States</v>
      </c>
      <c r="B329" t="str">
        <f t="shared" si="113"/>
        <v>Baltimore</v>
      </c>
      <c r="C329" t="str">
        <f t="shared" si="114"/>
        <v>First Class</v>
      </c>
      <c r="D329" t="str">
        <f t="shared" si="115"/>
        <v>Consumer</v>
      </c>
      <c r="E329" t="s">
        <v>16</v>
      </c>
      <c r="F329">
        <v>10</v>
      </c>
      <c r="G329">
        <v>0</v>
      </c>
      <c r="H329" s="2">
        <v>65.477999999999994</v>
      </c>
      <c r="I329" s="2">
        <v>134.75</v>
      </c>
    </row>
    <row r="330" spans="1:9" x14ac:dyDescent="0.3">
      <c r="A330" t="str">
        <f t="shared" si="112"/>
        <v>United States</v>
      </c>
      <c r="B330" t="str">
        <f t="shared" si="113"/>
        <v>Baltimore</v>
      </c>
      <c r="C330" t="str">
        <f t="shared" si="114"/>
        <v>First Class</v>
      </c>
      <c r="D330" t="s">
        <v>15</v>
      </c>
      <c r="E330" t="s">
        <v>23</v>
      </c>
      <c r="F330">
        <v>3</v>
      </c>
      <c r="G330">
        <v>0</v>
      </c>
      <c r="H330" s="2">
        <v>18.893699999999995</v>
      </c>
      <c r="I330" s="2">
        <v>89.97</v>
      </c>
    </row>
    <row r="331" spans="1:9" x14ac:dyDescent="0.3">
      <c r="A331" t="str">
        <f t="shared" si="112"/>
        <v>United States</v>
      </c>
      <c r="B331" t="str">
        <f t="shared" si="113"/>
        <v>Baltimore</v>
      </c>
      <c r="C331" t="str">
        <f t="shared" si="114"/>
        <v>First Class</v>
      </c>
      <c r="D331" t="str">
        <f t="shared" ref="D331:D334" si="116">D330</f>
        <v>Corporate</v>
      </c>
      <c r="E331" t="s">
        <v>12</v>
      </c>
      <c r="F331">
        <v>9</v>
      </c>
      <c r="G331">
        <v>0</v>
      </c>
      <c r="H331" s="2">
        <v>20.1708</v>
      </c>
      <c r="I331" s="2">
        <v>77.58</v>
      </c>
    </row>
    <row r="332" spans="1:9" x14ac:dyDescent="0.3">
      <c r="A332" t="str">
        <f t="shared" si="112"/>
        <v>United States</v>
      </c>
      <c r="B332" t="str">
        <f t="shared" si="113"/>
        <v>Baltimore</v>
      </c>
      <c r="C332" t="str">
        <f t="shared" si="114"/>
        <v>First Class</v>
      </c>
      <c r="D332" t="str">
        <f t="shared" si="116"/>
        <v>Corporate</v>
      </c>
      <c r="E332" t="s">
        <v>19</v>
      </c>
      <c r="F332">
        <v>12</v>
      </c>
      <c r="G332">
        <v>0</v>
      </c>
      <c r="H332" s="2">
        <v>17.005400000000002</v>
      </c>
      <c r="I332" s="2">
        <v>55.660000000000004</v>
      </c>
    </row>
    <row r="333" spans="1:9" x14ac:dyDescent="0.3">
      <c r="A333" t="str">
        <f t="shared" si="112"/>
        <v>United States</v>
      </c>
      <c r="B333" t="str">
        <f t="shared" si="113"/>
        <v>Baltimore</v>
      </c>
      <c r="C333" t="str">
        <f t="shared" si="114"/>
        <v>First Class</v>
      </c>
      <c r="D333" t="str">
        <f t="shared" si="116"/>
        <v>Corporate</v>
      </c>
      <c r="E333" t="s">
        <v>33</v>
      </c>
      <c r="F333">
        <v>2</v>
      </c>
      <c r="G333">
        <v>0</v>
      </c>
      <c r="H333" s="2">
        <v>23.576399999999978</v>
      </c>
      <c r="I333" s="2">
        <v>261.95999999999998</v>
      </c>
    </row>
    <row r="334" spans="1:9" x14ac:dyDescent="0.3">
      <c r="A334" t="str">
        <f t="shared" si="112"/>
        <v>United States</v>
      </c>
      <c r="B334" t="str">
        <f t="shared" si="113"/>
        <v>Baltimore</v>
      </c>
      <c r="C334" t="str">
        <f t="shared" si="114"/>
        <v>First Class</v>
      </c>
      <c r="D334" t="str">
        <f t="shared" si="116"/>
        <v>Corporate</v>
      </c>
      <c r="E334" t="s">
        <v>43</v>
      </c>
      <c r="F334">
        <v>5</v>
      </c>
      <c r="G334">
        <v>0</v>
      </c>
      <c r="H334" s="2">
        <v>37</v>
      </c>
      <c r="I334" s="2">
        <v>74</v>
      </c>
    </row>
    <row r="335" spans="1:9" x14ac:dyDescent="0.3">
      <c r="A335" t="str">
        <f t="shared" si="112"/>
        <v>United States</v>
      </c>
      <c r="B335" t="str">
        <f t="shared" si="113"/>
        <v>Baltimore</v>
      </c>
      <c r="C335" t="s">
        <v>7</v>
      </c>
      <c r="D335" t="s">
        <v>8</v>
      </c>
      <c r="E335" t="s">
        <v>20</v>
      </c>
      <c r="F335">
        <v>2</v>
      </c>
      <c r="G335">
        <v>0</v>
      </c>
      <c r="H335" s="2">
        <v>5.8695999999999993</v>
      </c>
      <c r="I335" s="2">
        <v>12.76</v>
      </c>
    </row>
    <row r="336" spans="1:9" x14ac:dyDescent="0.3">
      <c r="A336" t="str">
        <f t="shared" si="112"/>
        <v>United States</v>
      </c>
      <c r="B336" t="str">
        <f t="shared" si="113"/>
        <v>Baltimore</v>
      </c>
      <c r="C336" t="str">
        <f t="shared" ref="C336:C340" si="117">C335</f>
        <v>Second Class</v>
      </c>
      <c r="D336" t="str">
        <f t="shared" ref="D336:D339" si="118">D335</f>
        <v>Consumer</v>
      </c>
      <c r="E336" t="s">
        <v>34</v>
      </c>
      <c r="F336">
        <v>3</v>
      </c>
      <c r="G336">
        <v>0</v>
      </c>
      <c r="H336" s="2">
        <v>31.044599999999974</v>
      </c>
      <c r="I336" s="2">
        <v>344.94</v>
      </c>
    </row>
    <row r="337" spans="1:9" x14ac:dyDescent="0.3">
      <c r="A337" t="str">
        <f t="shared" si="112"/>
        <v>United States</v>
      </c>
      <c r="B337" t="str">
        <f t="shared" si="113"/>
        <v>Baltimore</v>
      </c>
      <c r="C337" t="str">
        <f t="shared" si="117"/>
        <v>Second Class</v>
      </c>
      <c r="D337" t="str">
        <f t="shared" si="118"/>
        <v>Consumer</v>
      </c>
      <c r="E337" t="s">
        <v>21</v>
      </c>
      <c r="F337">
        <v>2</v>
      </c>
      <c r="G337">
        <v>0</v>
      </c>
      <c r="H337" s="2">
        <v>4.2803999999999984</v>
      </c>
      <c r="I337" s="2">
        <v>14.76</v>
      </c>
    </row>
    <row r="338" spans="1:9" x14ac:dyDescent="0.3">
      <c r="A338" t="str">
        <f t="shared" si="112"/>
        <v>United States</v>
      </c>
      <c r="B338" t="str">
        <f t="shared" si="113"/>
        <v>Baltimore</v>
      </c>
      <c r="C338" t="str">
        <f t="shared" si="117"/>
        <v>Second Class</v>
      </c>
      <c r="D338" t="str">
        <f t="shared" si="118"/>
        <v>Consumer</v>
      </c>
      <c r="E338" t="s">
        <v>43</v>
      </c>
      <c r="F338">
        <v>8</v>
      </c>
      <c r="G338">
        <v>0</v>
      </c>
      <c r="H338" s="2">
        <v>27.485599999999998</v>
      </c>
      <c r="I338" s="2">
        <v>58.48</v>
      </c>
    </row>
    <row r="339" spans="1:9" x14ac:dyDescent="0.3">
      <c r="A339" t="str">
        <f t="shared" si="112"/>
        <v>United States</v>
      </c>
      <c r="B339" t="str">
        <f t="shared" si="113"/>
        <v>Baltimore</v>
      </c>
      <c r="C339" t="str">
        <f t="shared" si="117"/>
        <v>Second Class</v>
      </c>
      <c r="D339" t="str">
        <f t="shared" si="118"/>
        <v>Consumer</v>
      </c>
      <c r="E339" t="s">
        <v>16</v>
      </c>
      <c r="F339">
        <v>3</v>
      </c>
      <c r="G339">
        <v>0</v>
      </c>
      <c r="H339" s="2">
        <v>80.791200000000003</v>
      </c>
      <c r="I339" s="2">
        <v>164.88</v>
      </c>
    </row>
    <row r="340" spans="1:9" x14ac:dyDescent="0.3">
      <c r="A340" t="str">
        <f t="shared" si="112"/>
        <v>United States</v>
      </c>
      <c r="B340" t="str">
        <f t="shared" si="113"/>
        <v>Baltimore</v>
      </c>
      <c r="C340" t="str">
        <f t="shared" si="117"/>
        <v>Second Class</v>
      </c>
      <c r="D340" t="s">
        <v>15</v>
      </c>
      <c r="E340" t="s">
        <v>21</v>
      </c>
      <c r="F340">
        <v>4</v>
      </c>
      <c r="G340">
        <v>0</v>
      </c>
      <c r="H340" s="2">
        <v>85.181600000000003</v>
      </c>
      <c r="I340" s="2">
        <v>207.76</v>
      </c>
    </row>
    <row r="341" spans="1:9" x14ac:dyDescent="0.3">
      <c r="A341" t="str">
        <f t="shared" si="112"/>
        <v>United States</v>
      </c>
      <c r="B341" t="str">
        <f t="shared" si="113"/>
        <v>Baltimore</v>
      </c>
      <c r="C341" t="s">
        <v>22</v>
      </c>
      <c r="D341" t="s">
        <v>8</v>
      </c>
      <c r="E341" t="s">
        <v>19</v>
      </c>
      <c r="F341">
        <v>6</v>
      </c>
      <c r="G341">
        <v>0</v>
      </c>
      <c r="H341" s="2">
        <v>5.0040000000000004</v>
      </c>
      <c r="I341" s="2">
        <v>18.93</v>
      </c>
    </row>
    <row r="342" spans="1:9" x14ac:dyDescent="0.3">
      <c r="A342" t="str">
        <f t="shared" si="112"/>
        <v>United States</v>
      </c>
      <c r="B342" t="str">
        <f t="shared" si="113"/>
        <v>Baltimore</v>
      </c>
      <c r="C342" t="str">
        <f t="shared" ref="C342:C359" si="119">C341</f>
        <v>Standard Class</v>
      </c>
      <c r="D342" t="str">
        <f t="shared" ref="D342:D345" si="120">D341</f>
        <v>Consumer</v>
      </c>
      <c r="E342" t="s">
        <v>16</v>
      </c>
      <c r="F342">
        <v>3</v>
      </c>
      <c r="G342">
        <v>0</v>
      </c>
      <c r="H342" s="2">
        <v>56.977199999999996</v>
      </c>
      <c r="I342" s="2">
        <v>116.28</v>
      </c>
    </row>
    <row r="343" spans="1:9" x14ac:dyDescent="0.3">
      <c r="A343" t="str">
        <f t="shared" si="112"/>
        <v>United States</v>
      </c>
      <c r="B343" t="str">
        <f t="shared" si="113"/>
        <v>Baltimore</v>
      </c>
      <c r="C343" t="str">
        <f t="shared" si="119"/>
        <v>Standard Class</v>
      </c>
      <c r="D343" t="str">
        <f t="shared" si="120"/>
        <v>Consumer</v>
      </c>
      <c r="E343" t="s">
        <v>24</v>
      </c>
      <c r="F343">
        <v>8</v>
      </c>
      <c r="G343">
        <v>0</v>
      </c>
      <c r="H343" s="2">
        <v>68.367599999999996</v>
      </c>
      <c r="I343" s="2">
        <v>179.92</v>
      </c>
    </row>
    <row r="344" spans="1:9" x14ac:dyDescent="0.3">
      <c r="A344" t="str">
        <f t="shared" si="112"/>
        <v>United States</v>
      </c>
      <c r="B344" t="str">
        <f t="shared" si="113"/>
        <v>Baltimore</v>
      </c>
      <c r="C344" t="str">
        <f t="shared" si="119"/>
        <v>Standard Class</v>
      </c>
      <c r="D344" t="str">
        <f t="shared" si="120"/>
        <v>Consumer</v>
      </c>
      <c r="E344" t="s">
        <v>9</v>
      </c>
      <c r="F344">
        <v>3</v>
      </c>
      <c r="G344">
        <v>0</v>
      </c>
      <c r="H344" s="2">
        <v>6.5052000000000003</v>
      </c>
      <c r="I344" s="2">
        <v>25.02</v>
      </c>
    </row>
    <row r="345" spans="1:9" x14ac:dyDescent="0.3">
      <c r="A345" t="str">
        <f t="shared" si="112"/>
        <v>United States</v>
      </c>
      <c r="B345" t="str">
        <f t="shared" si="113"/>
        <v>Baltimore</v>
      </c>
      <c r="C345" t="str">
        <f t="shared" si="119"/>
        <v>Standard Class</v>
      </c>
      <c r="D345" t="str">
        <f t="shared" si="120"/>
        <v>Consumer</v>
      </c>
      <c r="E345" t="s">
        <v>25</v>
      </c>
      <c r="F345">
        <v>2</v>
      </c>
      <c r="G345">
        <v>0.3</v>
      </c>
      <c r="H345" s="2">
        <v>-23.93719999999999</v>
      </c>
      <c r="I345" s="2">
        <v>239.37199999999996</v>
      </c>
    </row>
    <row r="346" spans="1:9" x14ac:dyDescent="0.3">
      <c r="A346" t="str">
        <f t="shared" si="112"/>
        <v>United States</v>
      </c>
      <c r="B346" t="str">
        <f t="shared" si="113"/>
        <v>Baltimore</v>
      </c>
      <c r="C346" t="str">
        <f t="shared" si="119"/>
        <v>Standard Class</v>
      </c>
      <c r="D346" t="s">
        <v>15</v>
      </c>
      <c r="E346" t="s">
        <v>19</v>
      </c>
      <c r="F346">
        <v>11</v>
      </c>
      <c r="G346">
        <v>0</v>
      </c>
      <c r="H346" s="2">
        <v>10.797599999999999</v>
      </c>
      <c r="I346" s="2">
        <v>32.700000000000003</v>
      </c>
    </row>
    <row r="347" spans="1:9" x14ac:dyDescent="0.3">
      <c r="A347" t="str">
        <f t="shared" si="112"/>
        <v>United States</v>
      </c>
      <c r="B347" t="str">
        <f t="shared" si="113"/>
        <v>Baltimore</v>
      </c>
      <c r="C347" t="str">
        <f t="shared" si="119"/>
        <v>Standard Class</v>
      </c>
      <c r="D347" t="str">
        <f t="shared" ref="D347:D353" si="121">D346</f>
        <v>Corporate</v>
      </c>
      <c r="E347" t="s">
        <v>20</v>
      </c>
      <c r="F347">
        <v>2</v>
      </c>
      <c r="G347">
        <v>0</v>
      </c>
      <c r="H347" s="2">
        <v>9.3869999999999987</v>
      </c>
      <c r="I347" s="2">
        <v>20.86</v>
      </c>
    </row>
    <row r="348" spans="1:9" x14ac:dyDescent="0.3">
      <c r="A348" t="str">
        <f t="shared" si="112"/>
        <v>United States</v>
      </c>
      <c r="B348" t="str">
        <f t="shared" si="113"/>
        <v>Baltimore</v>
      </c>
      <c r="C348" t="str">
        <f t="shared" si="119"/>
        <v>Standard Class</v>
      </c>
      <c r="D348" t="str">
        <f t="shared" si="121"/>
        <v>Corporate</v>
      </c>
      <c r="E348" t="s">
        <v>33</v>
      </c>
      <c r="F348">
        <v>3</v>
      </c>
      <c r="G348">
        <v>0</v>
      </c>
      <c r="H348" s="2">
        <v>141.1644</v>
      </c>
      <c r="I348" s="2">
        <v>542.93999999999994</v>
      </c>
    </row>
    <row r="349" spans="1:9" x14ac:dyDescent="0.3">
      <c r="A349" t="str">
        <f t="shared" si="112"/>
        <v>United States</v>
      </c>
      <c r="B349" t="str">
        <f t="shared" si="113"/>
        <v>Baltimore</v>
      </c>
      <c r="C349" t="str">
        <f t="shared" si="119"/>
        <v>Standard Class</v>
      </c>
      <c r="D349" t="str">
        <f t="shared" si="121"/>
        <v>Corporate</v>
      </c>
      <c r="E349" t="s">
        <v>21</v>
      </c>
      <c r="F349">
        <v>10</v>
      </c>
      <c r="G349">
        <v>0</v>
      </c>
      <c r="H349" s="2">
        <v>112.422</v>
      </c>
      <c r="I349" s="2">
        <v>274.20000000000005</v>
      </c>
    </row>
    <row r="350" spans="1:9" x14ac:dyDescent="0.3">
      <c r="A350" t="str">
        <f t="shared" si="112"/>
        <v>United States</v>
      </c>
      <c r="B350" t="str">
        <f t="shared" si="113"/>
        <v>Baltimore</v>
      </c>
      <c r="C350" t="str">
        <f t="shared" si="119"/>
        <v>Standard Class</v>
      </c>
      <c r="D350" t="str">
        <f t="shared" si="121"/>
        <v>Corporate</v>
      </c>
      <c r="E350" t="s">
        <v>43</v>
      </c>
      <c r="F350">
        <v>1</v>
      </c>
      <c r="G350">
        <v>0</v>
      </c>
      <c r="H350" s="2">
        <v>1.512</v>
      </c>
      <c r="I350" s="2">
        <v>3.15</v>
      </c>
    </row>
    <row r="351" spans="1:9" x14ac:dyDescent="0.3">
      <c r="A351" t="str">
        <f t="shared" si="112"/>
        <v>United States</v>
      </c>
      <c r="B351" t="str">
        <f t="shared" si="113"/>
        <v>Baltimore</v>
      </c>
      <c r="C351" t="str">
        <f t="shared" si="119"/>
        <v>Standard Class</v>
      </c>
      <c r="D351" t="str">
        <f t="shared" si="121"/>
        <v>Corporate</v>
      </c>
      <c r="E351" t="s">
        <v>16</v>
      </c>
      <c r="F351">
        <v>10</v>
      </c>
      <c r="G351">
        <v>0</v>
      </c>
      <c r="H351" s="2">
        <v>33.256999999999991</v>
      </c>
      <c r="I351" s="2">
        <v>71.150000000000006</v>
      </c>
    </row>
    <row r="352" spans="1:9" x14ac:dyDescent="0.3">
      <c r="A352" t="str">
        <f t="shared" si="112"/>
        <v>United States</v>
      </c>
      <c r="B352" t="str">
        <f t="shared" si="113"/>
        <v>Baltimore</v>
      </c>
      <c r="C352" t="str">
        <f t="shared" si="119"/>
        <v>Standard Class</v>
      </c>
      <c r="D352" t="str">
        <f t="shared" si="121"/>
        <v>Corporate</v>
      </c>
      <c r="E352" t="s">
        <v>24</v>
      </c>
      <c r="F352">
        <v>1</v>
      </c>
      <c r="G352">
        <v>0</v>
      </c>
      <c r="H352" s="2">
        <v>36.447299999999998</v>
      </c>
      <c r="I352" s="2">
        <v>134.99</v>
      </c>
    </row>
    <row r="353" spans="1:9" x14ac:dyDescent="0.3">
      <c r="A353" t="str">
        <f t="shared" si="112"/>
        <v>United States</v>
      </c>
      <c r="B353" t="str">
        <f t="shared" si="113"/>
        <v>Baltimore</v>
      </c>
      <c r="C353" t="str">
        <f t="shared" si="119"/>
        <v>Standard Class</v>
      </c>
      <c r="D353" t="str">
        <f t="shared" si="121"/>
        <v>Corporate</v>
      </c>
      <c r="E353" t="s">
        <v>14</v>
      </c>
      <c r="F353">
        <v>9</v>
      </c>
      <c r="G353">
        <v>0</v>
      </c>
      <c r="H353" s="2">
        <v>129.37860000000001</v>
      </c>
      <c r="I353" s="2">
        <v>497.61</v>
      </c>
    </row>
    <row r="354" spans="1:9" x14ac:dyDescent="0.3">
      <c r="A354" t="str">
        <f t="shared" si="112"/>
        <v>United States</v>
      </c>
      <c r="B354" t="str">
        <f t="shared" si="113"/>
        <v>Baltimore</v>
      </c>
      <c r="C354" t="str">
        <f t="shared" si="119"/>
        <v>Standard Class</v>
      </c>
      <c r="D354" t="s">
        <v>17</v>
      </c>
      <c r="E354" t="s">
        <v>19</v>
      </c>
      <c r="F354">
        <v>1</v>
      </c>
      <c r="G354">
        <v>0</v>
      </c>
      <c r="H354" s="2">
        <v>0.73799999999999988</v>
      </c>
      <c r="I354" s="2">
        <v>1.64</v>
      </c>
    </row>
    <row r="355" spans="1:9" x14ac:dyDescent="0.3">
      <c r="A355" t="str">
        <f t="shared" si="112"/>
        <v>United States</v>
      </c>
      <c r="B355" t="str">
        <f t="shared" si="113"/>
        <v>Baltimore</v>
      </c>
      <c r="C355" t="str">
        <f t="shared" si="119"/>
        <v>Standard Class</v>
      </c>
      <c r="D355" t="str">
        <f t="shared" ref="D355:D359" si="122">D354</f>
        <v>Home Office</v>
      </c>
      <c r="E355" t="s">
        <v>33</v>
      </c>
      <c r="F355">
        <v>1</v>
      </c>
      <c r="G355">
        <v>0</v>
      </c>
      <c r="H355" s="2">
        <v>43.784199999999984</v>
      </c>
      <c r="I355" s="2">
        <v>150.97999999999999</v>
      </c>
    </row>
    <row r="356" spans="1:9" x14ac:dyDescent="0.3">
      <c r="A356" t="str">
        <f t="shared" si="112"/>
        <v>United States</v>
      </c>
      <c r="B356" t="str">
        <f t="shared" si="113"/>
        <v>Baltimore</v>
      </c>
      <c r="C356" t="str">
        <f t="shared" si="119"/>
        <v>Standard Class</v>
      </c>
      <c r="D356" t="str">
        <f t="shared" si="122"/>
        <v>Home Office</v>
      </c>
      <c r="E356" t="s">
        <v>38</v>
      </c>
      <c r="F356">
        <v>9</v>
      </c>
      <c r="G356">
        <v>0</v>
      </c>
      <c r="H356" s="2">
        <v>63.134999999999991</v>
      </c>
      <c r="I356" s="2">
        <v>137.25</v>
      </c>
    </row>
    <row r="357" spans="1:9" x14ac:dyDescent="0.3">
      <c r="A357" t="str">
        <f t="shared" si="112"/>
        <v>United States</v>
      </c>
      <c r="B357" t="str">
        <f t="shared" si="113"/>
        <v>Baltimore</v>
      </c>
      <c r="C357" t="str">
        <f t="shared" si="119"/>
        <v>Standard Class</v>
      </c>
      <c r="D357" t="str">
        <f t="shared" si="122"/>
        <v>Home Office</v>
      </c>
      <c r="E357" t="s">
        <v>18</v>
      </c>
      <c r="F357">
        <v>4</v>
      </c>
      <c r="G357">
        <v>0</v>
      </c>
      <c r="H357" s="2">
        <v>5.4143999999999997</v>
      </c>
      <c r="I357" s="2">
        <v>11.52</v>
      </c>
    </row>
    <row r="358" spans="1:9" x14ac:dyDescent="0.3">
      <c r="A358" t="str">
        <f t="shared" si="112"/>
        <v>United States</v>
      </c>
      <c r="B358" t="str">
        <f t="shared" si="113"/>
        <v>Baltimore</v>
      </c>
      <c r="C358" t="str">
        <f t="shared" si="119"/>
        <v>Standard Class</v>
      </c>
      <c r="D358" t="str">
        <f t="shared" si="122"/>
        <v>Home Office</v>
      </c>
      <c r="E358" t="s">
        <v>21</v>
      </c>
      <c r="F358">
        <v>10</v>
      </c>
      <c r="G358">
        <v>0</v>
      </c>
      <c r="H358" s="2">
        <v>280.31600000000003</v>
      </c>
      <c r="I358" s="2">
        <v>1070.1000000000001</v>
      </c>
    </row>
    <row r="359" spans="1:9" x14ac:dyDescent="0.3">
      <c r="A359" t="str">
        <f t="shared" si="112"/>
        <v>United States</v>
      </c>
      <c r="B359" t="str">
        <f t="shared" si="113"/>
        <v>Baltimore</v>
      </c>
      <c r="C359" t="str">
        <f t="shared" si="119"/>
        <v>Standard Class</v>
      </c>
      <c r="D359" t="str">
        <f t="shared" si="122"/>
        <v>Home Office</v>
      </c>
      <c r="E359" t="s">
        <v>43</v>
      </c>
      <c r="F359">
        <v>3</v>
      </c>
      <c r="G359">
        <v>0</v>
      </c>
      <c r="H359" s="2">
        <v>3.6017999999999999</v>
      </c>
      <c r="I359" s="2">
        <v>7.83</v>
      </c>
    </row>
    <row r="360" spans="1:9" x14ac:dyDescent="0.3">
      <c r="A360" t="str">
        <f t="shared" si="112"/>
        <v>United States</v>
      </c>
      <c r="B360" t="s">
        <v>59</v>
      </c>
      <c r="C360" t="s">
        <v>22</v>
      </c>
      <c r="D360" t="s">
        <v>15</v>
      </c>
      <c r="E360" t="s">
        <v>23</v>
      </c>
      <c r="F360">
        <v>9</v>
      </c>
      <c r="G360">
        <v>0</v>
      </c>
      <c r="H360" s="2">
        <v>104.7222</v>
      </c>
      <c r="I360" s="2">
        <v>255.42</v>
      </c>
    </row>
    <row r="361" spans="1:9" x14ac:dyDescent="0.3">
      <c r="A361" t="str">
        <f t="shared" si="112"/>
        <v>United States</v>
      </c>
      <c r="B361" t="str">
        <f t="shared" ref="B361:B364" si="123">B360</f>
        <v>Bangor</v>
      </c>
      <c r="C361" t="str">
        <f t="shared" ref="C361:C364" si="124">C360</f>
        <v>Standard Class</v>
      </c>
      <c r="D361" t="str">
        <f t="shared" ref="D361:D364" si="125">D360</f>
        <v>Corporate</v>
      </c>
      <c r="E361" t="s">
        <v>12</v>
      </c>
      <c r="F361">
        <v>2</v>
      </c>
      <c r="G361">
        <v>0</v>
      </c>
      <c r="H361" s="2">
        <v>27.529200000000003</v>
      </c>
      <c r="I361" s="2">
        <v>101.96</v>
      </c>
    </row>
    <row r="362" spans="1:9" x14ac:dyDescent="0.3">
      <c r="A362" t="str">
        <f t="shared" si="112"/>
        <v>United States</v>
      </c>
      <c r="B362" t="str">
        <f t="shared" si="123"/>
        <v>Bangor</v>
      </c>
      <c r="C362" t="str">
        <f t="shared" si="124"/>
        <v>Standard Class</v>
      </c>
      <c r="D362" t="str">
        <f t="shared" si="125"/>
        <v>Corporate</v>
      </c>
      <c r="E362" t="s">
        <v>21</v>
      </c>
      <c r="F362">
        <v>2</v>
      </c>
      <c r="G362">
        <v>0</v>
      </c>
      <c r="H362" s="2">
        <v>33.938800000000001</v>
      </c>
      <c r="I362" s="2">
        <v>109.48</v>
      </c>
    </row>
    <row r="363" spans="1:9" x14ac:dyDescent="0.3">
      <c r="A363" t="str">
        <f t="shared" si="112"/>
        <v>United States</v>
      </c>
      <c r="B363" t="str">
        <f t="shared" si="123"/>
        <v>Bangor</v>
      </c>
      <c r="C363" t="str">
        <f t="shared" si="124"/>
        <v>Standard Class</v>
      </c>
      <c r="D363" t="str">
        <f t="shared" si="125"/>
        <v>Corporate</v>
      </c>
      <c r="E363" t="s">
        <v>16</v>
      </c>
      <c r="F363">
        <v>13</v>
      </c>
      <c r="G363">
        <v>0</v>
      </c>
      <c r="H363" s="2">
        <v>124.6752</v>
      </c>
      <c r="I363" s="2">
        <v>259.74</v>
      </c>
    </row>
    <row r="364" spans="1:9" x14ac:dyDescent="0.3">
      <c r="A364" t="str">
        <f t="shared" si="112"/>
        <v>United States</v>
      </c>
      <c r="B364" t="str">
        <f t="shared" si="123"/>
        <v>Bangor</v>
      </c>
      <c r="C364" t="str">
        <f t="shared" si="124"/>
        <v>Standard Class</v>
      </c>
      <c r="D364" t="str">
        <f t="shared" si="125"/>
        <v>Corporate</v>
      </c>
      <c r="E364" t="s">
        <v>24</v>
      </c>
      <c r="F364">
        <v>3</v>
      </c>
      <c r="G364">
        <v>0</v>
      </c>
      <c r="H364" s="2">
        <v>131.35499999999996</v>
      </c>
      <c r="I364" s="2">
        <v>437.84999999999997</v>
      </c>
    </row>
    <row r="365" spans="1:9" x14ac:dyDescent="0.3">
      <c r="A365" t="str">
        <f t="shared" si="112"/>
        <v>United States</v>
      </c>
      <c r="B365" t="s">
        <v>60</v>
      </c>
      <c r="C365" t="s">
        <v>22</v>
      </c>
      <c r="D365" t="s">
        <v>8</v>
      </c>
      <c r="E365" t="s">
        <v>9</v>
      </c>
      <c r="F365">
        <v>8</v>
      </c>
      <c r="G365">
        <v>0.2</v>
      </c>
      <c r="H365" s="2">
        <v>10.007999999999988</v>
      </c>
      <c r="I365" s="2">
        <v>88.960000000000008</v>
      </c>
    </row>
    <row r="366" spans="1:9" x14ac:dyDescent="0.3">
      <c r="A366" t="str">
        <f t="shared" si="112"/>
        <v>United States</v>
      </c>
      <c r="B366" t="s">
        <v>61</v>
      </c>
      <c r="C366" t="s">
        <v>7</v>
      </c>
      <c r="D366" t="s">
        <v>17</v>
      </c>
      <c r="E366" t="s">
        <v>23</v>
      </c>
      <c r="F366">
        <v>4</v>
      </c>
      <c r="G366">
        <v>0</v>
      </c>
      <c r="H366" s="2">
        <v>19.827599999999997</v>
      </c>
      <c r="I366" s="2">
        <v>63.96</v>
      </c>
    </row>
    <row r="367" spans="1:9" x14ac:dyDescent="0.3">
      <c r="A367" t="str">
        <f t="shared" si="112"/>
        <v>United States</v>
      </c>
      <c r="B367" t="str">
        <f t="shared" ref="B367:B368" si="126">B366</f>
        <v>Bayonne</v>
      </c>
      <c r="C367" t="str">
        <f t="shared" ref="C367:C368" si="127">C366</f>
        <v>Second Class</v>
      </c>
      <c r="D367" t="str">
        <f t="shared" ref="D367:D368" si="128">D366</f>
        <v>Home Office</v>
      </c>
      <c r="E367" t="s">
        <v>20</v>
      </c>
      <c r="F367">
        <v>3</v>
      </c>
      <c r="G367">
        <v>0</v>
      </c>
      <c r="H367" s="2">
        <v>7.0853999999999999</v>
      </c>
      <c r="I367" s="2">
        <v>14.46</v>
      </c>
    </row>
    <row r="368" spans="1:9" x14ac:dyDescent="0.3">
      <c r="A368" t="str">
        <f t="shared" si="112"/>
        <v>United States</v>
      </c>
      <c r="B368" t="str">
        <f t="shared" si="126"/>
        <v>Bayonne</v>
      </c>
      <c r="C368" t="str">
        <f t="shared" si="127"/>
        <v>Second Class</v>
      </c>
      <c r="D368" t="str">
        <f t="shared" si="128"/>
        <v>Home Office</v>
      </c>
      <c r="E368" t="s">
        <v>24</v>
      </c>
      <c r="F368">
        <v>2</v>
      </c>
      <c r="G368">
        <v>0</v>
      </c>
      <c r="H368" s="2">
        <v>52.49</v>
      </c>
      <c r="I368" s="2">
        <v>104.98</v>
      </c>
    </row>
    <row r="369" spans="1:9" x14ac:dyDescent="0.3">
      <c r="A369" t="str">
        <f t="shared" si="112"/>
        <v>United States</v>
      </c>
      <c r="B369" t="s">
        <v>62</v>
      </c>
      <c r="C369" t="s">
        <v>22</v>
      </c>
      <c r="D369" t="s">
        <v>15</v>
      </c>
      <c r="E369" t="s">
        <v>16</v>
      </c>
      <c r="F369">
        <v>2</v>
      </c>
      <c r="G369">
        <v>0.2</v>
      </c>
      <c r="H369" s="2">
        <v>3.6288</v>
      </c>
      <c r="I369" s="2">
        <v>10.368000000000002</v>
      </c>
    </row>
    <row r="370" spans="1:9" x14ac:dyDescent="0.3">
      <c r="A370" t="str">
        <f t="shared" si="112"/>
        <v>United States</v>
      </c>
      <c r="B370" t="s">
        <v>63</v>
      </c>
      <c r="C370" t="s">
        <v>27</v>
      </c>
      <c r="D370" t="s">
        <v>15</v>
      </c>
      <c r="E370" t="s">
        <v>14</v>
      </c>
      <c r="F370">
        <v>2</v>
      </c>
      <c r="G370">
        <v>0.2</v>
      </c>
      <c r="H370" s="2">
        <v>0.95759999999999934</v>
      </c>
      <c r="I370" s="2">
        <v>12.768000000000001</v>
      </c>
    </row>
    <row r="371" spans="1:9" x14ac:dyDescent="0.3">
      <c r="A371" t="str">
        <f t="shared" si="112"/>
        <v>United States</v>
      </c>
      <c r="B371" t="str">
        <f t="shared" ref="B371:B373" si="129">B370</f>
        <v>Beaumont</v>
      </c>
      <c r="C371" t="s">
        <v>7</v>
      </c>
      <c r="D371" t="s">
        <v>8</v>
      </c>
      <c r="E371" t="s">
        <v>23</v>
      </c>
      <c r="F371">
        <v>7</v>
      </c>
      <c r="G371">
        <v>0.4</v>
      </c>
      <c r="H371" s="2">
        <v>77.993999999999986</v>
      </c>
      <c r="I371" s="2">
        <v>439.94400000000002</v>
      </c>
    </row>
    <row r="372" spans="1:9" x14ac:dyDescent="0.3">
      <c r="A372" t="str">
        <f t="shared" si="112"/>
        <v>United States</v>
      </c>
      <c r="B372" t="str">
        <f t="shared" si="129"/>
        <v>Beaumont</v>
      </c>
      <c r="C372" t="str">
        <f t="shared" ref="C372:C373" si="130">C371</f>
        <v>Second Class</v>
      </c>
      <c r="D372" t="str">
        <f t="shared" ref="D372:D373" si="131">D371</f>
        <v>Consumer</v>
      </c>
      <c r="E372" t="s">
        <v>20</v>
      </c>
      <c r="F372">
        <v>5</v>
      </c>
      <c r="G372">
        <v>0.8</v>
      </c>
      <c r="H372" s="2">
        <v>-17.248000000000008</v>
      </c>
      <c r="I372" s="2">
        <v>10.779999999999996</v>
      </c>
    </row>
    <row r="373" spans="1:9" x14ac:dyDescent="0.3">
      <c r="A373" t="str">
        <f t="shared" si="112"/>
        <v>United States</v>
      </c>
      <c r="B373" t="str">
        <f t="shared" si="129"/>
        <v>Beaumont</v>
      </c>
      <c r="C373" t="str">
        <f t="shared" si="130"/>
        <v>Second Class</v>
      </c>
      <c r="D373" t="str">
        <f t="shared" si="131"/>
        <v>Consumer</v>
      </c>
      <c r="E373" t="s">
        <v>21</v>
      </c>
      <c r="F373">
        <v>7</v>
      </c>
      <c r="G373">
        <v>0.6</v>
      </c>
      <c r="H373" s="2">
        <v>-2.5872000000000011</v>
      </c>
      <c r="I373" s="2">
        <v>8.6240000000000023</v>
      </c>
    </row>
    <row r="374" spans="1:9" x14ac:dyDescent="0.3">
      <c r="A374" t="str">
        <f t="shared" si="112"/>
        <v>United States</v>
      </c>
      <c r="B374" t="s">
        <v>64</v>
      </c>
      <c r="C374" t="s">
        <v>11</v>
      </c>
      <c r="D374" t="s">
        <v>15</v>
      </c>
      <c r="E374" t="s">
        <v>19</v>
      </c>
      <c r="F374">
        <v>7</v>
      </c>
      <c r="G374">
        <v>0.2</v>
      </c>
      <c r="H374" s="2">
        <v>2.8699999999999992</v>
      </c>
      <c r="I374" s="2">
        <v>9.1840000000000011</v>
      </c>
    </row>
    <row r="375" spans="1:9" x14ac:dyDescent="0.3">
      <c r="A375" t="str">
        <f t="shared" si="112"/>
        <v>United States</v>
      </c>
      <c r="B375" t="str">
        <f t="shared" ref="B375:B378" si="132">B374</f>
        <v>Bedford</v>
      </c>
      <c r="C375" t="str">
        <f t="shared" ref="C375:C377" si="133">C374</f>
        <v>First Class</v>
      </c>
      <c r="D375" t="str">
        <f t="shared" ref="D375:D377" si="134">D374</f>
        <v>Corporate</v>
      </c>
      <c r="E375" t="s">
        <v>20</v>
      </c>
      <c r="F375">
        <v>8</v>
      </c>
      <c r="G375">
        <v>0.8</v>
      </c>
      <c r="H375" s="2">
        <v>-22.512</v>
      </c>
      <c r="I375" s="2">
        <v>12.863999999999995</v>
      </c>
    </row>
    <row r="376" spans="1:9" x14ac:dyDescent="0.3">
      <c r="A376" t="str">
        <f t="shared" si="112"/>
        <v>United States</v>
      </c>
      <c r="B376" t="str">
        <f t="shared" si="132"/>
        <v>Bedford</v>
      </c>
      <c r="C376" t="str">
        <f t="shared" si="133"/>
        <v>First Class</v>
      </c>
      <c r="D376" t="str">
        <f t="shared" si="134"/>
        <v>Corporate</v>
      </c>
      <c r="E376" t="s">
        <v>16</v>
      </c>
      <c r="F376">
        <v>4</v>
      </c>
      <c r="G376">
        <v>0.2</v>
      </c>
      <c r="H376" s="2">
        <v>10.011599999999998</v>
      </c>
      <c r="I376" s="2">
        <v>29.664000000000001</v>
      </c>
    </row>
    <row r="377" spans="1:9" x14ac:dyDescent="0.3">
      <c r="A377" t="str">
        <f t="shared" si="112"/>
        <v>United States</v>
      </c>
      <c r="B377" t="str">
        <f t="shared" si="132"/>
        <v>Bedford</v>
      </c>
      <c r="C377" t="str">
        <f t="shared" si="133"/>
        <v>First Class</v>
      </c>
      <c r="D377" t="str">
        <f t="shared" si="134"/>
        <v>Corporate</v>
      </c>
      <c r="E377" t="s">
        <v>24</v>
      </c>
      <c r="F377">
        <v>2</v>
      </c>
      <c r="G377">
        <v>0.2</v>
      </c>
      <c r="H377" s="2">
        <v>13.438599999999994</v>
      </c>
      <c r="I377" s="2">
        <v>153.584</v>
      </c>
    </row>
    <row r="378" spans="1:9" x14ac:dyDescent="0.3">
      <c r="A378" t="str">
        <f t="shared" si="112"/>
        <v>United States</v>
      </c>
      <c r="B378" t="str">
        <f t="shared" si="132"/>
        <v>Bedford</v>
      </c>
      <c r="C378" t="s">
        <v>22</v>
      </c>
      <c r="D378" t="s">
        <v>17</v>
      </c>
      <c r="E378" t="s">
        <v>16</v>
      </c>
      <c r="F378">
        <v>4</v>
      </c>
      <c r="G378">
        <v>0.2</v>
      </c>
      <c r="H378" s="2">
        <v>6.8119999999999994</v>
      </c>
      <c r="I378" s="2">
        <v>20.96</v>
      </c>
    </row>
    <row r="379" spans="1:9" x14ac:dyDescent="0.3">
      <c r="A379" t="str">
        <f t="shared" si="112"/>
        <v>United States</v>
      </c>
      <c r="B379" t="s">
        <v>65</v>
      </c>
      <c r="C379" t="s">
        <v>22</v>
      </c>
      <c r="D379" t="s">
        <v>8</v>
      </c>
      <c r="E379" t="s">
        <v>23</v>
      </c>
      <c r="F379">
        <v>3</v>
      </c>
      <c r="G379">
        <v>0</v>
      </c>
      <c r="H379" s="2">
        <v>71.990999999999985</v>
      </c>
      <c r="I379" s="2">
        <v>239.96999999999997</v>
      </c>
    </row>
    <row r="380" spans="1:9" x14ac:dyDescent="0.3">
      <c r="A380" t="str">
        <f t="shared" si="112"/>
        <v>United States</v>
      </c>
      <c r="B380" t="str">
        <f t="shared" ref="B380:B386" si="135">B379</f>
        <v>Belleville</v>
      </c>
      <c r="C380" t="str">
        <f t="shared" ref="C380:C386" si="136">C379</f>
        <v>Standard Class</v>
      </c>
      <c r="D380" t="str">
        <f t="shared" ref="D380:D382" si="137">D379</f>
        <v>Consumer</v>
      </c>
      <c r="E380" t="s">
        <v>33</v>
      </c>
      <c r="F380">
        <v>2</v>
      </c>
      <c r="G380">
        <v>0</v>
      </c>
      <c r="H380" s="2">
        <v>36.473600000000005</v>
      </c>
      <c r="I380" s="2">
        <v>227.96</v>
      </c>
    </row>
    <row r="381" spans="1:9" x14ac:dyDescent="0.3">
      <c r="A381" t="str">
        <f t="shared" si="112"/>
        <v>United States</v>
      </c>
      <c r="B381" t="str">
        <f t="shared" si="135"/>
        <v>Belleville</v>
      </c>
      <c r="C381" t="str">
        <f t="shared" si="136"/>
        <v>Standard Class</v>
      </c>
      <c r="D381" t="str">
        <f t="shared" si="137"/>
        <v>Consumer</v>
      </c>
      <c r="E381" t="s">
        <v>43</v>
      </c>
      <c r="F381">
        <v>2</v>
      </c>
      <c r="G381">
        <v>0</v>
      </c>
      <c r="H381" s="2">
        <v>4.8117999999999999</v>
      </c>
      <c r="I381" s="2">
        <v>9.82</v>
      </c>
    </row>
    <row r="382" spans="1:9" x14ac:dyDescent="0.3">
      <c r="A382" t="str">
        <f t="shared" si="112"/>
        <v>United States</v>
      </c>
      <c r="B382" t="str">
        <f t="shared" si="135"/>
        <v>Belleville</v>
      </c>
      <c r="C382" t="str">
        <f t="shared" si="136"/>
        <v>Standard Class</v>
      </c>
      <c r="D382" t="str">
        <f t="shared" si="137"/>
        <v>Consumer</v>
      </c>
      <c r="E382" t="s">
        <v>16</v>
      </c>
      <c r="F382">
        <v>4</v>
      </c>
      <c r="G382">
        <v>0</v>
      </c>
      <c r="H382" s="2">
        <v>72.086399999999998</v>
      </c>
      <c r="I382" s="2">
        <v>150.17999999999998</v>
      </c>
    </row>
    <row r="383" spans="1:9" x14ac:dyDescent="0.3">
      <c r="A383" t="str">
        <f t="shared" si="112"/>
        <v>United States</v>
      </c>
      <c r="B383" t="str">
        <f t="shared" si="135"/>
        <v>Belleville</v>
      </c>
      <c r="C383" t="str">
        <f t="shared" si="136"/>
        <v>Standard Class</v>
      </c>
      <c r="D383" t="s">
        <v>15</v>
      </c>
      <c r="E383" t="s">
        <v>20</v>
      </c>
      <c r="F383">
        <v>1</v>
      </c>
      <c r="G383">
        <v>0</v>
      </c>
      <c r="H383" s="2">
        <v>6.5687999999999995</v>
      </c>
      <c r="I383" s="2">
        <v>14.28</v>
      </c>
    </row>
    <row r="384" spans="1:9" x14ac:dyDescent="0.3">
      <c r="A384" t="str">
        <f t="shared" si="112"/>
        <v>United States</v>
      </c>
      <c r="B384" t="str">
        <f t="shared" si="135"/>
        <v>Belleville</v>
      </c>
      <c r="C384" t="str">
        <f t="shared" si="136"/>
        <v>Standard Class</v>
      </c>
      <c r="D384" t="str">
        <f t="shared" ref="D384:D386" si="138">D383</f>
        <v>Corporate</v>
      </c>
      <c r="E384" t="s">
        <v>21</v>
      </c>
      <c r="F384">
        <v>4</v>
      </c>
      <c r="G384">
        <v>0</v>
      </c>
      <c r="H384" s="2">
        <v>38.023999999999994</v>
      </c>
      <c r="I384" s="2">
        <v>77.599999999999994</v>
      </c>
    </row>
    <row r="385" spans="1:9" x14ac:dyDescent="0.3">
      <c r="A385" t="str">
        <f t="shared" si="112"/>
        <v>United States</v>
      </c>
      <c r="B385" t="str">
        <f t="shared" si="135"/>
        <v>Belleville</v>
      </c>
      <c r="C385" t="str">
        <f t="shared" si="136"/>
        <v>Standard Class</v>
      </c>
      <c r="D385" t="str">
        <f t="shared" si="138"/>
        <v>Corporate</v>
      </c>
      <c r="E385" t="s">
        <v>16</v>
      </c>
      <c r="F385">
        <v>8</v>
      </c>
      <c r="G385">
        <v>0</v>
      </c>
      <c r="H385" s="2">
        <v>42.8688</v>
      </c>
      <c r="I385" s="2">
        <v>89.31</v>
      </c>
    </row>
    <row r="386" spans="1:9" x14ac:dyDescent="0.3">
      <c r="A386" t="str">
        <f t="shared" si="112"/>
        <v>United States</v>
      </c>
      <c r="B386" t="str">
        <f t="shared" si="135"/>
        <v>Belleville</v>
      </c>
      <c r="C386" t="str">
        <f t="shared" si="136"/>
        <v>Standard Class</v>
      </c>
      <c r="D386" t="str">
        <f t="shared" si="138"/>
        <v>Corporate</v>
      </c>
      <c r="E386" t="s">
        <v>14</v>
      </c>
      <c r="F386">
        <v>8</v>
      </c>
      <c r="G386">
        <v>0</v>
      </c>
      <c r="H386" s="2">
        <v>10.824800000000096</v>
      </c>
      <c r="I386" s="2">
        <v>1082.48</v>
      </c>
    </row>
    <row r="387" spans="1:9" x14ac:dyDescent="0.3">
      <c r="A387" t="str">
        <f t="shared" si="112"/>
        <v>United States</v>
      </c>
      <c r="B387" t="s">
        <v>66</v>
      </c>
      <c r="C387" t="s">
        <v>22</v>
      </c>
      <c r="D387" t="s">
        <v>8</v>
      </c>
      <c r="E387" t="s">
        <v>20</v>
      </c>
      <c r="F387">
        <v>9</v>
      </c>
      <c r="G387">
        <v>0.4</v>
      </c>
      <c r="H387" s="2">
        <v>13.804199999999998</v>
      </c>
      <c r="I387" s="2">
        <v>39.792000000000002</v>
      </c>
    </row>
    <row r="388" spans="1:9" x14ac:dyDescent="0.3">
      <c r="A388" t="str">
        <f t="shared" ref="A388:A451" si="139">A387</f>
        <v>United States</v>
      </c>
      <c r="B388" t="str">
        <f t="shared" ref="B388:B391" si="140">B387</f>
        <v>Bellevue</v>
      </c>
      <c r="C388" t="str">
        <f t="shared" ref="C388:C391" si="141">C387</f>
        <v>Standard Class</v>
      </c>
      <c r="D388" t="str">
        <f t="shared" ref="D388:D389" si="142">D387</f>
        <v>Consumer</v>
      </c>
      <c r="E388" t="s">
        <v>21</v>
      </c>
      <c r="F388">
        <v>1</v>
      </c>
      <c r="G388">
        <v>0</v>
      </c>
      <c r="H388" s="2">
        <v>7.8935999999999993</v>
      </c>
      <c r="I388" s="2">
        <v>20.239999999999998</v>
      </c>
    </row>
    <row r="389" spans="1:9" x14ac:dyDescent="0.3">
      <c r="A389" t="str">
        <f t="shared" si="139"/>
        <v>United States</v>
      </c>
      <c r="B389" t="str">
        <f t="shared" si="140"/>
        <v>Bellevue</v>
      </c>
      <c r="C389" t="str">
        <f t="shared" si="141"/>
        <v>Standard Class</v>
      </c>
      <c r="D389" t="str">
        <f t="shared" si="142"/>
        <v>Consumer</v>
      </c>
      <c r="E389" t="s">
        <v>16</v>
      </c>
      <c r="F389">
        <v>2</v>
      </c>
      <c r="G389">
        <v>0</v>
      </c>
      <c r="H389" s="2">
        <v>6.2208000000000006</v>
      </c>
      <c r="I389" s="2">
        <v>12.96</v>
      </c>
    </row>
    <row r="390" spans="1:9" x14ac:dyDescent="0.3">
      <c r="A390" t="str">
        <f t="shared" si="139"/>
        <v>United States</v>
      </c>
      <c r="B390" t="str">
        <f t="shared" si="140"/>
        <v>Bellevue</v>
      </c>
      <c r="C390" t="str">
        <f t="shared" si="141"/>
        <v>Standard Class</v>
      </c>
      <c r="D390" t="s">
        <v>15</v>
      </c>
      <c r="E390" t="s">
        <v>19</v>
      </c>
      <c r="F390">
        <v>3</v>
      </c>
      <c r="G390">
        <v>0</v>
      </c>
      <c r="H390" s="2">
        <v>1.5311999999999999</v>
      </c>
      <c r="I390" s="2">
        <v>5.28</v>
      </c>
    </row>
    <row r="391" spans="1:9" x14ac:dyDescent="0.3">
      <c r="A391" t="str">
        <f t="shared" si="139"/>
        <v>United States</v>
      </c>
      <c r="B391" t="str">
        <f t="shared" si="140"/>
        <v>Bellevue</v>
      </c>
      <c r="C391" t="str">
        <f t="shared" si="141"/>
        <v>Standard Class</v>
      </c>
      <c r="D391" t="s">
        <v>17</v>
      </c>
      <c r="E391" t="s">
        <v>9</v>
      </c>
      <c r="F391">
        <v>3</v>
      </c>
      <c r="G391">
        <v>0</v>
      </c>
      <c r="H391" s="2">
        <v>7.6049999999999978</v>
      </c>
      <c r="I391" s="2">
        <v>25.349999999999998</v>
      </c>
    </row>
    <row r="392" spans="1:9" x14ac:dyDescent="0.3">
      <c r="A392" t="str">
        <f t="shared" si="139"/>
        <v>United States</v>
      </c>
      <c r="B392" t="s">
        <v>67</v>
      </c>
      <c r="C392" t="s">
        <v>7</v>
      </c>
      <c r="D392" t="s">
        <v>8</v>
      </c>
      <c r="E392" t="s">
        <v>20</v>
      </c>
      <c r="F392">
        <v>5</v>
      </c>
      <c r="G392">
        <v>0.2</v>
      </c>
      <c r="H392" s="2">
        <v>7.8499999999999979</v>
      </c>
      <c r="I392" s="2">
        <v>25.120000000000005</v>
      </c>
    </row>
    <row r="393" spans="1:9" x14ac:dyDescent="0.3">
      <c r="A393" t="str">
        <f t="shared" si="139"/>
        <v>United States</v>
      </c>
      <c r="B393" t="str">
        <f t="shared" ref="B393:B394" si="143">B392</f>
        <v>Bellingham</v>
      </c>
      <c r="C393" t="str">
        <f>C392</f>
        <v>Second Class</v>
      </c>
      <c r="D393" t="str">
        <f>D392</f>
        <v>Consumer</v>
      </c>
      <c r="E393" t="s">
        <v>25</v>
      </c>
      <c r="F393">
        <v>9</v>
      </c>
      <c r="G393">
        <v>0</v>
      </c>
      <c r="H393" s="2">
        <v>239.90580000000011</v>
      </c>
      <c r="I393" s="2">
        <v>2665.62</v>
      </c>
    </row>
    <row r="394" spans="1:9" x14ac:dyDescent="0.3">
      <c r="A394" t="str">
        <f t="shared" si="139"/>
        <v>United States</v>
      </c>
      <c r="B394" t="str">
        <f t="shared" si="143"/>
        <v>Bellingham</v>
      </c>
      <c r="C394" t="s">
        <v>22</v>
      </c>
      <c r="D394" t="s">
        <v>15</v>
      </c>
      <c r="E394" t="s">
        <v>23</v>
      </c>
      <c r="F394">
        <v>10</v>
      </c>
      <c r="G394">
        <v>0</v>
      </c>
      <c r="H394" s="2">
        <v>362.83500000000004</v>
      </c>
      <c r="I394" s="2">
        <v>1099.5</v>
      </c>
    </row>
    <row r="395" spans="1:9" x14ac:dyDescent="0.3">
      <c r="A395" t="str">
        <f t="shared" si="139"/>
        <v>United States</v>
      </c>
      <c r="B395" t="s">
        <v>68</v>
      </c>
      <c r="C395" t="s">
        <v>11</v>
      </c>
      <c r="D395" t="s">
        <v>8</v>
      </c>
      <c r="E395" t="s">
        <v>12</v>
      </c>
      <c r="F395">
        <v>3</v>
      </c>
      <c r="G395">
        <v>0.2</v>
      </c>
      <c r="H395" s="2">
        <v>0.7110000000000003</v>
      </c>
      <c r="I395" s="2">
        <v>9.48</v>
      </c>
    </row>
    <row r="396" spans="1:9" x14ac:dyDescent="0.3">
      <c r="A396" t="str">
        <f t="shared" si="139"/>
        <v>United States</v>
      </c>
      <c r="B396" t="str">
        <f t="shared" ref="B396:B399" si="144">B395</f>
        <v>Bethlehem</v>
      </c>
      <c r="C396" t="str">
        <f t="shared" ref="C396:C397" si="145">C395</f>
        <v>First Class</v>
      </c>
      <c r="D396" t="str">
        <f t="shared" ref="D396:D397" si="146">D395</f>
        <v>Consumer</v>
      </c>
      <c r="E396" t="s">
        <v>20</v>
      </c>
      <c r="F396">
        <v>6</v>
      </c>
      <c r="G396">
        <v>0.7</v>
      </c>
      <c r="H396" s="2">
        <v>-913.17599999999993</v>
      </c>
      <c r="I396" s="2">
        <v>1369.7640000000001</v>
      </c>
    </row>
    <row r="397" spans="1:9" x14ac:dyDescent="0.3">
      <c r="A397" t="str">
        <f t="shared" si="139"/>
        <v>United States</v>
      </c>
      <c r="B397" t="str">
        <f t="shared" si="144"/>
        <v>Bethlehem</v>
      </c>
      <c r="C397" t="str">
        <f t="shared" si="145"/>
        <v>First Class</v>
      </c>
      <c r="D397" t="str">
        <f t="shared" si="146"/>
        <v>Consumer</v>
      </c>
      <c r="E397" t="s">
        <v>34</v>
      </c>
      <c r="F397">
        <v>5</v>
      </c>
      <c r="G397">
        <v>0.5</v>
      </c>
      <c r="H397" s="2">
        <v>-78.078000000000003</v>
      </c>
      <c r="I397" s="2">
        <v>177.45000000000002</v>
      </c>
    </row>
    <row r="398" spans="1:9" x14ac:dyDescent="0.3">
      <c r="A398" t="str">
        <f t="shared" si="139"/>
        <v>United States</v>
      </c>
      <c r="B398" t="str">
        <f t="shared" si="144"/>
        <v>Bethlehem</v>
      </c>
      <c r="C398" t="s">
        <v>7</v>
      </c>
      <c r="D398" t="s">
        <v>15</v>
      </c>
      <c r="E398" t="s">
        <v>33</v>
      </c>
      <c r="F398">
        <v>2</v>
      </c>
      <c r="G398">
        <v>0.3</v>
      </c>
      <c r="H398" s="2">
        <v>-7.0979999999999919</v>
      </c>
      <c r="I398" s="2">
        <v>99.372</v>
      </c>
    </row>
    <row r="399" spans="1:9" x14ac:dyDescent="0.3">
      <c r="A399" t="str">
        <f t="shared" si="139"/>
        <v>United States</v>
      </c>
      <c r="B399" t="str">
        <f t="shared" si="144"/>
        <v>Bethlehem</v>
      </c>
      <c r="C399" t="str">
        <f>C398</f>
        <v>Second Class</v>
      </c>
      <c r="D399" t="str">
        <f>D398</f>
        <v>Corporate</v>
      </c>
      <c r="E399" t="s">
        <v>21</v>
      </c>
      <c r="F399">
        <v>2</v>
      </c>
      <c r="G399">
        <v>0.2</v>
      </c>
      <c r="H399" s="2">
        <v>-5.4548000000000041</v>
      </c>
      <c r="I399" s="2">
        <v>33.568000000000005</v>
      </c>
    </row>
    <row r="400" spans="1:9" x14ac:dyDescent="0.3">
      <c r="A400" t="str">
        <f t="shared" si="139"/>
        <v>United States</v>
      </c>
      <c r="B400" t="s">
        <v>69</v>
      </c>
      <c r="C400" t="s">
        <v>22</v>
      </c>
      <c r="D400" t="s">
        <v>15</v>
      </c>
      <c r="E400" t="s">
        <v>12</v>
      </c>
      <c r="F400">
        <v>6</v>
      </c>
      <c r="G400">
        <v>0</v>
      </c>
      <c r="H400" s="2">
        <v>503.78219999999976</v>
      </c>
      <c r="I400" s="2">
        <v>1737.1799999999998</v>
      </c>
    </row>
    <row r="401" spans="1:9" x14ac:dyDescent="0.3">
      <c r="A401" t="str">
        <f t="shared" si="139"/>
        <v>United States</v>
      </c>
      <c r="B401" t="str">
        <f t="shared" ref="B401:B402" si="147">B400</f>
        <v>Beverly</v>
      </c>
      <c r="C401" t="str">
        <f t="shared" ref="C401:C402" si="148">C400</f>
        <v>Standard Class</v>
      </c>
      <c r="D401" t="str">
        <f t="shared" ref="D401:D402" si="149">D400</f>
        <v>Corporate</v>
      </c>
      <c r="E401" t="s">
        <v>16</v>
      </c>
      <c r="F401">
        <v>4</v>
      </c>
      <c r="G401">
        <v>0</v>
      </c>
      <c r="H401" s="2">
        <v>66.627199999999988</v>
      </c>
      <c r="I401" s="2">
        <v>141.76</v>
      </c>
    </row>
    <row r="402" spans="1:9" x14ac:dyDescent="0.3">
      <c r="A402" t="str">
        <f t="shared" si="139"/>
        <v>United States</v>
      </c>
      <c r="B402" t="str">
        <f t="shared" si="147"/>
        <v>Beverly</v>
      </c>
      <c r="C402" t="str">
        <f t="shared" si="148"/>
        <v>Standard Class</v>
      </c>
      <c r="D402" t="str">
        <f t="shared" si="149"/>
        <v>Corporate</v>
      </c>
      <c r="E402" t="s">
        <v>14</v>
      </c>
      <c r="F402">
        <v>5</v>
      </c>
      <c r="G402">
        <v>0</v>
      </c>
      <c r="H402" s="2">
        <v>84.51</v>
      </c>
      <c r="I402" s="2">
        <v>704.25</v>
      </c>
    </row>
    <row r="403" spans="1:9" x14ac:dyDescent="0.3">
      <c r="A403" t="str">
        <f t="shared" si="139"/>
        <v>United States</v>
      </c>
      <c r="B403" t="s">
        <v>70</v>
      </c>
      <c r="C403" t="s">
        <v>27</v>
      </c>
      <c r="D403" t="s">
        <v>15</v>
      </c>
      <c r="E403" t="s">
        <v>20</v>
      </c>
      <c r="F403">
        <v>2</v>
      </c>
      <c r="G403">
        <v>0.2</v>
      </c>
      <c r="H403" s="2">
        <v>2.6935999999999991</v>
      </c>
      <c r="I403" s="2">
        <v>8.2880000000000003</v>
      </c>
    </row>
    <row r="404" spans="1:9" x14ac:dyDescent="0.3">
      <c r="A404" t="str">
        <f t="shared" si="139"/>
        <v>United States</v>
      </c>
      <c r="B404" t="s">
        <v>71</v>
      </c>
      <c r="C404" t="s">
        <v>11</v>
      </c>
      <c r="D404" t="s">
        <v>15</v>
      </c>
      <c r="E404" t="s">
        <v>19</v>
      </c>
      <c r="F404">
        <v>4</v>
      </c>
      <c r="G404">
        <v>0.2</v>
      </c>
      <c r="H404" s="2">
        <v>5.4336000000000002</v>
      </c>
      <c r="I404" s="2">
        <v>54.336000000000006</v>
      </c>
    </row>
    <row r="405" spans="1:9" x14ac:dyDescent="0.3">
      <c r="A405" t="str">
        <f t="shared" si="139"/>
        <v>United States</v>
      </c>
      <c r="B405" t="str">
        <f t="shared" ref="B405:B417" si="150">B404</f>
        <v>Bloomington</v>
      </c>
      <c r="C405" t="s">
        <v>7</v>
      </c>
      <c r="D405" t="s">
        <v>8</v>
      </c>
      <c r="E405" t="s">
        <v>24</v>
      </c>
      <c r="F405">
        <v>3</v>
      </c>
      <c r="G405">
        <v>0</v>
      </c>
      <c r="H405" s="2">
        <v>37.757999999999996</v>
      </c>
      <c r="I405" s="2">
        <v>134.85000000000002</v>
      </c>
    </row>
    <row r="406" spans="1:9" x14ac:dyDescent="0.3">
      <c r="A406" t="str">
        <f t="shared" si="139"/>
        <v>United States</v>
      </c>
      <c r="B406" t="str">
        <f t="shared" si="150"/>
        <v>Bloomington</v>
      </c>
      <c r="C406" t="s">
        <v>22</v>
      </c>
      <c r="D406" t="s">
        <v>8</v>
      </c>
      <c r="E406" t="s">
        <v>23</v>
      </c>
      <c r="F406">
        <v>3</v>
      </c>
      <c r="G406">
        <v>0.2</v>
      </c>
      <c r="H406" s="2">
        <v>7.4654999999999987</v>
      </c>
      <c r="I406" s="2">
        <v>39.816000000000003</v>
      </c>
    </row>
    <row r="407" spans="1:9" x14ac:dyDescent="0.3">
      <c r="A407" t="str">
        <f t="shared" si="139"/>
        <v>United States</v>
      </c>
      <c r="B407" t="str">
        <f t="shared" si="150"/>
        <v>Bloomington</v>
      </c>
      <c r="C407" t="str">
        <f t="shared" ref="C407:C417" si="151">C406</f>
        <v>Standard Class</v>
      </c>
      <c r="D407" t="str">
        <f t="shared" ref="D407:D413" si="152">D406</f>
        <v>Consumer</v>
      </c>
      <c r="E407" t="s">
        <v>19</v>
      </c>
      <c r="F407">
        <v>5</v>
      </c>
      <c r="G407">
        <v>0.2</v>
      </c>
      <c r="H407" s="2">
        <v>1.4759999999999982</v>
      </c>
      <c r="I407" s="2">
        <v>13.120000000000001</v>
      </c>
    </row>
    <row r="408" spans="1:9" x14ac:dyDescent="0.3">
      <c r="A408" t="str">
        <f t="shared" si="139"/>
        <v>United States</v>
      </c>
      <c r="B408" t="str">
        <f t="shared" si="150"/>
        <v>Bloomington</v>
      </c>
      <c r="C408" t="str">
        <f t="shared" si="151"/>
        <v>Standard Class</v>
      </c>
      <c r="D408" t="str">
        <f t="shared" si="152"/>
        <v>Consumer</v>
      </c>
      <c r="E408" t="s">
        <v>20</v>
      </c>
      <c r="F408">
        <v>4</v>
      </c>
      <c r="G408">
        <v>0.8</v>
      </c>
      <c r="H408" s="2">
        <v>-7.7640000000000011</v>
      </c>
      <c r="I408" s="2">
        <v>5.1759999999999984</v>
      </c>
    </row>
    <row r="409" spans="1:9" x14ac:dyDescent="0.3">
      <c r="A409" t="str">
        <f t="shared" si="139"/>
        <v>United States</v>
      </c>
      <c r="B409" t="str">
        <f t="shared" si="150"/>
        <v>Bloomington</v>
      </c>
      <c r="C409" t="str">
        <f t="shared" si="151"/>
        <v>Standard Class</v>
      </c>
      <c r="D409" t="str">
        <f t="shared" si="152"/>
        <v>Consumer</v>
      </c>
      <c r="E409" t="s">
        <v>38</v>
      </c>
      <c r="F409">
        <v>2</v>
      </c>
      <c r="G409">
        <v>0.2</v>
      </c>
      <c r="H409" s="2">
        <v>4.4311999999999996</v>
      </c>
      <c r="I409" s="2">
        <v>12.224</v>
      </c>
    </row>
    <row r="410" spans="1:9" x14ac:dyDescent="0.3">
      <c r="A410" t="str">
        <f t="shared" si="139"/>
        <v>United States</v>
      </c>
      <c r="B410" t="str">
        <f t="shared" si="150"/>
        <v>Bloomington</v>
      </c>
      <c r="C410" t="str">
        <f t="shared" si="151"/>
        <v>Standard Class</v>
      </c>
      <c r="D410" t="str">
        <f t="shared" si="152"/>
        <v>Consumer</v>
      </c>
      <c r="E410" t="s">
        <v>21</v>
      </c>
      <c r="F410">
        <v>5</v>
      </c>
      <c r="G410">
        <v>0.6</v>
      </c>
      <c r="H410" s="2">
        <v>2.0142999999999915</v>
      </c>
      <c r="I410" s="2">
        <v>169.50199999999998</v>
      </c>
    </row>
    <row r="411" spans="1:9" x14ac:dyDescent="0.3">
      <c r="A411" t="str">
        <f t="shared" si="139"/>
        <v>United States</v>
      </c>
      <c r="B411" t="str">
        <f t="shared" si="150"/>
        <v>Bloomington</v>
      </c>
      <c r="C411" t="str">
        <f t="shared" si="151"/>
        <v>Standard Class</v>
      </c>
      <c r="D411" t="str">
        <f t="shared" si="152"/>
        <v>Consumer</v>
      </c>
      <c r="E411" t="s">
        <v>16</v>
      </c>
      <c r="F411">
        <v>5</v>
      </c>
      <c r="G411">
        <v>0</v>
      </c>
      <c r="H411" s="2">
        <v>15.552000000000001</v>
      </c>
      <c r="I411" s="2">
        <v>32.400000000000006</v>
      </c>
    </row>
    <row r="412" spans="1:9" x14ac:dyDescent="0.3">
      <c r="A412" t="str">
        <f t="shared" si="139"/>
        <v>United States</v>
      </c>
      <c r="B412" t="str">
        <f t="shared" si="150"/>
        <v>Bloomington</v>
      </c>
      <c r="C412" t="str">
        <f t="shared" si="151"/>
        <v>Standard Class</v>
      </c>
      <c r="D412" t="str">
        <f t="shared" si="152"/>
        <v>Consumer</v>
      </c>
      <c r="E412" t="s">
        <v>14</v>
      </c>
      <c r="F412">
        <v>1</v>
      </c>
      <c r="G412">
        <v>0.2</v>
      </c>
      <c r="H412" s="2">
        <v>-15.751400000000004</v>
      </c>
      <c r="I412" s="2">
        <v>180.01600000000002</v>
      </c>
    </row>
    <row r="413" spans="1:9" x14ac:dyDescent="0.3">
      <c r="A413" t="str">
        <f t="shared" si="139"/>
        <v>United States</v>
      </c>
      <c r="B413" t="str">
        <f t="shared" si="150"/>
        <v>Bloomington</v>
      </c>
      <c r="C413" t="str">
        <f t="shared" si="151"/>
        <v>Standard Class</v>
      </c>
      <c r="D413" t="str">
        <f t="shared" si="152"/>
        <v>Consumer</v>
      </c>
      <c r="E413" t="s">
        <v>25</v>
      </c>
      <c r="F413">
        <v>6</v>
      </c>
      <c r="G413">
        <v>0.5</v>
      </c>
      <c r="H413" s="2">
        <v>-407.68200000000013</v>
      </c>
      <c r="I413" s="2">
        <v>617.70000000000005</v>
      </c>
    </row>
    <row r="414" spans="1:9" x14ac:dyDescent="0.3">
      <c r="A414" t="str">
        <f t="shared" si="139"/>
        <v>United States</v>
      </c>
      <c r="B414" t="str">
        <f t="shared" si="150"/>
        <v>Bloomington</v>
      </c>
      <c r="C414" t="str">
        <f t="shared" si="151"/>
        <v>Standard Class</v>
      </c>
      <c r="D414" t="s">
        <v>17</v>
      </c>
      <c r="E414" t="s">
        <v>20</v>
      </c>
      <c r="F414">
        <v>4</v>
      </c>
      <c r="G414">
        <v>0</v>
      </c>
      <c r="H414" s="2">
        <v>14.268800000000001</v>
      </c>
      <c r="I414" s="2">
        <v>29.12</v>
      </c>
    </row>
    <row r="415" spans="1:9" x14ac:dyDescent="0.3">
      <c r="A415" t="str">
        <f t="shared" si="139"/>
        <v>United States</v>
      </c>
      <c r="B415" t="str">
        <f t="shared" si="150"/>
        <v>Bloomington</v>
      </c>
      <c r="C415" t="str">
        <f t="shared" si="151"/>
        <v>Standard Class</v>
      </c>
      <c r="D415" t="str">
        <f t="shared" ref="D415:D417" si="153">D414</f>
        <v>Home Office</v>
      </c>
      <c r="E415" t="s">
        <v>38</v>
      </c>
      <c r="F415">
        <v>5</v>
      </c>
      <c r="G415">
        <v>0</v>
      </c>
      <c r="H415" s="2">
        <v>36.824499999999993</v>
      </c>
      <c r="I415" s="2">
        <v>78.349999999999994</v>
      </c>
    </row>
    <row r="416" spans="1:9" x14ac:dyDescent="0.3">
      <c r="A416" t="str">
        <f t="shared" si="139"/>
        <v>United States</v>
      </c>
      <c r="B416" t="str">
        <f t="shared" si="150"/>
        <v>Bloomington</v>
      </c>
      <c r="C416" t="str">
        <f t="shared" si="151"/>
        <v>Standard Class</v>
      </c>
      <c r="D416" t="str">
        <f t="shared" si="153"/>
        <v>Home Office</v>
      </c>
      <c r="E416" t="s">
        <v>16</v>
      </c>
      <c r="F416">
        <v>6</v>
      </c>
      <c r="G416">
        <v>0</v>
      </c>
      <c r="H416" s="2">
        <v>14.256</v>
      </c>
      <c r="I416" s="2">
        <v>31.68</v>
      </c>
    </row>
    <row r="417" spans="1:9" x14ac:dyDescent="0.3">
      <c r="A417" t="str">
        <f t="shared" si="139"/>
        <v>United States</v>
      </c>
      <c r="B417" t="str">
        <f t="shared" si="150"/>
        <v>Bloomington</v>
      </c>
      <c r="C417" t="str">
        <f t="shared" si="151"/>
        <v>Standard Class</v>
      </c>
      <c r="D417" t="str">
        <f t="shared" si="153"/>
        <v>Home Office</v>
      </c>
      <c r="E417" t="s">
        <v>14</v>
      </c>
      <c r="F417">
        <v>5</v>
      </c>
      <c r="G417">
        <v>0</v>
      </c>
      <c r="H417" s="2">
        <v>42.362499999999997</v>
      </c>
      <c r="I417" s="2">
        <v>169.45</v>
      </c>
    </row>
    <row r="418" spans="1:9" x14ac:dyDescent="0.3">
      <c r="A418" t="str">
        <f t="shared" si="139"/>
        <v>United States</v>
      </c>
      <c r="B418" t="s">
        <v>72</v>
      </c>
      <c r="C418" t="s">
        <v>11</v>
      </c>
      <c r="D418" t="s">
        <v>8</v>
      </c>
      <c r="E418" t="s">
        <v>23</v>
      </c>
      <c r="F418">
        <v>2</v>
      </c>
      <c r="G418">
        <v>0.2</v>
      </c>
      <c r="H418" s="2">
        <v>2.3079999999999998</v>
      </c>
      <c r="I418" s="2">
        <v>18.463999999999999</v>
      </c>
    </row>
    <row r="419" spans="1:9" x14ac:dyDescent="0.3">
      <c r="A419" t="str">
        <f t="shared" si="139"/>
        <v>United States</v>
      </c>
      <c r="B419" t="str">
        <f t="shared" ref="B419:B420" si="154">B418</f>
        <v>Boca Raton</v>
      </c>
      <c r="C419" t="str">
        <f>C418</f>
        <v>First Class</v>
      </c>
      <c r="D419" t="str">
        <f>D418</f>
        <v>Consumer</v>
      </c>
      <c r="E419" t="s">
        <v>20</v>
      </c>
      <c r="F419">
        <v>4</v>
      </c>
      <c r="G419">
        <v>0.7</v>
      </c>
      <c r="H419" s="2">
        <v>-26.623999999999995</v>
      </c>
      <c r="I419" s="2">
        <v>39.936000000000007</v>
      </c>
    </row>
    <row r="420" spans="1:9" x14ac:dyDescent="0.3">
      <c r="A420" t="str">
        <f t="shared" si="139"/>
        <v>United States</v>
      </c>
      <c r="B420" t="str">
        <f t="shared" si="154"/>
        <v>Boca Raton</v>
      </c>
      <c r="C420" t="s">
        <v>7</v>
      </c>
      <c r="D420" t="s">
        <v>8</v>
      </c>
      <c r="E420" t="s">
        <v>43</v>
      </c>
      <c r="F420">
        <v>2</v>
      </c>
      <c r="G420">
        <v>0.2</v>
      </c>
      <c r="H420" s="2">
        <v>1.6704000000000001</v>
      </c>
      <c r="I420" s="2">
        <v>4.6079999999999997</v>
      </c>
    </row>
    <row r="421" spans="1:9" x14ac:dyDescent="0.3">
      <c r="A421" t="str">
        <f t="shared" si="139"/>
        <v>United States</v>
      </c>
      <c r="B421" t="s">
        <v>73</v>
      </c>
      <c r="C421" t="s">
        <v>11</v>
      </c>
      <c r="D421" t="s">
        <v>8</v>
      </c>
      <c r="E421" t="s">
        <v>23</v>
      </c>
      <c r="F421">
        <v>3</v>
      </c>
      <c r="G421">
        <v>0</v>
      </c>
      <c r="H421" s="2">
        <v>37.787400000000005</v>
      </c>
      <c r="I421" s="2">
        <v>89.97</v>
      </c>
    </row>
    <row r="422" spans="1:9" x14ac:dyDescent="0.3">
      <c r="A422" t="str">
        <f t="shared" si="139"/>
        <v>United States</v>
      </c>
      <c r="B422" t="str">
        <f t="shared" ref="B422:B424" si="155">B421</f>
        <v>Boise</v>
      </c>
      <c r="C422" t="s">
        <v>22</v>
      </c>
      <c r="D422" t="s">
        <v>15</v>
      </c>
      <c r="E422" t="s">
        <v>20</v>
      </c>
      <c r="F422">
        <v>1</v>
      </c>
      <c r="G422">
        <v>0.2</v>
      </c>
      <c r="H422" s="2">
        <v>1.1151</v>
      </c>
      <c r="I422" s="2">
        <v>3.3040000000000003</v>
      </c>
    </row>
    <row r="423" spans="1:9" x14ac:dyDescent="0.3">
      <c r="A423" t="str">
        <f t="shared" si="139"/>
        <v>United States</v>
      </c>
      <c r="B423" t="str">
        <f t="shared" si="155"/>
        <v>Boise</v>
      </c>
      <c r="C423" t="str">
        <f t="shared" ref="C423:C424" si="156">C422</f>
        <v>Standard Class</v>
      </c>
      <c r="D423" t="str">
        <f t="shared" ref="D423:D424" si="157">D422</f>
        <v>Corporate</v>
      </c>
      <c r="E423" t="s">
        <v>24</v>
      </c>
      <c r="F423">
        <v>3</v>
      </c>
      <c r="G423">
        <v>0.2</v>
      </c>
      <c r="H423" s="2">
        <v>22.858199999999982</v>
      </c>
      <c r="I423" s="2">
        <v>304.77600000000001</v>
      </c>
    </row>
    <row r="424" spans="1:9" x14ac:dyDescent="0.3">
      <c r="A424" t="str">
        <f t="shared" si="139"/>
        <v>United States</v>
      </c>
      <c r="B424" t="str">
        <f t="shared" si="155"/>
        <v>Boise</v>
      </c>
      <c r="C424" t="str">
        <f t="shared" si="156"/>
        <v>Standard Class</v>
      </c>
      <c r="D424" t="str">
        <f t="shared" si="157"/>
        <v>Corporate</v>
      </c>
      <c r="E424" t="s">
        <v>25</v>
      </c>
      <c r="F424">
        <v>2</v>
      </c>
      <c r="G424">
        <v>0</v>
      </c>
      <c r="H424" s="2">
        <v>160.17660000000001</v>
      </c>
      <c r="I424" s="2">
        <v>696.42</v>
      </c>
    </row>
    <row r="425" spans="1:9" x14ac:dyDescent="0.3">
      <c r="A425" t="str">
        <f t="shared" si="139"/>
        <v>United States</v>
      </c>
      <c r="B425" t="s">
        <v>74</v>
      </c>
      <c r="C425" t="s">
        <v>27</v>
      </c>
      <c r="D425" t="s">
        <v>8</v>
      </c>
      <c r="E425" t="s">
        <v>12</v>
      </c>
      <c r="F425">
        <v>2</v>
      </c>
      <c r="G425">
        <v>0.8</v>
      </c>
      <c r="H425" s="2">
        <v>-13.554800000000004</v>
      </c>
      <c r="I425" s="2">
        <v>5.7679999999999989</v>
      </c>
    </row>
    <row r="426" spans="1:9" x14ac:dyDescent="0.3">
      <c r="A426" t="str">
        <f t="shared" si="139"/>
        <v>United States</v>
      </c>
      <c r="B426" t="str">
        <f t="shared" ref="B426:B430" si="158">B425</f>
        <v>Bolingbrook</v>
      </c>
      <c r="C426" t="str">
        <f t="shared" ref="C426:C428" si="159">C425</f>
        <v>Same Day</v>
      </c>
      <c r="D426" t="str">
        <f t="shared" ref="D426:D428" si="160">D425</f>
        <v>Consumer</v>
      </c>
      <c r="E426" t="s">
        <v>18</v>
      </c>
      <c r="F426">
        <v>8</v>
      </c>
      <c r="G426">
        <v>0.2</v>
      </c>
      <c r="H426" s="2">
        <v>2.2559999999999993</v>
      </c>
      <c r="I426" s="2">
        <v>12.032</v>
      </c>
    </row>
    <row r="427" spans="1:9" x14ac:dyDescent="0.3">
      <c r="A427" t="str">
        <f t="shared" si="139"/>
        <v>United States</v>
      </c>
      <c r="B427" t="str">
        <f t="shared" si="158"/>
        <v>Bolingbrook</v>
      </c>
      <c r="C427" t="str">
        <f t="shared" si="159"/>
        <v>Same Day</v>
      </c>
      <c r="D427" t="str">
        <f t="shared" si="160"/>
        <v>Consumer</v>
      </c>
      <c r="E427" t="s">
        <v>16</v>
      </c>
      <c r="F427">
        <v>2</v>
      </c>
      <c r="G427">
        <v>0.2</v>
      </c>
      <c r="H427" s="2">
        <v>3.6288</v>
      </c>
      <c r="I427" s="2">
        <v>10.368000000000002</v>
      </c>
    </row>
    <row r="428" spans="1:9" x14ac:dyDescent="0.3">
      <c r="A428" t="str">
        <f t="shared" si="139"/>
        <v>United States</v>
      </c>
      <c r="B428" t="str">
        <f t="shared" si="158"/>
        <v>Bolingbrook</v>
      </c>
      <c r="C428" t="str">
        <f t="shared" si="159"/>
        <v>Same Day</v>
      </c>
      <c r="D428" t="str">
        <f t="shared" si="160"/>
        <v>Consumer</v>
      </c>
      <c r="E428" t="s">
        <v>9</v>
      </c>
      <c r="F428">
        <v>4</v>
      </c>
      <c r="G428">
        <v>0.2</v>
      </c>
      <c r="H428" s="2">
        <v>2.7719999999999994</v>
      </c>
      <c r="I428" s="2">
        <v>31.680000000000003</v>
      </c>
    </row>
    <row r="429" spans="1:9" x14ac:dyDescent="0.3">
      <c r="A429" t="str">
        <f t="shared" si="139"/>
        <v>United States</v>
      </c>
      <c r="B429" t="str">
        <f t="shared" si="158"/>
        <v>Bolingbrook</v>
      </c>
      <c r="C429" t="s">
        <v>22</v>
      </c>
      <c r="D429" t="s">
        <v>8</v>
      </c>
      <c r="E429" t="s">
        <v>24</v>
      </c>
      <c r="F429">
        <v>2</v>
      </c>
      <c r="G429">
        <v>0.2</v>
      </c>
      <c r="H429" s="2">
        <v>16.703999999999986</v>
      </c>
      <c r="I429" s="2">
        <v>148.47999999999999</v>
      </c>
    </row>
    <row r="430" spans="1:9" x14ac:dyDescent="0.3">
      <c r="A430" t="str">
        <f t="shared" si="139"/>
        <v>United States</v>
      </c>
      <c r="B430" t="str">
        <f t="shared" si="158"/>
        <v>Bolingbrook</v>
      </c>
      <c r="C430" t="str">
        <f>C429</f>
        <v>Standard Class</v>
      </c>
      <c r="D430" t="s">
        <v>17</v>
      </c>
      <c r="E430" t="s">
        <v>20</v>
      </c>
      <c r="F430">
        <v>5</v>
      </c>
      <c r="G430">
        <v>0.8</v>
      </c>
      <c r="H430" s="2">
        <v>-16.467000000000002</v>
      </c>
      <c r="I430" s="2">
        <v>9.9799999999999969</v>
      </c>
    </row>
    <row r="431" spans="1:9" x14ac:dyDescent="0.3">
      <c r="A431" t="str">
        <f t="shared" si="139"/>
        <v>United States</v>
      </c>
      <c r="B431" t="s">
        <v>75</v>
      </c>
      <c r="C431" t="s">
        <v>7</v>
      </c>
      <c r="D431" t="s">
        <v>15</v>
      </c>
      <c r="E431" t="s">
        <v>23</v>
      </c>
      <c r="F431">
        <v>6</v>
      </c>
      <c r="G431">
        <v>0</v>
      </c>
      <c r="H431" s="2">
        <v>258.69600000000003</v>
      </c>
      <c r="I431" s="2">
        <v>646.74</v>
      </c>
    </row>
    <row r="432" spans="1:9" x14ac:dyDescent="0.3">
      <c r="A432" t="str">
        <f t="shared" si="139"/>
        <v>United States</v>
      </c>
      <c r="B432" t="str">
        <f t="shared" ref="B432:B435" si="161">B431</f>
        <v>Bossier City</v>
      </c>
      <c r="C432" t="str">
        <f t="shared" ref="C432:C434" si="162">C431</f>
        <v>Second Class</v>
      </c>
      <c r="D432" t="str">
        <f t="shared" ref="D432:D434" si="163">D431</f>
        <v>Corporate</v>
      </c>
      <c r="E432" t="s">
        <v>20</v>
      </c>
      <c r="F432">
        <v>3</v>
      </c>
      <c r="G432">
        <v>0</v>
      </c>
      <c r="H432" s="2">
        <v>2.7071999999999994</v>
      </c>
      <c r="I432" s="2">
        <v>5.64</v>
      </c>
    </row>
    <row r="433" spans="1:9" x14ac:dyDescent="0.3">
      <c r="A433" t="str">
        <f t="shared" si="139"/>
        <v>United States</v>
      </c>
      <c r="B433" t="str">
        <f t="shared" si="161"/>
        <v>Bossier City</v>
      </c>
      <c r="C433" t="str">
        <f t="shared" si="162"/>
        <v>Second Class</v>
      </c>
      <c r="D433" t="str">
        <f t="shared" si="163"/>
        <v>Corporate</v>
      </c>
      <c r="E433" t="s">
        <v>38</v>
      </c>
      <c r="F433">
        <v>5</v>
      </c>
      <c r="G433">
        <v>0</v>
      </c>
      <c r="H433" s="2">
        <v>30.809199999999997</v>
      </c>
      <c r="I433" s="2">
        <v>62.3</v>
      </c>
    </row>
    <row r="434" spans="1:9" x14ac:dyDescent="0.3">
      <c r="A434" t="str">
        <f t="shared" si="139"/>
        <v>United States</v>
      </c>
      <c r="B434" t="str">
        <f t="shared" si="161"/>
        <v>Bossier City</v>
      </c>
      <c r="C434" t="str">
        <f t="shared" si="162"/>
        <v>Second Class</v>
      </c>
      <c r="D434" t="str">
        <f t="shared" si="163"/>
        <v>Corporate</v>
      </c>
      <c r="E434" t="s">
        <v>14</v>
      </c>
      <c r="F434">
        <v>6</v>
      </c>
      <c r="G434">
        <v>0</v>
      </c>
      <c r="H434" s="2">
        <v>34.354799999999955</v>
      </c>
      <c r="I434" s="2">
        <v>572.58000000000004</v>
      </c>
    </row>
    <row r="435" spans="1:9" x14ac:dyDescent="0.3">
      <c r="A435" t="str">
        <f t="shared" si="139"/>
        <v>United States</v>
      </c>
      <c r="B435" t="str">
        <f t="shared" si="161"/>
        <v>Bossier City</v>
      </c>
      <c r="C435" t="s">
        <v>22</v>
      </c>
      <c r="D435" t="s">
        <v>15</v>
      </c>
      <c r="E435" t="s">
        <v>21</v>
      </c>
      <c r="F435">
        <v>4</v>
      </c>
      <c r="G435">
        <v>0</v>
      </c>
      <c r="H435" s="2">
        <v>10.393599999999992</v>
      </c>
      <c r="I435" s="2">
        <v>129.91999999999999</v>
      </c>
    </row>
    <row r="436" spans="1:9" x14ac:dyDescent="0.3">
      <c r="A436" t="str">
        <f t="shared" si="139"/>
        <v>United States</v>
      </c>
      <c r="B436" t="s">
        <v>76</v>
      </c>
      <c r="C436" t="s">
        <v>11</v>
      </c>
      <c r="D436" t="s">
        <v>8</v>
      </c>
      <c r="E436" t="s">
        <v>23</v>
      </c>
      <c r="F436">
        <v>4</v>
      </c>
      <c r="G436">
        <v>0</v>
      </c>
      <c r="H436" s="2">
        <v>27.689999999999998</v>
      </c>
      <c r="I436" s="2">
        <v>71</v>
      </c>
    </row>
    <row r="437" spans="1:9" x14ac:dyDescent="0.3">
      <c r="A437" t="str">
        <f t="shared" si="139"/>
        <v>United States</v>
      </c>
      <c r="B437" t="str">
        <f t="shared" ref="B437:B445" si="164">B436</f>
        <v>Bowling Green</v>
      </c>
      <c r="C437" t="s">
        <v>7</v>
      </c>
      <c r="D437" t="s">
        <v>8</v>
      </c>
      <c r="E437" t="s">
        <v>43</v>
      </c>
      <c r="F437">
        <v>3</v>
      </c>
      <c r="G437">
        <v>0.2</v>
      </c>
      <c r="H437" s="2">
        <v>2.5056000000000003</v>
      </c>
      <c r="I437" s="2">
        <v>6.911999999999999</v>
      </c>
    </row>
    <row r="438" spans="1:9" x14ac:dyDescent="0.3">
      <c r="A438" t="str">
        <f t="shared" si="139"/>
        <v>United States</v>
      </c>
      <c r="B438" t="str">
        <f t="shared" si="164"/>
        <v>Bowling Green</v>
      </c>
      <c r="C438" t="str">
        <f t="shared" ref="C438:C439" si="165">C437</f>
        <v>Second Class</v>
      </c>
      <c r="D438" t="str">
        <f t="shared" ref="D438:D439" si="166">D437</f>
        <v>Consumer</v>
      </c>
      <c r="E438" t="s">
        <v>24</v>
      </c>
      <c r="F438">
        <v>3</v>
      </c>
      <c r="G438">
        <v>0.4</v>
      </c>
      <c r="H438" s="2">
        <v>4.0472999999999999</v>
      </c>
      <c r="I438" s="2">
        <v>26.981999999999999</v>
      </c>
    </row>
    <row r="439" spans="1:9" x14ac:dyDescent="0.3">
      <c r="A439" t="str">
        <f t="shared" si="139"/>
        <v>United States</v>
      </c>
      <c r="B439" t="str">
        <f t="shared" si="164"/>
        <v>Bowling Green</v>
      </c>
      <c r="C439" t="str">
        <f t="shared" si="165"/>
        <v>Second Class</v>
      </c>
      <c r="D439" t="str">
        <f t="shared" si="166"/>
        <v>Consumer</v>
      </c>
      <c r="E439" t="s">
        <v>14</v>
      </c>
      <c r="F439">
        <v>3</v>
      </c>
      <c r="G439">
        <v>0.2</v>
      </c>
      <c r="H439" s="2">
        <v>48.994199999999921</v>
      </c>
      <c r="I439" s="2">
        <v>435.50400000000002</v>
      </c>
    </row>
    <row r="440" spans="1:9" x14ac:dyDescent="0.3">
      <c r="A440" t="str">
        <f t="shared" si="139"/>
        <v>United States</v>
      </c>
      <c r="B440" t="str">
        <f t="shared" si="164"/>
        <v>Bowling Green</v>
      </c>
      <c r="C440" t="s">
        <v>22</v>
      </c>
      <c r="D440" t="s">
        <v>8</v>
      </c>
      <c r="E440" t="s">
        <v>20</v>
      </c>
      <c r="F440">
        <v>3</v>
      </c>
      <c r="G440">
        <v>0.7</v>
      </c>
      <c r="H440" s="2">
        <v>-4.0722000000000023</v>
      </c>
      <c r="I440" s="2">
        <v>5.5530000000000008</v>
      </c>
    </row>
    <row r="441" spans="1:9" x14ac:dyDescent="0.3">
      <c r="A441" t="str">
        <f t="shared" si="139"/>
        <v>United States</v>
      </c>
      <c r="B441" t="str">
        <f t="shared" si="164"/>
        <v>Bowling Green</v>
      </c>
      <c r="C441" t="str">
        <f t="shared" ref="C441:C445" si="167">C440</f>
        <v>Standard Class</v>
      </c>
      <c r="D441" t="str">
        <f>D440</f>
        <v>Consumer</v>
      </c>
      <c r="E441" t="s">
        <v>14</v>
      </c>
      <c r="F441">
        <v>2</v>
      </c>
      <c r="G441">
        <v>0.2</v>
      </c>
      <c r="H441" s="2">
        <v>19.823999999999998</v>
      </c>
      <c r="I441" s="2">
        <v>264.32</v>
      </c>
    </row>
    <row r="442" spans="1:9" x14ac:dyDescent="0.3">
      <c r="A442" t="str">
        <f t="shared" si="139"/>
        <v>United States</v>
      </c>
      <c r="B442" t="str">
        <f t="shared" si="164"/>
        <v>Bowling Green</v>
      </c>
      <c r="C442" t="str">
        <f t="shared" si="167"/>
        <v>Standard Class</v>
      </c>
      <c r="D442" t="s">
        <v>15</v>
      </c>
      <c r="E442" t="s">
        <v>23</v>
      </c>
      <c r="F442">
        <v>5</v>
      </c>
      <c r="G442">
        <v>0.2</v>
      </c>
      <c r="H442" s="2">
        <v>-1.7495000000000118</v>
      </c>
      <c r="I442" s="2">
        <v>139.96000000000004</v>
      </c>
    </row>
    <row r="443" spans="1:9" x14ac:dyDescent="0.3">
      <c r="A443" t="str">
        <f t="shared" si="139"/>
        <v>United States</v>
      </c>
      <c r="B443" t="str">
        <f t="shared" si="164"/>
        <v>Bowling Green</v>
      </c>
      <c r="C443" t="str">
        <f t="shared" si="167"/>
        <v>Standard Class</v>
      </c>
      <c r="D443" t="str">
        <f t="shared" ref="D443:D445" si="168">D442</f>
        <v>Corporate</v>
      </c>
      <c r="E443" t="s">
        <v>19</v>
      </c>
      <c r="F443">
        <v>3</v>
      </c>
      <c r="G443">
        <v>0.2</v>
      </c>
      <c r="H443" s="2">
        <v>5.3969999999999914</v>
      </c>
      <c r="I443" s="2">
        <v>86.352000000000004</v>
      </c>
    </row>
    <row r="444" spans="1:9" x14ac:dyDescent="0.3">
      <c r="A444" t="str">
        <f t="shared" si="139"/>
        <v>United States</v>
      </c>
      <c r="B444" t="str">
        <f t="shared" si="164"/>
        <v>Bowling Green</v>
      </c>
      <c r="C444" t="str">
        <f t="shared" si="167"/>
        <v>Standard Class</v>
      </c>
      <c r="D444" t="str">
        <f t="shared" si="168"/>
        <v>Corporate</v>
      </c>
      <c r="E444" t="s">
        <v>33</v>
      </c>
      <c r="F444">
        <v>1</v>
      </c>
      <c r="G444">
        <v>0</v>
      </c>
      <c r="H444" s="2">
        <v>39.4268</v>
      </c>
      <c r="I444" s="2">
        <v>140.81</v>
      </c>
    </row>
    <row r="445" spans="1:9" x14ac:dyDescent="0.3">
      <c r="A445" t="str">
        <f t="shared" si="139"/>
        <v>United States</v>
      </c>
      <c r="B445" t="str">
        <f t="shared" si="164"/>
        <v>Bowling Green</v>
      </c>
      <c r="C445" t="str">
        <f t="shared" si="167"/>
        <v>Standard Class</v>
      </c>
      <c r="D445" t="str">
        <f t="shared" si="168"/>
        <v>Corporate</v>
      </c>
      <c r="E445" t="s">
        <v>45</v>
      </c>
      <c r="F445">
        <v>3</v>
      </c>
      <c r="G445">
        <v>0.4</v>
      </c>
      <c r="H445" s="2">
        <v>74.998499999999922</v>
      </c>
      <c r="I445" s="2">
        <v>899.98199999999997</v>
      </c>
    </row>
    <row r="446" spans="1:9" x14ac:dyDescent="0.3">
      <c r="A446" t="str">
        <f t="shared" si="139"/>
        <v>United States</v>
      </c>
      <c r="B446" t="s">
        <v>77</v>
      </c>
      <c r="C446" t="s">
        <v>27</v>
      </c>
      <c r="D446" t="s">
        <v>8</v>
      </c>
      <c r="E446" t="s">
        <v>20</v>
      </c>
      <c r="F446">
        <v>5</v>
      </c>
      <c r="G446">
        <v>0.7</v>
      </c>
      <c r="H446" s="2">
        <v>-29.940000000000012</v>
      </c>
      <c r="I446" s="2">
        <v>37.425000000000004</v>
      </c>
    </row>
    <row r="447" spans="1:9" x14ac:dyDescent="0.3">
      <c r="A447" t="str">
        <f t="shared" si="139"/>
        <v>United States</v>
      </c>
      <c r="B447" t="str">
        <f t="shared" ref="B447:B451" si="169">B446</f>
        <v>Boynton Beach</v>
      </c>
      <c r="C447" t="str">
        <f>C446</f>
        <v>Same Day</v>
      </c>
      <c r="D447" t="str">
        <f>D446</f>
        <v>Consumer</v>
      </c>
      <c r="E447" t="s">
        <v>21</v>
      </c>
      <c r="F447">
        <v>8</v>
      </c>
      <c r="G447">
        <v>0.60000000000000009</v>
      </c>
      <c r="H447" s="2">
        <v>55.048200000000008</v>
      </c>
      <c r="I447" s="2">
        <v>276.96800000000002</v>
      </c>
    </row>
    <row r="448" spans="1:9" x14ac:dyDescent="0.3">
      <c r="A448" t="str">
        <f t="shared" si="139"/>
        <v>United States</v>
      </c>
      <c r="B448" t="str">
        <f t="shared" si="169"/>
        <v>Boynton Beach</v>
      </c>
      <c r="C448" t="s">
        <v>22</v>
      </c>
      <c r="D448" t="s">
        <v>8</v>
      </c>
      <c r="E448" t="s">
        <v>33</v>
      </c>
      <c r="F448">
        <v>2</v>
      </c>
      <c r="G448">
        <v>0.2</v>
      </c>
      <c r="H448" s="2">
        <v>6.0740000000000016</v>
      </c>
      <c r="I448" s="2">
        <v>97.184000000000012</v>
      </c>
    </row>
    <row r="449" spans="1:9" x14ac:dyDescent="0.3">
      <c r="A449" t="str">
        <f t="shared" si="139"/>
        <v>United States</v>
      </c>
      <c r="B449" t="str">
        <f t="shared" si="169"/>
        <v>Boynton Beach</v>
      </c>
      <c r="C449" t="str">
        <f t="shared" ref="C449:C451" si="170">C448</f>
        <v>Standard Class</v>
      </c>
      <c r="D449" t="str">
        <f>D448</f>
        <v>Consumer</v>
      </c>
      <c r="E449" t="s">
        <v>16</v>
      </c>
      <c r="F449">
        <v>5</v>
      </c>
      <c r="G449">
        <v>0.4</v>
      </c>
      <c r="H449" s="2">
        <v>9.0719999999999992</v>
      </c>
      <c r="I449" s="2">
        <v>25.920000000000005</v>
      </c>
    </row>
    <row r="450" spans="1:9" x14ac:dyDescent="0.3">
      <c r="A450" t="str">
        <f t="shared" si="139"/>
        <v>United States</v>
      </c>
      <c r="B450" t="str">
        <f t="shared" si="169"/>
        <v>Boynton Beach</v>
      </c>
      <c r="C450" t="str">
        <f t="shared" si="170"/>
        <v>Standard Class</v>
      </c>
      <c r="D450" t="s">
        <v>17</v>
      </c>
      <c r="E450" t="s">
        <v>19</v>
      </c>
      <c r="F450">
        <v>3</v>
      </c>
      <c r="G450">
        <v>0.2</v>
      </c>
      <c r="H450" s="2">
        <v>4.8524999999999991</v>
      </c>
      <c r="I450" s="2">
        <v>15.528</v>
      </c>
    </row>
    <row r="451" spans="1:9" x14ac:dyDescent="0.3">
      <c r="A451" t="str">
        <f t="shared" si="139"/>
        <v>United States</v>
      </c>
      <c r="B451" t="str">
        <f t="shared" si="169"/>
        <v>Boynton Beach</v>
      </c>
      <c r="C451" t="str">
        <f t="shared" si="170"/>
        <v>Standard Class</v>
      </c>
      <c r="D451" t="str">
        <f>D450</f>
        <v>Home Office</v>
      </c>
      <c r="E451" t="s">
        <v>43</v>
      </c>
      <c r="F451">
        <v>5</v>
      </c>
      <c r="G451">
        <v>0.4</v>
      </c>
      <c r="H451" s="2">
        <v>5.5547999999999993</v>
      </c>
      <c r="I451" s="2">
        <v>16.560000000000002</v>
      </c>
    </row>
    <row r="452" spans="1:9" x14ac:dyDescent="0.3">
      <c r="A452" t="str">
        <f t="shared" ref="A452:A515" si="171">A451</f>
        <v>United States</v>
      </c>
      <c r="B452" t="s">
        <v>78</v>
      </c>
      <c r="C452" t="s">
        <v>22</v>
      </c>
      <c r="D452" t="s">
        <v>17</v>
      </c>
      <c r="E452" t="s">
        <v>43</v>
      </c>
      <c r="F452">
        <v>2</v>
      </c>
      <c r="G452">
        <v>0</v>
      </c>
      <c r="H452" s="2">
        <v>6.8713999999999995</v>
      </c>
      <c r="I452" s="2">
        <v>14.62</v>
      </c>
    </row>
    <row r="453" spans="1:9" x14ac:dyDescent="0.3">
      <c r="A453" t="str">
        <f t="shared" si="171"/>
        <v>United States</v>
      </c>
      <c r="B453" t="str">
        <f>B452</f>
        <v>Bozeman</v>
      </c>
      <c r="C453" t="str">
        <f>C452</f>
        <v>Standard Class</v>
      </c>
      <c r="D453" t="str">
        <f>D452</f>
        <v>Home Office</v>
      </c>
      <c r="E453" t="s">
        <v>16</v>
      </c>
      <c r="F453">
        <v>3</v>
      </c>
      <c r="G453">
        <v>0</v>
      </c>
      <c r="H453" s="2">
        <v>13.9392</v>
      </c>
      <c r="I453" s="2">
        <v>29.04</v>
      </c>
    </row>
    <row r="454" spans="1:9" x14ac:dyDescent="0.3">
      <c r="A454" t="str">
        <f t="shared" si="171"/>
        <v>United States</v>
      </c>
      <c r="B454" t="s">
        <v>79</v>
      </c>
      <c r="C454" t="s">
        <v>7</v>
      </c>
      <c r="D454" t="s">
        <v>15</v>
      </c>
      <c r="E454" t="s">
        <v>12</v>
      </c>
      <c r="F454">
        <v>6</v>
      </c>
      <c r="G454">
        <v>0</v>
      </c>
      <c r="H454" s="2">
        <v>93.055199999999957</v>
      </c>
      <c r="I454" s="2">
        <v>320.88</v>
      </c>
    </row>
    <row r="455" spans="1:9" x14ac:dyDescent="0.3">
      <c r="A455" t="str">
        <f t="shared" si="171"/>
        <v>United States</v>
      </c>
      <c r="B455" t="str">
        <f t="shared" ref="B455:B468" si="172">B454</f>
        <v>Brentwood</v>
      </c>
      <c r="C455" t="str">
        <f t="shared" ref="C455:C459" si="173">C454</f>
        <v>Second Class</v>
      </c>
      <c r="D455" t="str">
        <f t="shared" ref="D455:D457" si="174">D454</f>
        <v>Corporate</v>
      </c>
      <c r="E455" t="s">
        <v>21</v>
      </c>
      <c r="F455">
        <v>3</v>
      </c>
      <c r="G455">
        <v>0</v>
      </c>
      <c r="H455" s="2">
        <v>10.507200000000001</v>
      </c>
      <c r="I455" s="2">
        <v>23.88</v>
      </c>
    </row>
    <row r="456" spans="1:9" x14ac:dyDescent="0.3">
      <c r="A456" t="str">
        <f t="shared" si="171"/>
        <v>United States</v>
      </c>
      <c r="B456" t="str">
        <f t="shared" si="172"/>
        <v>Brentwood</v>
      </c>
      <c r="C456" t="str">
        <f t="shared" si="173"/>
        <v>Second Class</v>
      </c>
      <c r="D456" t="str">
        <f t="shared" si="174"/>
        <v>Corporate</v>
      </c>
      <c r="E456" t="s">
        <v>16</v>
      </c>
      <c r="F456">
        <v>4</v>
      </c>
      <c r="G456">
        <v>0</v>
      </c>
      <c r="H456" s="2">
        <v>12.3096</v>
      </c>
      <c r="I456" s="2">
        <v>26.76</v>
      </c>
    </row>
    <row r="457" spans="1:9" x14ac:dyDescent="0.3">
      <c r="A457" t="str">
        <f t="shared" si="171"/>
        <v>United States</v>
      </c>
      <c r="B457" t="str">
        <f t="shared" si="172"/>
        <v>Brentwood</v>
      </c>
      <c r="C457" t="str">
        <f t="shared" si="173"/>
        <v>Second Class</v>
      </c>
      <c r="D457" t="str">
        <f t="shared" si="174"/>
        <v>Corporate</v>
      </c>
      <c r="E457" t="s">
        <v>14</v>
      </c>
      <c r="F457">
        <v>1</v>
      </c>
      <c r="G457">
        <v>0</v>
      </c>
      <c r="H457" s="2">
        <v>2.8836000000000004</v>
      </c>
      <c r="I457" s="2">
        <v>10.68</v>
      </c>
    </row>
    <row r="458" spans="1:9" x14ac:dyDescent="0.3">
      <c r="A458" t="str">
        <f t="shared" si="171"/>
        <v>United States</v>
      </c>
      <c r="B458" t="str">
        <f t="shared" si="172"/>
        <v>Brentwood</v>
      </c>
      <c r="C458" t="str">
        <f t="shared" si="173"/>
        <v>Second Class</v>
      </c>
      <c r="D458" t="s">
        <v>17</v>
      </c>
      <c r="E458" t="s">
        <v>23</v>
      </c>
      <c r="F458">
        <v>3</v>
      </c>
      <c r="G458">
        <v>0</v>
      </c>
      <c r="H458" s="2">
        <v>13.793099999999999</v>
      </c>
      <c r="I458" s="2">
        <v>59.97</v>
      </c>
    </row>
    <row r="459" spans="1:9" x14ac:dyDescent="0.3">
      <c r="A459" t="str">
        <f t="shared" si="171"/>
        <v>United States</v>
      </c>
      <c r="B459" t="str">
        <f t="shared" si="172"/>
        <v>Brentwood</v>
      </c>
      <c r="C459" t="str">
        <f t="shared" si="173"/>
        <v>Second Class</v>
      </c>
      <c r="D459" t="str">
        <f>D458</f>
        <v>Home Office</v>
      </c>
      <c r="E459" t="s">
        <v>24</v>
      </c>
      <c r="F459">
        <v>7</v>
      </c>
      <c r="G459">
        <v>0.2</v>
      </c>
      <c r="H459" s="2">
        <v>66.635100000000023</v>
      </c>
      <c r="I459" s="2">
        <v>761.5440000000001</v>
      </c>
    </row>
    <row r="460" spans="1:9" x14ac:dyDescent="0.3">
      <c r="A460" t="str">
        <f t="shared" si="171"/>
        <v>United States</v>
      </c>
      <c r="B460" t="str">
        <f t="shared" si="172"/>
        <v>Brentwood</v>
      </c>
      <c r="C460" t="s">
        <v>22</v>
      </c>
      <c r="D460" t="s">
        <v>8</v>
      </c>
      <c r="E460" t="s">
        <v>23</v>
      </c>
      <c r="F460">
        <v>2</v>
      </c>
      <c r="G460">
        <v>0</v>
      </c>
      <c r="H460" s="2">
        <v>35.156000000000006</v>
      </c>
      <c r="I460" s="2">
        <v>79.900000000000006</v>
      </c>
    </row>
    <row r="461" spans="1:9" x14ac:dyDescent="0.3">
      <c r="A461" t="str">
        <f t="shared" si="171"/>
        <v>United States</v>
      </c>
      <c r="B461" t="str">
        <f t="shared" si="172"/>
        <v>Brentwood</v>
      </c>
      <c r="C461" t="str">
        <f t="shared" ref="C461:C468" si="175">C460</f>
        <v>Standard Class</v>
      </c>
      <c r="D461" t="str">
        <f t="shared" ref="D461:D462" si="176">D460</f>
        <v>Consumer</v>
      </c>
      <c r="E461" t="s">
        <v>43</v>
      </c>
      <c r="F461">
        <v>6</v>
      </c>
      <c r="G461">
        <v>0</v>
      </c>
      <c r="H461" s="2">
        <v>44.400000000000006</v>
      </c>
      <c r="I461" s="2">
        <v>88.800000000000011</v>
      </c>
    </row>
    <row r="462" spans="1:9" x14ac:dyDescent="0.3">
      <c r="A462" t="str">
        <f t="shared" si="171"/>
        <v>United States</v>
      </c>
      <c r="B462" t="str">
        <f t="shared" si="172"/>
        <v>Brentwood</v>
      </c>
      <c r="C462" t="str">
        <f t="shared" si="175"/>
        <v>Standard Class</v>
      </c>
      <c r="D462" t="str">
        <f t="shared" si="176"/>
        <v>Consumer</v>
      </c>
      <c r="E462" t="s">
        <v>24</v>
      </c>
      <c r="F462">
        <v>4</v>
      </c>
      <c r="G462">
        <v>0.2</v>
      </c>
      <c r="H462" s="2">
        <v>35.996399999999952</v>
      </c>
      <c r="I462" s="2">
        <v>319.96800000000002</v>
      </c>
    </row>
    <row r="463" spans="1:9" x14ac:dyDescent="0.3">
      <c r="A463" t="str">
        <f t="shared" si="171"/>
        <v>United States</v>
      </c>
      <c r="B463" t="str">
        <f t="shared" si="172"/>
        <v>Brentwood</v>
      </c>
      <c r="C463" t="str">
        <f t="shared" si="175"/>
        <v>Standard Class</v>
      </c>
      <c r="D463" t="s">
        <v>15</v>
      </c>
      <c r="E463" t="s">
        <v>12</v>
      </c>
      <c r="F463">
        <v>9</v>
      </c>
      <c r="G463">
        <v>0</v>
      </c>
      <c r="H463" s="2">
        <v>654.7553999999999</v>
      </c>
      <c r="I463" s="2">
        <v>2518.29</v>
      </c>
    </row>
    <row r="464" spans="1:9" x14ac:dyDescent="0.3">
      <c r="A464" t="str">
        <f t="shared" si="171"/>
        <v>United States</v>
      </c>
      <c r="B464" t="str">
        <f t="shared" si="172"/>
        <v>Brentwood</v>
      </c>
      <c r="C464" t="str">
        <f t="shared" si="175"/>
        <v>Standard Class</v>
      </c>
      <c r="D464" t="str">
        <f t="shared" ref="D464:D468" si="177">D463</f>
        <v>Corporate</v>
      </c>
      <c r="E464" t="s">
        <v>20</v>
      </c>
      <c r="F464">
        <v>11</v>
      </c>
      <c r="G464">
        <v>0.4</v>
      </c>
      <c r="H464" s="2">
        <v>82.241599999999991</v>
      </c>
      <c r="I464" s="2">
        <v>234.976</v>
      </c>
    </row>
    <row r="465" spans="1:9" x14ac:dyDescent="0.3">
      <c r="A465" t="str">
        <f t="shared" si="171"/>
        <v>United States</v>
      </c>
      <c r="B465" t="str">
        <f t="shared" si="172"/>
        <v>Brentwood</v>
      </c>
      <c r="C465" t="str">
        <f t="shared" si="175"/>
        <v>Standard Class</v>
      </c>
      <c r="D465" t="str">
        <f t="shared" si="177"/>
        <v>Corporate</v>
      </c>
      <c r="E465" t="s">
        <v>38</v>
      </c>
      <c r="F465">
        <v>2</v>
      </c>
      <c r="G465">
        <v>0</v>
      </c>
      <c r="H465" s="2">
        <v>11.68</v>
      </c>
      <c r="I465" s="2">
        <v>23.36</v>
      </c>
    </row>
    <row r="466" spans="1:9" x14ac:dyDescent="0.3">
      <c r="A466" t="str">
        <f t="shared" si="171"/>
        <v>United States</v>
      </c>
      <c r="B466" t="str">
        <f t="shared" si="172"/>
        <v>Brentwood</v>
      </c>
      <c r="C466" t="str">
        <f t="shared" si="175"/>
        <v>Standard Class</v>
      </c>
      <c r="D466" t="str">
        <f t="shared" si="177"/>
        <v>Corporate</v>
      </c>
      <c r="E466" t="s">
        <v>16</v>
      </c>
      <c r="F466">
        <v>2</v>
      </c>
      <c r="G466">
        <v>0</v>
      </c>
      <c r="H466" s="2">
        <v>3.8519999999999994</v>
      </c>
      <c r="I466" s="2">
        <v>8.56</v>
      </c>
    </row>
    <row r="467" spans="1:9" x14ac:dyDescent="0.3">
      <c r="A467" t="str">
        <f t="shared" si="171"/>
        <v>United States</v>
      </c>
      <c r="B467" t="str">
        <f t="shared" si="172"/>
        <v>Brentwood</v>
      </c>
      <c r="C467" t="str">
        <f t="shared" si="175"/>
        <v>Standard Class</v>
      </c>
      <c r="D467" t="str">
        <f t="shared" si="177"/>
        <v>Corporate</v>
      </c>
      <c r="E467" t="s">
        <v>24</v>
      </c>
      <c r="F467">
        <v>3</v>
      </c>
      <c r="G467">
        <v>0.2</v>
      </c>
      <c r="H467" s="2">
        <v>8.9969999999999892</v>
      </c>
      <c r="I467" s="2">
        <v>71.975999999999999</v>
      </c>
    </row>
    <row r="468" spans="1:9" x14ac:dyDescent="0.3">
      <c r="A468" t="str">
        <f t="shared" si="171"/>
        <v>United States</v>
      </c>
      <c r="B468" t="str">
        <f t="shared" si="172"/>
        <v>Brentwood</v>
      </c>
      <c r="C468" t="str">
        <f t="shared" si="175"/>
        <v>Standard Class</v>
      </c>
      <c r="D468" t="str">
        <f t="shared" si="177"/>
        <v>Corporate</v>
      </c>
      <c r="E468" t="s">
        <v>14</v>
      </c>
      <c r="F468">
        <v>3</v>
      </c>
      <c r="G468">
        <v>0</v>
      </c>
      <c r="H468" s="2">
        <v>140.54820000000001</v>
      </c>
      <c r="I468" s="2">
        <v>540.56999999999994</v>
      </c>
    </row>
    <row r="469" spans="1:9" x14ac:dyDescent="0.3">
      <c r="A469" t="str">
        <f t="shared" si="171"/>
        <v>United States</v>
      </c>
      <c r="B469" t="s">
        <v>80</v>
      </c>
      <c r="C469" t="s">
        <v>22</v>
      </c>
      <c r="D469" t="s">
        <v>15</v>
      </c>
      <c r="E469" t="s">
        <v>12</v>
      </c>
      <c r="F469">
        <v>3</v>
      </c>
      <c r="G469">
        <v>0</v>
      </c>
      <c r="H469" s="2">
        <v>3.0342000000000002</v>
      </c>
      <c r="I469" s="2">
        <v>11.67</v>
      </c>
    </row>
    <row r="470" spans="1:9" x14ac:dyDescent="0.3">
      <c r="A470" t="str">
        <f t="shared" si="171"/>
        <v>United States</v>
      </c>
      <c r="B470" t="str">
        <f>B469</f>
        <v>Bridgeton</v>
      </c>
      <c r="C470" t="str">
        <f>C469</f>
        <v>Standard Class</v>
      </c>
      <c r="D470" t="str">
        <f>D469</f>
        <v>Corporate</v>
      </c>
      <c r="E470" t="s">
        <v>14</v>
      </c>
      <c r="F470">
        <v>3</v>
      </c>
      <c r="G470">
        <v>0</v>
      </c>
      <c r="H470" s="2">
        <v>0.4073999999999991</v>
      </c>
      <c r="I470" s="2">
        <v>40.74</v>
      </c>
    </row>
    <row r="471" spans="1:9" x14ac:dyDescent="0.3">
      <c r="A471" t="str">
        <f t="shared" si="171"/>
        <v>United States</v>
      </c>
      <c r="B471" t="s">
        <v>81</v>
      </c>
      <c r="C471" t="s">
        <v>11</v>
      </c>
      <c r="D471" t="s">
        <v>15</v>
      </c>
      <c r="E471" t="s">
        <v>12</v>
      </c>
      <c r="F471">
        <v>2</v>
      </c>
      <c r="G471">
        <v>0</v>
      </c>
      <c r="H471" s="2">
        <v>60.552800000000005</v>
      </c>
      <c r="I471" s="2">
        <v>137.62</v>
      </c>
    </row>
    <row r="472" spans="1:9" x14ac:dyDescent="0.3">
      <c r="A472" t="str">
        <f t="shared" si="171"/>
        <v>United States</v>
      </c>
      <c r="B472" t="str">
        <f t="shared" ref="B472:B479" si="178">B471</f>
        <v>Bristol</v>
      </c>
      <c r="C472" t="str">
        <f>C471</f>
        <v>First Class</v>
      </c>
      <c r="D472" t="str">
        <f>D471</f>
        <v>Corporate</v>
      </c>
      <c r="E472" t="s">
        <v>24</v>
      </c>
      <c r="F472">
        <v>1</v>
      </c>
      <c r="G472">
        <v>0</v>
      </c>
      <c r="H472" s="2">
        <v>25.122500000000002</v>
      </c>
      <c r="I472" s="2">
        <v>100.49</v>
      </c>
    </row>
    <row r="473" spans="1:9" x14ac:dyDescent="0.3">
      <c r="A473" t="str">
        <f t="shared" si="171"/>
        <v>United States</v>
      </c>
      <c r="B473" t="str">
        <f t="shared" si="178"/>
        <v>Bristol</v>
      </c>
      <c r="C473" t="s">
        <v>7</v>
      </c>
      <c r="D473" t="s">
        <v>17</v>
      </c>
      <c r="E473" t="s">
        <v>19</v>
      </c>
      <c r="F473">
        <v>3</v>
      </c>
      <c r="G473">
        <v>0.2</v>
      </c>
      <c r="H473" s="2">
        <v>8.4449999999999896</v>
      </c>
      <c r="I473" s="2">
        <v>67.56</v>
      </c>
    </row>
    <row r="474" spans="1:9" x14ac:dyDescent="0.3">
      <c r="A474" t="str">
        <f t="shared" si="171"/>
        <v>United States</v>
      </c>
      <c r="B474" t="str">
        <f t="shared" si="178"/>
        <v>Bristol</v>
      </c>
      <c r="C474" t="s">
        <v>22</v>
      </c>
      <c r="D474" t="s">
        <v>8</v>
      </c>
      <c r="E474" t="s">
        <v>20</v>
      </c>
      <c r="F474">
        <v>5</v>
      </c>
      <c r="G474">
        <v>0</v>
      </c>
      <c r="H474" s="2">
        <v>11.890999999999998</v>
      </c>
      <c r="I474" s="2">
        <v>25.299999999999997</v>
      </c>
    </row>
    <row r="475" spans="1:9" x14ac:dyDescent="0.3">
      <c r="A475" t="str">
        <f t="shared" si="171"/>
        <v>United States</v>
      </c>
      <c r="B475" t="str">
        <f t="shared" si="178"/>
        <v>Bristol</v>
      </c>
      <c r="C475" t="str">
        <f t="shared" ref="C475:C479" si="179">C474</f>
        <v>Standard Class</v>
      </c>
      <c r="D475" t="str">
        <f>D474</f>
        <v>Consumer</v>
      </c>
      <c r="E475" t="s">
        <v>14</v>
      </c>
      <c r="F475">
        <v>3</v>
      </c>
      <c r="G475">
        <v>0</v>
      </c>
      <c r="H475" s="2">
        <v>9.5940000000000012</v>
      </c>
      <c r="I475" s="2">
        <v>95.94</v>
      </c>
    </row>
    <row r="476" spans="1:9" x14ac:dyDescent="0.3">
      <c r="A476" t="str">
        <f t="shared" si="171"/>
        <v>United States</v>
      </c>
      <c r="B476" t="str">
        <f t="shared" si="178"/>
        <v>Bristol</v>
      </c>
      <c r="C476" t="str">
        <f t="shared" si="179"/>
        <v>Standard Class</v>
      </c>
      <c r="D476" t="s">
        <v>15</v>
      </c>
      <c r="E476" t="s">
        <v>20</v>
      </c>
      <c r="F476">
        <v>11</v>
      </c>
      <c r="G476">
        <v>2.0999999999999996</v>
      </c>
      <c r="H476" s="2">
        <v>-134.17879999999997</v>
      </c>
      <c r="I476" s="2">
        <v>223.38000000000002</v>
      </c>
    </row>
    <row r="477" spans="1:9" x14ac:dyDescent="0.3">
      <c r="A477" t="str">
        <f t="shared" si="171"/>
        <v>United States</v>
      </c>
      <c r="B477" t="str">
        <f t="shared" si="178"/>
        <v>Bristol</v>
      </c>
      <c r="C477" t="str">
        <f t="shared" si="179"/>
        <v>Standard Class</v>
      </c>
      <c r="D477" t="str">
        <f t="shared" ref="D477:D479" si="180">D476</f>
        <v>Corporate</v>
      </c>
      <c r="E477" t="s">
        <v>33</v>
      </c>
      <c r="F477">
        <v>3</v>
      </c>
      <c r="G477">
        <v>0.2</v>
      </c>
      <c r="H477" s="2">
        <v>10.647000000000006</v>
      </c>
      <c r="I477" s="2">
        <v>170.35200000000003</v>
      </c>
    </row>
    <row r="478" spans="1:9" x14ac:dyDescent="0.3">
      <c r="A478" t="str">
        <f t="shared" si="171"/>
        <v>United States</v>
      </c>
      <c r="B478" t="str">
        <f t="shared" si="178"/>
        <v>Bristol</v>
      </c>
      <c r="C478" t="str">
        <f t="shared" si="179"/>
        <v>Standard Class</v>
      </c>
      <c r="D478" t="str">
        <f t="shared" si="180"/>
        <v>Corporate</v>
      </c>
      <c r="E478" t="s">
        <v>24</v>
      </c>
      <c r="F478">
        <v>2</v>
      </c>
      <c r="G478">
        <v>0</v>
      </c>
      <c r="H478" s="2">
        <v>93.594800000000021</v>
      </c>
      <c r="I478" s="2">
        <v>359.98</v>
      </c>
    </row>
    <row r="479" spans="1:9" x14ac:dyDescent="0.3">
      <c r="A479" t="str">
        <f t="shared" si="171"/>
        <v>United States</v>
      </c>
      <c r="B479" t="str">
        <f t="shared" si="178"/>
        <v>Bristol</v>
      </c>
      <c r="C479" t="str">
        <f t="shared" si="179"/>
        <v>Standard Class</v>
      </c>
      <c r="D479" t="str">
        <f t="shared" si="180"/>
        <v>Corporate</v>
      </c>
      <c r="E479" t="s">
        <v>25</v>
      </c>
      <c r="F479">
        <v>1</v>
      </c>
      <c r="G479">
        <v>0.3</v>
      </c>
      <c r="H479" s="2">
        <v>-4.032</v>
      </c>
      <c r="I479" s="2">
        <v>70.559999999999988</v>
      </c>
    </row>
    <row r="480" spans="1:9" x14ac:dyDescent="0.3">
      <c r="A480" t="str">
        <f t="shared" si="171"/>
        <v>United States</v>
      </c>
      <c r="B480" t="s">
        <v>82</v>
      </c>
      <c r="C480" t="s">
        <v>11</v>
      </c>
      <c r="D480" t="s">
        <v>17</v>
      </c>
      <c r="E480" t="s">
        <v>24</v>
      </c>
      <c r="F480">
        <v>6</v>
      </c>
      <c r="G480">
        <v>0</v>
      </c>
      <c r="H480" s="2">
        <v>213.70440000000002</v>
      </c>
      <c r="I480" s="2">
        <v>821.94</v>
      </c>
    </row>
    <row r="481" spans="1:9" x14ac:dyDescent="0.3">
      <c r="A481" t="str">
        <f t="shared" si="171"/>
        <v>United States</v>
      </c>
      <c r="B481" t="str">
        <f t="shared" ref="B481:B484" si="181">B480</f>
        <v>Broken Arrow</v>
      </c>
      <c r="C481" t="s">
        <v>22</v>
      </c>
      <c r="D481" t="s">
        <v>8</v>
      </c>
      <c r="E481" t="s">
        <v>20</v>
      </c>
      <c r="F481">
        <v>1</v>
      </c>
      <c r="G481">
        <v>0</v>
      </c>
      <c r="H481" s="2">
        <v>2.9347999999999996</v>
      </c>
      <c r="I481" s="2">
        <v>6.38</v>
      </c>
    </row>
    <row r="482" spans="1:9" x14ac:dyDescent="0.3">
      <c r="A482" t="str">
        <f t="shared" si="171"/>
        <v>United States</v>
      </c>
      <c r="B482" t="str">
        <f t="shared" si="181"/>
        <v>Broken Arrow</v>
      </c>
      <c r="C482" t="str">
        <f t="shared" ref="C482:C484" si="182">C481</f>
        <v>Standard Class</v>
      </c>
      <c r="D482" t="str">
        <f>D481</f>
        <v>Consumer</v>
      </c>
      <c r="E482" t="s">
        <v>16</v>
      </c>
      <c r="F482">
        <v>1</v>
      </c>
      <c r="G482">
        <v>0</v>
      </c>
      <c r="H482" s="2">
        <v>3.1104000000000003</v>
      </c>
      <c r="I482" s="2">
        <v>6.48</v>
      </c>
    </row>
    <row r="483" spans="1:9" x14ac:dyDescent="0.3">
      <c r="A483" t="str">
        <f t="shared" si="171"/>
        <v>United States</v>
      </c>
      <c r="B483" t="str">
        <f t="shared" si="181"/>
        <v>Broken Arrow</v>
      </c>
      <c r="C483" t="str">
        <f t="shared" si="182"/>
        <v>Standard Class</v>
      </c>
      <c r="D483" t="s">
        <v>15</v>
      </c>
      <c r="E483" t="s">
        <v>20</v>
      </c>
      <c r="F483">
        <v>2</v>
      </c>
      <c r="G483">
        <v>0</v>
      </c>
      <c r="H483" s="2">
        <v>5.3460000000000001</v>
      </c>
      <c r="I483" s="2">
        <v>11.88</v>
      </c>
    </row>
    <row r="484" spans="1:9" x14ac:dyDescent="0.3">
      <c r="A484" t="str">
        <f t="shared" si="171"/>
        <v>United States</v>
      </c>
      <c r="B484" t="str">
        <f t="shared" si="181"/>
        <v>Broken Arrow</v>
      </c>
      <c r="C484" t="str">
        <f t="shared" si="182"/>
        <v>Standard Class</v>
      </c>
      <c r="D484" t="str">
        <f>D483</f>
        <v>Corporate</v>
      </c>
      <c r="E484" t="s">
        <v>25</v>
      </c>
      <c r="F484">
        <v>7</v>
      </c>
      <c r="G484">
        <v>0</v>
      </c>
      <c r="H484" s="2">
        <v>350.42700000000002</v>
      </c>
      <c r="I484" s="2">
        <v>1592.8500000000001</v>
      </c>
    </row>
    <row r="485" spans="1:9" x14ac:dyDescent="0.3">
      <c r="A485" t="str">
        <f t="shared" si="171"/>
        <v>United States</v>
      </c>
      <c r="B485" t="s">
        <v>83</v>
      </c>
      <c r="C485" t="s">
        <v>22</v>
      </c>
      <c r="D485" t="s">
        <v>8</v>
      </c>
      <c r="E485" t="s">
        <v>20</v>
      </c>
      <c r="F485">
        <v>6</v>
      </c>
      <c r="G485">
        <v>1.4</v>
      </c>
      <c r="H485" s="2">
        <v>-19.427199999999999</v>
      </c>
      <c r="I485" s="2">
        <v>28.704000000000008</v>
      </c>
    </row>
    <row r="486" spans="1:9" x14ac:dyDescent="0.3">
      <c r="A486" t="str">
        <f t="shared" si="171"/>
        <v>United States</v>
      </c>
      <c r="B486" t="str">
        <f t="shared" ref="B486:B488" si="183">B485</f>
        <v>Broomfield</v>
      </c>
      <c r="C486" t="str">
        <f t="shared" ref="C486:C488" si="184">C485</f>
        <v>Standard Class</v>
      </c>
      <c r="D486" t="str">
        <f t="shared" ref="D486:D487" si="185">D485</f>
        <v>Consumer</v>
      </c>
      <c r="E486" t="s">
        <v>33</v>
      </c>
      <c r="F486">
        <v>3</v>
      </c>
      <c r="G486">
        <v>0.2</v>
      </c>
      <c r="H486" s="2">
        <v>74.573999999999955</v>
      </c>
      <c r="I486" s="2">
        <v>662.88</v>
      </c>
    </row>
    <row r="487" spans="1:9" x14ac:dyDescent="0.3">
      <c r="A487" t="str">
        <f t="shared" si="171"/>
        <v>United States</v>
      </c>
      <c r="B487" t="str">
        <f t="shared" si="183"/>
        <v>Broomfield</v>
      </c>
      <c r="C487" t="str">
        <f t="shared" si="184"/>
        <v>Standard Class</v>
      </c>
      <c r="D487" t="str">
        <f t="shared" si="185"/>
        <v>Consumer</v>
      </c>
      <c r="E487" t="s">
        <v>14</v>
      </c>
      <c r="F487">
        <v>7</v>
      </c>
      <c r="G487">
        <v>0.2</v>
      </c>
      <c r="H487" s="2">
        <v>-1.2558000000000051</v>
      </c>
      <c r="I487" s="2">
        <v>33.488000000000007</v>
      </c>
    </row>
    <row r="488" spans="1:9" x14ac:dyDescent="0.3">
      <c r="A488" t="str">
        <f t="shared" si="171"/>
        <v>United States</v>
      </c>
      <c r="B488" t="str">
        <f t="shared" si="183"/>
        <v>Broomfield</v>
      </c>
      <c r="C488" t="str">
        <f t="shared" si="184"/>
        <v>Standard Class</v>
      </c>
      <c r="D488" t="s">
        <v>15</v>
      </c>
      <c r="E488" t="s">
        <v>21</v>
      </c>
      <c r="F488">
        <v>7</v>
      </c>
      <c r="G488">
        <v>0.2</v>
      </c>
      <c r="H488" s="2">
        <v>8.5539999999999878</v>
      </c>
      <c r="I488" s="2">
        <v>68.432000000000016</v>
      </c>
    </row>
    <row r="489" spans="1:9" x14ac:dyDescent="0.3">
      <c r="A489" t="str">
        <f t="shared" si="171"/>
        <v>United States</v>
      </c>
      <c r="B489" t="s">
        <v>84</v>
      </c>
      <c r="C489" t="s">
        <v>11</v>
      </c>
      <c r="D489" t="s">
        <v>15</v>
      </c>
      <c r="E489" t="s">
        <v>16</v>
      </c>
      <c r="F489">
        <v>2</v>
      </c>
      <c r="G489">
        <v>0.2</v>
      </c>
      <c r="H489" s="2">
        <v>3.7407999999999997</v>
      </c>
      <c r="I489" s="2">
        <v>10.688000000000001</v>
      </c>
    </row>
    <row r="490" spans="1:9" x14ac:dyDescent="0.3">
      <c r="A490" t="str">
        <f t="shared" si="171"/>
        <v>United States</v>
      </c>
      <c r="B490" t="str">
        <f t="shared" ref="B490:B495" si="186">B489</f>
        <v>Brownsville</v>
      </c>
      <c r="C490" t="str">
        <f t="shared" ref="C490:C493" si="187">C489</f>
        <v>First Class</v>
      </c>
      <c r="D490" t="str">
        <f>D489</f>
        <v>Corporate</v>
      </c>
      <c r="E490" t="s">
        <v>14</v>
      </c>
      <c r="F490">
        <v>3</v>
      </c>
      <c r="G490">
        <v>0.2</v>
      </c>
      <c r="H490" s="2">
        <v>20.745899999999985</v>
      </c>
      <c r="I490" s="2">
        <v>237.09600000000003</v>
      </c>
    </row>
    <row r="491" spans="1:9" x14ac:dyDescent="0.3">
      <c r="A491" t="str">
        <f t="shared" si="171"/>
        <v>United States</v>
      </c>
      <c r="B491" t="str">
        <f t="shared" si="186"/>
        <v>Brownsville</v>
      </c>
      <c r="C491" t="str">
        <f t="shared" si="187"/>
        <v>First Class</v>
      </c>
      <c r="D491" t="s">
        <v>17</v>
      </c>
      <c r="E491" t="s">
        <v>33</v>
      </c>
      <c r="F491">
        <v>7</v>
      </c>
      <c r="G491">
        <v>0.3</v>
      </c>
      <c r="H491" s="2">
        <v>-9.0929999999999964</v>
      </c>
      <c r="I491" s="2">
        <v>127.30199999999999</v>
      </c>
    </row>
    <row r="492" spans="1:9" x14ac:dyDescent="0.3">
      <c r="A492" t="str">
        <f t="shared" si="171"/>
        <v>United States</v>
      </c>
      <c r="B492" t="str">
        <f t="shared" si="186"/>
        <v>Brownsville</v>
      </c>
      <c r="C492" t="str">
        <f t="shared" si="187"/>
        <v>First Class</v>
      </c>
      <c r="D492" t="str">
        <f t="shared" ref="D492:D493" si="188">D491</f>
        <v>Home Office</v>
      </c>
      <c r="E492" t="s">
        <v>38</v>
      </c>
      <c r="F492">
        <v>5</v>
      </c>
      <c r="G492">
        <v>0.2</v>
      </c>
      <c r="H492" s="2">
        <v>113.30549999999999</v>
      </c>
      <c r="I492" s="2">
        <v>335.72</v>
      </c>
    </row>
    <row r="493" spans="1:9" x14ac:dyDescent="0.3">
      <c r="A493" t="str">
        <f t="shared" si="171"/>
        <v>United States</v>
      </c>
      <c r="B493" t="str">
        <f t="shared" si="186"/>
        <v>Brownsville</v>
      </c>
      <c r="C493" t="str">
        <f t="shared" si="187"/>
        <v>First Class</v>
      </c>
      <c r="D493" t="str">
        <f t="shared" si="188"/>
        <v>Home Office</v>
      </c>
      <c r="E493" t="s">
        <v>24</v>
      </c>
      <c r="F493">
        <v>7</v>
      </c>
      <c r="G493">
        <v>0.2</v>
      </c>
      <c r="H493" s="2">
        <v>88.180399999999977</v>
      </c>
      <c r="I493" s="2">
        <v>251.94400000000002</v>
      </c>
    </row>
    <row r="494" spans="1:9" x14ac:dyDescent="0.3">
      <c r="A494" t="str">
        <f t="shared" si="171"/>
        <v>United States</v>
      </c>
      <c r="B494" t="str">
        <f t="shared" si="186"/>
        <v>Brownsville</v>
      </c>
      <c r="C494" t="s">
        <v>7</v>
      </c>
      <c r="D494" t="s">
        <v>8</v>
      </c>
      <c r="E494" t="s">
        <v>9</v>
      </c>
      <c r="F494">
        <v>1</v>
      </c>
      <c r="G494">
        <v>0.2</v>
      </c>
      <c r="H494" s="2">
        <v>-0.34880000000000033</v>
      </c>
      <c r="I494" s="2">
        <v>1.7440000000000002</v>
      </c>
    </row>
    <row r="495" spans="1:9" x14ac:dyDescent="0.3">
      <c r="A495" t="str">
        <f t="shared" si="171"/>
        <v>United States</v>
      </c>
      <c r="B495" t="str">
        <f t="shared" si="186"/>
        <v>Brownsville</v>
      </c>
      <c r="C495" t="s">
        <v>22</v>
      </c>
      <c r="D495" t="s">
        <v>8</v>
      </c>
      <c r="E495" t="s">
        <v>34</v>
      </c>
      <c r="F495">
        <v>2</v>
      </c>
      <c r="G495">
        <v>0.32</v>
      </c>
      <c r="H495" s="2">
        <v>-14.458800000000025</v>
      </c>
      <c r="I495" s="2">
        <v>327.73279999999994</v>
      </c>
    </row>
    <row r="496" spans="1:9" x14ac:dyDescent="0.3">
      <c r="A496" t="str">
        <f t="shared" si="171"/>
        <v>United States</v>
      </c>
      <c r="B496" t="s">
        <v>85</v>
      </c>
      <c r="C496" t="s">
        <v>27</v>
      </c>
      <c r="D496" t="s">
        <v>17</v>
      </c>
      <c r="E496" t="s">
        <v>20</v>
      </c>
      <c r="F496">
        <v>12</v>
      </c>
      <c r="G496">
        <v>2.4000000000000004</v>
      </c>
      <c r="H496" s="2">
        <v>-21.934400000000011</v>
      </c>
      <c r="I496" s="2">
        <v>13.087999999999997</v>
      </c>
    </row>
    <row r="497" spans="1:9" x14ac:dyDescent="0.3">
      <c r="A497" t="str">
        <f t="shared" si="171"/>
        <v>United States</v>
      </c>
      <c r="B497" t="str">
        <f t="shared" ref="B497:B499" si="189">B496</f>
        <v>Bryan</v>
      </c>
      <c r="C497" t="str">
        <f>C496</f>
        <v>Same Day</v>
      </c>
      <c r="D497" t="str">
        <f>D496</f>
        <v>Home Office</v>
      </c>
      <c r="E497" t="s">
        <v>14</v>
      </c>
      <c r="F497">
        <v>3</v>
      </c>
      <c r="G497">
        <v>0.2</v>
      </c>
      <c r="H497" s="2">
        <v>-12.528600000000001</v>
      </c>
      <c r="I497" s="2">
        <v>52.751999999999995</v>
      </c>
    </row>
    <row r="498" spans="1:9" x14ac:dyDescent="0.3">
      <c r="A498" t="str">
        <f t="shared" si="171"/>
        <v>United States</v>
      </c>
      <c r="B498" t="str">
        <f t="shared" si="189"/>
        <v>Bryan</v>
      </c>
      <c r="C498" t="s">
        <v>22</v>
      </c>
      <c r="D498" t="s">
        <v>15</v>
      </c>
      <c r="E498" t="s">
        <v>20</v>
      </c>
      <c r="F498">
        <v>7</v>
      </c>
      <c r="G498">
        <v>0.8</v>
      </c>
      <c r="H498" s="2">
        <v>-35.817600000000013</v>
      </c>
      <c r="I498" s="2">
        <v>22.385999999999996</v>
      </c>
    </row>
    <row r="499" spans="1:9" x14ac:dyDescent="0.3">
      <c r="A499" t="str">
        <f t="shared" si="171"/>
        <v>United States</v>
      </c>
      <c r="B499" t="str">
        <f t="shared" si="189"/>
        <v>Bryan</v>
      </c>
      <c r="C499" t="str">
        <f>C498</f>
        <v>Standard Class</v>
      </c>
      <c r="D499" t="str">
        <f>D498</f>
        <v>Corporate</v>
      </c>
      <c r="E499" t="s">
        <v>33</v>
      </c>
      <c r="F499">
        <v>5</v>
      </c>
      <c r="G499">
        <v>0.3</v>
      </c>
      <c r="H499" s="2">
        <v>-143.43099999999998</v>
      </c>
      <c r="I499" s="2">
        <v>528.42999999999995</v>
      </c>
    </row>
    <row r="500" spans="1:9" x14ac:dyDescent="0.3">
      <c r="A500" t="str">
        <f t="shared" si="171"/>
        <v>United States</v>
      </c>
      <c r="B500" t="s">
        <v>86</v>
      </c>
      <c r="C500" t="s">
        <v>11</v>
      </c>
      <c r="D500" t="s">
        <v>8</v>
      </c>
      <c r="E500" t="s">
        <v>33</v>
      </c>
      <c r="F500">
        <v>1</v>
      </c>
      <c r="G500">
        <v>0.1</v>
      </c>
      <c r="H500" s="2">
        <v>10.647000000000004</v>
      </c>
      <c r="I500" s="2">
        <v>63.882000000000005</v>
      </c>
    </row>
    <row r="501" spans="1:9" x14ac:dyDescent="0.3">
      <c r="A501" t="str">
        <f t="shared" si="171"/>
        <v>United States</v>
      </c>
      <c r="B501" t="str">
        <f t="shared" ref="B501:B509" si="190">B500</f>
        <v>Buffalo</v>
      </c>
      <c r="C501" t="s">
        <v>7</v>
      </c>
      <c r="D501" t="s">
        <v>8</v>
      </c>
      <c r="E501" t="s">
        <v>19</v>
      </c>
      <c r="F501">
        <v>2</v>
      </c>
      <c r="G501">
        <v>0</v>
      </c>
      <c r="H501" s="2">
        <v>0.72279999999999989</v>
      </c>
      <c r="I501" s="2">
        <v>2.78</v>
      </c>
    </row>
    <row r="502" spans="1:9" x14ac:dyDescent="0.3">
      <c r="A502" t="str">
        <f t="shared" si="171"/>
        <v>United States</v>
      </c>
      <c r="B502" t="str">
        <f t="shared" si="190"/>
        <v>Buffalo</v>
      </c>
      <c r="C502" t="str">
        <f t="shared" ref="C502:C504" si="191">C501</f>
        <v>Second Class</v>
      </c>
      <c r="D502" t="str">
        <f>D501</f>
        <v>Consumer</v>
      </c>
      <c r="E502" t="s">
        <v>38</v>
      </c>
      <c r="F502">
        <v>2</v>
      </c>
      <c r="G502">
        <v>0</v>
      </c>
      <c r="H502" s="2">
        <v>35.981999999999992</v>
      </c>
      <c r="I502" s="2">
        <v>79.959999999999994</v>
      </c>
    </row>
    <row r="503" spans="1:9" x14ac:dyDescent="0.3">
      <c r="A503" t="str">
        <f t="shared" si="171"/>
        <v>United States</v>
      </c>
      <c r="B503" t="str">
        <f t="shared" si="190"/>
        <v>Buffalo</v>
      </c>
      <c r="C503" t="str">
        <f t="shared" si="191"/>
        <v>Second Class</v>
      </c>
      <c r="D503" t="s">
        <v>15</v>
      </c>
      <c r="E503" t="s">
        <v>21</v>
      </c>
      <c r="F503">
        <v>3</v>
      </c>
      <c r="G503">
        <v>0</v>
      </c>
      <c r="H503" s="2">
        <v>30.989999999999995</v>
      </c>
      <c r="I503" s="2">
        <v>154.94999999999999</v>
      </c>
    </row>
    <row r="504" spans="1:9" x14ac:dyDescent="0.3">
      <c r="A504" t="str">
        <f t="shared" si="171"/>
        <v>United States</v>
      </c>
      <c r="B504" t="str">
        <f t="shared" si="190"/>
        <v>Buffalo</v>
      </c>
      <c r="C504" t="str">
        <f t="shared" si="191"/>
        <v>Second Class</v>
      </c>
      <c r="D504" t="str">
        <f>D503</f>
        <v>Corporate</v>
      </c>
      <c r="E504" t="s">
        <v>24</v>
      </c>
      <c r="F504">
        <v>4</v>
      </c>
      <c r="G504">
        <v>0</v>
      </c>
      <c r="H504" s="2">
        <v>12.208000000000002</v>
      </c>
      <c r="I504" s="2">
        <v>43.6</v>
      </c>
    </row>
    <row r="505" spans="1:9" x14ac:dyDescent="0.3">
      <c r="A505" t="str">
        <f t="shared" si="171"/>
        <v>United States</v>
      </c>
      <c r="B505" t="str">
        <f t="shared" si="190"/>
        <v>Buffalo</v>
      </c>
      <c r="C505" t="s">
        <v>22</v>
      </c>
      <c r="D505" t="s">
        <v>8</v>
      </c>
      <c r="E505" t="s">
        <v>20</v>
      </c>
      <c r="F505">
        <v>3</v>
      </c>
      <c r="G505">
        <v>0.2</v>
      </c>
      <c r="H505" s="2">
        <v>726.56189999999981</v>
      </c>
      <c r="I505" s="2">
        <v>2152.7760000000003</v>
      </c>
    </row>
    <row r="506" spans="1:9" x14ac:dyDescent="0.3">
      <c r="A506" t="str">
        <f t="shared" si="171"/>
        <v>United States</v>
      </c>
      <c r="B506" t="str">
        <f t="shared" si="190"/>
        <v>Buffalo</v>
      </c>
      <c r="C506" t="str">
        <f t="shared" ref="C506:C509" si="192">C505</f>
        <v>Standard Class</v>
      </c>
      <c r="D506" t="str">
        <f t="shared" ref="D506:D507" si="193">D505</f>
        <v>Consumer</v>
      </c>
      <c r="E506" t="s">
        <v>34</v>
      </c>
      <c r="F506">
        <v>10</v>
      </c>
      <c r="G506">
        <v>0.2</v>
      </c>
      <c r="H506" s="2">
        <v>-50.098000000000297</v>
      </c>
      <c r="I506" s="2">
        <v>4007.8400000000006</v>
      </c>
    </row>
    <row r="507" spans="1:9" x14ac:dyDescent="0.3">
      <c r="A507" t="str">
        <f t="shared" si="171"/>
        <v>United States</v>
      </c>
      <c r="B507" t="str">
        <f t="shared" si="190"/>
        <v>Buffalo</v>
      </c>
      <c r="C507" t="str">
        <f t="shared" si="192"/>
        <v>Standard Class</v>
      </c>
      <c r="D507" t="str">
        <f t="shared" si="193"/>
        <v>Consumer</v>
      </c>
      <c r="E507" t="s">
        <v>9</v>
      </c>
      <c r="F507">
        <v>7</v>
      </c>
      <c r="G507">
        <v>0</v>
      </c>
      <c r="H507" s="2">
        <v>16.703400000000016</v>
      </c>
      <c r="I507" s="2">
        <v>835.17000000000007</v>
      </c>
    </row>
    <row r="508" spans="1:9" x14ac:dyDescent="0.3">
      <c r="A508" t="str">
        <f t="shared" si="171"/>
        <v>United States</v>
      </c>
      <c r="B508" t="str">
        <f t="shared" si="190"/>
        <v>Buffalo</v>
      </c>
      <c r="C508" t="str">
        <f t="shared" si="192"/>
        <v>Standard Class</v>
      </c>
      <c r="D508" t="s">
        <v>15</v>
      </c>
      <c r="E508" t="s">
        <v>33</v>
      </c>
      <c r="F508">
        <v>9</v>
      </c>
      <c r="G508">
        <v>0.1</v>
      </c>
      <c r="H508" s="2">
        <v>169.18200000000004</v>
      </c>
      <c r="I508" s="2">
        <v>1522.6379999999999</v>
      </c>
    </row>
    <row r="509" spans="1:9" x14ac:dyDescent="0.3">
      <c r="A509" t="str">
        <f t="shared" si="171"/>
        <v>United States</v>
      </c>
      <c r="B509" t="str">
        <f t="shared" si="190"/>
        <v>Buffalo</v>
      </c>
      <c r="C509" t="str">
        <f t="shared" si="192"/>
        <v>Standard Class</v>
      </c>
      <c r="D509" t="str">
        <f>D508</f>
        <v>Corporate</v>
      </c>
      <c r="E509" t="s">
        <v>21</v>
      </c>
      <c r="F509">
        <v>5</v>
      </c>
      <c r="G509">
        <v>0</v>
      </c>
      <c r="H509" s="2">
        <v>39.97999999999999</v>
      </c>
      <c r="I509" s="2">
        <v>199.89999999999998</v>
      </c>
    </row>
    <row r="510" spans="1:9" x14ac:dyDescent="0.3">
      <c r="A510" t="str">
        <f t="shared" si="171"/>
        <v>United States</v>
      </c>
      <c r="B510" t="s">
        <v>87</v>
      </c>
      <c r="C510" t="s">
        <v>22</v>
      </c>
      <c r="D510" t="s">
        <v>8</v>
      </c>
      <c r="E510" t="s">
        <v>23</v>
      </c>
      <c r="F510">
        <v>7</v>
      </c>
      <c r="G510">
        <v>0.2</v>
      </c>
      <c r="H510" s="2">
        <v>95.188799999999972</v>
      </c>
      <c r="I510" s="2">
        <v>475.94400000000002</v>
      </c>
    </row>
    <row r="511" spans="1:9" x14ac:dyDescent="0.3">
      <c r="A511" t="str">
        <f t="shared" si="171"/>
        <v>United States</v>
      </c>
      <c r="B511" t="str">
        <f>B510</f>
        <v>Buffalo Grove</v>
      </c>
      <c r="C511" t="str">
        <f>C510</f>
        <v>Standard Class</v>
      </c>
      <c r="D511" t="str">
        <f>D510</f>
        <v>Consumer</v>
      </c>
      <c r="E511" t="s">
        <v>25</v>
      </c>
      <c r="F511">
        <v>3</v>
      </c>
      <c r="G511">
        <v>0.5</v>
      </c>
      <c r="H511" s="2">
        <v>-184.83660000000003</v>
      </c>
      <c r="I511" s="2">
        <v>355.45499999999998</v>
      </c>
    </row>
    <row r="512" spans="1:9" x14ac:dyDescent="0.3">
      <c r="A512" t="str">
        <f t="shared" si="171"/>
        <v>United States</v>
      </c>
      <c r="B512" t="s">
        <v>88</v>
      </c>
      <c r="C512" t="s">
        <v>22</v>
      </c>
      <c r="D512" t="s">
        <v>8</v>
      </c>
      <c r="E512" t="s">
        <v>38</v>
      </c>
      <c r="F512">
        <v>1</v>
      </c>
      <c r="G512">
        <v>0.2</v>
      </c>
      <c r="H512" s="2">
        <v>2.7719999999999994</v>
      </c>
      <c r="I512" s="2">
        <v>7.9200000000000008</v>
      </c>
    </row>
    <row r="513" spans="1:9" x14ac:dyDescent="0.3">
      <c r="A513" t="str">
        <f t="shared" si="171"/>
        <v>United States</v>
      </c>
      <c r="B513" t="str">
        <f>B512</f>
        <v>Bullhead City</v>
      </c>
      <c r="C513" t="str">
        <f>C512</f>
        <v>Standard Class</v>
      </c>
      <c r="D513" t="str">
        <f>D512</f>
        <v>Consumer</v>
      </c>
      <c r="E513" t="s">
        <v>21</v>
      </c>
      <c r="F513">
        <v>2</v>
      </c>
      <c r="G513">
        <v>0.2</v>
      </c>
      <c r="H513" s="2">
        <v>3.9512</v>
      </c>
      <c r="I513" s="2">
        <v>14.368000000000002</v>
      </c>
    </row>
    <row r="514" spans="1:9" x14ac:dyDescent="0.3">
      <c r="A514" t="str">
        <f t="shared" si="171"/>
        <v>United States</v>
      </c>
      <c r="B514" t="s">
        <v>89</v>
      </c>
      <c r="C514" t="s">
        <v>22</v>
      </c>
      <c r="D514" t="s">
        <v>17</v>
      </c>
      <c r="E514" t="s">
        <v>21</v>
      </c>
      <c r="F514">
        <v>2</v>
      </c>
      <c r="G514">
        <v>0</v>
      </c>
      <c r="H514" s="2">
        <v>14.430000000000007</v>
      </c>
      <c r="I514" s="2">
        <v>111</v>
      </c>
    </row>
    <row r="515" spans="1:9" x14ac:dyDescent="0.3">
      <c r="A515" t="str">
        <f t="shared" si="171"/>
        <v>United States</v>
      </c>
      <c r="B515" t="str">
        <f t="shared" ref="B515:B516" si="194">B514</f>
        <v>Burbank</v>
      </c>
      <c r="C515" t="str">
        <f t="shared" ref="C515:C516" si="195">C514</f>
        <v>Standard Class</v>
      </c>
      <c r="D515" t="str">
        <f t="shared" ref="D515:D516" si="196">D514</f>
        <v>Home Office</v>
      </c>
      <c r="E515" t="s">
        <v>46</v>
      </c>
      <c r="F515">
        <v>4</v>
      </c>
      <c r="G515">
        <v>0.2</v>
      </c>
      <c r="H515" s="2">
        <v>415.98959999999994</v>
      </c>
      <c r="I515" s="2">
        <v>1279.9680000000001</v>
      </c>
    </row>
    <row r="516" spans="1:9" x14ac:dyDescent="0.3">
      <c r="A516" t="str">
        <f t="shared" ref="A516:A579" si="197">A515</f>
        <v>United States</v>
      </c>
      <c r="B516" t="str">
        <f t="shared" si="194"/>
        <v>Burbank</v>
      </c>
      <c r="C516" t="str">
        <f t="shared" si="195"/>
        <v>Standard Class</v>
      </c>
      <c r="D516" t="str">
        <f t="shared" si="196"/>
        <v>Home Office</v>
      </c>
      <c r="E516" t="s">
        <v>14</v>
      </c>
      <c r="F516">
        <v>7</v>
      </c>
      <c r="G516">
        <v>0</v>
      </c>
      <c r="H516" s="2">
        <v>334.11419999999987</v>
      </c>
      <c r="I516" s="2">
        <v>1856.19</v>
      </c>
    </row>
    <row r="517" spans="1:9" x14ac:dyDescent="0.3">
      <c r="A517" t="str">
        <f t="shared" si="197"/>
        <v>United States</v>
      </c>
      <c r="B517" t="s">
        <v>90</v>
      </c>
      <c r="C517" t="s">
        <v>11</v>
      </c>
      <c r="D517" t="s">
        <v>8</v>
      </c>
      <c r="E517" t="s">
        <v>19</v>
      </c>
      <c r="F517">
        <v>10</v>
      </c>
      <c r="G517">
        <v>0.4</v>
      </c>
      <c r="H517" s="2">
        <v>4.4918999999999958</v>
      </c>
      <c r="I517" s="2">
        <v>52.696000000000005</v>
      </c>
    </row>
    <row r="518" spans="1:9" x14ac:dyDescent="0.3">
      <c r="A518" t="str">
        <f t="shared" si="197"/>
        <v>United States</v>
      </c>
      <c r="B518" t="str">
        <f t="shared" ref="B518:B536" si="198">B517</f>
        <v>Burlington</v>
      </c>
      <c r="C518" t="str">
        <f>C517</f>
        <v>First Class</v>
      </c>
      <c r="D518" t="s">
        <v>15</v>
      </c>
      <c r="E518" t="s">
        <v>19</v>
      </c>
      <c r="F518">
        <v>3</v>
      </c>
      <c r="G518">
        <v>0.2</v>
      </c>
      <c r="H518" s="2">
        <v>1.5521999999999991</v>
      </c>
      <c r="I518" s="2">
        <v>9.5519999999999996</v>
      </c>
    </row>
    <row r="519" spans="1:9" x14ac:dyDescent="0.3">
      <c r="A519" t="str">
        <f t="shared" si="197"/>
        <v>United States</v>
      </c>
      <c r="B519" t="str">
        <f t="shared" si="198"/>
        <v>Burlington</v>
      </c>
      <c r="C519" t="s">
        <v>27</v>
      </c>
      <c r="D519" t="s">
        <v>15</v>
      </c>
      <c r="E519" t="s">
        <v>12</v>
      </c>
      <c r="F519">
        <v>2</v>
      </c>
      <c r="G519">
        <v>0.2</v>
      </c>
      <c r="H519" s="2">
        <v>14.650999999999989</v>
      </c>
      <c r="I519" s="2">
        <v>167.44000000000003</v>
      </c>
    </row>
    <row r="520" spans="1:9" x14ac:dyDescent="0.3">
      <c r="A520" t="str">
        <f t="shared" si="197"/>
        <v>United States</v>
      </c>
      <c r="B520" t="str">
        <f t="shared" si="198"/>
        <v>Burlington</v>
      </c>
      <c r="C520" t="str">
        <f t="shared" ref="C520:C521" si="199">C519</f>
        <v>Same Day</v>
      </c>
      <c r="D520" t="str">
        <f t="shared" ref="D520:D521" si="200">D519</f>
        <v>Corporate</v>
      </c>
      <c r="E520" t="s">
        <v>46</v>
      </c>
      <c r="F520">
        <v>4</v>
      </c>
      <c r="G520">
        <v>0.5</v>
      </c>
      <c r="H520" s="2">
        <v>-3839.9903999999988</v>
      </c>
      <c r="I520" s="2">
        <v>7999.98</v>
      </c>
    </row>
    <row r="521" spans="1:9" x14ac:dyDescent="0.3">
      <c r="A521" t="str">
        <f t="shared" si="197"/>
        <v>United States</v>
      </c>
      <c r="B521" t="str">
        <f t="shared" si="198"/>
        <v>Burlington</v>
      </c>
      <c r="C521" t="str">
        <f t="shared" si="199"/>
        <v>Same Day</v>
      </c>
      <c r="D521" t="str">
        <f t="shared" si="200"/>
        <v>Corporate</v>
      </c>
      <c r="E521" t="s">
        <v>25</v>
      </c>
      <c r="F521">
        <v>4</v>
      </c>
      <c r="G521">
        <v>0.4</v>
      </c>
      <c r="H521" s="2">
        <v>-199.50760000000008</v>
      </c>
      <c r="I521" s="2">
        <v>630.024</v>
      </c>
    </row>
    <row r="522" spans="1:9" x14ac:dyDescent="0.3">
      <c r="A522" t="str">
        <f t="shared" si="197"/>
        <v>United States</v>
      </c>
      <c r="B522" t="str">
        <f t="shared" si="198"/>
        <v>Burlington</v>
      </c>
      <c r="C522" t="s">
        <v>7</v>
      </c>
      <c r="D522" t="s">
        <v>8</v>
      </c>
      <c r="E522" t="s">
        <v>33</v>
      </c>
      <c r="F522">
        <v>3</v>
      </c>
      <c r="G522">
        <v>0</v>
      </c>
      <c r="H522" s="2">
        <v>178.79999999999998</v>
      </c>
      <c r="I522" s="2">
        <v>715.2</v>
      </c>
    </row>
    <row r="523" spans="1:9" x14ac:dyDescent="0.3">
      <c r="A523" t="str">
        <f t="shared" si="197"/>
        <v>United States</v>
      </c>
      <c r="B523" t="str">
        <f t="shared" si="198"/>
        <v>Burlington</v>
      </c>
      <c r="C523" t="str">
        <f t="shared" ref="C523:C524" si="201">C522</f>
        <v>Second Class</v>
      </c>
      <c r="D523" t="s">
        <v>17</v>
      </c>
      <c r="E523" t="s">
        <v>20</v>
      </c>
      <c r="F523">
        <v>3</v>
      </c>
      <c r="G523">
        <v>0</v>
      </c>
      <c r="H523" s="2">
        <v>2.5920000000000001</v>
      </c>
      <c r="I523" s="2">
        <v>5.4</v>
      </c>
    </row>
    <row r="524" spans="1:9" x14ac:dyDescent="0.3">
      <c r="A524" t="str">
        <f t="shared" si="197"/>
        <v>United States</v>
      </c>
      <c r="B524" t="str">
        <f t="shared" si="198"/>
        <v>Burlington</v>
      </c>
      <c r="C524" t="str">
        <f t="shared" si="201"/>
        <v>Second Class</v>
      </c>
      <c r="D524" t="str">
        <f>D523</f>
        <v>Home Office</v>
      </c>
      <c r="E524" t="s">
        <v>38</v>
      </c>
      <c r="F524">
        <v>1</v>
      </c>
      <c r="G524">
        <v>0</v>
      </c>
      <c r="H524" s="2">
        <v>3.4944000000000002</v>
      </c>
      <c r="I524" s="2">
        <v>7.28</v>
      </c>
    </row>
    <row r="525" spans="1:9" x14ac:dyDescent="0.3">
      <c r="A525" t="str">
        <f t="shared" si="197"/>
        <v>United States</v>
      </c>
      <c r="B525" t="str">
        <f t="shared" si="198"/>
        <v>Burlington</v>
      </c>
      <c r="C525" t="s">
        <v>22</v>
      </c>
      <c r="D525" t="s">
        <v>8</v>
      </c>
      <c r="E525" t="s">
        <v>23</v>
      </c>
      <c r="F525">
        <v>3</v>
      </c>
      <c r="G525">
        <v>0.2</v>
      </c>
      <c r="H525" s="2">
        <v>81.59490000000001</v>
      </c>
      <c r="I525" s="2">
        <v>383.97600000000006</v>
      </c>
    </row>
    <row r="526" spans="1:9" x14ac:dyDescent="0.3">
      <c r="A526" t="str">
        <f t="shared" si="197"/>
        <v>United States</v>
      </c>
      <c r="B526" t="str">
        <f t="shared" si="198"/>
        <v>Burlington</v>
      </c>
      <c r="C526" t="str">
        <f t="shared" ref="C526:C536" si="202">C525</f>
        <v>Standard Class</v>
      </c>
      <c r="D526" t="str">
        <f t="shared" ref="D526:D530" si="203">D525</f>
        <v>Consumer</v>
      </c>
      <c r="E526" t="s">
        <v>12</v>
      </c>
      <c r="F526">
        <v>3</v>
      </c>
      <c r="G526">
        <v>0</v>
      </c>
      <c r="H526" s="2">
        <v>152.02319999999997</v>
      </c>
      <c r="I526" s="2">
        <v>542.93999999999994</v>
      </c>
    </row>
    <row r="527" spans="1:9" x14ac:dyDescent="0.3">
      <c r="A527" t="str">
        <f t="shared" si="197"/>
        <v>United States</v>
      </c>
      <c r="B527" t="str">
        <f t="shared" si="198"/>
        <v>Burlington</v>
      </c>
      <c r="C527" t="str">
        <f t="shared" si="202"/>
        <v>Standard Class</v>
      </c>
      <c r="D527" t="str">
        <f t="shared" si="203"/>
        <v>Consumer</v>
      </c>
      <c r="E527" t="s">
        <v>19</v>
      </c>
      <c r="F527">
        <v>9</v>
      </c>
      <c r="G527">
        <v>0.4</v>
      </c>
      <c r="H527" s="2">
        <v>2.5148999999999964</v>
      </c>
      <c r="I527" s="2">
        <v>22.744</v>
      </c>
    </row>
    <row r="528" spans="1:9" x14ac:dyDescent="0.3">
      <c r="A528" t="str">
        <f t="shared" si="197"/>
        <v>United States</v>
      </c>
      <c r="B528" t="str">
        <f t="shared" si="198"/>
        <v>Burlington</v>
      </c>
      <c r="C528" t="str">
        <f t="shared" si="202"/>
        <v>Standard Class</v>
      </c>
      <c r="D528" t="str">
        <f t="shared" si="203"/>
        <v>Consumer</v>
      </c>
      <c r="E528" t="s">
        <v>38</v>
      </c>
      <c r="F528">
        <v>1</v>
      </c>
      <c r="G528">
        <v>0</v>
      </c>
      <c r="H528" s="2">
        <v>0.95879999999999987</v>
      </c>
      <c r="I528" s="2">
        <v>2.04</v>
      </c>
    </row>
    <row r="529" spans="1:9" x14ac:dyDescent="0.3">
      <c r="A529" t="str">
        <f t="shared" si="197"/>
        <v>United States</v>
      </c>
      <c r="B529" t="str">
        <f t="shared" si="198"/>
        <v>Burlington</v>
      </c>
      <c r="C529" t="str">
        <f t="shared" si="202"/>
        <v>Standard Class</v>
      </c>
      <c r="D529" t="str">
        <f t="shared" si="203"/>
        <v>Consumer</v>
      </c>
      <c r="E529" t="s">
        <v>16</v>
      </c>
      <c r="F529">
        <v>10</v>
      </c>
      <c r="G529">
        <v>0</v>
      </c>
      <c r="H529" s="2">
        <v>63.91899999999999</v>
      </c>
      <c r="I529" s="2">
        <v>136.94999999999999</v>
      </c>
    </row>
    <row r="530" spans="1:9" x14ac:dyDescent="0.3">
      <c r="A530" t="str">
        <f t="shared" si="197"/>
        <v>United States</v>
      </c>
      <c r="B530" t="str">
        <f t="shared" si="198"/>
        <v>Burlington</v>
      </c>
      <c r="C530" t="str">
        <f t="shared" si="202"/>
        <v>Standard Class</v>
      </c>
      <c r="D530" t="str">
        <f t="shared" si="203"/>
        <v>Consumer</v>
      </c>
      <c r="E530" t="s">
        <v>25</v>
      </c>
      <c r="F530">
        <v>7</v>
      </c>
      <c r="G530">
        <v>0.4</v>
      </c>
      <c r="H530" s="2">
        <v>-653.28340000000003</v>
      </c>
      <c r="I530" s="2">
        <v>1781.6819999999998</v>
      </c>
    </row>
    <row r="531" spans="1:9" x14ac:dyDescent="0.3">
      <c r="A531" t="str">
        <f t="shared" si="197"/>
        <v>United States</v>
      </c>
      <c r="B531" t="str">
        <f t="shared" si="198"/>
        <v>Burlington</v>
      </c>
      <c r="C531" t="str">
        <f t="shared" si="202"/>
        <v>Standard Class</v>
      </c>
      <c r="D531" t="s">
        <v>15</v>
      </c>
      <c r="E531" t="s">
        <v>23</v>
      </c>
      <c r="F531">
        <v>9</v>
      </c>
      <c r="G531">
        <v>0</v>
      </c>
      <c r="H531" s="2">
        <v>110.65129999999999</v>
      </c>
      <c r="I531" s="2">
        <v>305.01</v>
      </c>
    </row>
    <row r="532" spans="1:9" x14ac:dyDescent="0.3">
      <c r="A532" t="str">
        <f t="shared" si="197"/>
        <v>United States</v>
      </c>
      <c r="B532" t="str">
        <f t="shared" si="198"/>
        <v>Burlington</v>
      </c>
      <c r="C532" t="str">
        <f t="shared" si="202"/>
        <v>Standard Class</v>
      </c>
      <c r="D532" t="str">
        <f t="shared" ref="D532:D534" si="204">D531</f>
        <v>Corporate</v>
      </c>
      <c r="E532" t="s">
        <v>19</v>
      </c>
      <c r="F532">
        <v>6</v>
      </c>
      <c r="G532">
        <v>0</v>
      </c>
      <c r="H532" s="2">
        <v>2.7336</v>
      </c>
      <c r="I532" s="2">
        <v>8.0400000000000009</v>
      </c>
    </row>
    <row r="533" spans="1:9" x14ac:dyDescent="0.3">
      <c r="A533" t="str">
        <f t="shared" si="197"/>
        <v>United States</v>
      </c>
      <c r="B533" t="str">
        <f t="shared" si="198"/>
        <v>Burlington</v>
      </c>
      <c r="C533" t="str">
        <f t="shared" si="202"/>
        <v>Standard Class</v>
      </c>
      <c r="D533" t="str">
        <f t="shared" si="204"/>
        <v>Corporate</v>
      </c>
      <c r="E533" t="s">
        <v>34</v>
      </c>
      <c r="F533">
        <v>5</v>
      </c>
      <c r="G533">
        <v>0</v>
      </c>
      <c r="H533" s="2">
        <v>1013.1270000000001</v>
      </c>
      <c r="I533" s="2">
        <v>4404.8999999999996</v>
      </c>
    </row>
    <row r="534" spans="1:9" x14ac:dyDescent="0.3">
      <c r="A534" t="str">
        <f t="shared" si="197"/>
        <v>United States</v>
      </c>
      <c r="B534" t="str">
        <f t="shared" si="198"/>
        <v>Burlington</v>
      </c>
      <c r="C534" t="str">
        <f t="shared" si="202"/>
        <v>Standard Class</v>
      </c>
      <c r="D534" t="str">
        <f t="shared" si="204"/>
        <v>Corporate</v>
      </c>
      <c r="E534" t="s">
        <v>14</v>
      </c>
      <c r="F534">
        <v>13</v>
      </c>
      <c r="G534">
        <v>0</v>
      </c>
      <c r="H534" s="2">
        <v>406.71539999999993</v>
      </c>
      <c r="I534" s="2">
        <v>1564.29</v>
      </c>
    </row>
    <row r="535" spans="1:9" x14ac:dyDescent="0.3">
      <c r="A535" t="str">
        <f t="shared" si="197"/>
        <v>United States</v>
      </c>
      <c r="B535" t="str">
        <f t="shared" si="198"/>
        <v>Burlington</v>
      </c>
      <c r="C535" t="str">
        <f t="shared" si="202"/>
        <v>Standard Class</v>
      </c>
      <c r="D535" t="s">
        <v>17</v>
      </c>
      <c r="E535" t="s">
        <v>20</v>
      </c>
      <c r="F535">
        <v>4</v>
      </c>
      <c r="G535">
        <v>0.7</v>
      </c>
      <c r="H535" s="2">
        <v>-1306.5504000000001</v>
      </c>
      <c r="I535" s="2">
        <v>1633.1880000000003</v>
      </c>
    </row>
    <row r="536" spans="1:9" x14ac:dyDescent="0.3">
      <c r="A536" t="str">
        <f t="shared" si="197"/>
        <v>United States</v>
      </c>
      <c r="B536" t="str">
        <f t="shared" si="198"/>
        <v>Burlington</v>
      </c>
      <c r="C536" t="str">
        <f t="shared" si="202"/>
        <v>Standard Class</v>
      </c>
      <c r="D536" t="str">
        <f>D535</f>
        <v>Home Office</v>
      </c>
      <c r="E536" t="s">
        <v>24</v>
      </c>
      <c r="F536">
        <v>5</v>
      </c>
      <c r="G536">
        <v>0</v>
      </c>
      <c r="H536" s="2">
        <v>336.63499999999999</v>
      </c>
      <c r="I536" s="2">
        <v>1294.75</v>
      </c>
    </row>
    <row r="537" spans="1:9" x14ac:dyDescent="0.3">
      <c r="A537" t="str">
        <f t="shared" si="197"/>
        <v>United States</v>
      </c>
      <c r="B537" t="s">
        <v>91</v>
      </c>
      <c r="C537" t="s">
        <v>22</v>
      </c>
      <c r="D537" t="s">
        <v>15</v>
      </c>
      <c r="E537" t="s">
        <v>33</v>
      </c>
      <c r="F537">
        <v>3</v>
      </c>
      <c r="G537">
        <v>0.2</v>
      </c>
      <c r="H537" s="2">
        <v>4.2293999999999699</v>
      </c>
      <c r="I537" s="2">
        <v>338.35199999999998</v>
      </c>
    </row>
    <row r="538" spans="1:9" x14ac:dyDescent="0.3">
      <c r="A538" t="str">
        <f t="shared" si="197"/>
        <v>United States</v>
      </c>
      <c r="B538" t="str">
        <f>B537</f>
        <v>Caldwell</v>
      </c>
      <c r="C538" t="str">
        <f>C537</f>
        <v>Standard Class</v>
      </c>
      <c r="D538" t="str">
        <f>D537</f>
        <v>Corporate</v>
      </c>
      <c r="E538" t="s">
        <v>16</v>
      </c>
      <c r="F538">
        <v>8</v>
      </c>
      <c r="G538">
        <v>0</v>
      </c>
      <c r="H538" s="2">
        <v>54.467199999999998</v>
      </c>
      <c r="I538" s="2">
        <v>117.28</v>
      </c>
    </row>
    <row r="539" spans="1:9" x14ac:dyDescent="0.3">
      <c r="A539" t="str">
        <f t="shared" si="197"/>
        <v>United States</v>
      </c>
      <c r="B539" t="s">
        <v>92</v>
      </c>
      <c r="C539" t="s">
        <v>22</v>
      </c>
      <c r="D539" t="s">
        <v>8</v>
      </c>
      <c r="E539" t="s">
        <v>43</v>
      </c>
      <c r="F539">
        <v>3</v>
      </c>
      <c r="G539">
        <v>0</v>
      </c>
      <c r="H539" s="2">
        <v>7.2176999999999998</v>
      </c>
      <c r="I539" s="2">
        <v>14.73</v>
      </c>
    </row>
    <row r="540" spans="1:9" x14ac:dyDescent="0.3">
      <c r="A540" t="str">
        <f t="shared" si="197"/>
        <v>United States</v>
      </c>
      <c r="B540" t="str">
        <f t="shared" ref="B540:B542" si="205">B539</f>
        <v>Camarillo</v>
      </c>
      <c r="C540" t="str">
        <f t="shared" ref="C540:C542" si="206">C539</f>
        <v>Standard Class</v>
      </c>
      <c r="D540" t="s">
        <v>15</v>
      </c>
      <c r="E540" t="s">
        <v>34</v>
      </c>
      <c r="F540">
        <v>5</v>
      </c>
      <c r="G540">
        <v>0.15</v>
      </c>
      <c r="H540" s="2">
        <v>41.996499999999941</v>
      </c>
      <c r="I540" s="2">
        <v>509.95749999999992</v>
      </c>
    </row>
    <row r="541" spans="1:9" x14ac:dyDescent="0.3">
      <c r="A541" t="str">
        <f t="shared" si="197"/>
        <v>United States</v>
      </c>
      <c r="B541" t="str">
        <f t="shared" si="205"/>
        <v>Camarillo</v>
      </c>
      <c r="C541" t="str">
        <f t="shared" si="206"/>
        <v>Standard Class</v>
      </c>
      <c r="D541" t="str">
        <f t="shared" ref="D541:D542" si="207">D540</f>
        <v>Corporate</v>
      </c>
      <c r="E541" t="s">
        <v>33</v>
      </c>
      <c r="F541">
        <v>5</v>
      </c>
      <c r="G541">
        <v>0.4</v>
      </c>
      <c r="H541" s="2">
        <v>75.166599999999917</v>
      </c>
      <c r="I541" s="2">
        <v>819.92000000000007</v>
      </c>
    </row>
    <row r="542" spans="1:9" x14ac:dyDescent="0.3">
      <c r="A542" t="str">
        <f t="shared" si="197"/>
        <v>United States</v>
      </c>
      <c r="B542" t="str">
        <f t="shared" si="205"/>
        <v>Camarillo</v>
      </c>
      <c r="C542" t="str">
        <f t="shared" si="206"/>
        <v>Standard Class</v>
      </c>
      <c r="D542" t="str">
        <f t="shared" si="207"/>
        <v>Corporate</v>
      </c>
      <c r="E542" t="s">
        <v>21</v>
      </c>
      <c r="F542">
        <v>3</v>
      </c>
      <c r="G542">
        <v>0</v>
      </c>
      <c r="H542" s="2">
        <v>34.414800000000007</v>
      </c>
      <c r="I542" s="2">
        <v>122.91</v>
      </c>
    </row>
    <row r="543" spans="1:9" x14ac:dyDescent="0.3">
      <c r="A543" t="str">
        <f t="shared" si="197"/>
        <v>United States</v>
      </c>
      <c r="B543" t="s">
        <v>93</v>
      </c>
      <c r="C543" t="s">
        <v>7</v>
      </c>
      <c r="D543" t="s">
        <v>17</v>
      </c>
      <c r="E543" t="s">
        <v>19</v>
      </c>
      <c r="F543">
        <v>4</v>
      </c>
      <c r="G543">
        <v>0</v>
      </c>
      <c r="H543" s="2">
        <v>4.9647999999999985</v>
      </c>
      <c r="I543" s="2">
        <v>17.12</v>
      </c>
    </row>
    <row r="544" spans="1:9" x14ac:dyDescent="0.3">
      <c r="A544" t="str">
        <f t="shared" si="197"/>
        <v>United States</v>
      </c>
      <c r="B544" t="str">
        <f t="shared" ref="B544:B548" si="208">B543</f>
        <v>Cambridge</v>
      </c>
      <c r="C544" t="str">
        <f t="shared" ref="C544:C546" si="209">C543</f>
        <v>Second Class</v>
      </c>
      <c r="D544" t="str">
        <f t="shared" ref="D544:D546" si="210">D543</f>
        <v>Home Office</v>
      </c>
      <c r="E544" t="s">
        <v>20</v>
      </c>
      <c r="F544">
        <v>5</v>
      </c>
      <c r="G544">
        <v>0</v>
      </c>
      <c r="H544" s="2">
        <v>10.327</v>
      </c>
      <c r="I544" s="2">
        <v>22.450000000000003</v>
      </c>
    </row>
    <row r="545" spans="1:9" x14ac:dyDescent="0.3">
      <c r="A545" t="str">
        <f t="shared" si="197"/>
        <v>United States</v>
      </c>
      <c r="B545" t="str">
        <f t="shared" si="208"/>
        <v>Cambridge</v>
      </c>
      <c r="C545" t="str">
        <f t="shared" si="209"/>
        <v>Second Class</v>
      </c>
      <c r="D545" t="str">
        <f t="shared" si="210"/>
        <v>Home Office</v>
      </c>
      <c r="E545" t="s">
        <v>16</v>
      </c>
      <c r="F545">
        <v>3</v>
      </c>
      <c r="G545">
        <v>0</v>
      </c>
      <c r="H545" s="2">
        <v>28.171799999999998</v>
      </c>
      <c r="I545" s="2">
        <v>59.94</v>
      </c>
    </row>
    <row r="546" spans="1:9" x14ac:dyDescent="0.3">
      <c r="A546" t="str">
        <f t="shared" si="197"/>
        <v>United States</v>
      </c>
      <c r="B546" t="str">
        <f t="shared" si="208"/>
        <v>Cambridge</v>
      </c>
      <c r="C546" t="str">
        <f t="shared" si="209"/>
        <v>Second Class</v>
      </c>
      <c r="D546" t="str">
        <f t="shared" si="210"/>
        <v>Home Office</v>
      </c>
      <c r="E546" t="s">
        <v>24</v>
      </c>
      <c r="F546">
        <v>2</v>
      </c>
      <c r="G546">
        <v>0</v>
      </c>
      <c r="H546" s="2">
        <v>93.593999999999994</v>
      </c>
      <c r="I546" s="2">
        <v>311.98</v>
      </c>
    </row>
    <row r="547" spans="1:9" x14ac:dyDescent="0.3">
      <c r="A547" t="str">
        <f t="shared" si="197"/>
        <v>United States</v>
      </c>
      <c r="B547" t="str">
        <f t="shared" si="208"/>
        <v>Cambridge</v>
      </c>
      <c r="C547" t="s">
        <v>22</v>
      </c>
      <c r="D547" t="s">
        <v>17</v>
      </c>
      <c r="E547" t="s">
        <v>23</v>
      </c>
      <c r="F547">
        <v>4</v>
      </c>
      <c r="G547">
        <v>0</v>
      </c>
      <c r="H547" s="2">
        <v>24.913200000000003</v>
      </c>
      <c r="I547" s="2">
        <v>63.88</v>
      </c>
    </row>
    <row r="548" spans="1:9" x14ac:dyDescent="0.3">
      <c r="A548" t="str">
        <f t="shared" si="197"/>
        <v>United States</v>
      </c>
      <c r="B548" t="str">
        <f t="shared" si="208"/>
        <v>Cambridge</v>
      </c>
      <c r="C548" t="str">
        <f>C547</f>
        <v>Standard Class</v>
      </c>
      <c r="D548" t="str">
        <f>D547</f>
        <v>Home Office</v>
      </c>
      <c r="E548" t="s">
        <v>21</v>
      </c>
      <c r="F548">
        <v>1</v>
      </c>
      <c r="G548">
        <v>0</v>
      </c>
      <c r="H548" s="2">
        <v>11.756800000000002</v>
      </c>
      <c r="I548" s="2">
        <v>26.72</v>
      </c>
    </row>
    <row r="549" spans="1:9" x14ac:dyDescent="0.3">
      <c r="A549" t="str">
        <f t="shared" si="197"/>
        <v>United States</v>
      </c>
      <c r="B549" t="s">
        <v>94</v>
      </c>
      <c r="C549" t="s">
        <v>7</v>
      </c>
      <c r="D549" t="s">
        <v>15</v>
      </c>
      <c r="E549" t="s">
        <v>20</v>
      </c>
      <c r="F549">
        <v>8</v>
      </c>
      <c r="G549">
        <v>0</v>
      </c>
      <c r="H549" s="2">
        <v>138.20160000000001</v>
      </c>
      <c r="I549" s="2">
        <v>287.92</v>
      </c>
    </row>
    <row r="550" spans="1:9" x14ac:dyDescent="0.3">
      <c r="A550" t="str">
        <f t="shared" si="197"/>
        <v>United States</v>
      </c>
      <c r="B550" t="str">
        <f t="shared" ref="B550:B551" si="211">B549</f>
        <v>Canton</v>
      </c>
      <c r="C550" t="str">
        <f t="shared" ref="C550:C551" si="212">C549</f>
        <v>Second Class</v>
      </c>
      <c r="D550" t="str">
        <f>D549</f>
        <v>Corporate</v>
      </c>
      <c r="E550" t="s">
        <v>21</v>
      </c>
      <c r="F550">
        <v>2</v>
      </c>
      <c r="G550">
        <v>0</v>
      </c>
      <c r="H550" s="2">
        <v>11.076000000000001</v>
      </c>
      <c r="I550" s="2">
        <v>28.4</v>
      </c>
    </row>
    <row r="551" spans="1:9" x14ac:dyDescent="0.3">
      <c r="A551" t="str">
        <f t="shared" si="197"/>
        <v>United States</v>
      </c>
      <c r="B551" t="str">
        <f t="shared" si="211"/>
        <v>Canton</v>
      </c>
      <c r="C551" t="str">
        <f t="shared" si="212"/>
        <v>Second Class</v>
      </c>
      <c r="D551" t="s">
        <v>17</v>
      </c>
      <c r="E551" t="s">
        <v>14</v>
      </c>
      <c r="F551">
        <v>3</v>
      </c>
      <c r="G551">
        <v>0</v>
      </c>
      <c r="H551" s="2">
        <v>0</v>
      </c>
      <c r="I551" s="2">
        <v>501.81000000000006</v>
      </c>
    </row>
    <row r="552" spans="1:9" x14ac:dyDescent="0.3">
      <c r="A552" t="str">
        <f t="shared" si="197"/>
        <v>United States</v>
      </c>
      <c r="B552" t="s">
        <v>95</v>
      </c>
      <c r="C552" t="s">
        <v>22</v>
      </c>
      <c r="D552" t="s">
        <v>8</v>
      </c>
      <c r="E552" t="s">
        <v>20</v>
      </c>
      <c r="F552">
        <v>3</v>
      </c>
      <c r="G552">
        <v>0.2</v>
      </c>
      <c r="H552" s="2">
        <v>3.3674999999999984</v>
      </c>
      <c r="I552" s="2">
        <v>10.776000000000002</v>
      </c>
    </row>
    <row r="553" spans="1:9" x14ac:dyDescent="0.3">
      <c r="A553" t="str">
        <f t="shared" si="197"/>
        <v>United States</v>
      </c>
      <c r="B553" t="str">
        <f t="shared" ref="B553:B560" si="213">B552</f>
        <v>Carlsbad</v>
      </c>
      <c r="C553" t="str">
        <f t="shared" ref="C553:C560" si="214">C552</f>
        <v>Standard Class</v>
      </c>
      <c r="D553" t="str">
        <f>D552</f>
        <v>Consumer</v>
      </c>
      <c r="E553" t="s">
        <v>38</v>
      </c>
      <c r="F553">
        <v>5</v>
      </c>
      <c r="G553">
        <v>0</v>
      </c>
      <c r="H553" s="2">
        <v>13.347999999999997</v>
      </c>
      <c r="I553" s="2">
        <v>28.4</v>
      </c>
    </row>
    <row r="554" spans="1:9" x14ac:dyDescent="0.3">
      <c r="A554" t="str">
        <f t="shared" si="197"/>
        <v>United States</v>
      </c>
      <c r="B554" t="str">
        <f t="shared" si="213"/>
        <v>Carlsbad</v>
      </c>
      <c r="C554" t="str">
        <f t="shared" si="214"/>
        <v>Standard Class</v>
      </c>
      <c r="D554" t="s">
        <v>15</v>
      </c>
      <c r="E554" t="s">
        <v>19</v>
      </c>
      <c r="F554">
        <v>3</v>
      </c>
      <c r="G554">
        <v>0</v>
      </c>
      <c r="H554" s="2">
        <v>1.0841999999999998</v>
      </c>
      <c r="I554" s="2">
        <v>4.17</v>
      </c>
    </row>
    <row r="555" spans="1:9" x14ac:dyDescent="0.3">
      <c r="A555" t="str">
        <f t="shared" si="197"/>
        <v>United States</v>
      </c>
      <c r="B555" t="str">
        <f t="shared" si="213"/>
        <v>Carlsbad</v>
      </c>
      <c r="C555" t="str">
        <f t="shared" si="214"/>
        <v>Standard Class</v>
      </c>
      <c r="D555" t="str">
        <f t="shared" ref="D555:D558" si="215">D554</f>
        <v>Corporate</v>
      </c>
      <c r="E555" t="s">
        <v>20</v>
      </c>
      <c r="F555">
        <v>3</v>
      </c>
      <c r="G555">
        <v>0.4</v>
      </c>
      <c r="H555" s="2">
        <v>8.2364999999999995</v>
      </c>
      <c r="I555" s="2">
        <v>24.904</v>
      </c>
    </row>
    <row r="556" spans="1:9" x14ac:dyDescent="0.3">
      <c r="A556" t="str">
        <f t="shared" si="197"/>
        <v>United States</v>
      </c>
      <c r="B556" t="str">
        <f t="shared" si="213"/>
        <v>Carlsbad</v>
      </c>
      <c r="C556" t="str">
        <f t="shared" si="214"/>
        <v>Standard Class</v>
      </c>
      <c r="D556" t="str">
        <f t="shared" si="215"/>
        <v>Corporate</v>
      </c>
      <c r="E556" t="s">
        <v>43</v>
      </c>
      <c r="F556">
        <v>5</v>
      </c>
      <c r="G556">
        <v>0</v>
      </c>
      <c r="H556" s="2">
        <v>8.6715</v>
      </c>
      <c r="I556" s="2">
        <v>18.45</v>
      </c>
    </row>
    <row r="557" spans="1:9" x14ac:dyDescent="0.3">
      <c r="A557" t="str">
        <f t="shared" si="197"/>
        <v>United States</v>
      </c>
      <c r="B557" t="str">
        <f t="shared" si="213"/>
        <v>Carlsbad</v>
      </c>
      <c r="C557" t="str">
        <f t="shared" si="214"/>
        <v>Standard Class</v>
      </c>
      <c r="D557" t="str">
        <f t="shared" si="215"/>
        <v>Corporate</v>
      </c>
      <c r="E557" t="s">
        <v>24</v>
      </c>
      <c r="F557">
        <v>4</v>
      </c>
      <c r="G557">
        <v>0.2</v>
      </c>
      <c r="H557" s="2">
        <v>6.7039999999999971</v>
      </c>
      <c r="I557" s="2">
        <v>67.040000000000006</v>
      </c>
    </row>
    <row r="558" spans="1:9" x14ac:dyDescent="0.3">
      <c r="A558" t="str">
        <f t="shared" si="197"/>
        <v>United States</v>
      </c>
      <c r="B558" t="str">
        <f t="shared" si="213"/>
        <v>Carlsbad</v>
      </c>
      <c r="C558" t="str">
        <f t="shared" si="214"/>
        <v>Standard Class</v>
      </c>
      <c r="D558" t="str">
        <f t="shared" si="215"/>
        <v>Corporate</v>
      </c>
      <c r="E558" t="s">
        <v>14</v>
      </c>
      <c r="F558">
        <v>3</v>
      </c>
      <c r="G558">
        <v>0</v>
      </c>
      <c r="H558" s="2">
        <v>10.4496</v>
      </c>
      <c r="I558" s="2">
        <v>37.32</v>
      </c>
    </row>
    <row r="559" spans="1:9" x14ac:dyDescent="0.3">
      <c r="A559" t="str">
        <f t="shared" si="197"/>
        <v>United States</v>
      </c>
      <c r="B559" t="str">
        <f t="shared" si="213"/>
        <v>Carlsbad</v>
      </c>
      <c r="C559" t="str">
        <f t="shared" si="214"/>
        <v>Standard Class</v>
      </c>
      <c r="D559" t="s">
        <v>17</v>
      </c>
      <c r="E559" t="s">
        <v>16</v>
      </c>
      <c r="F559">
        <v>7</v>
      </c>
      <c r="G559">
        <v>0</v>
      </c>
      <c r="H559" s="2">
        <v>101.56799999999998</v>
      </c>
      <c r="I559" s="2">
        <v>211.6</v>
      </c>
    </row>
    <row r="560" spans="1:9" x14ac:dyDescent="0.3">
      <c r="A560" t="str">
        <f t="shared" si="197"/>
        <v>United States</v>
      </c>
      <c r="B560" t="str">
        <f t="shared" si="213"/>
        <v>Carlsbad</v>
      </c>
      <c r="C560" t="str">
        <f t="shared" si="214"/>
        <v>Standard Class</v>
      </c>
      <c r="D560" t="str">
        <f>D559</f>
        <v>Home Office</v>
      </c>
      <c r="E560" t="s">
        <v>9</v>
      </c>
      <c r="F560">
        <v>2</v>
      </c>
      <c r="G560">
        <v>0</v>
      </c>
      <c r="H560" s="2">
        <v>4.3368000000000002</v>
      </c>
      <c r="I560" s="2">
        <v>16.68</v>
      </c>
    </row>
    <row r="561" spans="1:9" x14ac:dyDescent="0.3">
      <c r="A561" t="str">
        <f t="shared" si="197"/>
        <v>United States</v>
      </c>
      <c r="B561" t="s">
        <v>96</v>
      </c>
      <c r="C561" t="s">
        <v>22</v>
      </c>
      <c r="D561" t="s">
        <v>8</v>
      </c>
      <c r="E561" t="s">
        <v>33</v>
      </c>
      <c r="F561">
        <v>8</v>
      </c>
      <c r="G561">
        <v>0.6</v>
      </c>
      <c r="H561" s="2">
        <v>-98.63420000000005</v>
      </c>
      <c r="I561" s="2">
        <v>790.53800000000001</v>
      </c>
    </row>
    <row r="562" spans="1:9" x14ac:dyDescent="0.3">
      <c r="A562" t="str">
        <f t="shared" si="197"/>
        <v>United States</v>
      </c>
      <c r="B562" t="str">
        <f t="shared" ref="B562:B563" si="216">B561</f>
        <v>Carol Stream</v>
      </c>
      <c r="C562" t="str">
        <f t="shared" ref="C562:C563" si="217">C561</f>
        <v>Standard Class</v>
      </c>
      <c r="D562" t="str">
        <f t="shared" ref="D562:D563" si="218">D561</f>
        <v>Consumer</v>
      </c>
      <c r="E562" t="s">
        <v>16</v>
      </c>
      <c r="F562">
        <v>2</v>
      </c>
      <c r="G562">
        <v>0.2</v>
      </c>
      <c r="H562" s="2">
        <v>3.7692000000000001</v>
      </c>
      <c r="I562" s="2">
        <v>11.168000000000001</v>
      </c>
    </row>
    <row r="563" spans="1:9" x14ac:dyDescent="0.3">
      <c r="A563" t="str">
        <f t="shared" si="197"/>
        <v>United States</v>
      </c>
      <c r="B563" t="str">
        <f t="shared" si="216"/>
        <v>Carol Stream</v>
      </c>
      <c r="C563" t="str">
        <f t="shared" si="217"/>
        <v>Standard Class</v>
      </c>
      <c r="D563" t="str">
        <f t="shared" si="218"/>
        <v>Consumer</v>
      </c>
      <c r="E563" t="s">
        <v>14</v>
      </c>
      <c r="F563">
        <v>8</v>
      </c>
      <c r="G563">
        <v>0.4</v>
      </c>
      <c r="H563" s="2">
        <v>54.996699999999919</v>
      </c>
      <c r="I563" s="2">
        <v>504.10400000000004</v>
      </c>
    </row>
    <row r="564" spans="1:9" x14ac:dyDescent="0.3">
      <c r="A564" t="str">
        <f t="shared" si="197"/>
        <v>United States</v>
      </c>
      <c r="B564" t="s">
        <v>97</v>
      </c>
      <c r="C564" t="s">
        <v>7</v>
      </c>
      <c r="D564" t="s">
        <v>8</v>
      </c>
      <c r="E564" t="s">
        <v>23</v>
      </c>
      <c r="F564">
        <v>7</v>
      </c>
      <c r="G564">
        <v>0.2</v>
      </c>
      <c r="H564" s="2">
        <v>52.497900000000016</v>
      </c>
      <c r="I564" s="2">
        <v>1399.9440000000002</v>
      </c>
    </row>
    <row r="565" spans="1:9" x14ac:dyDescent="0.3">
      <c r="A565" t="str">
        <f t="shared" si="197"/>
        <v>United States</v>
      </c>
      <c r="B565" t="str">
        <f t="shared" ref="B565:B576" si="219">B564</f>
        <v>Carrollton</v>
      </c>
      <c r="C565" t="str">
        <f t="shared" ref="C565:C568" si="220">C564</f>
        <v>Second Class</v>
      </c>
      <c r="D565" t="str">
        <f t="shared" ref="D565:D568" si="221">D564</f>
        <v>Consumer</v>
      </c>
      <c r="E565" t="s">
        <v>19</v>
      </c>
      <c r="F565">
        <v>4</v>
      </c>
      <c r="G565">
        <v>0.2</v>
      </c>
      <c r="H565" s="2">
        <v>8.674399999999995</v>
      </c>
      <c r="I565" s="2">
        <v>99.13600000000001</v>
      </c>
    </row>
    <row r="566" spans="1:9" x14ac:dyDescent="0.3">
      <c r="A566" t="str">
        <f t="shared" si="197"/>
        <v>United States</v>
      </c>
      <c r="B566" t="str">
        <f t="shared" si="219"/>
        <v>Carrollton</v>
      </c>
      <c r="C566" t="str">
        <f t="shared" si="220"/>
        <v>Second Class</v>
      </c>
      <c r="D566" t="str">
        <f t="shared" si="221"/>
        <v>Consumer</v>
      </c>
      <c r="E566" t="s">
        <v>21</v>
      </c>
      <c r="F566">
        <v>2</v>
      </c>
      <c r="G566">
        <v>0.6</v>
      </c>
      <c r="H566" s="2">
        <v>-13.992999999999999</v>
      </c>
      <c r="I566" s="2">
        <v>15.991999999999999</v>
      </c>
    </row>
    <row r="567" spans="1:9" x14ac:dyDescent="0.3">
      <c r="A567" t="str">
        <f t="shared" si="197"/>
        <v>United States</v>
      </c>
      <c r="B567" t="str">
        <f t="shared" si="219"/>
        <v>Carrollton</v>
      </c>
      <c r="C567" t="str">
        <f t="shared" si="220"/>
        <v>Second Class</v>
      </c>
      <c r="D567" t="str">
        <f t="shared" si="221"/>
        <v>Consumer</v>
      </c>
      <c r="E567" t="s">
        <v>16</v>
      </c>
      <c r="F567">
        <v>4</v>
      </c>
      <c r="G567">
        <v>0.2</v>
      </c>
      <c r="H567" s="2">
        <v>5.2799999999999994</v>
      </c>
      <c r="I567" s="2">
        <v>16.896000000000001</v>
      </c>
    </row>
    <row r="568" spans="1:9" x14ac:dyDescent="0.3">
      <c r="A568" t="str">
        <f t="shared" si="197"/>
        <v>United States</v>
      </c>
      <c r="B568" t="str">
        <f t="shared" si="219"/>
        <v>Carrollton</v>
      </c>
      <c r="C568" t="str">
        <f t="shared" si="220"/>
        <v>Second Class</v>
      </c>
      <c r="D568" t="str">
        <f t="shared" si="221"/>
        <v>Consumer</v>
      </c>
      <c r="E568" t="s">
        <v>9</v>
      </c>
      <c r="F568">
        <v>1</v>
      </c>
      <c r="G568">
        <v>0.2</v>
      </c>
      <c r="H568" s="2">
        <v>0.50039999999999996</v>
      </c>
      <c r="I568" s="2">
        <v>6.6720000000000006</v>
      </c>
    </row>
    <row r="569" spans="1:9" x14ac:dyDescent="0.3">
      <c r="A569" t="str">
        <f t="shared" si="197"/>
        <v>United States</v>
      </c>
      <c r="B569" t="str">
        <f t="shared" si="219"/>
        <v>Carrollton</v>
      </c>
      <c r="C569" t="s">
        <v>22</v>
      </c>
      <c r="D569" t="s">
        <v>8</v>
      </c>
      <c r="E569" t="s">
        <v>23</v>
      </c>
      <c r="F569">
        <v>3</v>
      </c>
      <c r="G569">
        <v>0.4</v>
      </c>
      <c r="H569" s="2">
        <v>22.602799999999995</v>
      </c>
      <c r="I569" s="2">
        <v>175.88800000000001</v>
      </c>
    </row>
    <row r="570" spans="1:9" x14ac:dyDescent="0.3">
      <c r="A570" t="str">
        <f t="shared" si="197"/>
        <v>United States</v>
      </c>
      <c r="B570" t="str">
        <f t="shared" si="219"/>
        <v>Carrollton</v>
      </c>
      <c r="C570" t="str">
        <f t="shared" ref="C570:C576" si="222">C569</f>
        <v>Standard Class</v>
      </c>
      <c r="D570" t="str">
        <f t="shared" ref="D570:D573" si="223">D569</f>
        <v>Consumer</v>
      </c>
      <c r="E570" t="s">
        <v>12</v>
      </c>
      <c r="F570">
        <v>2</v>
      </c>
      <c r="G570">
        <v>0.8</v>
      </c>
      <c r="H570" s="2">
        <v>-52.833600000000004</v>
      </c>
      <c r="I570" s="2">
        <v>19.567999999999998</v>
      </c>
    </row>
    <row r="571" spans="1:9" x14ac:dyDescent="0.3">
      <c r="A571" t="str">
        <f t="shared" si="197"/>
        <v>United States</v>
      </c>
      <c r="B571" t="str">
        <f t="shared" si="219"/>
        <v>Carrollton</v>
      </c>
      <c r="C571" t="str">
        <f t="shared" si="222"/>
        <v>Standard Class</v>
      </c>
      <c r="D571" t="str">
        <f t="shared" si="223"/>
        <v>Consumer</v>
      </c>
      <c r="E571" t="s">
        <v>20</v>
      </c>
      <c r="F571">
        <v>6</v>
      </c>
      <c r="G571">
        <v>1.6</v>
      </c>
      <c r="H571" s="2">
        <v>-516.54280000000017</v>
      </c>
      <c r="I571" s="2">
        <v>312.90399999999994</v>
      </c>
    </row>
    <row r="572" spans="1:9" x14ac:dyDescent="0.3">
      <c r="A572" t="str">
        <f t="shared" si="197"/>
        <v>United States</v>
      </c>
      <c r="B572" t="str">
        <f t="shared" si="219"/>
        <v>Carrollton</v>
      </c>
      <c r="C572" t="str">
        <f t="shared" si="222"/>
        <v>Standard Class</v>
      </c>
      <c r="D572" t="str">
        <f t="shared" si="223"/>
        <v>Consumer</v>
      </c>
      <c r="E572" t="s">
        <v>18</v>
      </c>
      <c r="F572">
        <v>9</v>
      </c>
      <c r="G572">
        <v>0.2</v>
      </c>
      <c r="H572" s="2">
        <v>6.1307999999999998</v>
      </c>
      <c r="I572" s="2">
        <v>18.864000000000001</v>
      </c>
    </row>
    <row r="573" spans="1:9" x14ac:dyDescent="0.3">
      <c r="A573" t="str">
        <f t="shared" si="197"/>
        <v>United States</v>
      </c>
      <c r="B573" t="str">
        <f t="shared" si="219"/>
        <v>Carrollton</v>
      </c>
      <c r="C573" t="str">
        <f t="shared" si="222"/>
        <v>Standard Class</v>
      </c>
      <c r="D573" t="str">
        <f t="shared" si="223"/>
        <v>Consumer</v>
      </c>
      <c r="E573" t="s">
        <v>21</v>
      </c>
      <c r="F573">
        <v>3</v>
      </c>
      <c r="G573">
        <v>0.6</v>
      </c>
      <c r="H573" s="2">
        <v>-6.9101999999999997</v>
      </c>
      <c r="I573" s="2">
        <v>25.128000000000004</v>
      </c>
    </row>
    <row r="574" spans="1:9" x14ac:dyDescent="0.3">
      <c r="A574" t="str">
        <f t="shared" si="197"/>
        <v>United States</v>
      </c>
      <c r="B574" t="str">
        <f t="shared" si="219"/>
        <v>Carrollton</v>
      </c>
      <c r="C574" t="str">
        <f t="shared" si="222"/>
        <v>Standard Class</v>
      </c>
      <c r="D574" t="s">
        <v>15</v>
      </c>
      <c r="E574" t="s">
        <v>23</v>
      </c>
      <c r="F574">
        <v>4</v>
      </c>
      <c r="G574">
        <v>0.2</v>
      </c>
      <c r="H574" s="2">
        <v>26.391200000000001</v>
      </c>
      <c r="I574" s="2">
        <v>95.968000000000004</v>
      </c>
    </row>
    <row r="575" spans="1:9" x14ac:dyDescent="0.3">
      <c r="A575" t="str">
        <f t="shared" si="197"/>
        <v>United States</v>
      </c>
      <c r="B575" t="str">
        <f t="shared" si="219"/>
        <v>Carrollton</v>
      </c>
      <c r="C575" t="str">
        <f t="shared" si="222"/>
        <v>Standard Class</v>
      </c>
      <c r="D575" t="str">
        <f t="shared" ref="D575:D576" si="224">D574</f>
        <v>Corporate</v>
      </c>
      <c r="E575" t="s">
        <v>20</v>
      </c>
      <c r="F575">
        <v>3</v>
      </c>
      <c r="G575">
        <v>0.8</v>
      </c>
      <c r="H575" s="2">
        <v>-5.6406000000000018</v>
      </c>
      <c r="I575" s="2">
        <v>3.3179999999999996</v>
      </c>
    </row>
    <row r="576" spans="1:9" x14ac:dyDescent="0.3">
      <c r="A576" t="str">
        <f t="shared" si="197"/>
        <v>United States</v>
      </c>
      <c r="B576" t="str">
        <f t="shared" si="219"/>
        <v>Carrollton</v>
      </c>
      <c r="C576" t="str">
        <f t="shared" si="222"/>
        <v>Standard Class</v>
      </c>
      <c r="D576" t="str">
        <f t="shared" si="224"/>
        <v>Corporate</v>
      </c>
      <c r="E576" t="s">
        <v>16</v>
      </c>
      <c r="F576">
        <v>2</v>
      </c>
      <c r="G576">
        <v>0.2</v>
      </c>
      <c r="H576" s="2">
        <v>3.6288</v>
      </c>
      <c r="I576" s="2">
        <v>10.368000000000002</v>
      </c>
    </row>
    <row r="577" spans="1:9" x14ac:dyDescent="0.3">
      <c r="A577" t="str">
        <f t="shared" si="197"/>
        <v>United States</v>
      </c>
      <c r="B577" t="s">
        <v>98</v>
      </c>
      <c r="C577" t="s">
        <v>7</v>
      </c>
      <c r="D577" t="s">
        <v>15</v>
      </c>
      <c r="E577" t="s">
        <v>12</v>
      </c>
      <c r="F577">
        <v>5</v>
      </c>
      <c r="G577">
        <v>0.2</v>
      </c>
      <c r="H577" s="2">
        <v>5.0960000000000001</v>
      </c>
      <c r="I577" s="2">
        <v>58.240000000000009</v>
      </c>
    </row>
    <row r="578" spans="1:9" x14ac:dyDescent="0.3">
      <c r="A578" t="str">
        <f t="shared" si="197"/>
        <v>United States</v>
      </c>
      <c r="B578" t="str">
        <f t="shared" ref="B578:B582" si="225">B577</f>
        <v>Cary</v>
      </c>
      <c r="C578" t="str">
        <f>C577</f>
        <v>Second Class</v>
      </c>
      <c r="D578" t="str">
        <f>D577</f>
        <v>Corporate</v>
      </c>
      <c r="E578" t="s">
        <v>18</v>
      </c>
      <c r="F578">
        <v>3</v>
      </c>
      <c r="G578">
        <v>0.2</v>
      </c>
      <c r="H578" s="2">
        <v>2.7222</v>
      </c>
      <c r="I578" s="2">
        <v>8.3760000000000012</v>
      </c>
    </row>
    <row r="579" spans="1:9" x14ac:dyDescent="0.3">
      <c r="A579" t="str">
        <f t="shared" si="197"/>
        <v>United States</v>
      </c>
      <c r="B579" t="str">
        <f t="shared" si="225"/>
        <v>Cary</v>
      </c>
      <c r="C579" t="s">
        <v>22</v>
      </c>
      <c r="D579" t="s">
        <v>15</v>
      </c>
      <c r="E579" t="s">
        <v>23</v>
      </c>
      <c r="F579">
        <v>1</v>
      </c>
      <c r="G579">
        <v>0.2</v>
      </c>
      <c r="H579" s="2">
        <v>2.2823999999999991</v>
      </c>
      <c r="I579" s="2">
        <v>15.216000000000001</v>
      </c>
    </row>
    <row r="580" spans="1:9" x14ac:dyDescent="0.3">
      <c r="A580" t="str">
        <f t="shared" ref="A580:A643" si="226">A579</f>
        <v>United States</v>
      </c>
      <c r="B580" t="str">
        <f t="shared" si="225"/>
        <v>Cary</v>
      </c>
      <c r="C580" t="str">
        <f t="shared" ref="C580:C582" si="227">C579</f>
        <v>Standard Class</v>
      </c>
      <c r="D580" t="str">
        <f t="shared" ref="D580:D582" si="228">D579</f>
        <v>Corporate</v>
      </c>
      <c r="E580" t="s">
        <v>12</v>
      </c>
      <c r="F580">
        <v>5</v>
      </c>
      <c r="G580">
        <v>0.2</v>
      </c>
      <c r="H580" s="2">
        <v>18.769499999999987</v>
      </c>
      <c r="I580" s="2">
        <v>166.84</v>
      </c>
    </row>
    <row r="581" spans="1:9" x14ac:dyDescent="0.3">
      <c r="A581" t="str">
        <f t="shared" si="226"/>
        <v>United States</v>
      </c>
      <c r="B581" t="str">
        <f t="shared" si="225"/>
        <v>Cary</v>
      </c>
      <c r="C581" t="str">
        <f t="shared" si="227"/>
        <v>Standard Class</v>
      </c>
      <c r="D581" t="str">
        <f t="shared" si="228"/>
        <v>Corporate</v>
      </c>
      <c r="E581" t="s">
        <v>16</v>
      </c>
      <c r="F581">
        <v>2</v>
      </c>
      <c r="G581">
        <v>0.2</v>
      </c>
      <c r="H581" s="2">
        <v>3.6288</v>
      </c>
      <c r="I581" s="2">
        <v>10.368000000000002</v>
      </c>
    </row>
    <row r="582" spans="1:9" x14ac:dyDescent="0.3">
      <c r="A582" t="str">
        <f t="shared" si="226"/>
        <v>United States</v>
      </c>
      <c r="B582" t="str">
        <f t="shared" si="225"/>
        <v>Cary</v>
      </c>
      <c r="C582" t="str">
        <f t="shared" si="227"/>
        <v>Standard Class</v>
      </c>
      <c r="D582" t="str">
        <f t="shared" si="228"/>
        <v>Corporate</v>
      </c>
      <c r="E582" t="s">
        <v>24</v>
      </c>
      <c r="F582">
        <v>3</v>
      </c>
      <c r="G582">
        <v>0.2</v>
      </c>
      <c r="H582" s="2">
        <v>21.539699999999996</v>
      </c>
      <c r="I582" s="2">
        <v>246.16800000000001</v>
      </c>
    </row>
    <row r="583" spans="1:9" x14ac:dyDescent="0.3">
      <c r="A583" t="str">
        <f t="shared" si="226"/>
        <v>United States</v>
      </c>
      <c r="B583" t="s">
        <v>99</v>
      </c>
      <c r="C583" t="s">
        <v>22</v>
      </c>
      <c r="D583" t="s">
        <v>8</v>
      </c>
      <c r="E583" t="s">
        <v>38</v>
      </c>
      <c r="F583">
        <v>3</v>
      </c>
      <c r="G583">
        <v>0.2</v>
      </c>
      <c r="H583" s="2">
        <v>2.4779999999999989</v>
      </c>
      <c r="I583" s="2">
        <v>7.080000000000001</v>
      </c>
    </row>
    <row r="584" spans="1:9" x14ac:dyDescent="0.3">
      <c r="A584" t="str">
        <f t="shared" si="226"/>
        <v>United States</v>
      </c>
      <c r="B584" t="str">
        <f>B583</f>
        <v>Cedar Hill</v>
      </c>
      <c r="C584" t="str">
        <f>C583</f>
        <v>Standard Class</v>
      </c>
      <c r="D584" t="s">
        <v>15</v>
      </c>
      <c r="E584" t="s">
        <v>16</v>
      </c>
      <c r="F584">
        <v>3</v>
      </c>
      <c r="G584">
        <v>0.2</v>
      </c>
      <c r="H584" s="2">
        <v>40.353599999999986</v>
      </c>
      <c r="I584" s="2">
        <v>115.29600000000001</v>
      </c>
    </row>
    <row r="585" spans="1:9" x14ac:dyDescent="0.3">
      <c r="A585" t="str">
        <f t="shared" si="226"/>
        <v>United States</v>
      </c>
      <c r="B585" t="s">
        <v>100</v>
      </c>
      <c r="C585" t="s">
        <v>11</v>
      </c>
      <c r="D585" t="s">
        <v>8</v>
      </c>
      <c r="E585" t="s">
        <v>24</v>
      </c>
      <c r="F585">
        <v>3</v>
      </c>
      <c r="G585">
        <v>0</v>
      </c>
      <c r="H585" s="2">
        <v>80.735999999999976</v>
      </c>
      <c r="I585" s="2">
        <v>278.39999999999998</v>
      </c>
    </row>
    <row r="586" spans="1:9" x14ac:dyDescent="0.3">
      <c r="A586" t="str">
        <f t="shared" si="226"/>
        <v>United States</v>
      </c>
      <c r="B586" t="s">
        <v>101</v>
      </c>
      <c r="C586" t="s">
        <v>22</v>
      </c>
      <c r="D586" t="s">
        <v>8</v>
      </c>
      <c r="E586" t="s">
        <v>21</v>
      </c>
      <c r="F586">
        <v>5</v>
      </c>
      <c r="G586">
        <v>0.6</v>
      </c>
      <c r="H586" s="2">
        <v>-182.35200000000003</v>
      </c>
      <c r="I586" s="2">
        <v>151.96</v>
      </c>
    </row>
    <row r="587" spans="1:9" x14ac:dyDescent="0.3">
      <c r="A587" t="str">
        <f t="shared" si="226"/>
        <v>United States</v>
      </c>
      <c r="B587" t="s">
        <v>102</v>
      </c>
      <c r="C587" t="s">
        <v>27</v>
      </c>
      <c r="D587" t="s">
        <v>15</v>
      </c>
      <c r="E587" t="s">
        <v>16</v>
      </c>
      <c r="F587">
        <v>1</v>
      </c>
      <c r="G587">
        <v>0.2</v>
      </c>
      <c r="H587" s="2">
        <v>29.357999999999997</v>
      </c>
      <c r="I587" s="2">
        <v>83.88</v>
      </c>
    </row>
    <row r="588" spans="1:9" x14ac:dyDescent="0.3">
      <c r="A588" t="str">
        <f t="shared" si="226"/>
        <v>United States</v>
      </c>
      <c r="B588" t="str">
        <f t="shared" ref="B588:B592" si="229">B587</f>
        <v>Chandler</v>
      </c>
      <c r="C588" t="s">
        <v>22</v>
      </c>
      <c r="D588" t="s">
        <v>8</v>
      </c>
      <c r="E588" t="s">
        <v>19</v>
      </c>
      <c r="F588">
        <v>6</v>
      </c>
      <c r="G588">
        <v>0.4</v>
      </c>
      <c r="H588" s="2">
        <v>2.5359999999999996</v>
      </c>
      <c r="I588" s="2">
        <v>18.239999999999998</v>
      </c>
    </row>
    <row r="589" spans="1:9" x14ac:dyDescent="0.3">
      <c r="A589" t="str">
        <f t="shared" si="226"/>
        <v>United States</v>
      </c>
      <c r="B589" t="str">
        <f t="shared" si="229"/>
        <v>Chandler</v>
      </c>
      <c r="C589" t="str">
        <f t="shared" ref="C589:C592" si="230">C588</f>
        <v>Standard Class</v>
      </c>
      <c r="D589" t="s">
        <v>15</v>
      </c>
      <c r="E589" t="s">
        <v>25</v>
      </c>
      <c r="F589">
        <v>1</v>
      </c>
      <c r="G589">
        <v>0.5</v>
      </c>
      <c r="H589" s="2">
        <v>-45.827300000000008</v>
      </c>
      <c r="I589" s="2">
        <v>73.915000000000006</v>
      </c>
    </row>
    <row r="590" spans="1:9" x14ac:dyDescent="0.3">
      <c r="A590" t="str">
        <f t="shared" si="226"/>
        <v>United States</v>
      </c>
      <c r="B590" t="str">
        <f t="shared" si="229"/>
        <v>Chandler</v>
      </c>
      <c r="C590" t="str">
        <f t="shared" si="230"/>
        <v>Standard Class</v>
      </c>
      <c r="D590" t="s">
        <v>17</v>
      </c>
      <c r="E590" t="s">
        <v>33</v>
      </c>
      <c r="F590">
        <v>3</v>
      </c>
      <c r="G590">
        <v>0.2</v>
      </c>
      <c r="H590" s="2">
        <v>105.29699999999988</v>
      </c>
      <c r="I590" s="2">
        <v>842.37600000000009</v>
      </c>
    </row>
    <row r="591" spans="1:9" x14ac:dyDescent="0.3">
      <c r="A591" t="str">
        <f t="shared" si="226"/>
        <v>United States</v>
      </c>
      <c r="B591" t="str">
        <f t="shared" si="229"/>
        <v>Chandler</v>
      </c>
      <c r="C591" t="str">
        <f t="shared" si="230"/>
        <v>Standard Class</v>
      </c>
      <c r="D591" t="str">
        <f t="shared" ref="D591:D592" si="231">D590</f>
        <v>Home Office</v>
      </c>
      <c r="E591" t="s">
        <v>18</v>
      </c>
      <c r="F591">
        <v>8</v>
      </c>
      <c r="G591">
        <v>0.2</v>
      </c>
      <c r="H591" s="2">
        <v>-11.825600000000001</v>
      </c>
      <c r="I591" s="2">
        <v>49.792000000000002</v>
      </c>
    </row>
    <row r="592" spans="1:9" x14ac:dyDescent="0.3">
      <c r="A592" t="str">
        <f t="shared" si="226"/>
        <v>United States</v>
      </c>
      <c r="B592" t="str">
        <f t="shared" si="229"/>
        <v>Chandler</v>
      </c>
      <c r="C592" t="str">
        <f t="shared" si="230"/>
        <v>Standard Class</v>
      </c>
      <c r="D592" t="str">
        <f t="shared" si="231"/>
        <v>Home Office</v>
      </c>
      <c r="E592" t="s">
        <v>21</v>
      </c>
      <c r="F592">
        <v>4</v>
      </c>
      <c r="G592">
        <v>0.2</v>
      </c>
      <c r="H592" s="2">
        <v>1.9223999999999997</v>
      </c>
      <c r="I592" s="2">
        <v>8.5440000000000005</v>
      </c>
    </row>
    <row r="593" spans="1:9" x14ac:dyDescent="0.3">
      <c r="A593" t="str">
        <f t="shared" si="226"/>
        <v>United States</v>
      </c>
      <c r="B593" t="s">
        <v>103</v>
      </c>
      <c r="C593" t="s">
        <v>22</v>
      </c>
      <c r="D593" t="s">
        <v>15</v>
      </c>
      <c r="E593" t="s">
        <v>19</v>
      </c>
      <c r="F593">
        <v>3</v>
      </c>
      <c r="G593">
        <v>0.2</v>
      </c>
      <c r="H593" s="2">
        <v>4.7303999999999995</v>
      </c>
      <c r="I593" s="2">
        <v>14.015999999999998</v>
      </c>
    </row>
    <row r="594" spans="1:9" x14ac:dyDescent="0.3">
      <c r="A594" t="str">
        <f t="shared" si="226"/>
        <v>United States</v>
      </c>
      <c r="B594" t="s">
        <v>104</v>
      </c>
      <c r="C594" t="s">
        <v>11</v>
      </c>
      <c r="D594" t="s">
        <v>8</v>
      </c>
      <c r="E594" t="s">
        <v>19</v>
      </c>
      <c r="F594">
        <v>9</v>
      </c>
      <c r="G594">
        <v>0.2</v>
      </c>
      <c r="H594" s="2">
        <v>1.4255999999999993</v>
      </c>
      <c r="I594" s="2">
        <v>12.672000000000001</v>
      </c>
    </row>
    <row r="595" spans="1:9" x14ac:dyDescent="0.3">
      <c r="A595" t="str">
        <f t="shared" si="226"/>
        <v>United States</v>
      </c>
      <c r="B595" t="str">
        <f t="shared" ref="B595:B630" si="232">B594</f>
        <v>Charlotte</v>
      </c>
      <c r="C595" t="str">
        <f>C594</f>
        <v>First Class</v>
      </c>
      <c r="D595" t="str">
        <f>D594</f>
        <v>Consumer</v>
      </c>
      <c r="E595" t="s">
        <v>24</v>
      </c>
      <c r="F595">
        <v>5</v>
      </c>
      <c r="G595">
        <v>0.2</v>
      </c>
      <c r="H595" s="2">
        <v>16.997500000000016</v>
      </c>
      <c r="I595" s="2">
        <v>271.95999999999998</v>
      </c>
    </row>
    <row r="596" spans="1:9" x14ac:dyDescent="0.3">
      <c r="A596" t="str">
        <f t="shared" si="226"/>
        <v>United States</v>
      </c>
      <c r="B596" t="str">
        <f t="shared" si="232"/>
        <v>Charlotte</v>
      </c>
      <c r="C596" t="s">
        <v>27</v>
      </c>
      <c r="D596" t="s">
        <v>8</v>
      </c>
      <c r="E596" t="s">
        <v>23</v>
      </c>
      <c r="F596">
        <v>3</v>
      </c>
      <c r="G596">
        <v>0.2</v>
      </c>
      <c r="H596" s="2">
        <v>4.9877999999999982</v>
      </c>
      <c r="I596" s="2">
        <v>23.472000000000001</v>
      </c>
    </row>
    <row r="597" spans="1:9" x14ac:dyDescent="0.3">
      <c r="A597" t="str">
        <f t="shared" si="226"/>
        <v>United States</v>
      </c>
      <c r="B597" t="str">
        <f t="shared" si="232"/>
        <v>Charlotte</v>
      </c>
      <c r="C597" t="str">
        <f t="shared" ref="C597:C599" si="233">C596</f>
        <v>Same Day</v>
      </c>
      <c r="D597" t="str">
        <f t="shared" ref="D597:D599" si="234">D596</f>
        <v>Consumer</v>
      </c>
      <c r="E597" t="s">
        <v>20</v>
      </c>
      <c r="F597">
        <v>11</v>
      </c>
      <c r="G597">
        <v>0.7</v>
      </c>
      <c r="H597" s="2">
        <v>-52.548099999999991</v>
      </c>
      <c r="I597" s="2">
        <v>68.541000000000011</v>
      </c>
    </row>
    <row r="598" spans="1:9" x14ac:dyDescent="0.3">
      <c r="A598" t="str">
        <f t="shared" si="226"/>
        <v>United States</v>
      </c>
      <c r="B598" t="str">
        <f t="shared" si="232"/>
        <v>Charlotte</v>
      </c>
      <c r="C598" t="str">
        <f t="shared" si="233"/>
        <v>Same Day</v>
      </c>
      <c r="D598" t="str">
        <f t="shared" si="234"/>
        <v>Consumer</v>
      </c>
      <c r="E598" t="s">
        <v>43</v>
      </c>
      <c r="F598">
        <v>5</v>
      </c>
      <c r="G598">
        <v>0.2</v>
      </c>
      <c r="H598" s="2">
        <v>39.689000000000007</v>
      </c>
      <c r="I598" s="2">
        <v>122.12000000000002</v>
      </c>
    </row>
    <row r="599" spans="1:9" x14ac:dyDescent="0.3">
      <c r="A599" t="str">
        <f t="shared" si="226"/>
        <v>United States</v>
      </c>
      <c r="B599" t="str">
        <f t="shared" si="232"/>
        <v>Charlotte</v>
      </c>
      <c r="C599" t="str">
        <f t="shared" si="233"/>
        <v>Same Day</v>
      </c>
      <c r="D599" t="str">
        <f t="shared" si="234"/>
        <v>Consumer</v>
      </c>
      <c r="E599" t="s">
        <v>24</v>
      </c>
      <c r="F599">
        <v>4</v>
      </c>
      <c r="G599">
        <v>0.2</v>
      </c>
      <c r="H599" s="2">
        <v>70.55639999999994</v>
      </c>
      <c r="I599" s="2">
        <v>627.16800000000012</v>
      </c>
    </row>
    <row r="600" spans="1:9" x14ac:dyDescent="0.3">
      <c r="A600" t="str">
        <f t="shared" si="226"/>
        <v>United States</v>
      </c>
      <c r="B600" t="str">
        <f t="shared" si="232"/>
        <v>Charlotte</v>
      </c>
      <c r="C600" t="s">
        <v>7</v>
      </c>
      <c r="D600" t="s">
        <v>15</v>
      </c>
      <c r="E600" t="s">
        <v>14</v>
      </c>
      <c r="F600">
        <v>2</v>
      </c>
      <c r="G600">
        <v>0.2</v>
      </c>
      <c r="H600" s="2">
        <v>3.9591999999999992</v>
      </c>
      <c r="I600" s="2">
        <v>45.248000000000005</v>
      </c>
    </row>
    <row r="601" spans="1:9" x14ac:dyDescent="0.3">
      <c r="A601" t="str">
        <f t="shared" si="226"/>
        <v>United States</v>
      </c>
      <c r="B601" t="str">
        <f t="shared" si="232"/>
        <v>Charlotte</v>
      </c>
      <c r="C601" t="str">
        <f t="shared" ref="C601:C605" si="235">C600</f>
        <v>Second Class</v>
      </c>
      <c r="D601" t="str">
        <f t="shared" ref="D601:D602" si="236">D600</f>
        <v>Corporate</v>
      </c>
      <c r="E601" t="s">
        <v>9</v>
      </c>
      <c r="F601">
        <v>2</v>
      </c>
      <c r="G601">
        <v>0.2</v>
      </c>
      <c r="H601" s="2">
        <v>-34.758000000000017</v>
      </c>
      <c r="I601" s="2">
        <v>185.376</v>
      </c>
    </row>
    <row r="602" spans="1:9" x14ac:dyDescent="0.3">
      <c r="A602" t="str">
        <f t="shared" si="226"/>
        <v>United States</v>
      </c>
      <c r="B602" t="str">
        <f t="shared" si="232"/>
        <v>Charlotte</v>
      </c>
      <c r="C602" t="str">
        <f t="shared" si="235"/>
        <v>Second Class</v>
      </c>
      <c r="D602" t="str">
        <f t="shared" si="236"/>
        <v>Corporate</v>
      </c>
      <c r="E602" t="s">
        <v>25</v>
      </c>
      <c r="F602">
        <v>10</v>
      </c>
      <c r="G602">
        <v>0.4</v>
      </c>
      <c r="H602" s="2">
        <v>-292.10000000000014</v>
      </c>
      <c r="I602" s="2">
        <v>876.30000000000007</v>
      </c>
    </row>
    <row r="603" spans="1:9" x14ac:dyDescent="0.3">
      <c r="A603" t="str">
        <f t="shared" si="226"/>
        <v>United States</v>
      </c>
      <c r="B603" t="str">
        <f t="shared" si="232"/>
        <v>Charlotte</v>
      </c>
      <c r="C603" t="str">
        <f t="shared" si="235"/>
        <v>Second Class</v>
      </c>
      <c r="D603" t="s">
        <v>17</v>
      </c>
      <c r="E603" t="s">
        <v>23</v>
      </c>
      <c r="F603">
        <v>8</v>
      </c>
      <c r="G603">
        <v>0.2</v>
      </c>
      <c r="H603" s="2">
        <v>76.704000000000008</v>
      </c>
      <c r="I603" s="2">
        <v>255.68000000000004</v>
      </c>
    </row>
    <row r="604" spans="1:9" x14ac:dyDescent="0.3">
      <c r="A604" t="str">
        <f t="shared" si="226"/>
        <v>United States</v>
      </c>
      <c r="B604" t="str">
        <f t="shared" si="232"/>
        <v>Charlotte</v>
      </c>
      <c r="C604" t="str">
        <f t="shared" si="235"/>
        <v>Second Class</v>
      </c>
      <c r="D604" t="str">
        <f t="shared" ref="D604:D605" si="237">D603</f>
        <v>Home Office</v>
      </c>
      <c r="E604" t="s">
        <v>20</v>
      </c>
      <c r="F604">
        <v>3</v>
      </c>
      <c r="G604">
        <v>0.7</v>
      </c>
      <c r="H604" s="2">
        <v>-20.446799999999996</v>
      </c>
      <c r="I604" s="2">
        <v>27.882000000000005</v>
      </c>
    </row>
    <row r="605" spans="1:9" x14ac:dyDescent="0.3">
      <c r="A605" t="str">
        <f t="shared" si="226"/>
        <v>United States</v>
      </c>
      <c r="B605" t="str">
        <f t="shared" si="232"/>
        <v>Charlotte</v>
      </c>
      <c r="C605" t="str">
        <f t="shared" si="235"/>
        <v>Second Class</v>
      </c>
      <c r="D605" t="str">
        <f t="shared" si="237"/>
        <v>Home Office</v>
      </c>
      <c r="E605" t="s">
        <v>14</v>
      </c>
      <c r="F605">
        <v>3</v>
      </c>
      <c r="G605">
        <v>0.2</v>
      </c>
      <c r="H605" s="2">
        <v>-47.254199999999997</v>
      </c>
      <c r="I605" s="2">
        <v>540.048</v>
      </c>
    </row>
    <row r="606" spans="1:9" x14ac:dyDescent="0.3">
      <c r="A606" t="str">
        <f t="shared" si="226"/>
        <v>United States</v>
      </c>
      <c r="B606" t="str">
        <f t="shared" si="232"/>
        <v>Charlotte</v>
      </c>
      <c r="C606" t="s">
        <v>22</v>
      </c>
      <c r="D606" t="s">
        <v>8</v>
      </c>
      <c r="E606" t="s">
        <v>23</v>
      </c>
      <c r="F606">
        <v>16</v>
      </c>
      <c r="G606">
        <v>0.60000000000000009</v>
      </c>
      <c r="H606" s="2">
        <v>429.19560000000001</v>
      </c>
      <c r="I606" s="2">
        <v>1517.9520000000002</v>
      </c>
    </row>
    <row r="607" spans="1:9" x14ac:dyDescent="0.3">
      <c r="A607" t="str">
        <f t="shared" si="226"/>
        <v>United States</v>
      </c>
      <c r="B607" t="str">
        <f t="shared" si="232"/>
        <v>Charlotte</v>
      </c>
      <c r="C607" t="str">
        <f t="shared" ref="C607:C630" si="238">C606</f>
        <v>Standard Class</v>
      </c>
      <c r="D607" t="str">
        <f t="shared" ref="D607:D616" si="239">D606</f>
        <v>Consumer</v>
      </c>
      <c r="E607" t="s">
        <v>12</v>
      </c>
      <c r="F607">
        <v>9</v>
      </c>
      <c r="G607">
        <v>0.2</v>
      </c>
      <c r="H607" s="2">
        <v>34.813799999999944</v>
      </c>
      <c r="I607" s="2">
        <v>309.45600000000002</v>
      </c>
    </row>
    <row r="608" spans="1:9" x14ac:dyDescent="0.3">
      <c r="A608" t="str">
        <f t="shared" si="226"/>
        <v>United States</v>
      </c>
      <c r="B608" t="str">
        <f t="shared" si="232"/>
        <v>Charlotte</v>
      </c>
      <c r="C608" t="str">
        <f t="shared" si="238"/>
        <v>Standard Class</v>
      </c>
      <c r="D608" t="str">
        <f t="shared" si="239"/>
        <v>Consumer</v>
      </c>
      <c r="E608" t="s">
        <v>19</v>
      </c>
      <c r="F608">
        <v>5</v>
      </c>
      <c r="G608">
        <v>0.4</v>
      </c>
      <c r="H608" s="2">
        <v>4.4785999999999984</v>
      </c>
      <c r="I608" s="2">
        <v>22.760000000000005</v>
      </c>
    </row>
    <row r="609" spans="1:9" x14ac:dyDescent="0.3">
      <c r="A609" t="str">
        <f t="shared" si="226"/>
        <v>United States</v>
      </c>
      <c r="B609" t="str">
        <f t="shared" si="232"/>
        <v>Charlotte</v>
      </c>
      <c r="C609" t="str">
        <f t="shared" si="238"/>
        <v>Standard Class</v>
      </c>
      <c r="D609" t="str">
        <f t="shared" si="239"/>
        <v>Consumer</v>
      </c>
      <c r="E609" t="s">
        <v>20</v>
      </c>
      <c r="F609">
        <v>15</v>
      </c>
      <c r="G609">
        <v>2.0999999999999996</v>
      </c>
      <c r="H609" s="2">
        <v>-50.283499999999989</v>
      </c>
      <c r="I609" s="2">
        <v>67.527000000000015</v>
      </c>
    </row>
    <row r="610" spans="1:9" x14ac:dyDescent="0.3">
      <c r="A610" t="str">
        <f t="shared" si="226"/>
        <v>United States</v>
      </c>
      <c r="B610" t="str">
        <f t="shared" si="232"/>
        <v>Charlotte</v>
      </c>
      <c r="C610" t="str">
        <f t="shared" si="238"/>
        <v>Standard Class</v>
      </c>
      <c r="D610" t="str">
        <f t="shared" si="239"/>
        <v>Consumer</v>
      </c>
      <c r="E610" t="s">
        <v>33</v>
      </c>
      <c r="F610">
        <v>3</v>
      </c>
      <c r="G610">
        <v>0.2</v>
      </c>
      <c r="H610" s="2">
        <v>15.147000000000006</v>
      </c>
      <c r="I610" s="2">
        <v>242.35200000000003</v>
      </c>
    </row>
    <row r="611" spans="1:9" x14ac:dyDescent="0.3">
      <c r="A611" t="str">
        <f t="shared" si="226"/>
        <v>United States</v>
      </c>
      <c r="B611" t="str">
        <f t="shared" si="232"/>
        <v>Charlotte</v>
      </c>
      <c r="C611" t="str">
        <f t="shared" si="238"/>
        <v>Standard Class</v>
      </c>
      <c r="D611" t="str">
        <f t="shared" si="239"/>
        <v>Consumer</v>
      </c>
      <c r="E611" t="s">
        <v>43</v>
      </c>
      <c r="F611">
        <v>2</v>
      </c>
      <c r="G611">
        <v>0.2</v>
      </c>
      <c r="H611" s="2">
        <v>1.764</v>
      </c>
      <c r="I611" s="2">
        <v>5.04</v>
      </c>
    </row>
    <row r="612" spans="1:9" x14ac:dyDescent="0.3">
      <c r="A612" t="str">
        <f t="shared" si="226"/>
        <v>United States</v>
      </c>
      <c r="B612" t="str">
        <f t="shared" si="232"/>
        <v>Charlotte</v>
      </c>
      <c r="C612" t="str">
        <f t="shared" si="238"/>
        <v>Standard Class</v>
      </c>
      <c r="D612" t="str">
        <f t="shared" si="239"/>
        <v>Consumer</v>
      </c>
      <c r="E612" t="s">
        <v>46</v>
      </c>
      <c r="F612">
        <v>3</v>
      </c>
      <c r="G612">
        <v>0.5</v>
      </c>
      <c r="H612" s="2">
        <v>-944.99460000000045</v>
      </c>
      <c r="I612" s="2">
        <v>2624.9850000000001</v>
      </c>
    </row>
    <row r="613" spans="1:9" x14ac:dyDescent="0.3">
      <c r="A613" t="str">
        <f t="shared" si="226"/>
        <v>United States</v>
      </c>
      <c r="B613" t="str">
        <f t="shared" si="232"/>
        <v>Charlotte</v>
      </c>
      <c r="C613" t="str">
        <f t="shared" si="238"/>
        <v>Standard Class</v>
      </c>
      <c r="D613" t="str">
        <f t="shared" si="239"/>
        <v>Consumer</v>
      </c>
      <c r="E613" t="s">
        <v>16</v>
      </c>
      <c r="F613">
        <v>12</v>
      </c>
      <c r="G613">
        <v>0.4</v>
      </c>
      <c r="H613" s="2">
        <v>161.13999999999999</v>
      </c>
      <c r="I613" s="2">
        <v>460.40000000000003</v>
      </c>
    </row>
    <row r="614" spans="1:9" x14ac:dyDescent="0.3">
      <c r="A614" t="str">
        <f t="shared" si="226"/>
        <v>United States</v>
      </c>
      <c r="B614" t="str">
        <f t="shared" si="232"/>
        <v>Charlotte</v>
      </c>
      <c r="C614" t="str">
        <f t="shared" si="238"/>
        <v>Standard Class</v>
      </c>
      <c r="D614" t="str">
        <f t="shared" si="239"/>
        <v>Consumer</v>
      </c>
      <c r="E614" t="s">
        <v>24</v>
      </c>
      <c r="F614">
        <v>1</v>
      </c>
      <c r="G614">
        <v>0.2</v>
      </c>
      <c r="H614" s="2">
        <v>2.0993999999999993</v>
      </c>
      <c r="I614" s="2">
        <v>27.992000000000004</v>
      </c>
    </row>
    <row r="615" spans="1:9" x14ac:dyDescent="0.3">
      <c r="A615" t="str">
        <f t="shared" si="226"/>
        <v>United States</v>
      </c>
      <c r="B615" t="str">
        <f t="shared" si="232"/>
        <v>Charlotte</v>
      </c>
      <c r="C615" t="str">
        <f t="shared" si="238"/>
        <v>Standard Class</v>
      </c>
      <c r="D615" t="str">
        <f t="shared" si="239"/>
        <v>Consumer</v>
      </c>
      <c r="E615" t="s">
        <v>14</v>
      </c>
      <c r="F615">
        <v>16</v>
      </c>
      <c r="G615">
        <v>0.60000000000000009</v>
      </c>
      <c r="H615" s="2">
        <v>-33.846300000000085</v>
      </c>
      <c r="I615" s="2">
        <v>1159.8240000000001</v>
      </c>
    </row>
    <row r="616" spans="1:9" x14ac:dyDescent="0.3">
      <c r="A616" t="str">
        <f t="shared" si="226"/>
        <v>United States</v>
      </c>
      <c r="B616" t="str">
        <f t="shared" si="232"/>
        <v>Charlotte</v>
      </c>
      <c r="C616" t="str">
        <f t="shared" si="238"/>
        <v>Standard Class</v>
      </c>
      <c r="D616" t="str">
        <f t="shared" si="239"/>
        <v>Consumer</v>
      </c>
      <c r="E616" t="s">
        <v>25</v>
      </c>
      <c r="F616">
        <v>3</v>
      </c>
      <c r="G616">
        <v>0.4</v>
      </c>
      <c r="H616" s="2">
        <v>-149.63070000000005</v>
      </c>
      <c r="I616" s="2">
        <v>472.51800000000003</v>
      </c>
    </row>
    <row r="617" spans="1:9" x14ac:dyDescent="0.3">
      <c r="A617" t="str">
        <f t="shared" si="226"/>
        <v>United States</v>
      </c>
      <c r="B617" t="str">
        <f t="shared" si="232"/>
        <v>Charlotte</v>
      </c>
      <c r="C617" t="str">
        <f t="shared" si="238"/>
        <v>Standard Class</v>
      </c>
      <c r="D617" t="s">
        <v>15</v>
      </c>
      <c r="E617" t="s">
        <v>12</v>
      </c>
      <c r="F617">
        <v>1</v>
      </c>
      <c r="G617">
        <v>0.2</v>
      </c>
      <c r="H617" s="2">
        <v>10.224499999999994</v>
      </c>
      <c r="I617" s="2">
        <v>62.920000000000009</v>
      </c>
    </row>
    <row r="618" spans="1:9" x14ac:dyDescent="0.3">
      <c r="A618" t="str">
        <f t="shared" si="226"/>
        <v>United States</v>
      </c>
      <c r="B618" t="str">
        <f t="shared" si="232"/>
        <v>Charlotte</v>
      </c>
      <c r="C618" t="str">
        <f t="shared" si="238"/>
        <v>Standard Class</v>
      </c>
      <c r="D618" t="str">
        <f t="shared" ref="D618:D625" si="240">D617</f>
        <v>Corporate</v>
      </c>
      <c r="E618" t="s">
        <v>19</v>
      </c>
      <c r="F618">
        <v>3</v>
      </c>
      <c r="G618">
        <v>0.2</v>
      </c>
      <c r="H618" s="2">
        <v>0.89880000000000004</v>
      </c>
      <c r="I618" s="2">
        <v>10.272000000000002</v>
      </c>
    </row>
    <row r="619" spans="1:9" x14ac:dyDescent="0.3">
      <c r="A619" t="str">
        <f t="shared" si="226"/>
        <v>United States</v>
      </c>
      <c r="B619" t="str">
        <f t="shared" si="232"/>
        <v>Charlotte</v>
      </c>
      <c r="C619" t="str">
        <f t="shared" si="238"/>
        <v>Standard Class</v>
      </c>
      <c r="D619" t="str">
        <f t="shared" si="240"/>
        <v>Corporate</v>
      </c>
      <c r="E619" t="s">
        <v>20</v>
      </c>
      <c r="F619">
        <v>7</v>
      </c>
      <c r="G619">
        <v>0.7</v>
      </c>
      <c r="H619" s="2">
        <v>-12.431999999999999</v>
      </c>
      <c r="I619" s="2">
        <v>18.648000000000003</v>
      </c>
    </row>
    <row r="620" spans="1:9" x14ac:dyDescent="0.3">
      <c r="A620" t="str">
        <f t="shared" si="226"/>
        <v>United States</v>
      </c>
      <c r="B620" t="str">
        <f t="shared" si="232"/>
        <v>Charlotte</v>
      </c>
      <c r="C620" t="str">
        <f t="shared" si="238"/>
        <v>Standard Class</v>
      </c>
      <c r="D620" t="str">
        <f t="shared" si="240"/>
        <v>Corporate</v>
      </c>
      <c r="E620" t="s">
        <v>45</v>
      </c>
      <c r="F620">
        <v>4</v>
      </c>
      <c r="G620">
        <v>0.2</v>
      </c>
      <c r="H620" s="2">
        <v>119.99599999999992</v>
      </c>
      <c r="I620" s="2">
        <v>959.96800000000007</v>
      </c>
    </row>
    <row r="621" spans="1:9" x14ac:dyDescent="0.3">
      <c r="A621" t="str">
        <f t="shared" si="226"/>
        <v>United States</v>
      </c>
      <c r="B621" t="str">
        <f t="shared" si="232"/>
        <v>Charlotte</v>
      </c>
      <c r="C621" t="str">
        <f t="shared" si="238"/>
        <v>Standard Class</v>
      </c>
      <c r="D621" t="str">
        <f t="shared" si="240"/>
        <v>Corporate</v>
      </c>
      <c r="E621" t="s">
        <v>18</v>
      </c>
      <c r="F621">
        <v>5</v>
      </c>
      <c r="G621">
        <v>0.2</v>
      </c>
      <c r="H621" s="2">
        <v>1.4099999999999997</v>
      </c>
      <c r="I621" s="2">
        <v>7.52</v>
      </c>
    </row>
    <row r="622" spans="1:9" x14ac:dyDescent="0.3">
      <c r="A622" t="str">
        <f t="shared" si="226"/>
        <v>United States</v>
      </c>
      <c r="B622" t="str">
        <f t="shared" si="232"/>
        <v>Charlotte</v>
      </c>
      <c r="C622" t="str">
        <f t="shared" si="238"/>
        <v>Standard Class</v>
      </c>
      <c r="D622" t="str">
        <f t="shared" si="240"/>
        <v>Corporate</v>
      </c>
      <c r="E622" t="s">
        <v>21</v>
      </c>
      <c r="F622">
        <v>6</v>
      </c>
      <c r="G622">
        <v>0.4</v>
      </c>
      <c r="H622" s="2">
        <v>12.874400000000001</v>
      </c>
      <c r="I622" s="2">
        <v>49.055999999999997</v>
      </c>
    </row>
    <row r="623" spans="1:9" x14ac:dyDescent="0.3">
      <c r="A623" t="str">
        <f t="shared" si="226"/>
        <v>United States</v>
      </c>
      <c r="B623" t="str">
        <f t="shared" si="232"/>
        <v>Charlotte</v>
      </c>
      <c r="C623" t="str">
        <f t="shared" si="238"/>
        <v>Standard Class</v>
      </c>
      <c r="D623" t="str">
        <f t="shared" si="240"/>
        <v>Corporate</v>
      </c>
      <c r="E623" t="s">
        <v>43</v>
      </c>
      <c r="F623">
        <v>18</v>
      </c>
      <c r="G623">
        <v>0.60000000000000009</v>
      </c>
      <c r="H623" s="2">
        <v>25.730399999999996</v>
      </c>
      <c r="I623" s="2">
        <v>77.13600000000001</v>
      </c>
    </row>
    <row r="624" spans="1:9" x14ac:dyDescent="0.3">
      <c r="A624" t="str">
        <f t="shared" si="226"/>
        <v>United States</v>
      </c>
      <c r="B624" t="str">
        <f t="shared" si="232"/>
        <v>Charlotte</v>
      </c>
      <c r="C624" t="str">
        <f t="shared" si="238"/>
        <v>Standard Class</v>
      </c>
      <c r="D624" t="str">
        <f t="shared" si="240"/>
        <v>Corporate</v>
      </c>
      <c r="E624" t="s">
        <v>16</v>
      </c>
      <c r="F624">
        <v>7</v>
      </c>
      <c r="G624">
        <v>0.4</v>
      </c>
      <c r="H624" s="2">
        <v>40.688999999999993</v>
      </c>
      <c r="I624" s="2">
        <v>114.54400000000001</v>
      </c>
    </row>
    <row r="625" spans="1:9" x14ac:dyDescent="0.3">
      <c r="A625" t="str">
        <f t="shared" si="226"/>
        <v>United States</v>
      </c>
      <c r="B625" t="str">
        <f t="shared" si="232"/>
        <v>Charlotte</v>
      </c>
      <c r="C625" t="str">
        <f t="shared" si="238"/>
        <v>Standard Class</v>
      </c>
      <c r="D625" t="str">
        <f t="shared" si="240"/>
        <v>Corporate</v>
      </c>
      <c r="E625" t="s">
        <v>24</v>
      </c>
      <c r="F625">
        <v>9</v>
      </c>
      <c r="G625">
        <v>0.2</v>
      </c>
      <c r="H625" s="2">
        <v>110.1194999999999</v>
      </c>
      <c r="I625" s="2">
        <v>978.83999999999992</v>
      </c>
    </row>
    <row r="626" spans="1:9" x14ac:dyDescent="0.3">
      <c r="A626" t="str">
        <f t="shared" si="226"/>
        <v>United States</v>
      </c>
      <c r="B626" t="str">
        <f t="shared" si="232"/>
        <v>Charlotte</v>
      </c>
      <c r="C626" t="str">
        <f t="shared" si="238"/>
        <v>Standard Class</v>
      </c>
      <c r="D626" t="s">
        <v>17</v>
      </c>
      <c r="E626" t="s">
        <v>20</v>
      </c>
      <c r="F626">
        <v>13</v>
      </c>
      <c r="G626">
        <v>1.4</v>
      </c>
      <c r="H626" s="2">
        <v>-62.263200000000005</v>
      </c>
      <c r="I626" s="2">
        <v>86.238000000000014</v>
      </c>
    </row>
    <row r="627" spans="1:9" x14ac:dyDescent="0.3">
      <c r="A627" t="str">
        <f t="shared" si="226"/>
        <v>United States</v>
      </c>
      <c r="B627" t="str">
        <f t="shared" si="232"/>
        <v>Charlotte</v>
      </c>
      <c r="C627" t="str">
        <f t="shared" si="238"/>
        <v>Standard Class</v>
      </c>
      <c r="D627" t="str">
        <f t="shared" ref="D627:D630" si="241">D626</f>
        <v>Home Office</v>
      </c>
      <c r="E627" t="s">
        <v>18</v>
      </c>
      <c r="F627">
        <v>3</v>
      </c>
      <c r="G627">
        <v>0.2</v>
      </c>
      <c r="H627" s="2">
        <v>5.9174999999999986</v>
      </c>
      <c r="I627" s="2">
        <v>18.936</v>
      </c>
    </row>
    <row r="628" spans="1:9" x14ac:dyDescent="0.3">
      <c r="A628" t="str">
        <f t="shared" si="226"/>
        <v>United States</v>
      </c>
      <c r="B628" t="str">
        <f t="shared" si="232"/>
        <v>Charlotte</v>
      </c>
      <c r="C628" t="str">
        <f t="shared" si="238"/>
        <v>Standard Class</v>
      </c>
      <c r="D628" t="str">
        <f t="shared" si="241"/>
        <v>Home Office</v>
      </c>
      <c r="E628" t="s">
        <v>24</v>
      </c>
      <c r="F628">
        <v>3</v>
      </c>
      <c r="G628">
        <v>0.4</v>
      </c>
      <c r="H628" s="2">
        <v>20.274799999999992</v>
      </c>
      <c r="I628" s="2">
        <v>258.34399999999999</v>
      </c>
    </row>
    <row r="629" spans="1:9" x14ac:dyDescent="0.3">
      <c r="A629" t="str">
        <f t="shared" si="226"/>
        <v>United States</v>
      </c>
      <c r="B629" t="str">
        <f t="shared" si="232"/>
        <v>Charlotte</v>
      </c>
      <c r="C629" t="str">
        <f t="shared" si="238"/>
        <v>Standard Class</v>
      </c>
      <c r="D629" t="str">
        <f t="shared" si="241"/>
        <v>Home Office</v>
      </c>
      <c r="E629" t="s">
        <v>14</v>
      </c>
      <c r="F629">
        <v>11</v>
      </c>
      <c r="G629">
        <v>0.4</v>
      </c>
      <c r="H629" s="2">
        <v>95.793799999999919</v>
      </c>
      <c r="I629" s="2">
        <v>928.88</v>
      </c>
    </row>
    <row r="630" spans="1:9" x14ac:dyDescent="0.3">
      <c r="A630" t="str">
        <f t="shared" si="226"/>
        <v>United States</v>
      </c>
      <c r="B630" t="str">
        <f t="shared" si="232"/>
        <v>Charlotte</v>
      </c>
      <c r="C630" t="str">
        <f t="shared" si="238"/>
        <v>Standard Class</v>
      </c>
      <c r="D630" t="str">
        <f t="shared" si="241"/>
        <v>Home Office</v>
      </c>
      <c r="E630" t="s">
        <v>25</v>
      </c>
      <c r="F630">
        <v>3</v>
      </c>
      <c r="G630">
        <v>0.4</v>
      </c>
      <c r="H630" s="2">
        <v>-36.11160000000001</v>
      </c>
      <c r="I630" s="2">
        <v>154.76400000000001</v>
      </c>
    </row>
    <row r="631" spans="1:9" x14ac:dyDescent="0.3">
      <c r="A631" t="str">
        <f t="shared" si="226"/>
        <v>United States</v>
      </c>
      <c r="B631" t="s">
        <v>105</v>
      </c>
      <c r="C631" t="s">
        <v>11</v>
      </c>
      <c r="D631" t="s">
        <v>8</v>
      </c>
      <c r="E631" t="s">
        <v>19</v>
      </c>
      <c r="F631">
        <v>3</v>
      </c>
      <c r="G631">
        <v>0</v>
      </c>
      <c r="H631" s="2">
        <v>10.395</v>
      </c>
      <c r="I631" s="2">
        <v>34.650000000000006</v>
      </c>
    </row>
    <row r="632" spans="1:9" x14ac:dyDescent="0.3">
      <c r="A632" t="str">
        <f t="shared" si="226"/>
        <v>United States</v>
      </c>
      <c r="B632" t="str">
        <f>B631</f>
        <v>Charlottesville</v>
      </c>
      <c r="C632" t="s">
        <v>22</v>
      </c>
      <c r="D632" t="s">
        <v>17</v>
      </c>
      <c r="E632" t="s">
        <v>21</v>
      </c>
      <c r="F632">
        <v>4</v>
      </c>
      <c r="G632">
        <v>0</v>
      </c>
      <c r="H632" s="2">
        <v>12.232799999999997</v>
      </c>
      <c r="I632" s="2">
        <v>67.959999999999994</v>
      </c>
    </row>
    <row r="633" spans="1:9" x14ac:dyDescent="0.3">
      <c r="A633" t="str">
        <f t="shared" si="226"/>
        <v>United States</v>
      </c>
      <c r="B633" t="s">
        <v>106</v>
      </c>
      <c r="C633" t="s">
        <v>7</v>
      </c>
      <c r="D633" t="s">
        <v>17</v>
      </c>
      <c r="E633" t="s">
        <v>46</v>
      </c>
      <c r="F633">
        <v>1</v>
      </c>
      <c r="G633">
        <v>0.5</v>
      </c>
      <c r="H633" s="2">
        <v>-1.8294999999999959</v>
      </c>
      <c r="I633" s="2">
        <v>91.474999999999994</v>
      </c>
    </row>
    <row r="634" spans="1:9" x14ac:dyDescent="0.3">
      <c r="A634" t="str">
        <f t="shared" si="226"/>
        <v>United States</v>
      </c>
      <c r="B634" t="str">
        <f t="shared" ref="B634:B641" si="242">B633</f>
        <v>Chattanooga</v>
      </c>
      <c r="C634" t="s">
        <v>22</v>
      </c>
      <c r="D634" t="s">
        <v>8</v>
      </c>
      <c r="E634" t="s">
        <v>23</v>
      </c>
      <c r="F634">
        <v>3</v>
      </c>
      <c r="G634">
        <v>0.2</v>
      </c>
      <c r="H634" s="2">
        <v>15.596099999999996</v>
      </c>
      <c r="I634" s="2">
        <v>95.976000000000013</v>
      </c>
    </row>
    <row r="635" spans="1:9" x14ac:dyDescent="0.3">
      <c r="A635" t="str">
        <f t="shared" si="226"/>
        <v>United States</v>
      </c>
      <c r="B635" t="str">
        <f t="shared" si="242"/>
        <v>Chattanooga</v>
      </c>
      <c r="C635" t="str">
        <f t="shared" ref="C635:C641" si="243">C634</f>
        <v>Standard Class</v>
      </c>
      <c r="D635" t="str">
        <f t="shared" ref="D635:D639" si="244">D634</f>
        <v>Consumer</v>
      </c>
      <c r="E635" t="s">
        <v>20</v>
      </c>
      <c r="F635">
        <v>2</v>
      </c>
      <c r="G635">
        <v>0.7</v>
      </c>
      <c r="H635" s="2">
        <v>-2.9700000000000006</v>
      </c>
      <c r="I635" s="2">
        <v>3.5640000000000009</v>
      </c>
    </row>
    <row r="636" spans="1:9" x14ac:dyDescent="0.3">
      <c r="A636" t="str">
        <f t="shared" si="226"/>
        <v>United States</v>
      </c>
      <c r="B636" t="str">
        <f t="shared" si="242"/>
        <v>Chattanooga</v>
      </c>
      <c r="C636" t="str">
        <f t="shared" si="243"/>
        <v>Standard Class</v>
      </c>
      <c r="D636" t="str">
        <f t="shared" si="244"/>
        <v>Consumer</v>
      </c>
      <c r="E636" t="s">
        <v>33</v>
      </c>
      <c r="F636">
        <v>2</v>
      </c>
      <c r="G636">
        <v>0.2</v>
      </c>
      <c r="H636" s="2">
        <v>48.795999999999978</v>
      </c>
      <c r="I636" s="2">
        <v>390.36799999999999</v>
      </c>
    </row>
    <row r="637" spans="1:9" x14ac:dyDescent="0.3">
      <c r="A637" t="str">
        <f t="shared" si="226"/>
        <v>United States</v>
      </c>
      <c r="B637" t="str">
        <f t="shared" si="242"/>
        <v>Chattanooga</v>
      </c>
      <c r="C637" t="str">
        <f t="shared" si="243"/>
        <v>Standard Class</v>
      </c>
      <c r="D637" t="str">
        <f t="shared" si="244"/>
        <v>Consumer</v>
      </c>
      <c r="E637" t="s">
        <v>21</v>
      </c>
      <c r="F637">
        <v>10</v>
      </c>
      <c r="G637">
        <v>0.4</v>
      </c>
      <c r="H637" s="2">
        <v>22.378999999999991</v>
      </c>
      <c r="I637" s="2">
        <v>118.24000000000001</v>
      </c>
    </row>
    <row r="638" spans="1:9" x14ac:dyDescent="0.3">
      <c r="A638" t="str">
        <f t="shared" si="226"/>
        <v>United States</v>
      </c>
      <c r="B638" t="str">
        <f t="shared" si="242"/>
        <v>Chattanooga</v>
      </c>
      <c r="C638" t="str">
        <f t="shared" si="243"/>
        <v>Standard Class</v>
      </c>
      <c r="D638" t="str">
        <f t="shared" si="244"/>
        <v>Consumer</v>
      </c>
      <c r="E638" t="s">
        <v>43</v>
      </c>
      <c r="F638">
        <v>2</v>
      </c>
      <c r="G638">
        <v>0.2</v>
      </c>
      <c r="H638" s="2">
        <v>1.7247999999999997</v>
      </c>
      <c r="I638" s="2">
        <v>4.9280000000000008</v>
      </c>
    </row>
    <row r="639" spans="1:9" x14ac:dyDescent="0.3">
      <c r="A639" t="str">
        <f t="shared" si="226"/>
        <v>United States</v>
      </c>
      <c r="B639" t="str">
        <f t="shared" si="242"/>
        <v>Chattanooga</v>
      </c>
      <c r="C639" t="str">
        <f t="shared" si="243"/>
        <v>Standard Class</v>
      </c>
      <c r="D639" t="str">
        <f t="shared" si="244"/>
        <v>Consumer</v>
      </c>
      <c r="E639" t="s">
        <v>24</v>
      </c>
      <c r="F639">
        <v>9</v>
      </c>
      <c r="G639">
        <v>0.2</v>
      </c>
      <c r="H639" s="2">
        <v>-32.383800000000008</v>
      </c>
      <c r="I639" s="2">
        <v>143.928</v>
      </c>
    </row>
    <row r="640" spans="1:9" x14ac:dyDescent="0.3">
      <c r="A640" t="str">
        <f t="shared" si="226"/>
        <v>United States</v>
      </c>
      <c r="B640" t="str">
        <f t="shared" si="242"/>
        <v>Chattanooga</v>
      </c>
      <c r="C640" t="str">
        <f t="shared" si="243"/>
        <v>Standard Class</v>
      </c>
      <c r="D640" t="s">
        <v>15</v>
      </c>
      <c r="E640" t="s">
        <v>20</v>
      </c>
      <c r="F640">
        <v>5</v>
      </c>
      <c r="G640">
        <v>0.7</v>
      </c>
      <c r="H640" s="2">
        <v>-5.9399999999999977</v>
      </c>
      <c r="I640" s="2">
        <v>8.1000000000000014</v>
      </c>
    </row>
    <row r="641" spans="1:9" x14ac:dyDescent="0.3">
      <c r="A641" t="str">
        <f t="shared" si="226"/>
        <v>United States</v>
      </c>
      <c r="B641" t="str">
        <f t="shared" si="242"/>
        <v>Chattanooga</v>
      </c>
      <c r="C641" t="str">
        <f t="shared" si="243"/>
        <v>Standard Class</v>
      </c>
      <c r="D641" t="str">
        <f>D640</f>
        <v>Corporate</v>
      </c>
      <c r="E641" t="s">
        <v>21</v>
      </c>
      <c r="F641">
        <v>4</v>
      </c>
      <c r="G641">
        <v>0.2</v>
      </c>
      <c r="H641" s="2">
        <v>-18.180799999999998</v>
      </c>
      <c r="I641" s="2">
        <v>132.22400000000002</v>
      </c>
    </row>
    <row r="642" spans="1:9" x14ac:dyDescent="0.3">
      <c r="A642" t="str">
        <f t="shared" si="226"/>
        <v>United States</v>
      </c>
      <c r="B642" t="s">
        <v>107</v>
      </c>
      <c r="C642" t="s">
        <v>11</v>
      </c>
      <c r="D642" t="s">
        <v>8</v>
      </c>
      <c r="E642" t="s">
        <v>12</v>
      </c>
      <c r="F642">
        <v>4</v>
      </c>
      <c r="G642">
        <v>0</v>
      </c>
      <c r="H642" s="2">
        <v>55.36160000000001</v>
      </c>
      <c r="I642" s="2">
        <v>197.72</v>
      </c>
    </row>
    <row r="643" spans="1:9" x14ac:dyDescent="0.3">
      <c r="A643" t="str">
        <f t="shared" si="226"/>
        <v>United States</v>
      </c>
      <c r="B643" t="str">
        <f t="shared" ref="B643:B657" si="245">B642</f>
        <v>Chesapeake</v>
      </c>
      <c r="C643" t="str">
        <f t="shared" ref="C643:C644" si="246">C642</f>
        <v>First Class</v>
      </c>
      <c r="D643" t="s">
        <v>15</v>
      </c>
      <c r="E643" t="s">
        <v>43</v>
      </c>
      <c r="F643">
        <v>4</v>
      </c>
      <c r="G643">
        <v>0</v>
      </c>
      <c r="H643" s="2">
        <v>7.1999999999999993</v>
      </c>
      <c r="I643" s="2">
        <v>15</v>
      </c>
    </row>
    <row r="644" spans="1:9" x14ac:dyDescent="0.3">
      <c r="A644" t="str">
        <f t="shared" ref="A644:A707" si="247">A643</f>
        <v>United States</v>
      </c>
      <c r="B644" t="str">
        <f t="shared" si="245"/>
        <v>Chesapeake</v>
      </c>
      <c r="C644" t="str">
        <f t="shared" si="246"/>
        <v>First Class</v>
      </c>
      <c r="D644" t="str">
        <f>D643</f>
        <v>Corporate</v>
      </c>
      <c r="E644" t="s">
        <v>24</v>
      </c>
      <c r="F644">
        <v>6</v>
      </c>
      <c r="G644">
        <v>0</v>
      </c>
      <c r="H644" s="2">
        <v>84.054099999999991</v>
      </c>
      <c r="I644" s="2">
        <v>306.56</v>
      </c>
    </row>
    <row r="645" spans="1:9" x14ac:dyDescent="0.3">
      <c r="A645" t="str">
        <f t="shared" si="247"/>
        <v>United States</v>
      </c>
      <c r="B645" t="str">
        <f t="shared" si="245"/>
        <v>Chesapeake</v>
      </c>
      <c r="C645" t="s">
        <v>22</v>
      </c>
      <c r="D645" t="s">
        <v>8</v>
      </c>
      <c r="E645" t="s">
        <v>23</v>
      </c>
      <c r="F645">
        <v>3</v>
      </c>
      <c r="G645">
        <v>0</v>
      </c>
      <c r="H645" s="2">
        <v>103.15800000000003</v>
      </c>
      <c r="I645" s="2">
        <v>234.45000000000002</v>
      </c>
    </row>
    <row r="646" spans="1:9" x14ac:dyDescent="0.3">
      <c r="A646" t="str">
        <f t="shared" si="247"/>
        <v>United States</v>
      </c>
      <c r="B646" t="str">
        <f t="shared" si="245"/>
        <v>Chesapeake</v>
      </c>
      <c r="C646" t="str">
        <f t="shared" ref="C646:C657" si="248">C645</f>
        <v>Standard Class</v>
      </c>
      <c r="D646" t="str">
        <f t="shared" ref="D646:D654" si="249">D645</f>
        <v>Consumer</v>
      </c>
      <c r="E646" t="s">
        <v>12</v>
      </c>
      <c r="F646">
        <v>4</v>
      </c>
      <c r="G646">
        <v>0</v>
      </c>
      <c r="H646" s="2">
        <v>55.058400000000006</v>
      </c>
      <c r="I646" s="2">
        <v>203.92</v>
      </c>
    </row>
    <row r="647" spans="1:9" x14ac:dyDescent="0.3">
      <c r="A647" t="str">
        <f t="shared" si="247"/>
        <v>United States</v>
      </c>
      <c r="B647" t="str">
        <f t="shared" si="245"/>
        <v>Chesapeake</v>
      </c>
      <c r="C647" t="str">
        <f t="shared" si="248"/>
        <v>Standard Class</v>
      </c>
      <c r="D647" t="str">
        <f t="shared" si="249"/>
        <v>Consumer</v>
      </c>
      <c r="E647" t="s">
        <v>20</v>
      </c>
      <c r="F647">
        <v>2</v>
      </c>
      <c r="G647">
        <v>0</v>
      </c>
      <c r="H647" s="2">
        <v>8.2061999999999991</v>
      </c>
      <c r="I647" s="2">
        <v>17.46</v>
      </c>
    </row>
    <row r="648" spans="1:9" x14ac:dyDescent="0.3">
      <c r="A648" t="str">
        <f t="shared" si="247"/>
        <v>United States</v>
      </c>
      <c r="B648" t="str">
        <f t="shared" si="245"/>
        <v>Chesapeake</v>
      </c>
      <c r="C648" t="str">
        <f t="shared" si="248"/>
        <v>Standard Class</v>
      </c>
      <c r="D648" t="str">
        <f t="shared" si="249"/>
        <v>Consumer</v>
      </c>
      <c r="E648" t="s">
        <v>33</v>
      </c>
      <c r="F648">
        <v>5</v>
      </c>
      <c r="G648">
        <v>0</v>
      </c>
      <c r="H648" s="2">
        <v>80.78400000000002</v>
      </c>
      <c r="I648" s="2">
        <v>504.90000000000003</v>
      </c>
    </row>
    <row r="649" spans="1:9" x14ac:dyDescent="0.3">
      <c r="A649" t="str">
        <f t="shared" si="247"/>
        <v>United States</v>
      </c>
      <c r="B649" t="str">
        <f t="shared" si="245"/>
        <v>Chesapeake</v>
      </c>
      <c r="C649" t="str">
        <f t="shared" si="248"/>
        <v>Standard Class</v>
      </c>
      <c r="D649" t="str">
        <f t="shared" si="249"/>
        <v>Consumer</v>
      </c>
      <c r="E649" t="s">
        <v>18</v>
      </c>
      <c r="F649">
        <v>9</v>
      </c>
      <c r="G649">
        <v>0</v>
      </c>
      <c r="H649" s="2">
        <v>21.599999999999998</v>
      </c>
      <c r="I649" s="2">
        <v>45</v>
      </c>
    </row>
    <row r="650" spans="1:9" x14ac:dyDescent="0.3">
      <c r="A650" t="str">
        <f t="shared" si="247"/>
        <v>United States</v>
      </c>
      <c r="B650" t="str">
        <f t="shared" si="245"/>
        <v>Chesapeake</v>
      </c>
      <c r="C650" t="str">
        <f t="shared" si="248"/>
        <v>Standard Class</v>
      </c>
      <c r="D650" t="str">
        <f t="shared" si="249"/>
        <v>Consumer</v>
      </c>
      <c r="E650" t="s">
        <v>43</v>
      </c>
      <c r="F650">
        <v>2</v>
      </c>
      <c r="G650">
        <v>0</v>
      </c>
      <c r="H650" s="2">
        <v>11.778199999999998</v>
      </c>
      <c r="I650" s="2">
        <v>25.06</v>
      </c>
    </row>
    <row r="651" spans="1:9" x14ac:dyDescent="0.3">
      <c r="A651" t="str">
        <f t="shared" si="247"/>
        <v>United States</v>
      </c>
      <c r="B651" t="str">
        <f t="shared" si="245"/>
        <v>Chesapeake</v>
      </c>
      <c r="C651" t="str">
        <f t="shared" si="248"/>
        <v>Standard Class</v>
      </c>
      <c r="D651" t="str">
        <f t="shared" si="249"/>
        <v>Consumer</v>
      </c>
      <c r="E651" t="s">
        <v>46</v>
      </c>
      <c r="F651">
        <v>3</v>
      </c>
      <c r="G651">
        <v>0</v>
      </c>
      <c r="H651" s="2">
        <v>90.287100000000009</v>
      </c>
      <c r="I651" s="2">
        <v>209.96999999999997</v>
      </c>
    </row>
    <row r="652" spans="1:9" x14ac:dyDescent="0.3">
      <c r="A652" t="str">
        <f t="shared" si="247"/>
        <v>United States</v>
      </c>
      <c r="B652" t="str">
        <f t="shared" si="245"/>
        <v>Chesapeake</v>
      </c>
      <c r="C652" t="str">
        <f t="shared" si="248"/>
        <v>Standard Class</v>
      </c>
      <c r="D652" t="str">
        <f t="shared" si="249"/>
        <v>Consumer</v>
      </c>
      <c r="E652" t="s">
        <v>16</v>
      </c>
      <c r="F652">
        <v>5</v>
      </c>
      <c r="G652">
        <v>0</v>
      </c>
      <c r="H652" s="2">
        <v>15.552000000000001</v>
      </c>
      <c r="I652" s="2">
        <v>32.400000000000006</v>
      </c>
    </row>
    <row r="653" spans="1:9" x14ac:dyDescent="0.3">
      <c r="A653" t="str">
        <f t="shared" si="247"/>
        <v>United States</v>
      </c>
      <c r="B653" t="str">
        <f t="shared" si="245"/>
        <v>Chesapeake</v>
      </c>
      <c r="C653" t="str">
        <f t="shared" si="248"/>
        <v>Standard Class</v>
      </c>
      <c r="D653" t="str">
        <f t="shared" si="249"/>
        <v>Consumer</v>
      </c>
      <c r="E653" t="s">
        <v>24</v>
      </c>
      <c r="F653">
        <v>4</v>
      </c>
      <c r="G653">
        <v>0</v>
      </c>
      <c r="H653" s="2">
        <v>7.9812000000000012</v>
      </c>
      <c r="I653" s="2">
        <v>29.56</v>
      </c>
    </row>
    <row r="654" spans="1:9" x14ac:dyDescent="0.3">
      <c r="A654" t="str">
        <f t="shared" si="247"/>
        <v>United States</v>
      </c>
      <c r="B654" t="str">
        <f t="shared" si="245"/>
        <v>Chesapeake</v>
      </c>
      <c r="C654" t="str">
        <f t="shared" si="248"/>
        <v>Standard Class</v>
      </c>
      <c r="D654" t="str">
        <f t="shared" si="249"/>
        <v>Consumer</v>
      </c>
      <c r="E654" t="s">
        <v>25</v>
      </c>
      <c r="F654">
        <v>9</v>
      </c>
      <c r="G654">
        <v>0</v>
      </c>
      <c r="H654" s="2">
        <v>389.4317999999999</v>
      </c>
      <c r="I654" s="2">
        <v>2909.16</v>
      </c>
    </row>
    <row r="655" spans="1:9" x14ac:dyDescent="0.3">
      <c r="A655" t="str">
        <f t="shared" si="247"/>
        <v>United States</v>
      </c>
      <c r="B655" t="str">
        <f t="shared" si="245"/>
        <v>Chesapeake</v>
      </c>
      <c r="C655" t="str">
        <f t="shared" si="248"/>
        <v>Standard Class</v>
      </c>
      <c r="D655" t="s">
        <v>15</v>
      </c>
      <c r="E655" t="s">
        <v>20</v>
      </c>
      <c r="F655">
        <v>4</v>
      </c>
      <c r="G655">
        <v>0</v>
      </c>
      <c r="H655" s="2">
        <v>30.700800000000001</v>
      </c>
      <c r="I655" s="2">
        <v>63.96</v>
      </c>
    </row>
    <row r="656" spans="1:9" x14ac:dyDescent="0.3">
      <c r="A656" t="str">
        <f t="shared" si="247"/>
        <v>United States</v>
      </c>
      <c r="B656" t="str">
        <f t="shared" si="245"/>
        <v>Chesapeake</v>
      </c>
      <c r="C656" t="str">
        <f t="shared" si="248"/>
        <v>Standard Class</v>
      </c>
      <c r="D656" t="str">
        <f>D655</f>
        <v>Corporate</v>
      </c>
      <c r="E656" t="s">
        <v>14</v>
      </c>
      <c r="F656">
        <v>4</v>
      </c>
      <c r="G656">
        <v>0</v>
      </c>
      <c r="H656" s="2">
        <v>16.653600000000004</v>
      </c>
      <c r="I656" s="2">
        <v>61.68</v>
      </c>
    </row>
    <row r="657" spans="1:9" x14ac:dyDescent="0.3">
      <c r="A657" t="str">
        <f t="shared" si="247"/>
        <v>United States</v>
      </c>
      <c r="B657" t="str">
        <f t="shared" si="245"/>
        <v>Chesapeake</v>
      </c>
      <c r="C657" t="str">
        <f t="shared" si="248"/>
        <v>Standard Class</v>
      </c>
      <c r="D657" t="s">
        <v>17</v>
      </c>
      <c r="E657" t="s">
        <v>33</v>
      </c>
      <c r="F657">
        <v>4</v>
      </c>
      <c r="G657">
        <v>0</v>
      </c>
      <c r="H657" s="2">
        <v>284.98</v>
      </c>
      <c r="I657" s="2">
        <v>1139.92</v>
      </c>
    </row>
    <row r="658" spans="1:9" x14ac:dyDescent="0.3">
      <c r="A658" t="str">
        <f t="shared" si="247"/>
        <v>United States</v>
      </c>
      <c r="B658" t="s">
        <v>108</v>
      </c>
      <c r="C658" t="s">
        <v>11</v>
      </c>
      <c r="D658" t="s">
        <v>15</v>
      </c>
      <c r="E658" t="s">
        <v>20</v>
      </c>
      <c r="F658">
        <v>5</v>
      </c>
      <c r="G658">
        <v>0.7</v>
      </c>
      <c r="H658" s="2">
        <v>-6.3030000000000008</v>
      </c>
      <c r="I658" s="2">
        <v>8.5950000000000024</v>
      </c>
    </row>
    <row r="659" spans="1:9" x14ac:dyDescent="0.3">
      <c r="A659" t="str">
        <f t="shared" si="247"/>
        <v>United States</v>
      </c>
      <c r="B659" t="str">
        <f t="shared" ref="B659:B668" si="250">B658</f>
        <v>Chester</v>
      </c>
      <c r="C659" t="str">
        <f t="shared" ref="C659:C663" si="251">C658</f>
        <v>First Class</v>
      </c>
      <c r="D659" t="str">
        <f>D658</f>
        <v>Corporate</v>
      </c>
      <c r="E659" t="s">
        <v>9</v>
      </c>
      <c r="F659">
        <v>2</v>
      </c>
      <c r="G659">
        <v>0.2</v>
      </c>
      <c r="H659" s="2">
        <v>-42.951599999999999</v>
      </c>
      <c r="I659" s="2">
        <v>190.89600000000002</v>
      </c>
    </row>
    <row r="660" spans="1:9" x14ac:dyDescent="0.3">
      <c r="A660" t="str">
        <f t="shared" si="247"/>
        <v>United States</v>
      </c>
      <c r="B660" t="str">
        <f t="shared" si="250"/>
        <v>Chester</v>
      </c>
      <c r="C660" t="str">
        <f t="shared" si="251"/>
        <v>First Class</v>
      </c>
      <c r="D660" t="s">
        <v>17</v>
      </c>
      <c r="E660" t="s">
        <v>19</v>
      </c>
      <c r="F660">
        <v>9</v>
      </c>
      <c r="G660">
        <v>0.4</v>
      </c>
      <c r="H660" s="2">
        <v>18.157599999999992</v>
      </c>
      <c r="I660" s="2">
        <v>200.96800000000002</v>
      </c>
    </row>
    <row r="661" spans="1:9" x14ac:dyDescent="0.3">
      <c r="A661" t="str">
        <f t="shared" si="247"/>
        <v>United States</v>
      </c>
      <c r="B661" t="str">
        <f t="shared" si="250"/>
        <v>Chester</v>
      </c>
      <c r="C661" t="str">
        <f t="shared" si="251"/>
        <v>First Class</v>
      </c>
      <c r="D661" t="str">
        <f t="shared" ref="D661:D663" si="252">D660</f>
        <v>Home Office</v>
      </c>
      <c r="E661" t="s">
        <v>20</v>
      </c>
      <c r="F661">
        <v>5</v>
      </c>
      <c r="G661">
        <v>1.4</v>
      </c>
      <c r="H661" s="2">
        <v>-17.058399999999999</v>
      </c>
      <c r="I661" s="2">
        <v>23.484000000000005</v>
      </c>
    </row>
    <row r="662" spans="1:9" x14ac:dyDescent="0.3">
      <c r="A662" t="str">
        <f t="shared" si="247"/>
        <v>United States</v>
      </c>
      <c r="B662" t="str">
        <f t="shared" si="250"/>
        <v>Chester</v>
      </c>
      <c r="C662" t="str">
        <f t="shared" si="251"/>
        <v>First Class</v>
      </c>
      <c r="D662" t="str">
        <f t="shared" si="252"/>
        <v>Home Office</v>
      </c>
      <c r="E662" t="s">
        <v>38</v>
      </c>
      <c r="F662">
        <v>7</v>
      </c>
      <c r="G662">
        <v>0.2</v>
      </c>
      <c r="H662" s="2">
        <v>62.807499999999976</v>
      </c>
      <c r="I662" s="2">
        <v>200.98400000000004</v>
      </c>
    </row>
    <row r="663" spans="1:9" x14ac:dyDescent="0.3">
      <c r="A663" t="str">
        <f t="shared" si="247"/>
        <v>United States</v>
      </c>
      <c r="B663" t="str">
        <f t="shared" si="250"/>
        <v>Chester</v>
      </c>
      <c r="C663" t="str">
        <f t="shared" si="251"/>
        <v>First Class</v>
      </c>
      <c r="D663" t="str">
        <f t="shared" si="252"/>
        <v>Home Office</v>
      </c>
      <c r="E663" t="s">
        <v>43</v>
      </c>
      <c r="F663">
        <v>8</v>
      </c>
      <c r="G663">
        <v>0.4</v>
      </c>
      <c r="H663" s="2">
        <v>49.511200000000002</v>
      </c>
      <c r="I663" s="2">
        <v>145.05600000000001</v>
      </c>
    </row>
    <row r="664" spans="1:9" x14ac:dyDescent="0.3">
      <c r="A664" t="str">
        <f t="shared" si="247"/>
        <v>United States</v>
      </c>
      <c r="B664" t="str">
        <f t="shared" si="250"/>
        <v>Chester</v>
      </c>
      <c r="C664" t="s">
        <v>22</v>
      </c>
      <c r="D664" t="s">
        <v>8</v>
      </c>
      <c r="E664" t="s">
        <v>33</v>
      </c>
      <c r="F664">
        <v>8</v>
      </c>
      <c r="G664">
        <v>0.6</v>
      </c>
      <c r="H664" s="2">
        <v>-4.858799999999988</v>
      </c>
      <c r="I664" s="2">
        <v>1023.9879999999998</v>
      </c>
    </row>
    <row r="665" spans="1:9" x14ac:dyDescent="0.3">
      <c r="A665" t="str">
        <f t="shared" si="247"/>
        <v>United States</v>
      </c>
      <c r="B665" t="str">
        <f t="shared" si="250"/>
        <v>Chester</v>
      </c>
      <c r="C665" t="str">
        <f t="shared" ref="C665:C668" si="253">C664</f>
        <v>Standard Class</v>
      </c>
      <c r="D665" t="str">
        <f>D664</f>
        <v>Consumer</v>
      </c>
      <c r="E665" t="s">
        <v>24</v>
      </c>
      <c r="F665">
        <v>3</v>
      </c>
      <c r="G665">
        <v>0.4</v>
      </c>
      <c r="H665" s="2">
        <v>-15.176700000000004</v>
      </c>
      <c r="I665" s="2">
        <v>82.782000000000011</v>
      </c>
    </row>
    <row r="666" spans="1:9" x14ac:dyDescent="0.3">
      <c r="A666" t="str">
        <f t="shared" si="247"/>
        <v>United States</v>
      </c>
      <c r="B666" t="str">
        <f t="shared" si="250"/>
        <v>Chester</v>
      </c>
      <c r="C666" t="str">
        <f t="shared" si="253"/>
        <v>Standard Class</v>
      </c>
      <c r="D666" t="s">
        <v>17</v>
      </c>
      <c r="E666" t="s">
        <v>19</v>
      </c>
      <c r="F666">
        <v>2</v>
      </c>
      <c r="G666">
        <v>0.2</v>
      </c>
      <c r="H666" s="2">
        <v>0.59039999999999915</v>
      </c>
      <c r="I666" s="2">
        <v>5.2480000000000002</v>
      </c>
    </row>
    <row r="667" spans="1:9" x14ac:dyDescent="0.3">
      <c r="A667" t="str">
        <f t="shared" si="247"/>
        <v>United States</v>
      </c>
      <c r="B667" t="str">
        <f t="shared" si="250"/>
        <v>Chester</v>
      </c>
      <c r="C667" t="str">
        <f t="shared" si="253"/>
        <v>Standard Class</v>
      </c>
      <c r="D667" t="str">
        <f t="shared" ref="D667:D668" si="254">D666</f>
        <v>Home Office</v>
      </c>
      <c r="E667" t="s">
        <v>21</v>
      </c>
      <c r="F667">
        <v>3</v>
      </c>
      <c r="G667">
        <v>0.4</v>
      </c>
      <c r="H667" s="2">
        <v>12.018599999999999</v>
      </c>
      <c r="I667" s="2">
        <v>50.568000000000005</v>
      </c>
    </row>
    <row r="668" spans="1:9" x14ac:dyDescent="0.3">
      <c r="A668" t="str">
        <f t="shared" si="247"/>
        <v>United States</v>
      </c>
      <c r="B668" t="str">
        <f t="shared" si="250"/>
        <v>Chester</v>
      </c>
      <c r="C668" t="str">
        <f t="shared" si="253"/>
        <v>Standard Class</v>
      </c>
      <c r="D668" t="str">
        <f t="shared" si="254"/>
        <v>Home Office</v>
      </c>
      <c r="E668" t="s">
        <v>24</v>
      </c>
      <c r="F668">
        <v>3</v>
      </c>
      <c r="G668">
        <v>0.4</v>
      </c>
      <c r="H668" s="2">
        <v>-8.3790000000000031</v>
      </c>
      <c r="I668" s="2">
        <v>35.909999999999997</v>
      </c>
    </row>
    <row r="669" spans="1:9" x14ac:dyDescent="0.3">
      <c r="A669" t="str">
        <f t="shared" si="247"/>
        <v>United States</v>
      </c>
      <c r="B669" t="s">
        <v>109</v>
      </c>
      <c r="C669" t="s">
        <v>22</v>
      </c>
      <c r="D669" t="s">
        <v>17</v>
      </c>
      <c r="E669" t="s">
        <v>33</v>
      </c>
      <c r="F669">
        <v>4</v>
      </c>
      <c r="G669">
        <v>0.2</v>
      </c>
      <c r="H669" s="2">
        <v>100.19599999999997</v>
      </c>
      <c r="I669" s="2">
        <v>1603.1360000000002</v>
      </c>
    </row>
    <row r="670" spans="1:9" x14ac:dyDescent="0.3">
      <c r="A670" t="str">
        <f t="shared" si="247"/>
        <v>United States</v>
      </c>
      <c r="B670" t="s">
        <v>110</v>
      </c>
      <c r="C670" t="s">
        <v>11</v>
      </c>
      <c r="D670" t="s">
        <v>8</v>
      </c>
      <c r="E670" t="s">
        <v>12</v>
      </c>
      <c r="F670">
        <v>1</v>
      </c>
      <c r="G670">
        <v>0.8</v>
      </c>
      <c r="H670" s="2">
        <v>-6.344100000000001</v>
      </c>
      <c r="I670" s="2">
        <v>2.3939999999999997</v>
      </c>
    </row>
    <row r="671" spans="1:9" x14ac:dyDescent="0.3">
      <c r="A671" t="str">
        <f t="shared" si="247"/>
        <v>United States</v>
      </c>
      <c r="B671" t="str">
        <f t="shared" ref="B671:B702" si="255">B670</f>
        <v>Chicago</v>
      </c>
      <c r="C671" t="str">
        <f t="shared" ref="C671:C691" si="256">C670</f>
        <v>First Class</v>
      </c>
      <c r="D671" t="str">
        <f t="shared" ref="D671:D679" si="257">D670</f>
        <v>Consumer</v>
      </c>
      <c r="E671" t="s">
        <v>19</v>
      </c>
      <c r="F671">
        <v>7</v>
      </c>
      <c r="G671">
        <v>0.4</v>
      </c>
      <c r="H671" s="2">
        <v>3.8449999999999998</v>
      </c>
      <c r="I671" s="2">
        <v>12.303999999999998</v>
      </c>
    </row>
    <row r="672" spans="1:9" x14ac:dyDescent="0.3">
      <c r="A672" t="str">
        <f t="shared" si="247"/>
        <v>United States</v>
      </c>
      <c r="B672" t="str">
        <f t="shared" si="255"/>
        <v>Chicago</v>
      </c>
      <c r="C672" t="str">
        <f t="shared" si="256"/>
        <v>First Class</v>
      </c>
      <c r="D672" t="str">
        <f t="shared" si="257"/>
        <v>Consumer</v>
      </c>
      <c r="E672" t="s">
        <v>20</v>
      </c>
      <c r="F672">
        <v>9</v>
      </c>
      <c r="G672">
        <v>2.4000000000000004</v>
      </c>
      <c r="H672" s="2">
        <v>-57.943500000000014</v>
      </c>
      <c r="I672" s="2">
        <v>35.429999999999993</v>
      </c>
    </row>
    <row r="673" spans="1:9" x14ac:dyDescent="0.3">
      <c r="A673" t="str">
        <f t="shared" si="247"/>
        <v>United States</v>
      </c>
      <c r="B673" t="str">
        <f t="shared" si="255"/>
        <v>Chicago</v>
      </c>
      <c r="C673" t="str">
        <f t="shared" si="256"/>
        <v>First Class</v>
      </c>
      <c r="D673" t="str">
        <f t="shared" si="257"/>
        <v>Consumer</v>
      </c>
      <c r="E673" t="s">
        <v>34</v>
      </c>
      <c r="F673">
        <v>7</v>
      </c>
      <c r="G673">
        <v>0.6</v>
      </c>
      <c r="H673" s="2">
        <v>-107.16439999999997</v>
      </c>
      <c r="I673" s="2">
        <v>676.80199999999991</v>
      </c>
    </row>
    <row r="674" spans="1:9" x14ac:dyDescent="0.3">
      <c r="A674" t="str">
        <f t="shared" si="247"/>
        <v>United States</v>
      </c>
      <c r="B674" t="str">
        <f t="shared" si="255"/>
        <v>Chicago</v>
      </c>
      <c r="C674" t="str">
        <f t="shared" si="256"/>
        <v>First Class</v>
      </c>
      <c r="D674" t="str">
        <f t="shared" si="257"/>
        <v>Consumer</v>
      </c>
      <c r="E674" t="s">
        <v>33</v>
      </c>
      <c r="F674">
        <v>2</v>
      </c>
      <c r="G674">
        <v>0.3</v>
      </c>
      <c r="H674" s="2">
        <v>-14.870399999999961</v>
      </c>
      <c r="I674" s="2">
        <v>520.46399999999994</v>
      </c>
    </row>
    <row r="675" spans="1:9" x14ac:dyDescent="0.3">
      <c r="A675" t="str">
        <f t="shared" si="247"/>
        <v>United States</v>
      </c>
      <c r="B675" t="str">
        <f t="shared" si="255"/>
        <v>Chicago</v>
      </c>
      <c r="C675" t="str">
        <f t="shared" si="256"/>
        <v>First Class</v>
      </c>
      <c r="D675" t="str">
        <f t="shared" si="257"/>
        <v>Consumer</v>
      </c>
      <c r="E675" t="s">
        <v>18</v>
      </c>
      <c r="F675">
        <v>3</v>
      </c>
      <c r="G675">
        <v>0.2</v>
      </c>
      <c r="H675" s="2">
        <v>2.4674999999999994</v>
      </c>
      <c r="I675" s="2">
        <v>7.8960000000000008</v>
      </c>
    </row>
    <row r="676" spans="1:9" x14ac:dyDescent="0.3">
      <c r="A676" t="str">
        <f t="shared" si="247"/>
        <v>United States</v>
      </c>
      <c r="B676" t="str">
        <f t="shared" si="255"/>
        <v>Chicago</v>
      </c>
      <c r="C676" t="str">
        <f t="shared" si="256"/>
        <v>First Class</v>
      </c>
      <c r="D676" t="str">
        <f t="shared" si="257"/>
        <v>Consumer</v>
      </c>
      <c r="E676" t="s">
        <v>21</v>
      </c>
      <c r="F676">
        <v>6</v>
      </c>
      <c r="G676">
        <v>1.2</v>
      </c>
      <c r="H676" s="2">
        <v>-22.924799999999994</v>
      </c>
      <c r="I676" s="2">
        <v>46.896000000000001</v>
      </c>
    </row>
    <row r="677" spans="1:9" x14ac:dyDescent="0.3">
      <c r="A677" t="str">
        <f t="shared" si="247"/>
        <v>United States</v>
      </c>
      <c r="B677" t="str">
        <f t="shared" si="255"/>
        <v>Chicago</v>
      </c>
      <c r="C677" t="str">
        <f t="shared" si="256"/>
        <v>First Class</v>
      </c>
      <c r="D677" t="str">
        <f t="shared" si="257"/>
        <v>Consumer</v>
      </c>
      <c r="E677" t="s">
        <v>43</v>
      </c>
      <c r="F677">
        <v>5</v>
      </c>
      <c r="G677">
        <v>0.2</v>
      </c>
      <c r="H677" s="2">
        <v>4.1760000000000002</v>
      </c>
      <c r="I677" s="2">
        <v>11.52</v>
      </c>
    </row>
    <row r="678" spans="1:9" x14ac:dyDescent="0.3">
      <c r="A678" t="str">
        <f t="shared" si="247"/>
        <v>United States</v>
      </c>
      <c r="B678" t="str">
        <f t="shared" si="255"/>
        <v>Chicago</v>
      </c>
      <c r="C678" t="str">
        <f t="shared" si="256"/>
        <v>First Class</v>
      </c>
      <c r="D678" t="str">
        <f t="shared" si="257"/>
        <v>Consumer</v>
      </c>
      <c r="E678" t="s">
        <v>16</v>
      </c>
      <c r="F678">
        <v>11</v>
      </c>
      <c r="G678">
        <v>0.4</v>
      </c>
      <c r="H678" s="2">
        <v>13.252799999999997</v>
      </c>
      <c r="I678" s="2">
        <v>41.951999999999998</v>
      </c>
    </row>
    <row r="679" spans="1:9" x14ac:dyDescent="0.3">
      <c r="A679" t="str">
        <f t="shared" si="247"/>
        <v>United States</v>
      </c>
      <c r="B679" t="str">
        <f t="shared" si="255"/>
        <v>Chicago</v>
      </c>
      <c r="C679" t="str">
        <f t="shared" si="256"/>
        <v>First Class</v>
      </c>
      <c r="D679" t="str">
        <f t="shared" si="257"/>
        <v>Consumer</v>
      </c>
      <c r="E679" t="s">
        <v>24</v>
      </c>
      <c r="F679">
        <v>13</v>
      </c>
      <c r="G679">
        <v>0.8</v>
      </c>
      <c r="H679" s="2">
        <v>371.71649999999971</v>
      </c>
      <c r="I679" s="2">
        <v>3167.0320000000002</v>
      </c>
    </row>
    <row r="680" spans="1:9" x14ac:dyDescent="0.3">
      <c r="A680" t="str">
        <f t="shared" si="247"/>
        <v>United States</v>
      </c>
      <c r="B680" t="str">
        <f t="shared" si="255"/>
        <v>Chicago</v>
      </c>
      <c r="C680" t="str">
        <f t="shared" si="256"/>
        <v>First Class</v>
      </c>
      <c r="D680" t="s">
        <v>15</v>
      </c>
      <c r="E680" t="s">
        <v>12</v>
      </c>
      <c r="F680">
        <v>9</v>
      </c>
      <c r="G680">
        <v>0.8</v>
      </c>
      <c r="H680" s="2">
        <v>-146.16000000000003</v>
      </c>
      <c r="I680" s="2">
        <v>58.463999999999977</v>
      </c>
    </row>
    <row r="681" spans="1:9" x14ac:dyDescent="0.3">
      <c r="A681" t="str">
        <f t="shared" si="247"/>
        <v>United States</v>
      </c>
      <c r="B681" t="str">
        <f t="shared" si="255"/>
        <v>Chicago</v>
      </c>
      <c r="C681" t="str">
        <f t="shared" si="256"/>
        <v>First Class</v>
      </c>
      <c r="D681" t="str">
        <f t="shared" ref="D681:D685" si="258">D680</f>
        <v>Corporate</v>
      </c>
      <c r="E681" t="s">
        <v>19</v>
      </c>
      <c r="F681">
        <v>8</v>
      </c>
      <c r="G681">
        <v>0.4</v>
      </c>
      <c r="H681" s="2">
        <v>3.8475000000000001</v>
      </c>
      <c r="I681" s="2">
        <v>15.751999999999999</v>
      </c>
    </row>
    <row r="682" spans="1:9" x14ac:dyDescent="0.3">
      <c r="A682" t="str">
        <f t="shared" si="247"/>
        <v>United States</v>
      </c>
      <c r="B682" t="str">
        <f t="shared" si="255"/>
        <v>Chicago</v>
      </c>
      <c r="C682" t="str">
        <f t="shared" si="256"/>
        <v>First Class</v>
      </c>
      <c r="D682" t="str">
        <f t="shared" si="258"/>
        <v>Corporate</v>
      </c>
      <c r="E682" t="s">
        <v>20</v>
      </c>
      <c r="F682">
        <v>8</v>
      </c>
      <c r="G682">
        <v>1.6</v>
      </c>
      <c r="H682" s="2">
        <v>-39.543999999999997</v>
      </c>
      <c r="I682" s="2">
        <v>25.293999999999997</v>
      </c>
    </row>
    <row r="683" spans="1:9" x14ac:dyDescent="0.3">
      <c r="A683" t="str">
        <f t="shared" si="247"/>
        <v>United States</v>
      </c>
      <c r="B683" t="str">
        <f t="shared" si="255"/>
        <v>Chicago</v>
      </c>
      <c r="C683" t="str">
        <f t="shared" si="256"/>
        <v>First Class</v>
      </c>
      <c r="D683" t="str">
        <f t="shared" si="258"/>
        <v>Corporate</v>
      </c>
      <c r="E683" t="s">
        <v>34</v>
      </c>
      <c r="F683">
        <v>11</v>
      </c>
      <c r="G683">
        <v>0.6</v>
      </c>
      <c r="H683" s="2">
        <v>-132.01919999999998</v>
      </c>
      <c r="I683" s="2">
        <v>966.54599999999994</v>
      </c>
    </row>
    <row r="684" spans="1:9" x14ac:dyDescent="0.3">
      <c r="A684" t="str">
        <f t="shared" si="247"/>
        <v>United States</v>
      </c>
      <c r="B684" t="str">
        <f t="shared" si="255"/>
        <v>Chicago</v>
      </c>
      <c r="C684" t="str">
        <f t="shared" si="256"/>
        <v>First Class</v>
      </c>
      <c r="D684" t="str">
        <f t="shared" si="258"/>
        <v>Corporate</v>
      </c>
      <c r="E684" t="s">
        <v>21</v>
      </c>
      <c r="F684">
        <v>6</v>
      </c>
      <c r="G684">
        <v>0.6</v>
      </c>
      <c r="H684" s="2">
        <v>-8.532</v>
      </c>
      <c r="I684" s="2">
        <v>22.752000000000002</v>
      </c>
    </row>
    <row r="685" spans="1:9" x14ac:dyDescent="0.3">
      <c r="A685" t="str">
        <f t="shared" si="247"/>
        <v>United States</v>
      </c>
      <c r="B685" t="str">
        <f t="shared" si="255"/>
        <v>Chicago</v>
      </c>
      <c r="C685" t="str">
        <f t="shared" si="256"/>
        <v>First Class</v>
      </c>
      <c r="D685" t="str">
        <f t="shared" si="258"/>
        <v>Corporate</v>
      </c>
      <c r="E685" t="s">
        <v>16</v>
      </c>
      <c r="F685">
        <v>3</v>
      </c>
      <c r="G685">
        <v>0.2</v>
      </c>
      <c r="H685" s="2">
        <v>5.55</v>
      </c>
      <c r="I685" s="2">
        <v>17.760000000000002</v>
      </c>
    </row>
    <row r="686" spans="1:9" x14ac:dyDescent="0.3">
      <c r="A686" t="str">
        <f t="shared" si="247"/>
        <v>United States</v>
      </c>
      <c r="B686" t="str">
        <f t="shared" si="255"/>
        <v>Chicago</v>
      </c>
      <c r="C686" t="str">
        <f t="shared" si="256"/>
        <v>First Class</v>
      </c>
      <c r="D686" t="s">
        <v>17</v>
      </c>
      <c r="E686" t="s">
        <v>33</v>
      </c>
      <c r="F686">
        <v>7</v>
      </c>
      <c r="G686">
        <v>0.3</v>
      </c>
      <c r="H686" s="2">
        <v>-87.341800000000035</v>
      </c>
      <c r="I686" s="2">
        <v>470.30199999999996</v>
      </c>
    </row>
    <row r="687" spans="1:9" x14ac:dyDescent="0.3">
      <c r="A687" t="str">
        <f t="shared" si="247"/>
        <v>United States</v>
      </c>
      <c r="B687" t="str">
        <f t="shared" si="255"/>
        <v>Chicago</v>
      </c>
      <c r="C687" t="str">
        <f t="shared" si="256"/>
        <v>First Class</v>
      </c>
      <c r="D687" t="str">
        <f t="shared" ref="D687:D691" si="259">D686</f>
        <v>Home Office</v>
      </c>
      <c r="E687" t="s">
        <v>21</v>
      </c>
      <c r="F687">
        <v>2</v>
      </c>
      <c r="G687">
        <v>0.6</v>
      </c>
      <c r="H687" s="2">
        <v>-75.844800000000006</v>
      </c>
      <c r="I687" s="2">
        <v>84.272000000000006</v>
      </c>
    </row>
    <row r="688" spans="1:9" x14ac:dyDescent="0.3">
      <c r="A688" t="str">
        <f t="shared" si="247"/>
        <v>United States</v>
      </c>
      <c r="B688" t="str">
        <f t="shared" si="255"/>
        <v>Chicago</v>
      </c>
      <c r="C688" t="str">
        <f t="shared" si="256"/>
        <v>First Class</v>
      </c>
      <c r="D688" t="str">
        <f t="shared" si="259"/>
        <v>Home Office</v>
      </c>
      <c r="E688" t="s">
        <v>46</v>
      </c>
      <c r="F688">
        <v>2</v>
      </c>
      <c r="G688">
        <v>0.3</v>
      </c>
      <c r="H688" s="2">
        <v>156.04699999999997</v>
      </c>
      <c r="I688" s="2">
        <v>574.91</v>
      </c>
    </row>
    <row r="689" spans="1:9" x14ac:dyDescent="0.3">
      <c r="A689" t="str">
        <f t="shared" si="247"/>
        <v>United States</v>
      </c>
      <c r="B689" t="str">
        <f t="shared" si="255"/>
        <v>Chicago</v>
      </c>
      <c r="C689" t="str">
        <f t="shared" si="256"/>
        <v>First Class</v>
      </c>
      <c r="D689" t="str">
        <f t="shared" si="259"/>
        <v>Home Office</v>
      </c>
      <c r="E689" t="s">
        <v>16</v>
      </c>
      <c r="F689">
        <v>2</v>
      </c>
      <c r="G689">
        <v>0.2</v>
      </c>
      <c r="H689" s="2">
        <v>2.6399999999999997</v>
      </c>
      <c r="I689" s="2">
        <v>8.4480000000000004</v>
      </c>
    </row>
    <row r="690" spans="1:9" x14ac:dyDescent="0.3">
      <c r="A690" t="str">
        <f t="shared" si="247"/>
        <v>United States</v>
      </c>
      <c r="B690" t="str">
        <f t="shared" si="255"/>
        <v>Chicago</v>
      </c>
      <c r="C690" t="str">
        <f t="shared" si="256"/>
        <v>First Class</v>
      </c>
      <c r="D690" t="str">
        <f t="shared" si="259"/>
        <v>Home Office</v>
      </c>
      <c r="E690" t="s">
        <v>24</v>
      </c>
      <c r="F690">
        <v>2</v>
      </c>
      <c r="G690">
        <v>0.2</v>
      </c>
      <c r="H690" s="2">
        <v>5.9979999999999922</v>
      </c>
      <c r="I690" s="2">
        <v>47.984000000000002</v>
      </c>
    </row>
    <row r="691" spans="1:9" x14ac:dyDescent="0.3">
      <c r="A691" t="str">
        <f t="shared" si="247"/>
        <v>United States</v>
      </c>
      <c r="B691" t="str">
        <f t="shared" si="255"/>
        <v>Chicago</v>
      </c>
      <c r="C691" t="str">
        <f t="shared" si="256"/>
        <v>First Class</v>
      </c>
      <c r="D691" t="str">
        <f t="shared" si="259"/>
        <v>Home Office</v>
      </c>
      <c r="E691" t="s">
        <v>14</v>
      </c>
      <c r="F691">
        <v>7</v>
      </c>
      <c r="G691">
        <v>0.4</v>
      </c>
      <c r="H691" s="2">
        <v>-88.079700000000003</v>
      </c>
      <c r="I691" s="2">
        <v>395.11199999999997</v>
      </c>
    </row>
    <row r="692" spans="1:9" x14ac:dyDescent="0.3">
      <c r="A692" t="str">
        <f t="shared" si="247"/>
        <v>United States</v>
      </c>
      <c r="B692" t="str">
        <f t="shared" si="255"/>
        <v>Chicago</v>
      </c>
      <c r="C692" t="s">
        <v>27</v>
      </c>
      <c r="D692" t="s">
        <v>8</v>
      </c>
      <c r="E692" t="s">
        <v>19</v>
      </c>
      <c r="F692">
        <v>2</v>
      </c>
      <c r="G692">
        <v>0.2</v>
      </c>
      <c r="H692" s="2">
        <v>1.1969999999999992</v>
      </c>
      <c r="I692" s="2">
        <v>19.152000000000001</v>
      </c>
    </row>
    <row r="693" spans="1:9" x14ac:dyDescent="0.3">
      <c r="A693" t="str">
        <f t="shared" si="247"/>
        <v>United States</v>
      </c>
      <c r="B693" t="str">
        <f t="shared" si="255"/>
        <v>Chicago</v>
      </c>
      <c r="C693" t="str">
        <f t="shared" ref="C693:C701" si="260">C692</f>
        <v>Same Day</v>
      </c>
      <c r="D693" t="str">
        <f t="shared" ref="D693:D695" si="261">D692</f>
        <v>Consumer</v>
      </c>
      <c r="E693" t="s">
        <v>21</v>
      </c>
      <c r="F693">
        <v>9</v>
      </c>
      <c r="G693">
        <v>0.6</v>
      </c>
      <c r="H693" s="2">
        <v>-7.4357999999999969</v>
      </c>
      <c r="I693" s="2">
        <v>17.496000000000002</v>
      </c>
    </row>
    <row r="694" spans="1:9" x14ac:dyDescent="0.3">
      <c r="A694" t="str">
        <f t="shared" si="247"/>
        <v>United States</v>
      </c>
      <c r="B694" t="str">
        <f t="shared" si="255"/>
        <v>Chicago</v>
      </c>
      <c r="C694" t="str">
        <f t="shared" si="260"/>
        <v>Same Day</v>
      </c>
      <c r="D694" t="str">
        <f t="shared" si="261"/>
        <v>Consumer</v>
      </c>
      <c r="E694" t="s">
        <v>24</v>
      </c>
      <c r="F694">
        <v>1</v>
      </c>
      <c r="G694">
        <v>0.2</v>
      </c>
      <c r="H694" s="2">
        <v>4.1390999999999991</v>
      </c>
      <c r="I694" s="2">
        <v>36.792000000000002</v>
      </c>
    </row>
    <row r="695" spans="1:9" x14ac:dyDescent="0.3">
      <c r="A695" t="str">
        <f t="shared" si="247"/>
        <v>United States</v>
      </c>
      <c r="B695" t="str">
        <f t="shared" si="255"/>
        <v>Chicago</v>
      </c>
      <c r="C695" t="str">
        <f t="shared" si="260"/>
        <v>Same Day</v>
      </c>
      <c r="D695" t="str">
        <f t="shared" si="261"/>
        <v>Consumer</v>
      </c>
      <c r="E695" t="s">
        <v>14</v>
      </c>
      <c r="F695">
        <v>2</v>
      </c>
      <c r="G695">
        <v>0.2</v>
      </c>
      <c r="H695" s="2">
        <v>32.662799999999947</v>
      </c>
      <c r="I695" s="2">
        <v>290.33600000000001</v>
      </c>
    </row>
    <row r="696" spans="1:9" x14ac:dyDescent="0.3">
      <c r="A696" t="str">
        <f t="shared" si="247"/>
        <v>United States</v>
      </c>
      <c r="B696" t="str">
        <f t="shared" si="255"/>
        <v>Chicago</v>
      </c>
      <c r="C696" t="str">
        <f t="shared" si="260"/>
        <v>Same Day</v>
      </c>
      <c r="D696" t="s">
        <v>17</v>
      </c>
      <c r="E696" t="s">
        <v>19</v>
      </c>
      <c r="F696">
        <v>9</v>
      </c>
      <c r="G696">
        <v>0.4</v>
      </c>
      <c r="H696" s="2">
        <v>4.0487999999999964</v>
      </c>
      <c r="I696" s="2">
        <v>49.216000000000008</v>
      </c>
    </row>
    <row r="697" spans="1:9" x14ac:dyDescent="0.3">
      <c r="A697" t="str">
        <f t="shared" si="247"/>
        <v>United States</v>
      </c>
      <c r="B697" t="str">
        <f t="shared" si="255"/>
        <v>Chicago</v>
      </c>
      <c r="C697" t="str">
        <f t="shared" si="260"/>
        <v>Same Day</v>
      </c>
      <c r="D697" t="str">
        <f t="shared" ref="D697:D701" si="262">D696</f>
        <v>Home Office</v>
      </c>
      <c r="E697" t="s">
        <v>33</v>
      </c>
      <c r="F697">
        <v>1</v>
      </c>
      <c r="G697">
        <v>0.3</v>
      </c>
      <c r="H697" s="2">
        <v>-2.5647999999999982</v>
      </c>
      <c r="I697" s="2">
        <v>89.768000000000001</v>
      </c>
    </row>
    <row r="698" spans="1:9" x14ac:dyDescent="0.3">
      <c r="A698" t="str">
        <f t="shared" si="247"/>
        <v>United States</v>
      </c>
      <c r="B698" t="str">
        <f t="shared" si="255"/>
        <v>Chicago</v>
      </c>
      <c r="C698" t="str">
        <f t="shared" si="260"/>
        <v>Same Day</v>
      </c>
      <c r="D698" t="str">
        <f t="shared" si="262"/>
        <v>Home Office</v>
      </c>
      <c r="E698" t="s">
        <v>45</v>
      </c>
      <c r="F698">
        <v>2</v>
      </c>
      <c r="G698">
        <v>0.2</v>
      </c>
      <c r="H698" s="2">
        <v>335.99440000000004</v>
      </c>
      <c r="I698" s="2">
        <v>959.98400000000004</v>
      </c>
    </row>
    <row r="699" spans="1:9" x14ac:dyDescent="0.3">
      <c r="A699" t="str">
        <f t="shared" si="247"/>
        <v>United States</v>
      </c>
      <c r="B699" t="str">
        <f t="shared" si="255"/>
        <v>Chicago</v>
      </c>
      <c r="C699" t="str">
        <f t="shared" si="260"/>
        <v>Same Day</v>
      </c>
      <c r="D699" t="str">
        <f t="shared" si="262"/>
        <v>Home Office</v>
      </c>
      <c r="E699" t="s">
        <v>46</v>
      </c>
      <c r="F699">
        <v>2</v>
      </c>
      <c r="G699">
        <v>0.3</v>
      </c>
      <c r="H699" s="2">
        <v>8.9993999999999801</v>
      </c>
      <c r="I699" s="2">
        <v>209.98599999999999</v>
      </c>
    </row>
    <row r="700" spans="1:9" x14ac:dyDescent="0.3">
      <c r="A700" t="str">
        <f t="shared" si="247"/>
        <v>United States</v>
      </c>
      <c r="B700" t="str">
        <f t="shared" si="255"/>
        <v>Chicago</v>
      </c>
      <c r="C700" t="str">
        <f t="shared" si="260"/>
        <v>Same Day</v>
      </c>
      <c r="D700" t="str">
        <f t="shared" si="262"/>
        <v>Home Office</v>
      </c>
      <c r="E700" t="s">
        <v>16</v>
      </c>
      <c r="F700">
        <v>3</v>
      </c>
      <c r="G700">
        <v>0.2</v>
      </c>
      <c r="H700" s="2">
        <v>5.6375999999999999</v>
      </c>
      <c r="I700" s="2">
        <v>15.552000000000003</v>
      </c>
    </row>
    <row r="701" spans="1:9" x14ac:dyDescent="0.3">
      <c r="A701" t="str">
        <f t="shared" si="247"/>
        <v>United States</v>
      </c>
      <c r="B701" t="str">
        <f t="shared" si="255"/>
        <v>Chicago</v>
      </c>
      <c r="C701" t="str">
        <f t="shared" si="260"/>
        <v>Same Day</v>
      </c>
      <c r="D701" t="str">
        <f t="shared" si="262"/>
        <v>Home Office</v>
      </c>
      <c r="E701" t="s">
        <v>24</v>
      </c>
      <c r="F701">
        <v>1</v>
      </c>
      <c r="G701">
        <v>0.2</v>
      </c>
      <c r="H701" s="2">
        <v>-7.3015000000000025</v>
      </c>
      <c r="I701" s="2">
        <v>34.360000000000007</v>
      </c>
    </row>
    <row r="702" spans="1:9" x14ac:dyDescent="0.3">
      <c r="A702" t="str">
        <f t="shared" si="247"/>
        <v>United States</v>
      </c>
      <c r="B702" t="str">
        <f t="shared" si="255"/>
        <v>Chicago</v>
      </c>
      <c r="C702" t="s">
        <v>7</v>
      </c>
      <c r="D702" t="s">
        <v>8</v>
      </c>
      <c r="E702" t="s">
        <v>23</v>
      </c>
      <c r="F702">
        <v>7</v>
      </c>
      <c r="G702">
        <v>0.4</v>
      </c>
      <c r="H702" s="2">
        <v>57.272600000000004</v>
      </c>
      <c r="I702" s="2">
        <v>263.81600000000003</v>
      </c>
    </row>
    <row r="703" spans="1:9" x14ac:dyDescent="0.3">
      <c r="A703" t="str">
        <f t="shared" si="247"/>
        <v>United States</v>
      </c>
      <c r="B703" t="str">
        <f t="shared" ref="B703:B734" si="263">B702</f>
        <v>Chicago</v>
      </c>
      <c r="C703" t="str">
        <f t="shared" ref="C703:C737" si="264">C702</f>
        <v>Second Class</v>
      </c>
      <c r="D703" t="str">
        <f t="shared" ref="D703:D714" si="265">D702</f>
        <v>Consumer</v>
      </c>
      <c r="E703" t="s">
        <v>12</v>
      </c>
      <c r="F703">
        <v>5</v>
      </c>
      <c r="G703">
        <v>0.8</v>
      </c>
      <c r="H703" s="2">
        <v>-470.548</v>
      </c>
      <c r="I703" s="2">
        <v>180.97999999999996</v>
      </c>
    </row>
    <row r="704" spans="1:9" x14ac:dyDescent="0.3">
      <c r="A704" t="str">
        <f t="shared" si="247"/>
        <v>United States</v>
      </c>
      <c r="B704" t="str">
        <f t="shared" si="263"/>
        <v>Chicago</v>
      </c>
      <c r="C704" t="str">
        <f t="shared" si="264"/>
        <v>Second Class</v>
      </c>
      <c r="D704" t="str">
        <f t="shared" si="265"/>
        <v>Consumer</v>
      </c>
      <c r="E704" t="s">
        <v>19</v>
      </c>
      <c r="F704">
        <v>5</v>
      </c>
      <c r="G704">
        <v>0.4</v>
      </c>
      <c r="H704" s="2">
        <v>1.8949999999999998</v>
      </c>
      <c r="I704" s="2">
        <v>14.32</v>
      </c>
    </row>
    <row r="705" spans="1:9" x14ac:dyDescent="0.3">
      <c r="A705" t="str">
        <f t="shared" si="247"/>
        <v>United States</v>
      </c>
      <c r="B705" t="str">
        <f t="shared" si="263"/>
        <v>Chicago</v>
      </c>
      <c r="C705" t="str">
        <f t="shared" si="264"/>
        <v>Second Class</v>
      </c>
      <c r="D705" t="str">
        <f t="shared" si="265"/>
        <v>Consumer</v>
      </c>
      <c r="E705" t="s">
        <v>20</v>
      </c>
      <c r="F705">
        <v>27</v>
      </c>
      <c r="G705">
        <v>4</v>
      </c>
      <c r="H705" s="2">
        <v>-118.78780000000003</v>
      </c>
      <c r="I705" s="2">
        <v>74.011999999999986</v>
      </c>
    </row>
    <row r="706" spans="1:9" x14ac:dyDescent="0.3">
      <c r="A706" t="str">
        <f t="shared" si="247"/>
        <v>United States</v>
      </c>
      <c r="B706" t="str">
        <f t="shared" si="263"/>
        <v>Chicago</v>
      </c>
      <c r="C706" t="str">
        <f t="shared" si="264"/>
        <v>Second Class</v>
      </c>
      <c r="D706" t="str">
        <f t="shared" si="265"/>
        <v>Consumer</v>
      </c>
      <c r="E706" t="s">
        <v>33</v>
      </c>
      <c r="F706">
        <v>15</v>
      </c>
      <c r="G706">
        <v>0.89999999999999991</v>
      </c>
      <c r="H706" s="2">
        <v>-23.647700000000071</v>
      </c>
      <c r="I706" s="2">
        <v>975.05100000000004</v>
      </c>
    </row>
    <row r="707" spans="1:9" x14ac:dyDescent="0.3">
      <c r="A707" t="str">
        <f t="shared" si="247"/>
        <v>United States</v>
      </c>
      <c r="B707" t="str">
        <f t="shared" si="263"/>
        <v>Chicago</v>
      </c>
      <c r="C707" t="str">
        <f t="shared" si="264"/>
        <v>Second Class</v>
      </c>
      <c r="D707" t="str">
        <f t="shared" si="265"/>
        <v>Consumer</v>
      </c>
      <c r="E707" t="s">
        <v>38</v>
      </c>
      <c r="F707">
        <v>1</v>
      </c>
      <c r="G707">
        <v>0.2</v>
      </c>
      <c r="H707" s="2">
        <v>2.9339999999999997</v>
      </c>
      <c r="I707" s="2">
        <v>7.8239999999999998</v>
      </c>
    </row>
    <row r="708" spans="1:9" x14ac:dyDescent="0.3">
      <c r="A708" t="str">
        <f t="shared" ref="A708:A771" si="266">A707</f>
        <v>United States</v>
      </c>
      <c r="B708" t="str">
        <f t="shared" si="263"/>
        <v>Chicago</v>
      </c>
      <c r="C708" t="str">
        <f t="shared" si="264"/>
        <v>Second Class</v>
      </c>
      <c r="D708" t="str">
        <f t="shared" si="265"/>
        <v>Consumer</v>
      </c>
      <c r="E708" t="s">
        <v>18</v>
      </c>
      <c r="F708">
        <v>4</v>
      </c>
      <c r="G708">
        <v>0.2</v>
      </c>
      <c r="H708" s="2">
        <v>3.2899999999999996</v>
      </c>
      <c r="I708" s="2">
        <v>10.528</v>
      </c>
    </row>
    <row r="709" spans="1:9" x14ac:dyDescent="0.3">
      <c r="A709" t="str">
        <f t="shared" si="266"/>
        <v>United States</v>
      </c>
      <c r="B709" t="str">
        <f t="shared" si="263"/>
        <v>Chicago</v>
      </c>
      <c r="C709" t="str">
        <f t="shared" si="264"/>
        <v>Second Class</v>
      </c>
      <c r="D709" t="str">
        <f t="shared" si="265"/>
        <v>Consumer</v>
      </c>
      <c r="E709" t="s">
        <v>21</v>
      </c>
      <c r="F709">
        <v>17</v>
      </c>
      <c r="G709">
        <v>3.6</v>
      </c>
      <c r="H709" s="2">
        <v>-375.11619999999999</v>
      </c>
      <c r="I709" s="2">
        <v>456.74</v>
      </c>
    </row>
    <row r="710" spans="1:9" x14ac:dyDescent="0.3">
      <c r="A710" t="str">
        <f t="shared" si="266"/>
        <v>United States</v>
      </c>
      <c r="B710" t="str">
        <f t="shared" si="263"/>
        <v>Chicago</v>
      </c>
      <c r="C710" t="str">
        <f t="shared" si="264"/>
        <v>Second Class</v>
      </c>
      <c r="D710" t="str">
        <f t="shared" si="265"/>
        <v>Consumer</v>
      </c>
      <c r="E710" t="s">
        <v>16</v>
      </c>
      <c r="F710">
        <v>25</v>
      </c>
      <c r="G710">
        <v>1</v>
      </c>
      <c r="H710" s="2">
        <v>54.699600000000004</v>
      </c>
      <c r="I710" s="2">
        <v>155.23200000000003</v>
      </c>
    </row>
    <row r="711" spans="1:9" x14ac:dyDescent="0.3">
      <c r="A711" t="str">
        <f t="shared" si="266"/>
        <v>United States</v>
      </c>
      <c r="B711" t="str">
        <f t="shared" si="263"/>
        <v>Chicago</v>
      </c>
      <c r="C711" t="str">
        <f t="shared" si="264"/>
        <v>Second Class</v>
      </c>
      <c r="D711" t="str">
        <f t="shared" si="265"/>
        <v>Consumer</v>
      </c>
      <c r="E711" t="s">
        <v>24</v>
      </c>
      <c r="F711">
        <v>18</v>
      </c>
      <c r="G711">
        <v>1</v>
      </c>
      <c r="H711" s="2">
        <v>167.08799999999997</v>
      </c>
      <c r="I711" s="2">
        <v>1737.152</v>
      </c>
    </row>
    <row r="712" spans="1:9" x14ac:dyDescent="0.3">
      <c r="A712" t="str">
        <f t="shared" si="266"/>
        <v>United States</v>
      </c>
      <c r="B712" t="str">
        <f t="shared" si="263"/>
        <v>Chicago</v>
      </c>
      <c r="C712" t="str">
        <f t="shared" si="264"/>
        <v>Second Class</v>
      </c>
      <c r="D712" t="str">
        <f t="shared" si="265"/>
        <v>Consumer</v>
      </c>
      <c r="E712" t="s">
        <v>14</v>
      </c>
      <c r="F712">
        <v>5</v>
      </c>
      <c r="G712">
        <v>0.4</v>
      </c>
      <c r="H712" s="2">
        <v>-23.301999999999992</v>
      </c>
      <c r="I712" s="2">
        <v>183.96799999999999</v>
      </c>
    </row>
    <row r="713" spans="1:9" x14ac:dyDescent="0.3">
      <c r="A713" t="str">
        <f t="shared" si="266"/>
        <v>United States</v>
      </c>
      <c r="B713" t="str">
        <f t="shared" si="263"/>
        <v>Chicago</v>
      </c>
      <c r="C713" t="str">
        <f t="shared" si="264"/>
        <v>Second Class</v>
      </c>
      <c r="D713" t="str">
        <f t="shared" si="265"/>
        <v>Consumer</v>
      </c>
      <c r="E713" t="s">
        <v>9</v>
      </c>
      <c r="F713">
        <v>5</v>
      </c>
      <c r="G713">
        <v>0.2</v>
      </c>
      <c r="H713" s="2">
        <v>3.0690000000000026</v>
      </c>
      <c r="I713" s="2">
        <v>40.92</v>
      </c>
    </row>
    <row r="714" spans="1:9" x14ac:dyDescent="0.3">
      <c r="A714" t="str">
        <f t="shared" si="266"/>
        <v>United States</v>
      </c>
      <c r="B714" t="str">
        <f t="shared" si="263"/>
        <v>Chicago</v>
      </c>
      <c r="C714" t="str">
        <f t="shared" si="264"/>
        <v>Second Class</v>
      </c>
      <c r="D714" t="str">
        <f t="shared" si="265"/>
        <v>Consumer</v>
      </c>
      <c r="E714" t="s">
        <v>25</v>
      </c>
      <c r="F714">
        <v>12</v>
      </c>
      <c r="G714">
        <v>1</v>
      </c>
      <c r="H714" s="2">
        <v>-687.07549999999992</v>
      </c>
      <c r="I714" s="2">
        <v>942.85</v>
      </c>
    </row>
    <row r="715" spans="1:9" x14ac:dyDescent="0.3">
      <c r="A715" t="str">
        <f t="shared" si="266"/>
        <v>United States</v>
      </c>
      <c r="B715" t="str">
        <f t="shared" si="263"/>
        <v>Chicago</v>
      </c>
      <c r="C715" t="str">
        <f t="shared" si="264"/>
        <v>Second Class</v>
      </c>
      <c r="D715" t="s">
        <v>15</v>
      </c>
      <c r="E715" t="s">
        <v>23</v>
      </c>
      <c r="F715">
        <v>10</v>
      </c>
      <c r="G715">
        <v>0.4</v>
      </c>
      <c r="H715" s="2">
        <v>18.071999999999992</v>
      </c>
      <c r="I715" s="2">
        <v>81.440000000000012</v>
      </c>
    </row>
    <row r="716" spans="1:9" x14ac:dyDescent="0.3">
      <c r="A716" t="str">
        <f t="shared" si="266"/>
        <v>United States</v>
      </c>
      <c r="B716" t="str">
        <f t="shared" si="263"/>
        <v>Chicago</v>
      </c>
      <c r="C716" t="str">
        <f t="shared" si="264"/>
        <v>Second Class</v>
      </c>
      <c r="D716" t="str">
        <f t="shared" ref="D716:D726" si="267">D715</f>
        <v>Corporate</v>
      </c>
      <c r="E716" t="s">
        <v>12</v>
      </c>
      <c r="F716">
        <v>2</v>
      </c>
      <c r="G716">
        <v>0.8</v>
      </c>
      <c r="H716" s="2">
        <v>-11.761200000000002</v>
      </c>
      <c r="I716" s="2">
        <v>4.355999999999999</v>
      </c>
    </row>
    <row r="717" spans="1:9" x14ac:dyDescent="0.3">
      <c r="A717" t="str">
        <f t="shared" si="266"/>
        <v>United States</v>
      </c>
      <c r="B717" t="str">
        <f t="shared" si="263"/>
        <v>Chicago</v>
      </c>
      <c r="C717" t="str">
        <f t="shared" si="264"/>
        <v>Second Class</v>
      </c>
      <c r="D717" t="str">
        <f t="shared" si="267"/>
        <v>Corporate</v>
      </c>
      <c r="E717" t="s">
        <v>19</v>
      </c>
      <c r="F717">
        <v>3</v>
      </c>
      <c r="G717">
        <v>0.2</v>
      </c>
      <c r="H717" s="2">
        <v>0.88559999999999883</v>
      </c>
      <c r="I717" s="2">
        <v>7.8719999999999999</v>
      </c>
    </row>
    <row r="718" spans="1:9" x14ac:dyDescent="0.3">
      <c r="A718" t="str">
        <f t="shared" si="266"/>
        <v>United States</v>
      </c>
      <c r="B718" t="str">
        <f t="shared" si="263"/>
        <v>Chicago</v>
      </c>
      <c r="C718" t="str">
        <f t="shared" si="264"/>
        <v>Second Class</v>
      </c>
      <c r="D718" t="str">
        <f t="shared" si="267"/>
        <v>Corporate</v>
      </c>
      <c r="E718" t="s">
        <v>20</v>
      </c>
      <c r="F718">
        <v>9</v>
      </c>
      <c r="G718">
        <v>2.4000000000000004</v>
      </c>
      <c r="H718" s="2">
        <v>-29.520000000000003</v>
      </c>
      <c r="I718" s="2">
        <v>18.491999999999997</v>
      </c>
    </row>
    <row r="719" spans="1:9" x14ac:dyDescent="0.3">
      <c r="A719" t="str">
        <f t="shared" si="266"/>
        <v>United States</v>
      </c>
      <c r="B719" t="str">
        <f t="shared" si="263"/>
        <v>Chicago</v>
      </c>
      <c r="C719" t="str">
        <f t="shared" si="264"/>
        <v>Second Class</v>
      </c>
      <c r="D719" t="str">
        <f t="shared" si="267"/>
        <v>Corporate</v>
      </c>
      <c r="E719" t="s">
        <v>33</v>
      </c>
      <c r="F719">
        <v>3</v>
      </c>
      <c r="G719">
        <v>0.3</v>
      </c>
      <c r="H719" s="2">
        <v>-29.007299999999994</v>
      </c>
      <c r="I719" s="2">
        <v>106.869</v>
      </c>
    </row>
    <row r="720" spans="1:9" x14ac:dyDescent="0.3">
      <c r="A720" t="str">
        <f t="shared" si="266"/>
        <v>United States</v>
      </c>
      <c r="B720" t="str">
        <f t="shared" si="263"/>
        <v>Chicago</v>
      </c>
      <c r="C720" t="str">
        <f t="shared" si="264"/>
        <v>Second Class</v>
      </c>
      <c r="D720" t="str">
        <f t="shared" si="267"/>
        <v>Corporate</v>
      </c>
      <c r="E720" t="s">
        <v>18</v>
      </c>
      <c r="F720">
        <v>5</v>
      </c>
      <c r="G720">
        <v>0.2</v>
      </c>
      <c r="H720" s="2">
        <v>4.9139999999999988</v>
      </c>
      <c r="I720" s="2">
        <v>15.120000000000001</v>
      </c>
    </row>
    <row r="721" spans="1:9" x14ac:dyDescent="0.3">
      <c r="A721" t="str">
        <f t="shared" si="266"/>
        <v>United States</v>
      </c>
      <c r="B721" t="str">
        <f t="shared" si="263"/>
        <v>Chicago</v>
      </c>
      <c r="C721" t="str">
        <f t="shared" si="264"/>
        <v>Second Class</v>
      </c>
      <c r="D721" t="str">
        <f t="shared" si="267"/>
        <v>Corporate</v>
      </c>
      <c r="E721" t="s">
        <v>21</v>
      </c>
      <c r="F721">
        <v>2</v>
      </c>
      <c r="G721">
        <v>0.6</v>
      </c>
      <c r="H721" s="2">
        <v>-61.872</v>
      </c>
      <c r="I721" s="2">
        <v>51.56</v>
      </c>
    </row>
    <row r="722" spans="1:9" x14ac:dyDescent="0.3">
      <c r="A722" t="str">
        <f t="shared" si="266"/>
        <v>United States</v>
      </c>
      <c r="B722" t="str">
        <f t="shared" si="263"/>
        <v>Chicago</v>
      </c>
      <c r="C722" t="str">
        <f t="shared" si="264"/>
        <v>Second Class</v>
      </c>
      <c r="D722" t="str">
        <f t="shared" si="267"/>
        <v>Corporate</v>
      </c>
      <c r="E722" t="s">
        <v>43</v>
      </c>
      <c r="F722">
        <v>5</v>
      </c>
      <c r="G722">
        <v>0.4</v>
      </c>
      <c r="H722" s="2">
        <v>5.8769999999999989</v>
      </c>
      <c r="I722" s="2">
        <v>17.856000000000002</v>
      </c>
    </row>
    <row r="723" spans="1:9" x14ac:dyDescent="0.3">
      <c r="A723" t="str">
        <f t="shared" si="266"/>
        <v>United States</v>
      </c>
      <c r="B723" t="str">
        <f t="shared" si="263"/>
        <v>Chicago</v>
      </c>
      <c r="C723" t="str">
        <f t="shared" si="264"/>
        <v>Second Class</v>
      </c>
      <c r="D723" t="str">
        <f t="shared" si="267"/>
        <v>Corporate</v>
      </c>
      <c r="E723" t="s">
        <v>16</v>
      </c>
      <c r="F723">
        <v>7</v>
      </c>
      <c r="G723">
        <v>0.2</v>
      </c>
      <c r="H723" s="2">
        <v>54.214999999999982</v>
      </c>
      <c r="I723" s="2">
        <v>173.48800000000003</v>
      </c>
    </row>
    <row r="724" spans="1:9" x14ac:dyDescent="0.3">
      <c r="A724" t="str">
        <f t="shared" si="266"/>
        <v>United States</v>
      </c>
      <c r="B724" t="str">
        <f t="shared" si="263"/>
        <v>Chicago</v>
      </c>
      <c r="C724" t="str">
        <f t="shared" si="264"/>
        <v>Second Class</v>
      </c>
      <c r="D724" t="str">
        <f t="shared" si="267"/>
        <v>Corporate</v>
      </c>
      <c r="E724" t="s">
        <v>24</v>
      </c>
      <c r="F724">
        <v>2</v>
      </c>
      <c r="G724">
        <v>0.2</v>
      </c>
      <c r="H724" s="2">
        <v>4.9615999999999989</v>
      </c>
      <c r="I724" s="2">
        <v>49.616000000000007</v>
      </c>
    </row>
    <row r="725" spans="1:9" x14ac:dyDescent="0.3">
      <c r="A725" t="str">
        <f t="shared" si="266"/>
        <v>United States</v>
      </c>
      <c r="B725" t="str">
        <f t="shared" si="263"/>
        <v>Chicago</v>
      </c>
      <c r="C725" t="str">
        <f t="shared" si="264"/>
        <v>Second Class</v>
      </c>
      <c r="D725" t="str">
        <f t="shared" si="267"/>
        <v>Corporate</v>
      </c>
      <c r="E725" t="s">
        <v>14</v>
      </c>
      <c r="F725">
        <v>11</v>
      </c>
      <c r="G725">
        <v>0.4</v>
      </c>
      <c r="H725" s="2">
        <v>-8.8540000000000205</v>
      </c>
      <c r="I725" s="2">
        <v>348.25599999999997</v>
      </c>
    </row>
    <row r="726" spans="1:9" x14ac:dyDescent="0.3">
      <c r="A726" t="str">
        <f t="shared" si="266"/>
        <v>United States</v>
      </c>
      <c r="B726" t="str">
        <f t="shared" si="263"/>
        <v>Chicago</v>
      </c>
      <c r="C726" t="str">
        <f t="shared" si="264"/>
        <v>Second Class</v>
      </c>
      <c r="D726" t="str">
        <f t="shared" si="267"/>
        <v>Corporate</v>
      </c>
      <c r="E726" t="s">
        <v>9</v>
      </c>
      <c r="F726">
        <v>8</v>
      </c>
      <c r="G726">
        <v>0.4</v>
      </c>
      <c r="H726" s="2">
        <v>-0.20140000000000136</v>
      </c>
      <c r="I726" s="2">
        <v>29.288000000000004</v>
      </c>
    </row>
    <row r="727" spans="1:9" x14ac:dyDescent="0.3">
      <c r="A727" t="str">
        <f t="shared" si="266"/>
        <v>United States</v>
      </c>
      <c r="B727" t="str">
        <f t="shared" si="263"/>
        <v>Chicago</v>
      </c>
      <c r="C727" t="str">
        <f t="shared" si="264"/>
        <v>Second Class</v>
      </c>
      <c r="D727" t="s">
        <v>17</v>
      </c>
      <c r="E727" t="s">
        <v>23</v>
      </c>
      <c r="F727">
        <v>4</v>
      </c>
      <c r="G727">
        <v>0.2</v>
      </c>
      <c r="H727" s="2">
        <v>71.992800000000003</v>
      </c>
      <c r="I727" s="2">
        <v>319.96800000000002</v>
      </c>
    </row>
    <row r="728" spans="1:9" x14ac:dyDescent="0.3">
      <c r="A728" t="str">
        <f t="shared" si="266"/>
        <v>United States</v>
      </c>
      <c r="B728" t="str">
        <f t="shared" si="263"/>
        <v>Chicago</v>
      </c>
      <c r="C728" t="str">
        <f t="shared" si="264"/>
        <v>Second Class</v>
      </c>
      <c r="D728" t="str">
        <f t="shared" ref="D728:D737" si="268">D727</f>
        <v>Home Office</v>
      </c>
      <c r="E728" t="s">
        <v>19</v>
      </c>
      <c r="F728">
        <v>5</v>
      </c>
      <c r="G728">
        <v>0.4</v>
      </c>
      <c r="H728" s="2">
        <v>2.5144000000000002</v>
      </c>
      <c r="I728" s="2">
        <v>10.591999999999999</v>
      </c>
    </row>
    <row r="729" spans="1:9" x14ac:dyDescent="0.3">
      <c r="A729" t="str">
        <f t="shared" si="266"/>
        <v>United States</v>
      </c>
      <c r="B729" t="str">
        <f t="shared" si="263"/>
        <v>Chicago</v>
      </c>
      <c r="C729" t="str">
        <f t="shared" si="264"/>
        <v>Second Class</v>
      </c>
      <c r="D729" t="str">
        <f t="shared" si="268"/>
        <v>Home Office</v>
      </c>
      <c r="E729" t="s">
        <v>20</v>
      </c>
      <c r="F729">
        <v>1</v>
      </c>
      <c r="G729">
        <v>0.8</v>
      </c>
      <c r="H729" s="2">
        <v>-14.759400000000003</v>
      </c>
      <c r="I729" s="2">
        <v>8.6819999999999968</v>
      </c>
    </row>
    <row r="730" spans="1:9" x14ac:dyDescent="0.3">
      <c r="A730" t="str">
        <f t="shared" si="266"/>
        <v>United States</v>
      </c>
      <c r="B730" t="str">
        <f t="shared" si="263"/>
        <v>Chicago</v>
      </c>
      <c r="C730" t="str">
        <f t="shared" si="264"/>
        <v>Second Class</v>
      </c>
      <c r="D730" t="str">
        <f t="shared" si="268"/>
        <v>Home Office</v>
      </c>
      <c r="E730" t="s">
        <v>33</v>
      </c>
      <c r="F730">
        <v>9</v>
      </c>
      <c r="G730">
        <v>0.6</v>
      </c>
      <c r="H730" s="2">
        <v>-215.02320000000006</v>
      </c>
      <c r="I730" s="2">
        <v>1413.174</v>
      </c>
    </row>
    <row r="731" spans="1:9" x14ac:dyDescent="0.3">
      <c r="A731" t="str">
        <f t="shared" si="266"/>
        <v>United States</v>
      </c>
      <c r="B731" t="str">
        <f t="shared" si="263"/>
        <v>Chicago</v>
      </c>
      <c r="C731" t="str">
        <f t="shared" si="264"/>
        <v>Second Class</v>
      </c>
      <c r="D731" t="str">
        <f t="shared" si="268"/>
        <v>Home Office</v>
      </c>
      <c r="E731" t="s">
        <v>18</v>
      </c>
      <c r="F731">
        <v>4</v>
      </c>
      <c r="G731">
        <v>0.2</v>
      </c>
      <c r="H731" s="2">
        <v>5.6</v>
      </c>
      <c r="I731" s="2">
        <v>16</v>
      </c>
    </row>
    <row r="732" spans="1:9" x14ac:dyDescent="0.3">
      <c r="A732" t="str">
        <f t="shared" si="266"/>
        <v>United States</v>
      </c>
      <c r="B732" t="str">
        <f t="shared" si="263"/>
        <v>Chicago</v>
      </c>
      <c r="C732" t="str">
        <f t="shared" si="264"/>
        <v>Second Class</v>
      </c>
      <c r="D732" t="str">
        <f t="shared" si="268"/>
        <v>Home Office</v>
      </c>
      <c r="E732" t="s">
        <v>21</v>
      </c>
      <c r="F732">
        <v>3</v>
      </c>
      <c r="G732">
        <v>1.2</v>
      </c>
      <c r="H732" s="2">
        <v>-36.397399999999998</v>
      </c>
      <c r="I732" s="2">
        <v>36.424000000000007</v>
      </c>
    </row>
    <row r="733" spans="1:9" x14ac:dyDescent="0.3">
      <c r="A733" t="str">
        <f t="shared" si="266"/>
        <v>United States</v>
      </c>
      <c r="B733" t="str">
        <f t="shared" si="263"/>
        <v>Chicago</v>
      </c>
      <c r="C733" t="str">
        <f t="shared" si="264"/>
        <v>Second Class</v>
      </c>
      <c r="D733" t="str">
        <f t="shared" si="268"/>
        <v>Home Office</v>
      </c>
      <c r="E733" t="s">
        <v>43</v>
      </c>
      <c r="F733">
        <v>1</v>
      </c>
      <c r="G733">
        <v>0.2</v>
      </c>
      <c r="H733" s="2">
        <v>7.9378000000000002</v>
      </c>
      <c r="I733" s="2">
        <v>24.424000000000003</v>
      </c>
    </row>
    <row r="734" spans="1:9" x14ac:dyDescent="0.3">
      <c r="A734" t="str">
        <f t="shared" si="266"/>
        <v>United States</v>
      </c>
      <c r="B734" t="str">
        <f t="shared" si="263"/>
        <v>Chicago</v>
      </c>
      <c r="C734" t="str">
        <f t="shared" si="264"/>
        <v>Second Class</v>
      </c>
      <c r="D734" t="str">
        <f t="shared" si="268"/>
        <v>Home Office</v>
      </c>
      <c r="E734" t="s">
        <v>46</v>
      </c>
      <c r="F734">
        <v>3</v>
      </c>
      <c r="G734">
        <v>0.3</v>
      </c>
      <c r="H734" s="2">
        <v>43.199100000000044</v>
      </c>
      <c r="I734" s="2">
        <v>1007.979</v>
      </c>
    </row>
    <row r="735" spans="1:9" x14ac:dyDescent="0.3">
      <c r="A735" t="str">
        <f t="shared" si="266"/>
        <v>United States</v>
      </c>
      <c r="B735" t="str">
        <f t="shared" ref="B735:B766" si="269">B734</f>
        <v>Chicago</v>
      </c>
      <c r="C735" t="str">
        <f t="shared" si="264"/>
        <v>Second Class</v>
      </c>
      <c r="D735" t="str">
        <f t="shared" si="268"/>
        <v>Home Office</v>
      </c>
      <c r="E735" t="s">
        <v>16</v>
      </c>
      <c r="F735">
        <v>21</v>
      </c>
      <c r="G735">
        <v>1.4</v>
      </c>
      <c r="H735" s="2">
        <v>306.54279999999994</v>
      </c>
      <c r="I735" s="2">
        <v>862.24</v>
      </c>
    </row>
    <row r="736" spans="1:9" x14ac:dyDescent="0.3">
      <c r="A736" t="str">
        <f t="shared" si="266"/>
        <v>United States</v>
      </c>
      <c r="B736" t="str">
        <f t="shared" si="269"/>
        <v>Chicago</v>
      </c>
      <c r="C736" t="str">
        <f t="shared" si="264"/>
        <v>Second Class</v>
      </c>
      <c r="D736" t="str">
        <f t="shared" si="268"/>
        <v>Home Office</v>
      </c>
      <c r="E736" t="s">
        <v>24</v>
      </c>
      <c r="F736">
        <v>14</v>
      </c>
      <c r="G736">
        <v>0.8</v>
      </c>
      <c r="H736" s="2">
        <v>204.87079999999989</v>
      </c>
      <c r="I736" s="2">
        <v>2063.8879999999999</v>
      </c>
    </row>
    <row r="737" spans="1:9" x14ac:dyDescent="0.3">
      <c r="A737" t="str">
        <f t="shared" si="266"/>
        <v>United States</v>
      </c>
      <c r="B737" t="str">
        <f t="shared" si="269"/>
        <v>Chicago</v>
      </c>
      <c r="C737" t="str">
        <f t="shared" si="264"/>
        <v>Second Class</v>
      </c>
      <c r="D737" t="str">
        <f t="shared" si="268"/>
        <v>Home Office</v>
      </c>
      <c r="E737" t="s">
        <v>14</v>
      </c>
      <c r="F737">
        <v>3</v>
      </c>
      <c r="G737">
        <v>0.2</v>
      </c>
      <c r="H737" s="2">
        <v>31.582499999999953</v>
      </c>
      <c r="I737" s="2">
        <v>505.32000000000005</v>
      </c>
    </row>
    <row r="738" spans="1:9" x14ac:dyDescent="0.3">
      <c r="A738" t="str">
        <f t="shared" si="266"/>
        <v>United States</v>
      </c>
      <c r="B738" t="str">
        <f t="shared" si="269"/>
        <v>Chicago</v>
      </c>
      <c r="C738" t="s">
        <v>22</v>
      </c>
      <c r="D738" t="s">
        <v>8</v>
      </c>
      <c r="E738" t="s">
        <v>23</v>
      </c>
      <c r="F738">
        <v>38</v>
      </c>
      <c r="G738">
        <v>1.9999999999999998</v>
      </c>
      <c r="H738" s="2">
        <v>140.52379999999997</v>
      </c>
      <c r="I738" s="2">
        <v>935.68000000000006</v>
      </c>
    </row>
    <row r="739" spans="1:9" x14ac:dyDescent="0.3">
      <c r="A739" t="str">
        <f t="shared" si="266"/>
        <v>United States</v>
      </c>
      <c r="B739" t="str">
        <f t="shared" si="269"/>
        <v>Chicago</v>
      </c>
      <c r="C739" t="str">
        <f t="shared" ref="C739:C776" si="270">C738</f>
        <v>Standard Class</v>
      </c>
      <c r="D739" t="str">
        <f t="shared" ref="D739:D753" si="271">D738</f>
        <v>Consumer</v>
      </c>
      <c r="E739" t="s">
        <v>12</v>
      </c>
      <c r="F739">
        <v>29</v>
      </c>
      <c r="G739">
        <v>6.3999999999999995</v>
      </c>
      <c r="H739" s="2">
        <v>-1037.8408000000002</v>
      </c>
      <c r="I739" s="2">
        <v>411.7399999999999</v>
      </c>
    </row>
    <row r="740" spans="1:9" x14ac:dyDescent="0.3">
      <c r="A740" t="str">
        <f t="shared" si="266"/>
        <v>United States</v>
      </c>
      <c r="B740" t="str">
        <f t="shared" si="269"/>
        <v>Chicago</v>
      </c>
      <c r="C740" t="str">
        <f t="shared" si="270"/>
        <v>Standard Class</v>
      </c>
      <c r="D740" t="str">
        <f t="shared" si="271"/>
        <v>Consumer</v>
      </c>
      <c r="E740" t="s">
        <v>19</v>
      </c>
      <c r="F740">
        <v>37</v>
      </c>
      <c r="G740">
        <v>1.5999999999999999</v>
      </c>
      <c r="H740" s="2">
        <v>24.915399999999995</v>
      </c>
      <c r="I740" s="2">
        <v>165.21600000000001</v>
      </c>
    </row>
    <row r="741" spans="1:9" x14ac:dyDescent="0.3">
      <c r="A741" t="str">
        <f t="shared" si="266"/>
        <v>United States</v>
      </c>
      <c r="B741" t="str">
        <f t="shared" si="269"/>
        <v>Chicago</v>
      </c>
      <c r="C741" t="str">
        <f t="shared" si="270"/>
        <v>Standard Class</v>
      </c>
      <c r="D741" t="str">
        <f t="shared" si="271"/>
        <v>Consumer</v>
      </c>
      <c r="E741" t="s">
        <v>20</v>
      </c>
      <c r="F741">
        <v>69</v>
      </c>
      <c r="G741">
        <v>16.800000000000004</v>
      </c>
      <c r="H741" s="2">
        <v>-225.65330000000003</v>
      </c>
      <c r="I741" s="2">
        <v>134.91799999999998</v>
      </c>
    </row>
    <row r="742" spans="1:9" x14ac:dyDescent="0.3">
      <c r="A742" t="str">
        <f t="shared" si="266"/>
        <v>United States</v>
      </c>
      <c r="B742" t="str">
        <f t="shared" si="269"/>
        <v>Chicago</v>
      </c>
      <c r="C742" t="str">
        <f t="shared" si="270"/>
        <v>Standard Class</v>
      </c>
      <c r="D742" t="str">
        <f t="shared" si="271"/>
        <v>Consumer</v>
      </c>
      <c r="E742" t="s">
        <v>34</v>
      </c>
      <c r="F742">
        <v>7</v>
      </c>
      <c r="G742">
        <v>0.6</v>
      </c>
      <c r="H742" s="2">
        <v>-71.811600000000027</v>
      </c>
      <c r="I742" s="2">
        <v>557.80199999999991</v>
      </c>
    </row>
    <row r="743" spans="1:9" x14ac:dyDescent="0.3">
      <c r="A743" t="str">
        <f t="shared" si="266"/>
        <v>United States</v>
      </c>
      <c r="B743" t="str">
        <f t="shared" si="269"/>
        <v>Chicago</v>
      </c>
      <c r="C743" t="str">
        <f t="shared" si="270"/>
        <v>Standard Class</v>
      </c>
      <c r="D743" t="str">
        <f t="shared" si="271"/>
        <v>Consumer</v>
      </c>
      <c r="E743" t="s">
        <v>33</v>
      </c>
      <c r="F743">
        <v>22</v>
      </c>
      <c r="G743">
        <v>2.1</v>
      </c>
      <c r="H743" s="2">
        <v>-235.51819999999998</v>
      </c>
      <c r="I743" s="2">
        <v>2838.9199999999996</v>
      </c>
    </row>
    <row r="744" spans="1:9" x14ac:dyDescent="0.3">
      <c r="A744" t="str">
        <f t="shared" si="266"/>
        <v>United States</v>
      </c>
      <c r="B744" t="str">
        <f t="shared" si="269"/>
        <v>Chicago</v>
      </c>
      <c r="C744" t="str">
        <f t="shared" si="270"/>
        <v>Standard Class</v>
      </c>
      <c r="D744" t="str">
        <f t="shared" si="271"/>
        <v>Consumer</v>
      </c>
      <c r="E744" t="s">
        <v>38</v>
      </c>
      <c r="F744">
        <v>10</v>
      </c>
      <c r="G744">
        <v>0.60000000000000009</v>
      </c>
      <c r="H744" s="2">
        <v>27.950400000000002</v>
      </c>
      <c r="I744" s="2">
        <v>76.640000000000015</v>
      </c>
    </row>
    <row r="745" spans="1:9" x14ac:dyDescent="0.3">
      <c r="A745" t="str">
        <f t="shared" si="266"/>
        <v>United States</v>
      </c>
      <c r="B745" t="str">
        <f t="shared" si="269"/>
        <v>Chicago</v>
      </c>
      <c r="C745" t="str">
        <f t="shared" si="270"/>
        <v>Standard Class</v>
      </c>
      <c r="D745" t="str">
        <f t="shared" si="271"/>
        <v>Consumer</v>
      </c>
      <c r="E745" t="s">
        <v>18</v>
      </c>
      <c r="F745">
        <v>8</v>
      </c>
      <c r="G745">
        <v>0.4</v>
      </c>
      <c r="H745" s="2">
        <v>2.9569999999999994</v>
      </c>
      <c r="I745" s="2">
        <v>10</v>
      </c>
    </row>
    <row r="746" spans="1:9" x14ac:dyDescent="0.3">
      <c r="A746" t="str">
        <f t="shared" si="266"/>
        <v>United States</v>
      </c>
      <c r="B746" t="str">
        <f t="shared" si="269"/>
        <v>Chicago</v>
      </c>
      <c r="C746" t="str">
        <f t="shared" si="270"/>
        <v>Standard Class</v>
      </c>
      <c r="D746" t="str">
        <f t="shared" si="271"/>
        <v>Consumer</v>
      </c>
      <c r="E746" t="s">
        <v>21</v>
      </c>
      <c r="F746">
        <v>32</v>
      </c>
      <c r="G746">
        <v>6.5999999999999988</v>
      </c>
      <c r="H746" s="2">
        <v>-377.31859999999995</v>
      </c>
      <c r="I746" s="2">
        <v>374.63200000000001</v>
      </c>
    </row>
    <row r="747" spans="1:9" x14ac:dyDescent="0.3">
      <c r="A747" t="str">
        <f t="shared" si="266"/>
        <v>United States</v>
      </c>
      <c r="B747" t="str">
        <f t="shared" si="269"/>
        <v>Chicago</v>
      </c>
      <c r="C747" t="str">
        <f t="shared" si="270"/>
        <v>Standard Class</v>
      </c>
      <c r="D747" t="str">
        <f t="shared" si="271"/>
        <v>Consumer</v>
      </c>
      <c r="E747" t="s">
        <v>43</v>
      </c>
      <c r="F747">
        <v>16</v>
      </c>
      <c r="G747">
        <v>0.8</v>
      </c>
      <c r="H747" s="2">
        <v>19.265700000000002</v>
      </c>
      <c r="I747" s="2">
        <v>56.007999999999996</v>
      </c>
    </row>
    <row r="748" spans="1:9" x14ac:dyDescent="0.3">
      <c r="A748" t="str">
        <f t="shared" si="266"/>
        <v>United States</v>
      </c>
      <c r="B748" t="str">
        <f t="shared" si="269"/>
        <v>Chicago</v>
      </c>
      <c r="C748" t="str">
        <f t="shared" si="270"/>
        <v>Standard Class</v>
      </c>
      <c r="D748" t="str">
        <f t="shared" si="271"/>
        <v>Consumer</v>
      </c>
      <c r="E748" t="s">
        <v>46</v>
      </c>
      <c r="F748">
        <v>3</v>
      </c>
      <c r="G748">
        <v>0.3</v>
      </c>
      <c r="H748" s="2">
        <v>-19.470000000000141</v>
      </c>
      <c r="I748" s="2">
        <v>1362.8999999999999</v>
      </c>
    </row>
    <row r="749" spans="1:9" x14ac:dyDescent="0.3">
      <c r="A749" t="str">
        <f t="shared" si="266"/>
        <v>United States</v>
      </c>
      <c r="B749" t="str">
        <f t="shared" si="269"/>
        <v>Chicago</v>
      </c>
      <c r="C749" t="str">
        <f t="shared" si="270"/>
        <v>Standard Class</v>
      </c>
      <c r="D749" t="str">
        <f t="shared" si="271"/>
        <v>Consumer</v>
      </c>
      <c r="E749" t="s">
        <v>16</v>
      </c>
      <c r="F749">
        <v>49</v>
      </c>
      <c r="G749">
        <v>2.1999999999999997</v>
      </c>
      <c r="H749" s="2">
        <v>228.52099999999996</v>
      </c>
      <c r="I749" s="2">
        <v>687.952</v>
      </c>
    </row>
    <row r="750" spans="1:9" x14ac:dyDescent="0.3">
      <c r="A750" t="str">
        <f t="shared" si="266"/>
        <v>United States</v>
      </c>
      <c r="B750" t="str">
        <f t="shared" si="269"/>
        <v>Chicago</v>
      </c>
      <c r="C750" t="str">
        <f t="shared" si="270"/>
        <v>Standard Class</v>
      </c>
      <c r="D750" t="str">
        <f t="shared" si="271"/>
        <v>Consumer</v>
      </c>
      <c r="E750" t="s">
        <v>24</v>
      </c>
      <c r="F750">
        <v>28</v>
      </c>
      <c r="G750">
        <v>1.5999999999999999</v>
      </c>
      <c r="H750" s="2">
        <v>229.80969999999991</v>
      </c>
      <c r="I750" s="2">
        <v>3100.64</v>
      </c>
    </row>
    <row r="751" spans="1:9" x14ac:dyDescent="0.3">
      <c r="A751" t="str">
        <f t="shared" si="266"/>
        <v>United States</v>
      </c>
      <c r="B751" t="str">
        <f t="shared" si="269"/>
        <v>Chicago</v>
      </c>
      <c r="C751" t="str">
        <f t="shared" si="270"/>
        <v>Standard Class</v>
      </c>
      <c r="D751" t="str">
        <f t="shared" si="271"/>
        <v>Consumer</v>
      </c>
      <c r="E751" t="s">
        <v>14</v>
      </c>
      <c r="F751">
        <v>41</v>
      </c>
      <c r="G751">
        <v>2.8000000000000003</v>
      </c>
      <c r="H751" s="2">
        <v>146.8314</v>
      </c>
      <c r="I751" s="2">
        <v>3797.2720000000008</v>
      </c>
    </row>
    <row r="752" spans="1:9" x14ac:dyDescent="0.3">
      <c r="A752" t="str">
        <f t="shared" si="266"/>
        <v>United States</v>
      </c>
      <c r="B752" t="str">
        <f t="shared" si="269"/>
        <v>Chicago</v>
      </c>
      <c r="C752" t="str">
        <f t="shared" si="270"/>
        <v>Standard Class</v>
      </c>
      <c r="D752" t="str">
        <f t="shared" si="271"/>
        <v>Consumer</v>
      </c>
      <c r="E752" t="s">
        <v>9</v>
      </c>
      <c r="F752">
        <v>3</v>
      </c>
      <c r="G752">
        <v>0.2</v>
      </c>
      <c r="H752" s="2">
        <v>2.5136999999999983</v>
      </c>
      <c r="I752" s="2">
        <v>22.344000000000001</v>
      </c>
    </row>
    <row r="753" spans="1:9" x14ac:dyDescent="0.3">
      <c r="A753" t="str">
        <f t="shared" si="266"/>
        <v>United States</v>
      </c>
      <c r="B753" t="str">
        <f t="shared" si="269"/>
        <v>Chicago</v>
      </c>
      <c r="C753" t="str">
        <f t="shared" si="270"/>
        <v>Standard Class</v>
      </c>
      <c r="D753" t="str">
        <f t="shared" si="271"/>
        <v>Consumer</v>
      </c>
      <c r="E753" t="s">
        <v>25</v>
      </c>
      <c r="F753">
        <v>11</v>
      </c>
      <c r="G753">
        <v>2</v>
      </c>
      <c r="H753" s="2">
        <v>-418.62690000000003</v>
      </c>
      <c r="I753" s="2">
        <v>671.28000000000009</v>
      </c>
    </row>
    <row r="754" spans="1:9" x14ac:dyDescent="0.3">
      <c r="A754" t="str">
        <f t="shared" si="266"/>
        <v>United States</v>
      </c>
      <c r="B754" t="str">
        <f t="shared" si="269"/>
        <v>Chicago</v>
      </c>
      <c r="C754" t="str">
        <f t="shared" si="270"/>
        <v>Standard Class</v>
      </c>
      <c r="D754" t="s">
        <v>15</v>
      </c>
      <c r="E754" t="s">
        <v>23</v>
      </c>
      <c r="F754">
        <v>6</v>
      </c>
      <c r="G754">
        <v>0.4</v>
      </c>
      <c r="H754" s="2">
        <v>22.619599999999995</v>
      </c>
      <c r="I754" s="2">
        <v>196.76800000000003</v>
      </c>
    </row>
    <row r="755" spans="1:9" x14ac:dyDescent="0.3">
      <c r="A755" t="str">
        <f t="shared" si="266"/>
        <v>United States</v>
      </c>
      <c r="B755" t="str">
        <f t="shared" si="269"/>
        <v>Chicago</v>
      </c>
      <c r="C755" t="str">
        <f t="shared" si="270"/>
        <v>Standard Class</v>
      </c>
      <c r="D755" t="str">
        <f t="shared" ref="D755:D767" si="272">D754</f>
        <v>Corporate</v>
      </c>
      <c r="E755" t="s">
        <v>12</v>
      </c>
      <c r="F755">
        <v>15</v>
      </c>
      <c r="G755">
        <v>4</v>
      </c>
      <c r="H755" s="2">
        <v>-551.63240000000019</v>
      </c>
      <c r="I755" s="2">
        <v>219.27999999999997</v>
      </c>
    </row>
    <row r="756" spans="1:9" x14ac:dyDescent="0.3">
      <c r="A756" t="str">
        <f t="shared" si="266"/>
        <v>United States</v>
      </c>
      <c r="B756" t="str">
        <f t="shared" si="269"/>
        <v>Chicago</v>
      </c>
      <c r="C756" t="str">
        <f t="shared" si="270"/>
        <v>Standard Class</v>
      </c>
      <c r="D756" t="str">
        <f t="shared" si="272"/>
        <v>Corporate</v>
      </c>
      <c r="E756" t="s">
        <v>19</v>
      </c>
      <c r="F756">
        <v>7</v>
      </c>
      <c r="G756">
        <v>0.4</v>
      </c>
      <c r="H756" s="2">
        <v>3.6864999999999997</v>
      </c>
      <c r="I756" s="2">
        <v>18.872</v>
      </c>
    </row>
    <row r="757" spans="1:9" x14ac:dyDescent="0.3">
      <c r="A757" t="str">
        <f t="shared" si="266"/>
        <v>United States</v>
      </c>
      <c r="B757" t="str">
        <f t="shared" si="269"/>
        <v>Chicago</v>
      </c>
      <c r="C757" t="str">
        <f t="shared" si="270"/>
        <v>Standard Class</v>
      </c>
      <c r="D757" t="str">
        <f t="shared" si="272"/>
        <v>Corporate</v>
      </c>
      <c r="E757" t="s">
        <v>20</v>
      </c>
      <c r="F757">
        <v>34</v>
      </c>
      <c r="G757">
        <v>5.6</v>
      </c>
      <c r="H757" s="2">
        <v>-3039.6570000000006</v>
      </c>
      <c r="I757" s="2">
        <v>1961.6879999999996</v>
      </c>
    </row>
    <row r="758" spans="1:9" x14ac:dyDescent="0.3">
      <c r="A758" t="str">
        <f t="shared" si="266"/>
        <v>United States</v>
      </c>
      <c r="B758" t="str">
        <f t="shared" si="269"/>
        <v>Chicago</v>
      </c>
      <c r="C758" t="str">
        <f t="shared" si="270"/>
        <v>Standard Class</v>
      </c>
      <c r="D758" t="str">
        <f t="shared" si="272"/>
        <v>Corporate</v>
      </c>
      <c r="E758" t="s">
        <v>33</v>
      </c>
      <c r="F758">
        <v>5</v>
      </c>
      <c r="G758">
        <v>0.6</v>
      </c>
      <c r="H758" s="2">
        <v>-4.754999999999999</v>
      </c>
      <c r="I758" s="2">
        <v>110.94999999999999</v>
      </c>
    </row>
    <row r="759" spans="1:9" x14ac:dyDescent="0.3">
      <c r="A759" t="str">
        <f t="shared" si="266"/>
        <v>United States</v>
      </c>
      <c r="B759" t="str">
        <f t="shared" si="269"/>
        <v>Chicago</v>
      </c>
      <c r="C759" t="str">
        <f t="shared" si="270"/>
        <v>Standard Class</v>
      </c>
      <c r="D759" t="str">
        <f t="shared" si="272"/>
        <v>Corporate</v>
      </c>
      <c r="E759" t="s">
        <v>45</v>
      </c>
      <c r="F759">
        <v>8</v>
      </c>
      <c r="G759">
        <v>0.4</v>
      </c>
      <c r="H759" s="2">
        <v>1009.9829999999998</v>
      </c>
      <c r="I759" s="2">
        <v>3519.9360000000006</v>
      </c>
    </row>
    <row r="760" spans="1:9" x14ac:dyDescent="0.3">
      <c r="A760" t="str">
        <f t="shared" si="266"/>
        <v>United States</v>
      </c>
      <c r="B760" t="str">
        <f t="shared" si="269"/>
        <v>Chicago</v>
      </c>
      <c r="C760" t="str">
        <f t="shared" si="270"/>
        <v>Standard Class</v>
      </c>
      <c r="D760" t="str">
        <f t="shared" si="272"/>
        <v>Corporate</v>
      </c>
      <c r="E760" t="s">
        <v>38</v>
      </c>
      <c r="F760">
        <v>3</v>
      </c>
      <c r="G760">
        <v>0.2</v>
      </c>
      <c r="H760" s="2">
        <v>3.2213999999999996</v>
      </c>
      <c r="I760" s="2">
        <v>9.9120000000000008</v>
      </c>
    </row>
    <row r="761" spans="1:9" x14ac:dyDescent="0.3">
      <c r="A761" t="str">
        <f t="shared" si="266"/>
        <v>United States</v>
      </c>
      <c r="B761" t="str">
        <f t="shared" si="269"/>
        <v>Chicago</v>
      </c>
      <c r="C761" t="str">
        <f t="shared" si="270"/>
        <v>Standard Class</v>
      </c>
      <c r="D761" t="str">
        <f t="shared" si="272"/>
        <v>Corporate</v>
      </c>
      <c r="E761" t="s">
        <v>18</v>
      </c>
      <c r="F761">
        <v>8</v>
      </c>
      <c r="G761">
        <v>0.4</v>
      </c>
      <c r="H761" s="2">
        <v>7.4312000000000005</v>
      </c>
      <c r="I761" s="2">
        <v>22.975999999999999</v>
      </c>
    </row>
    <row r="762" spans="1:9" x14ac:dyDescent="0.3">
      <c r="A762" t="str">
        <f t="shared" si="266"/>
        <v>United States</v>
      </c>
      <c r="B762" t="str">
        <f t="shared" si="269"/>
        <v>Chicago</v>
      </c>
      <c r="C762" t="str">
        <f t="shared" si="270"/>
        <v>Standard Class</v>
      </c>
      <c r="D762" t="str">
        <f t="shared" si="272"/>
        <v>Corporate</v>
      </c>
      <c r="E762" t="s">
        <v>21</v>
      </c>
      <c r="F762">
        <v>27</v>
      </c>
      <c r="G762">
        <v>4.2</v>
      </c>
      <c r="H762" s="2">
        <v>-97.271699999999967</v>
      </c>
      <c r="I762" s="2">
        <v>190.26400000000001</v>
      </c>
    </row>
    <row r="763" spans="1:9" x14ac:dyDescent="0.3">
      <c r="A763" t="str">
        <f t="shared" si="266"/>
        <v>United States</v>
      </c>
      <c r="B763" t="str">
        <f t="shared" si="269"/>
        <v>Chicago</v>
      </c>
      <c r="C763" t="str">
        <f t="shared" si="270"/>
        <v>Standard Class</v>
      </c>
      <c r="D763" t="str">
        <f t="shared" si="272"/>
        <v>Corporate</v>
      </c>
      <c r="E763" t="s">
        <v>43</v>
      </c>
      <c r="F763">
        <v>4</v>
      </c>
      <c r="G763">
        <v>0.2</v>
      </c>
      <c r="H763" s="2">
        <v>6.5519999999999987</v>
      </c>
      <c r="I763" s="2">
        <v>20.16</v>
      </c>
    </row>
    <row r="764" spans="1:9" x14ac:dyDescent="0.3">
      <c r="A764" t="str">
        <f t="shared" si="266"/>
        <v>United States</v>
      </c>
      <c r="B764" t="str">
        <f t="shared" si="269"/>
        <v>Chicago</v>
      </c>
      <c r="C764" t="str">
        <f t="shared" si="270"/>
        <v>Standard Class</v>
      </c>
      <c r="D764" t="str">
        <f t="shared" si="272"/>
        <v>Corporate</v>
      </c>
      <c r="E764" t="s">
        <v>16</v>
      </c>
      <c r="F764">
        <v>26</v>
      </c>
      <c r="G764">
        <v>1.7999999999999998</v>
      </c>
      <c r="H764" s="2">
        <v>116.69259999999997</v>
      </c>
      <c r="I764" s="2">
        <v>347.08</v>
      </c>
    </row>
    <row r="765" spans="1:9" x14ac:dyDescent="0.3">
      <c r="A765" t="str">
        <f t="shared" si="266"/>
        <v>United States</v>
      </c>
      <c r="B765" t="str">
        <f t="shared" si="269"/>
        <v>Chicago</v>
      </c>
      <c r="C765" t="str">
        <f t="shared" si="270"/>
        <v>Standard Class</v>
      </c>
      <c r="D765" t="str">
        <f t="shared" si="272"/>
        <v>Corporate</v>
      </c>
      <c r="E765" t="s">
        <v>24</v>
      </c>
      <c r="F765">
        <v>18</v>
      </c>
      <c r="G765">
        <v>0.8</v>
      </c>
      <c r="H765" s="2">
        <v>135.41849999999994</v>
      </c>
      <c r="I765" s="2">
        <v>1577.6080000000002</v>
      </c>
    </row>
    <row r="766" spans="1:9" x14ac:dyDescent="0.3">
      <c r="A766" t="str">
        <f t="shared" si="266"/>
        <v>United States</v>
      </c>
      <c r="B766" t="str">
        <f t="shared" si="269"/>
        <v>Chicago</v>
      </c>
      <c r="C766" t="str">
        <f t="shared" si="270"/>
        <v>Standard Class</v>
      </c>
      <c r="D766" t="str">
        <f t="shared" si="272"/>
        <v>Corporate</v>
      </c>
      <c r="E766" t="s">
        <v>14</v>
      </c>
      <c r="F766">
        <v>25</v>
      </c>
      <c r="G766">
        <v>1.4</v>
      </c>
      <c r="H766" s="2">
        <v>-197.7234</v>
      </c>
      <c r="I766" s="2">
        <v>1022.7040000000001</v>
      </c>
    </row>
    <row r="767" spans="1:9" x14ac:dyDescent="0.3">
      <c r="A767" t="str">
        <f t="shared" si="266"/>
        <v>United States</v>
      </c>
      <c r="B767" t="str">
        <f t="shared" ref="B767:B776" si="273">B766</f>
        <v>Chicago</v>
      </c>
      <c r="C767" t="str">
        <f t="shared" si="270"/>
        <v>Standard Class</v>
      </c>
      <c r="D767" t="str">
        <f t="shared" si="272"/>
        <v>Corporate</v>
      </c>
      <c r="E767" t="s">
        <v>9</v>
      </c>
      <c r="F767">
        <v>2</v>
      </c>
      <c r="G767">
        <v>0.2</v>
      </c>
      <c r="H767" s="2">
        <v>2.5019999999999971</v>
      </c>
      <c r="I767" s="2">
        <v>22.240000000000002</v>
      </c>
    </row>
    <row r="768" spans="1:9" x14ac:dyDescent="0.3">
      <c r="A768" t="str">
        <f t="shared" si="266"/>
        <v>United States</v>
      </c>
      <c r="B768" t="str">
        <f t="shared" si="273"/>
        <v>Chicago</v>
      </c>
      <c r="C768" t="str">
        <f t="shared" si="270"/>
        <v>Standard Class</v>
      </c>
      <c r="D768" t="s">
        <v>17</v>
      </c>
      <c r="E768" t="s">
        <v>23</v>
      </c>
      <c r="F768">
        <v>15</v>
      </c>
      <c r="G768">
        <v>0.8</v>
      </c>
      <c r="H768" s="2">
        <v>99.118199999999931</v>
      </c>
      <c r="I768" s="2">
        <v>758.18399999999997</v>
      </c>
    </row>
    <row r="769" spans="1:9" x14ac:dyDescent="0.3">
      <c r="A769" t="str">
        <f t="shared" si="266"/>
        <v>United States</v>
      </c>
      <c r="B769" t="str">
        <f t="shared" si="273"/>
        <v>Chicago</v>
      </c>
      <c r="C769" t="str">
        <f t="shared" si="270"/>
        <v>Standard Class</v>
      </c>
      <c r="D769" t="str">
        <f t="shared" ref="D769:D776" si="274">D768</f>
        <v>Home Office</v>
      </c>
      <c r="E769" t="s">
        <v>19</v>
      </c>
      <c r="F769">
        <v>8</v>
      </c>
      <c r="G769">
        <v>0.4</v>
      </c>
      <c r="H769" s="2">
        <v>2.7057999999999982</v>
      </c>
      <c r="I769" s="2">
        <v>22.928000000000004</v>
      </c>
    </row>
    <row r="770" spans="1:9" x14ac:dyDescent="0.3">
      <c r="A770" t="str">
        <f t="shared" si="266"/>
        <v>United States</v>
      </c>
      <c r="B770" t="str">
        <f t="shared" si="273"/>
        <v>Chicago</v>
      </c>
      <c r="C770" t="str">
        <f t="shared" si="270"/>
        <v>Standard Class</v>
      </c>
      <c r="D770" t="str">
        <f t="shared" si="274"/>
        <v>Home Office</v>
      </c>
      <c r="E770" t="s">
        <v>20</v>
      </c>
      <c r="F770">
        <v>25</v>
      </c>
      <c r="G770">
        <v>4</v>
      </c>
      <c r="H770" s="2">
        <v>-1385.4994000000002</v>
      </c>
      <c r="I770" s="2">
        <v>909.81399999999985</v>
      </c>
    </row>
    <row r="771" spans="1:9" x14ac:dyDescent="0.3">
      <c r="A771" t="str">
        <f t="shared" si="266"/>
        <v>United States</v>
      </c>
      <c r="B771" t="str">
        <f t="shared" si="273"/>
        <v>Chicago</v>
      </c>
      <c r="C771" t="str">
        <f t="shared" si="270"/>
        <v>Standard Class</v>
      </c>
      <c r="D771" t="str">
        <f t="shared" si="274"/>
        <v>Home Office</v>
      </c>
      <c r="E771" t="s">
        <v>33</v>
      </c>
      <c r="F771">
        <v>5</v>
      </c>
      <c r="G771">
        <v>0.3</v>
      </c>
      <c r="H771" s="2">
        <v>-15.222500000000011</v>
      </c>
      <c r="I771" s="2">
        <v>213.11499999999998</v>
      </c>
    </row>
    <row r="772" spans="1:9" x14ac:dyDescent="0.3">
      <c r="A772" t="str">
        <f t="shared" ref="A772:A835" si="275">A771</f>
        <v>United States</v>
      </c>
      <c r="B772" t="str">
        <f t="shared" si="273"/>
        <v>Chicago</v>
      </c>
      <c r="C772" t="str">
        <f t="shared" si="270"/>
        <v>Standard Class</v>
      </c>
      <c r="D772" t="str">
        <f t="shared" si="274"/>
        <v>Home Office</v>
      </c>
      <c r="E772" t="s">
        <v>21</v>
      </c>
      <c r="F772">
        <v>6</v>
      </c>
      <c r="G772">
        <v>1.7999999999999998</v>
      </c>
      <c r="H772" s="2">
        <v>-67.87639999999999</v>
      </c>
      <c r="I772" s="2">
        <v>70.408000000000001</v>
      </c>
    </row>
    <row r="773" spans="1:9" x14ac:dyDescent="0.3">
      <c r="A773" t="str">
        <f t="shared" si="275"/>
        <v>United States</v>
      </c>
      <c r="B773" t="str">
        <f t="shared" si="273"/>
        <v>Chicago</v>
      </c>
      <c r="C773" t="str">
        <f t="shared" si="270"/>
        <v>Standard Class</v>
      </c>
      <c r="D773" t="str">
        <f t="shared" si="274"/>
        <v>Home Office</v>
      </c>
      <c r="E773" t="s">
        <v>16</v>
      </c>
      <c r="F773">
        <v>27</v>
      </c>
      <c r="G773">
        <v>0.8</v>
      </c>
      <c r="H773" s="2">
        <v>66.122199999999992</v>
      </c>
      <c r="I773" s="2">
        <v>191.45599999999999</v>
      </c>
    </row>
    <row r="774" spans="1:9" x14ac:dyDescent="0.3">
      <c r="A774" t="str">
        <f t="shared" si="275"/>
        <v>United States</v>
      </c>
      <c r="B774" t="str">
        <f t="shared" si="273"/>
        <v>Chicago</v>
      </c>
      <c r="C774" t="str">
        <f t="shared" si="270"/>
        <v>Standard Class</v>
      </c>
      <c r="D774" t="str">
        <f t="shared" si="274"/>
        <v>Home Office</v>
      </c>
      <c r="E774" t="s">
        <v>24</v>
      </c>
      <c r="F774">
        <v>4</v>
      </c>
      <c r="G774">
        <v>0.4</v>
      </c>
      <c r="H774" s="2">
        <v>30.674299999999995</v>
      </c>
      <c r="I774" s="2">
        <v>177.47200000000001</v>
      </c>
    </row>
    <row r="775" spans="1:9" x14ac:dyDescent="0.3">
      <c r="A775" t="str">
        <f t="shared" si="275"/>
        <v>United States</v>
      </c>
      <c r="B775" t="str">
        <f t="shared" si="273"/>
        <v>Chicago</v>
      </c>
      <c r="C775" t="str">
        <f t="shared" si="270"/>
        <v>Standard Class</v>
      </c>
      <c r="D775" t="str">
        <f t="shared" si="274"/>
        <v>Home Office</v>
      </c>
      <c r="E775" t="s">
        <v>14</v>
      </c>
      <c r="F775">
        <v>3</v>
      </c>
      <c r="G775">
        <v>0.2</v>
      </c>
      <c r="H775" s="2">
        <v>-3.1680000000000001</v>
      </c>
      <c r="I775" s="2">
        <v>12.672000000000001</v>
      </c>
    </row>
    <row r="776" spans="1:9" x14ac:dyDescent="0.3">
      <c r="A776" t="str">
        <f t="shared" si="275"/>
        <v>United States</v>
      </c>
      <c r="B776" t="str">
        <f t="shared" si="273"/>
        <v>Chicago</v>
      </c>
      <c r="C776" t="str">
        <f t="shared" si="270"/>
        <v>Standard Class</v>
      </c>
      <c r="D776" t="str">
        <f t="shared" si="274"/>
        <v>Home Office</v>
      </c>
      <c r="E776" t="s">
        <v>25</v>
      </c>
      <c r="F776">
        <v>4</v>
      </c>
      <c r="G776">
        <v>1</v>
      </c>
      <c r="H776" s="2">
        <v>-341.22810000000004</v>
      </c>
      <c r="I776" s="2">
        <v>589.88499999999999</v>
      </c>
    </row>
    <row r="777" spans="1:9" x14ac:dyDescent="0.3">
      <c r="A777" t="str">
        <f t="shared" si="275"/>
        <v>United States</v>
      </c>
      <c r="B777" t="s">
        <v>111</v>
      </c>
      <c r="C777" t="s">
        <v>7</v>
      </c>
      <c r="D777" t="s">
        <v>8</v>
      </c>
      <c r="E777" t="s">
        <v>19</v>
      </c>
      <c r="F777">
        <v>1</v>
      </c>
      <c r="G777">
        <v>0</v>
      </c>
      <c r="H777" s="2">
        <v>0.59670000000000001</v>
      </c>
      <c r="I777" s="2">
        <v>2.21</v>
      </c>
    </row>
    <row r="778" spans="1:9" x14ac:dyDescent="0.3">
      <c r="A778" t="str">
        <f t="shared" si="275"/>
        <v>United States</v>
      </c>
      <c r="B778" t="str">
        <f t="shared" ref="B778:B787" si="276">B777</f>
        <v>Chico</v>
      </c>
      <c r="C778" t="str">
        <f t="shared" ref="C778:C781" si="277">C777</f>
        <v>Second Class</v>
      </c>
      <c r="D778" t="str">
        <f t="shared" ref="D778:D779" si="278">D777</f>
        <v>Consumer</v>
      </c>
      <c r="E778" t="s">
        <v>38</v>
      </c>
      <c r="F778">
        <v>4</v>
      </c>
      <c r="G778">
        <v>0</v>
      </c>
      <c r="H778" s="2">
        <v>7.4496000000000002</v>
      </c>
      <c r="I778" s="2">
        <v>15.52</v>
      </c>
    </row>
    <row r="779" spans="1:9" x14ac:dyDescent="0.3">
      <c r="A779" t="str">
        <f t="shared" si="275"/>
        <v>United States</v>
      </c>
      <c r="B779" t="str">
        <f t="shared" si="276"/>
        <v>Chico</v>
      </c>
      <c r="C779" t="str">
        <f t="shared" si="277"/>
        <v>Second Class</v>
      </c>
      <c r="D779" t="str">
        <f t="shared" si="278"/>
        <v>Consumer</v>
      </c>
      <c r="E779" t="s">
        <v>16</v>
      </c>
      <c r="F779">
        <v>4</v>
      </c>
      <c r="G779">
        <v>0</v>
      </c>
      <c r="H779" s="2">
        <v>16.397999999999996</v>
      </c>
      <c r="I779" s="2">
        <v>36.44</v>
      </c>
    </row>
    <row r="780" spans="1:9" x14ac:dyDescent="0.3">
      <c r="A780" t="str">
        <f t="shared" si="275"/>
        <v>United States</v>
      </c>
      <c r="B780" t="str">
        <f t="shared" si="276"/>
        <v>Chico</v>
      </c>
      <c r="C780" t="str">
        <f t="shared" si="277"/>
        <v>Second Class</v>
      </c>
      <c r="D780" t="s">
        <v>17</v>
      </c>
      <c r="E780" t="s">
        <v>33</v>
      </c>
      <c r="F780">
        <v>4</v>
      </c>
      <c r="G780">
        <v>0.2</v>
      </c>
      <c r="H780" s="2">
        <v>102.95279999999988</v>
      </c>
      <c r="I780" s="2">
        <v>915.13600000000008</v>
      </c>
    </row>
    <row r="781" spans="1:9" x14ac:dyDescent="0.3">
      <c r="A781" t="str">
        <f t="shared" si="275"/>
        <v>United States</v>
      </c>
      <c r="B781" t="str">
        <f t="shared" si="276"/>
        <v>Chico</v>
      </c>
      <c r="C781" t="str">
        <f t="shared" si="277"/>
        <v>Second Class</v>
      </c>
      <c r="D781" t="str">
        <f>D780</f>
        <v>Home Office</v>
      </c>
      <c r="E781" t="s">
        <v>21</v>
      </c>
      <c r="F781">
        <v>8</v>
      </c>
      <c r="G781">
        <v>0</v>
      </c>
      <c r="H781" s="2">
        <v>91.772800000000018</v>
      </c>
      <c r="I781" s="2">
        <v>327.76</v>
      </c>
    </row>
    <row r="782" spans="1:9" x14ac:dyDescent="0.3">
      <c r="A782" t="str">
        <f t="shared" si="275"/>
        <v>United States</v>
      </c>
      <c r="B782" t="str">
        <f t="shared" si="276"/>
        <v>Chico</v>
      </c>
      <c r="C782" t="s">
        <v>22</v>
      </c>
      <c r="D782" t="s">
        <v>15</v>
      </c>
      <c r="E782" t="s">
        <v>12</v>
      </c>
      <c r="F782">
        <v>4</v>
      </c>
      <c r="G782">
        <v>0</v>
      </c>
      <c r="H782" s="2">
        <v>4.1080000000000005</v>
      </c>
      <c r="I782" s="2">
        <v>15.8</v>
      </c>
    </row>
    <row r="783" spans="1:9" x14ac:dyDescent="0.3">
      <c r="A783" t="str">
        <f t="shared" si="275"/>
        <v>United States</v>
      </c>
      <c r="B783" t="str">
        <f t="shared" si="276"/>
        <v>Chico</v>
      </c>
      <c r="C783" t="str">
        <f t="shared" ref="C783:C787" si="279">C782</f>
        <v>Standard Class</v>
      </c>
      <c r="D783" t="str">
        <f t="shared" ref="D783:D787" si="280">D782</f>
        <v>Corporate</v>
      </c>
      <c r="E783" t="s">
        <v>33</v>
      </c>
      <c r="F783">
        <v>4</v>
      </c>
      <c r="G783">
        <v>0.2</v>
      </c>
      <c r="H783" s="2">
        <v>-59.835600000000042</v>
      </c>
      <c r="I783" s="2">
        <v>435.16800000000006</v>
      </c>
    </row>
    <row r="784" spans="1:9" x14ac:dyDescent="0.3">
      <c r="A784" t="str">
        <f t="shared" si="275"/>
        <v>United States</v>
      </c>
      <c r="B784" t="str">
        <f t="shared" si="276"/>
        <v>Chico</v>
      </c>
      <c r="C784" t="str">
        <f t="shared" si="279"/>
        <v>Standard Class</v>
      </c>
      <c r="D784" t="str">
        <f t="shared" si="280"/>
        <v>Corporate</v>
      </c>
      <c r="E784" t="s">
        <v>18</v>
      </c>
      <c r="F784">
        <v>5</v>
      </c>
      <c r="G784">
        <v>0</v>
      </c>
      <c r="H784" s="2">
        <v>6.8539999999999992</v>
      </c>
      <c r="I784" s="2">
        <v>14.9</v>
      </c>
    </row>
    <row r="785" spans="1:9" x14ac:dyDescent="0.3">
      <c r="A785" t="str">
        <f t="shared" si="275"/>
        <v>United States</v>
      </c>
      <c r="B785" t="str">
        <f t="shared" si="276"/>
        <v>Chico</v>
      </c>
      <c r="C785" t="str">
        <f t="shared" si="279"/>
        <v>Standard Class</v>
      </c>
      <c r="D785" t="str">
        <f t="shared" si="280"/>
        <v>Corporate</v>
      </c>
      <c r="E785" t="s">
        <v>21</v>
      </c>
      <c r="F785">
        <v>5</v>
      </c>
      <c r="G785">
        <v>0</v>
      </c>
      <c r="H785" s="2">
        <v>26.973000000000003</v>
      </c>
      <c r="I785" s="2">
        <v>72.900000000000006</v>
      </c>
    </row>
    <row r="786" spans="1:9" x14ac:dyDescent="0.3">
      <c r="A786" t="str">
        <f t="shared" si="275"/>
        <v>United States</v>
      </c>
      <c r="B786" t="str">
        <f t="shared" si="276"/>
        <v>Chico</v>
      </c>
      <c r="C786" t="str">
        <f t="shared" si="279"/>
        <v>Standard Class</v>
      </c>
      <c r="D786" t="str">
        <f t="shared" si="280"/>
        <v>Corporate</v>
      </c>
      <c r="E786" t="s">
        <v>24</v>
      </c>
      <c r="F786">
        <v>1</v>
      </c>
      <c r="G786">
        <v>0.2</v>
      </c>
      <c r="H786" s="2">
        <v>2.6972999999999994</v>
      </c>
      <c r="I786" s="2">
        <v>7.9920000000000009</v>
      </c>
    </row>
    <row r="787" spans="1:9" x14ac:dyDescent="0.3">
      <c r="A787" t="str">
        <f t="shared" si="275"/>
        <v>United States</v>
      </c>
      <c r="B787" t="str">
        <f t="shared" si="276"/>
        <v>Chico</v>
      </c>
      <c r="C787" t="str">
        <f t="shared" si="279"/>
        <v>Standard Class</v>
      </c>
      <c r="D787" t="str">
        <f t="shared" si="280"/>
        <v>Corporate</v>
      </c>
      <c r="E787" t="s">
        <v>25</v>
      </c>
      <c r="F787">
        <v>3</v>
      </c>
      <c r="G787">
        <v>0.2</v>
      </c>
      <c r="H787" s="2">
        <v>5.1587999999999852</v>
      </c>
      <c r="I787" s="2">
        <v>206.35200000000003</v>
      </c>
    </row>
    <row r="788" spans="1:9" x14ac:dyDescent="0.3">
      <c r="A788" t="str">
        <f t="shared" si="275"/>
        <v>United States</v>
      </c>
      <c r="B788" t="s">
        <v>112</v>
      </c>
      <c r="C788" t="s">
        <v>27</v>
      </c>
      <c r="D788" t="s">
        <v>8</v>
      </c>
      <c r="E788" t="s">
        <v>19</v>
      </c>
      <c r="F788">
        <v>4</v>
      </c>
      <c r="G788">
        <v>0</v>
      </c>
      <c r="H788" s="2">
        <v>55.911999999999978</v>
      </c>
      <c r="I788" s="2">
        <v>192.8</v>
      </c>
    </row>
    <row r="789" spans="1:9" x14ac:dyDescent="0.3">
      <c r="A789" t="str">
        <f t="shared" si="275"/>
        <v>United States</v>
      </c>
      <c r="B789" t="str">
        <f t="shared" ref="B789:B790" si="281">B788</f>
        <v>Chula Vista</v>
      </c>
      <c r="C789" t="s">
        <v>22</v>
      </c>
      <c r="D789" t="s">
        <v>8</v>
      </c>
      <c r="E789" t="s">
        <v>38</v>
      </c>
      <c r="F789">
        <v>3</v>
      </c>
      <c r="G789">
        <v>0</v>
      </c>
      <c r="H789" s="2">
        <v>85.981799999999993</v>
      </c>
      <c r="I789" s="2">
        <v>182.94</v>
      </c>
    </row>
    <row r="790" spans="1:9" x14ac:dyDescent="0.3">
      <c r="A790" t="str">
        <f t="shared" si="275"/>
        <v>United States</v>
      </c>
      <c r="B790" t="str">
        <f t="shared" si="281"/>
        <v>Chula Vista</v>
      </c>
      <c r="C790" t="str">
        <f>C789</f>
        <v>Standard Class</v>
      </c>
      <c r="D790" t="s">
        <v>17</v>
      </c>
      <c r="E790" t="s">
        <v>21</v>
      </c>
      <c r="F790">
        <v>6</v>
      </c>
      <c r="G790">
        <v>0</v>
      </c>
      <c r="H790" s="2">
        <v>106.54079999999999</v>
      </c>
      <c r="I790" s="2">
        <v>665.88</v>
      </c>
    </row>
    <row r="791" spans="1:9" x14ac:dyDescent="0.3">
      <c r="A791" t="str">
        <f t="shared" si="275"/>
        <v>United States</v>
      </c>
      <c r="B791" t="s">
        <v>113</v>
      </c>
      <c r="C791" t="s">
        <v>11</v>
      </c>
      <c r="D791" t="s">
        <v>8</v>
      </c>
      <c r="E791" t="s">
        <v>23</v>
      </c>
      <c r="F791">
        <v>3</v>
      </c>
      <c r="G791">
        <v>0.2</v>
      </c>
      <c r="H791" s="2">
        <v>-4.6409999999999982</v>
      </c>
      <c r="I791" s="2">
        <v>53.040000000000006</v>
      </c>
    </row>
    <row r="792" spans="1:9" x14ac:dyDescent="0.3">
      <c r="A792" t="str">
        <f t="shared" si="275"/>
        <v>United States</v>
      </c>
      <c r="B792" t="str">
        <f t="shared" ref="B792:B806" si="282">B791</f>
        <v>Cincinnati</v>
      </c>
      <c r="C792" t="str">
        <f t="shared" ref="C792:C796" si="283">C791</f>
        <v>First Class</v>
      </c>
      <c r="D792" t="str">
        <f t="shared" ref="D792:D794" si="284">D791</f>
        <v>Consumer</v>
      </c>
      <c r="E792" t="s">
        <v>19</v>
      </c>
      <c r="F792">
        <v>1</v>
      </c>
      <c r="G792">
        <v>0.2</v>
      </c>
      <c r="H792" s="2">
        <v>0.42639999999999978</v>
      </c>
      <c r="I792" s="2">
        <v>2.6240000000000001</v>
      </c>
    </row>
    <row r="793" spans="1:9" x14ac:dyDescent="0.3">
      <c r="A793" t="str">
        <f t="shared" si="275"/>
        <v>United States</v>
      </c>
      <c r="B793" t="str">
        <f t="shared" si="282"/>
        <v>Cincinnati</v>
      </c>
      <c r="C793" t="str">
        <f t="shared" si="283"/>
        <v>First Class</v>
      </c>
      <c r="D793" t="str">
        <f t="shared" si="284"/>
        <v>Consumer</v>
      </c>
      <c r="E793" t="s">
        <v>20</v>
      </c>
      <c r="F793">
        <v>5</v>
      </c>
      <c r="G793">
        <v>1.4</v>
      </c>
      <c r="H793" s="2">
        <v>-12.506999999999998</v>
      </c>
      <c r="I793" s="2">
        <v>17.055000000000003</v>
      </c>
    </row>
    <row r="794" spans="1:9" x14ac:dyDescent="0.3">
      <c r="A794" t="str">
        <f t="shared" si="275"/>
        <v>United States</v>
      </c>
      <c r="B794" t="str">
        <f t="shared" si="282"/>
        <v>Cincinnati</v>
      </c>
      <c r="C794" t="str">
        <f t="shared" si="283"/>
        <v>First Class</v>
      </c>
      <c r="D794" t="str">
        <f t="shared" si="284"/>
        <v>Consumer</v>
      </c>
      <c r="E794" t="s">
        <v>16</v>
      </c>
      <c r="F794">
        <v>3</v>
      </c>
      <c r="G794">
        <v>0.2</v>
      </c>
      <c r="H794" s="2">
        <v>5.1011999999999995</v>
      </c>
      <c r="I794" s="2">
        <v>15.696000000000002</v>
      </c>
    </row>
    <row r="795" spans="1:9" x14ac:dyDescent="0.3">
      <c r="A795" t="str">
        <f t="shared" si="275"/>
        <v>United States</v>
      </c>
      <c r="B795" t="str">
        <f t="shared" si="282"/>
        <v>Cincinnati</v>
      </c>
      <c r="C795" t="str">
        <f t="shared" si="283"/>
        <v>First Class</v>
      </c>
      <c r="D795" t="s">
        <v>15</v>
      </c>
      <c r="E795" t="s">
        <v>20</v>
      </c>
      <c r="F795">
        <v>8</v>
      </c>
      <c r="G795">
        <v>0.7</v>
      </c>
      <c r="H795" s="2">
        <v>-12.287999999999997</v>
      </c>
      <c r="I795" s="2">
        <v>18.432000000000002</v>
      </c>
    </row>
    <row r="796" spans="1:9" x14ac:dyDescent="0.3">
      <c r="A796" t="str">
        <f t="shared" si="275"/>
        <v>United States</v>
      </c>
      <c r="B796" t="str">
        <f t="shared" si="282"/>
        <v>Cincinnati</v>
      </c>
      <c r="C796" t="str">
        <f t="shared" si="283"/>
        <v>First Class</v>
      </c>
      <c r="D796" t="str">
        <f>D795</f>
        <v>Corporate</v>
      </c>
      <c r="E796" t="s">
        <v>45</v>
      </c>
      <c r="F796">
        <v>2</v>
      </c>
      <c r="G796">
        <v>0.4</v>
      </c>
      <c r="H796" s="2">
        <v>69.99899999999991</v>
      </c>
      <c r="I796" s="2">
        <v>839.98799999999994</v>
      </c>
    </row>
    <row r="797" spans="1:9" x14ac:dyDescent="0.3">
      <c r="A797" t="str">
        <f t="shared" si="275"/>
        <v>United States</v>
      </c>
      <c r="B797" t="str">
        <f t="shared" si="282"/>
        <v>Cincinnati</v>
      </c>
      <c r="C797" t="s">
        <v>27</v>
      </c>
      <c r="D797" t="s">
        <v>8</v>
      </c>
      <c r="E797" t="s">
        <v>21</v>
      </c>
      <c r="F797">
        <v>1</v>
      </c>
      <c r="G797">
        <v>0.2</v>
      </c>
      <c r="H797" s="2">
        <v>29.768999999999998</v>
      </c>
      <c r="I797" s="2">
        <v>79.384000000000015</v>
      </c>
    </row>
    <row r="798" spans="1:9" x14ac:dyDescent="0.3">
      <c r="A798" t="str">
        <f t="shared" si="275"/>
        <v>United States</v>
      </c>
      <c r="B798" t="str">
        <f t="shared" si="282"/>
        <v>Cincinnati</v>
      </c>
      <c r="C798" t="s">
        <v>7</v>
      </c>
      <c r="D798" t="s">
        <v>8</v>
      </c>
      <c r="E798" t="s">
        <v>23</v>
      </c>
      <c r="F798">
        <v>5</v>
      </c>
      <c r="G798">
        <v>0.2</v>
      </c>
      <c r="H798" s="2">
        <v>35.988000000000007</v>
      </c>
      <c r="I798" s="2">
        <v>119.96000000000001</v>
      </c>
    </row>
    <row r="799" spans="1:9" x14ac:dyDescent="0.3">
      <c r="A799" t="str">
        <f t="shared" si="275"/>
        <v>United States</v>
      </c>
      <c r="B799" t="str">
        <f t="shared" si="282"/>
        <v>Cincinnati</v>
      </c>
      <c r="C799" t="str">
        <f>C798</f>
        <v>Second Class</v>
      </c>
      <c r="D799" t="str">
        <f>D798</f>
        <v>Consumer</v>
      </c>
      <c r="E799" t="s">
        <v>19</v>
      </c>
      <c r="F799">
        <v>6</v>
      </c>
      <c r="G799">
        <v>0.2</v>
      </c>
      <c r="H799" s="2">
        <v>0.92819999999999991</v>
      </c>
      <c r="I799" s="2">
        <v>10.608000000000001</v>
      </c>
    </row>
    <row r="800" spans="1:9" x14ac:dyDescent="0.3">
      <c r="A800" t="str">
        <f t="shared" si="275"/>
        <v>United States</v>
      </c>
      <c r="B800" t="str">
        <f t="shared" si="282"/>
        <v>Cincinnati</v>
      </c>
      <c r="C800" t="s">
        <v>22</v>
      </c>
      <c r="D800" t="s">
        <v>8</v>
      </c>
      <c r="E800" t="s">
        <v>19</v>
      </c>
      <c r="F800">
        <v>7</v>
      </c>
      <c r="G800">
        <v>0.2</v>
      </c>
      <c r="H800" s="2">
        <v>3.6854999999999958</v>
      </c>
      <c r="I800" s="2">
        <v>32.76</v>
      </c>
    </row>
    <row r="801" spans="1:9" x14ac:dyDescent="0.3">
      <c r="A801" t="str">
        <f t="shared" si="275"/>
        <v>United States</v>
      </c>
      <c r="B801" t="str">
        <f t="shared" si="282"/>
        <v>Cincinnati</v>
      </c>
      <c r="C801" t="str">
        <f t="shared" ref="C801:C806" si="285">C800</f>
        <v>Standard Class</v>
      </c>
      <c r="D801" t="str">
        <f t="shared" ref="D801:D803" si="286">D800</f>
        <v>Consumer</v>
      </c>
      <c r="E801" t="s">
        <v>20</v>
      </c>
      <c r="F801">
        <v>3</v>
      </c>
      <c r="G801">
        <v>0.7</v>
      </c>
      <c r="H801" s="2">
        <v>-4.1831999999999976</v>
      </c>
      <c r="I801" s="2">
        <v>5.2290000000000001</v>
      </c>
    </row>
    <row r="802" spans="1:9" x14ac:dyDescent="0.3">
      <c r="A802" t="str">
        <f t="shared" si="275"/>
        <v>United States</v>
      </c>
      <c r="B802" t="str">
        <f t="shared" si="282"/>
        <v>Cincinnati</v>
      </c>
      <c r="C802" t="str">
        <f t="shared" si="285"/>
        <v>Standard Class</v>
      </c>
      <c r="D802" t="str">
        <f t="shared" si="286"/>
        <v>Consumer</v>
      </c>
      <c r="E802" t="s">
        <v>43</v>
      </c>
      <c r="F802">
        <v>2</v>
      </c>
      <c r="G802">
        <v>0.2</v>
      </c>
      <c r="H802" s="2">
        <v>1.9925999999999999</v>
      </c>
      <c r="I802" s="2">
        <v>5.9039999999999999</v>
      </c>
    </row>
    <row r="803" spans="1:9" x14ac:dyDescent="0.3">
      <c r="A803" t="str">
        <f t="shared" si="275"/>
        <v>United States</v>
      </c>
      <c r="B803" t="str">
        <f t="shared" si="282"/>
        <v>Cincinnati</v>
      </c>
      <c r="C803" t="str">
        <f t="shared" si="285"/>
        <v>Standard Class</v>
      </c>
      <c r="D803" t="str">
        <f t="shared" si="286"/>
        <v>Consumer</v>
      </c>
      <c r="E803" t="s">
        <v>14</v>
      </c>
      <c r="F803">
        <v>2</v>
      </c>
      <c r="G803">
        <v>0.2</v>
      </c>
      <c r="H803" s="2">
        <v>35.69399999999996</v>
      </c>
      <c r="I803" s="2">
        <v>285.55200000000002</v>
      </c>
    </row>
    <row r="804" spans="1:9" x14ac:dyDescent="0.3">
      <c r="A804" t="str">
        <f t="shared" si="275"/>
        <v>United States</v>
      </c>
      <c r="B804" t="str">
        <f t="shared" si="282"/>
        <v>Cincinnati</v>
      </c>
      <c r="C804" t="str">
        <f t="shared" si="285"/>
        <v>Standard Class</v>
      </c>
      <c r="D804" t="s">
        <v>15</v>
      </c>
      <c r="E804" t="s">
        <v>38</v>
      </c>
      <c r="F804">
        <v>3</v>
      </c>
      <c r="G804">
        <v>0.2</v>
      </c>
      <c r="H804" s="2">
        <v>21.591000000000001</v>
      </c>
      <c r="I804" s="2">
        <v>57.576000000000001</v>
      </c>
    </row>
    <row r="805" spans="1:9" x14ac:dyDescent="0.3">
      <c r="A805" t="str">
        <f t="shared" si="275"/>
        <v>United States</v>
      </c>
      <c r="B805" t="str">
        <f t="shared" si="282"/>
        <v>Cincinnati</v>
      </c>
      <c r="C805" t="str">
        <f t="shared" si="285"/>
        <v>Standard Class</v>
      </c>
      <c r="D805" t="str">
        <f t="shared" ref="D805:D806" si="287">D804</f>
        <v>Corporate</v>
      </c>
      <c r="E805" t="s">
        <v>16</v>
      </c>
      <c r="F805">
        <v>6</v>
      </c>
      <c r="G805">
        <v>0.2</v>
      </c>
      <c r="H805" s="2">
        <v>11.223000000000001</v>
      </c>
      <c r="I805" s="2">
        <v>30.96</v>
      </c>
    </row>
    <row r="806" spans="1:9" x14ac:dyDescent="0.3">
      <c r="A806" t="str">
        <f t="shared" si="275"/>
        <v>United States</v>
      </c>
      <c r="B806" t="str">
        <f t="shared" si="282"/>
        <v>Cincinnati</v>
      </c>
      <c r="C806" t="str">
        <f t="shared" si="285"/>
        <v>Standard Class</v>
      </c>
      <c r="D806" t="str">
        <f t="shared" si="287"/>
        <v>Corporate</v>
      </c>
      <c r="E806" t="s">
        <v>14</v>
      </c>
      <c r="F806">
        <v>1</v>
      </c>
      <c r="G806">
        <v>0.2</v>
      </c>
      <c r="H806" s="2">
        <v>-7.4416000000000011</v>
      </c>
      <c r="I806" s="2">
        <v>37.207999999999998</v>
      </c>
    </row>
    <row r="807" spans="1:9" x14ac:dyDescent="0.3">
      <c r="A807" t="str">
        <f t="shared" si="275"/>
        <v>United States</v>
      </c>
      <c r="B807" t="s">
        <v>114</v>
      </c>
      <c r="C807" t="s">
        <v>22</v>
      </c>
      <c r="D807" t="s">
        <v>8</v>
      </c>
      <c r="E807" t="s">
        <v>21</v>
      </c>
      <c r="F807">
        <v>3</v>
      </c>
      <c r="G807">
        <v>0</v>
      </c>
      <c r="H807" s="2">
        <v>54.343800000000009</v>
      </c>
      <c r="I807" s="2">
        <v>129.39000000000001</v>
      </c>
    </row>
    <row r="808" spans="1:9" x14ac:dyDescent="0.3">
      <c r="A808" t="str">
        <f t="shared" si="275"/>
        <v>United States</v>
      </c>
      <c r="B808" t="s">
        <v>115</v>
      </c>
      <c r="C808" t="s">
        <v>7</v>
      </c>
      <c r="D808" t="s">
        <v>8</v>
      </c>
      <c r="E808" t="s">
        <v>19</v>
      </c>
      <c r="F808">
        <v>4</v>
      </c>
      <c r="G808">
        <v>0.2</v>
      </c>
      <c r="H808" s="2">
        <v>12.011999999999999</v>
      </c>
      <c r="I808" s="2">
        <v>36.96</v>
      </c>
    </row>
    <row r="809" spans="1:9" x14ac:dyDescent="0.3">
      <c r="A809" t="str">
        <f t="shared" si="275"/>
        <v>United States</v>
      </c>
      <c r="B809" t="str">
        <f t="shared" ref="B809:B814" si="288">B808</f>
        <v>Clarksville</v>
      </c>
      <c r="C809" t="str">
        <f>C808</f>
        <v>Second Class</v>
      </c>
      <c r="D809" t="str">
        <f>D808</f>
        <v>Consumer</v>
      </c>
      <c r="E809" t="s">
        <v>20</v>
      </c>
      <c r="F809">
        <v>7</v>
      </c>
      <c r="G809">
        <v>0.7</v>
      </c>
      <c r="H809" s="2">
        <v>-1065.3719999999998</v>
      </c>
      <c r="I809" s="2">
        <v>1598.0580000000002</v>
      </c>
    </row>
    <row r="810" spans="1:9" x14ac:dyDescent="0.3">
      <c r="A810" t="str">
        <f t="shared" si="275"/>
        <v>United States</v>
      </c>
      <c r="B810" t="str">
        <f t="shared" si="288"/>
        <v>Clarksville</v>
      </c>
      <c r="C810" t="s">
        <v>22</v>
      </c>
      <c r="D810" t="s">
        <v>8</v>
      </c>
      <c r="E810" t="s">
        <v>12</v>
      </c>
      <c r="F810">
        <v>6</v>
      </c>
      <c r="G810">
        <v>0.2</v>
      </c>
      <c r="H810" s="2">
        <v>11.247599999999995</v>
      </c>
      <c r="I810" s="2">
        <v>69.216000000000008</v>
      </c>
    </row>
    <row r="811" spans="1:9" x14ac:dyDescent="0.3">
      <c r="A811" t="str">
        <f t="shared" si="275"/>
        <v>United States</v>
      </c>
      <c r="B811" t="str">
        <f t="shared" si="288"/>
        <v>Clarksville</v>
      </c>
      <c r="C811" t="str">
        <f t="shared" ref="C811:C814" si="289">C810</f>
        <v>Standard Class</v>
      </c>
      <c r="D811" t="s">
        <v>17</v>
      </c>
      <c r="E811" t="s">
        <v>23</v>
      </c>
      <c r="F811">
        <v>2</v>
      </c>
      <c r="G811">
        <v>0.2</v>
      </c>
      <c r="H811" s="2">
        <v>11.919599999999999</v>
      </c>
      <c r="I811" s="2">
        <v>45.408000000000001</v>
      </c>
    </row>
    <row r="812" spans="1:9" x14ac:dyDescent="0.3">
      <c r="A812" t="str">
        <f t="shared" si="275"/>
        <v>United States</v>
      </c>
      <c r="B812" t="str">
        <f t="shared" si="288"/>
        <v>Clarksville</v>
      </c>
      <c r="C812" t="str">
        <f t="shared" si="289"/>
        <v>Standard Class</v>
      </c>
      <c r="D812" t="str">
        <f t="shared" ref="D812:D814" si="290">D811</f>
        <v>Home Office</v>
      </c>
      <c r="E812" t="s">
        <v>34</v>
      </c>
      <c r="F812">
        <v>4</v>
      </c>
      <c r="G812">
        <v>0.2</v>
      </c>
      <c r="H812" s="2">
        <v>-14.51760000000003</v>
      </c>
      <c r="I812" s="2">
        <v>387.13600000000002</v>
      </c>
    </row>
    <row r="813" spans="1:9" x14ac:dyDescent="0.3">
      <c r="A813" t="str">
        <f t="shared" si="275"/>
        <v>United States</v>
      </c>
      <c r="B813" t="str">
        <f t="shared" si="288"/>
        <v>Clarksville</v>
      </c>
      <c r="C813" t="str">
        <f t="shared" si="289"/>
        <v>Standard Class</v>
      </c>
      <c r="D813" t="str">
        <f t="shared" si="290"/>
        <v>Home Office</v>
      </c>
      <c r="E813" t="s">
        <v>21</v>
      </c>
      <c r="F813">
        <v>3</v>
      </c>
      <c r="G813">
        <v>0.2</v>
      </c>
      <c r="H813" s="2">
        <v>-11.692800000000005</v>
      </c>
      <c r="I813" s="2">
        <v>77.951999999999998</v>
      </c>
    </row>
    <row r="814" spans="1:9" x14ac:dyDescent="0.3">
      <c r="A814" t="str">
        <f t="shared" si="275"/>
        <v>United States</v>
      </c>
      <c r="B814" t="str">
        <f t="shared" si="288"/>
        <v>Clarksville</v>
      </c>
      <c r="C814" t="str">
        <f t="shared" si="289"/>
        <v>Standard Class</v>
      </c>
      <c r="D814" t="str">
        <f t="shared" si="290"/>
        <v>Home Office</v>
      </c>
      <c r="E814" t="s">
        <v>43</v>
      </c>
      <c r="F814">
        <v>1</v>
      </c>
      <c r="G814">
        <v>0.2</v>
      </c>
      <c r="H814" s="2">
        <v>1.0499999999999998</v>
      </c>
      <c r="I814" s="2">
        <v>3</v>
      </c>
    </row>
    <row r="815" spans="1:9" x14ac:dyDescent="0.3">
      <c r="A815" t="str">
        <f t="shared" si="275"/>
        <v>United States</v>
      </c>
      <c r="B815" t="s">
        <v>116</v>
      </c>
      <c r="C815" t="s">
        <v>11</v>
      </c>
      <c r="D815" t="s">
        <v>8</v>
      </c>
      <c r="E815" t="s">
        <v>21</v>
      </c>
      <c r="F815">
        <v>5</v>
      </c>
      <c r="G815">
        <v>0.2</v>
      </c>
      <c r="H815" s="2">
        <v>8.7285000000000004</v>
      </c>
      <c r="I815" s="2">
        <v>30.36</v>
      </c>
    </row>
    <row r="816" spans="1:9" x14ac:dyDescent="0.3">
      <c r="A816" t="str">
        <f t="shared" si="275"/>
        <v>United States</v>
      </c>
      <c r="B816" t="str">
        <f t="shared" ref="B816:B849" si="291">B815</f>
        <v>Cleveland</v>
      </c>
      <c r="C816" t="str">
        <f t="shared" ref="C816:C822" si="292">C815</f>
        <v>First Class</v>
      </c>
      <c r="D816" t="str">
        <f>D815</f>
        <v>Consumer</v>
      </c>
      <c r="E816" t="s">
        <v>14</v>
      </c>
      <c r="F816">
        <v>2</v>
      </c>
      <c r="G816">
        <v>0.2</v>
      </c>
      <c r="H816" s="2">
        <v>1.9271999999999991</v>
      </c>
      <c r="I816" s="2">
        <v>25.695999999999998</v>
      </c>
    </row>
    <row r="817" spans="1:9" x14ac:dyDescent="0.3">
      <c r="A817" t="str">
        <f t="shared" si="275"/>
        <v>United States</v>
      </c>
      <c r="B817" t="str">
        <f t="shared" si="291"/>
        <v>Cleveland</v>
      </c>
      <c r="C817" t="str">
        <f t="shared" si="292"/>
        <v>First Class</v>
      </c>
      <c r="D817" t="s">
        <v>17</v>
      </c>
      <c r="E817" t="s">
        <v>23</v>
      </c>
      <c r="F817">
        <v>5</v>
      </c>
      <c r="G817">
        <v>0.2</v>
      </c>
      <c r="H817" s="2">
        <v>-22.743500000000004</v>
      </c>
      <c r="I817" s="2">
        <v>139.96000000000004</v>
      </c>
    </row>
    <row r="818" spans="1:9" x14ac:dyDescent="0.3">
      <c r="A818" t="str">
        <f t="shared" si="275"/>
        <v>United States</v>
      </c>
      <c r="B818" t="str">
        <f t="shared" si="291"/>
        <v>Cleveland</v>
      </c>
      <c r="C818" t="str">
        <f t="shared" si="292"/>
        <v>First Class</v>
      </c>
      <c r="D818" t="str">
        <f t="shared" ref="D818:D822" si="293">D817</f>
        <v>Home Office</v>
      </c>
      <c r="E818" t="s">
        <v>20</v>
      </c>
      <c r="F818">
        <v>5</v>
      </c>
      <c r="G818">
        <v>0.7</v>
      </c>
      <c r="H818" s="2">
        <v>-6.379999999999999</v>
      </c>
      <c r="I818" s="2">
        <v>8.7000000000000011</v>
      </c>
    </row>
    <row r="819" spans="1:9" x14ac:dyDescent="0.3">
      <c r="A819" t="str">
        <f t="shared" si="275"/>
        <v>United States</v>
      </c>
      <c r="B819" t="str">
        <f t="shared" si="291"/>
        <v>Cleveland</v>
      </c>
      <c r="C819" t="str">
        <f t="shared" si="292"/>
        <v>First Class</v>
      </c>
      <c r="D819" t="str">
        <f t="shared" si="293"/>
        <v>Home Office</v>
      </c>
      <c r="E819" t="s">
        <v>38</v>
      </c>
      <c r="F819">
        <v>3</v>
      </c>
      <c r="G819">
        <v>0.2</v>
      </c>
      <c r="H819" s="2">
        <v>15.281999999999998</v>
      </c>
      <c r="I819" s="2">
        <v>40.752000000000002</v>
      </c>
    </row>
    <row r="820" spans="1:9" x14ac:dyDescent="0.3">
      <c r="A820" t="str">
        <f t="shared" si="275"/>
        <v>United States</v>
      </c>
      <c r="B820" t="str">
        <f t="shared" si="291"/>
        <v>Cleveland</v>
      </c>
      <c r="C820" t="str">
        <f t="shared" si="292"/>
        <v>First Class</v>
      </c>
      <c r="D820" t="str">
        <f t="shared" si="293"/>
        <v>Home Office</v>
      </c>
      <c r="E820" t="s">
        <v>16</v>
      </c>
      <c r="F820">
        <v>3</v>
      </c>
      <c r="G820">
        <v>0.2</v>
      </c>
      <c r="H820" s="2">
        <v>28.706399999999991</v>
      </c>
      <c r="I820" s="2">
        <v>85.055999999999997</v>
      </c>
    </row>
    <row r="821" spans="1:9" x14ac:dyDescent="0.3">
      <c r="A821" t="str">
        <f t="shared" si="275"/>
        <v>United States</v>
      </c>
      <c r="B821" t="str">
        <f t="shared" si="291"/>
        <v>Cleveland</v>
      </c>
      <c r="C821" t="str">
        <f t="shared" si="292"/>
        <v>First Class</v>
      </c>
      <c r="D821" t="str">
        <f t="shared" si="293"/>
        <v>Home Office</v>
      </c>
      <c r="E821" t="s">
        <v>24</v>
      </c>
      <c r="F821">
        <v>3</v>
      </c>
      <c r="G821">
        <v>0.4</v>
      </c>
      <c r="H821" s="2">
        <v>-24.476399999999998</v>
      </c>
      <c r="I821" s="2">
        <v>122.38199999999999</v>
      </c>
    </row>
    <row r="822" spans="1:9" x14ac:dyDescent="0.3">
      <c r="A822" t="str">
        <f t="shared" si="275"/>
        <v>United States</v>
      </c>
      <c r="B822" t="str">
        <f t="shared" si="291"/>
        <v>Cleveland</v>
      </c>
      <c r="C822" t="str">
        <f t="shared" si="292"/>
        <v>First Class</v>
      </c>
      <c r="D822" t="str">
        <f t="shared" si="293"/>
        <v>Home Office</v>
      </c>
      <c r="E822" t="s">
        <v>14</v>
      </c>
      <c r="F822">
        <v>4</v>
      </c>
      <c r="G822">
        <v>0.2</v>
      </c>
      <c r="H822" s="2">
        <v>-21.213600000000099</v>
      </c>
      <c r="I822" s="2">
        <v>848.5440000000001</v>
      </c>
    </row>
    <row r="823" spans="1:9" x14ac:dyDescent="0.3">
      <c r="A823" t="str">
        <f t="shared" si="275"/>
        <v>United States</v>
      </c>
      <c r="B823" t="str">
        <f t="shared" si="291"/>
        <v>Cleveland</v>
      </c>
      <c r="C823" t="s">
        <v>27</v>
      </c>
      <c r="D823" t="s">
        <v>8</v>
      </c>
      <c r="E823" t="s">
        <v>23</v>
      </c>
      <c r="F823">
        <v>2</v>
      </c>
      <c r="G823">
        <v>0.2</v>
      </c>
      <c r="H823" s="2">
        <v>7.263999999999994</v>
      </c>
      <c r="I823" s="2">
        <v>58.112000000000002</v>
      </c>
    </row>
    <row r="824" spans="1:9" x14ac:dyDescent="0.3">
      <c r="A824" t="str">
        <f t="shared" si="275"/>
        <v>United States</v>
      </c>
      <c r="B824" t="str">
        <f t="shared" si="291"/>
        <v>Cleveland</v>
      </c>
      <c r="C824" t="str">
        <f t="shared" ref="C824:C826" si="294">C823</f>
        <v>Same Day</v>
      </c>
      <c r="D824" t="str">
        <f t="shared" ref="D824:D825" si="295">D823</f>
        <v>Consumer</v>
      </c>
      <c r="E824" t="s">
        <v>16</v>
      </c>
      <c r="F824">
        <v>4</v>
      </c>
      <c r="G824">
        <v>0.4</v>
      </c>
      <c r="H824" s="2">
        <v>7.3696000000000002</v>
      </c>
      <c r="I824" s="2">
        <v>21.056000000000004</v>
      </c>
    </row>
    <row r="825" spans="1:9" x14ac:dyDescent="0.3">
      <c r="A825" t="str">
        <f t="shared" si="275"/>
        <v>United States</v>
      </c>
      <c r="B825" t="str">
        <f t="shared" si="291"/>
        <v>Cleveland</v>
      </c>
      <c r="C825" t="str">
        <f t="shared" si="294"/>
        <v>Same Day</v>
      </c>
      <c r="D825" t="str">
        <f t="shared" si="295"/>
        <v>Consumer</v>
      </c>
      <c r="E825" t="s">
        <v>14</v>
      </c>
      <c r="F825">
        <v>5</v>
      </c>
      <c r="G825">
        <v>0.4</v>
      </c>
      <c r="H825" s="2">
        <v>89.599900000000062</v>
      </c>
      <c r="I825" s="2">
        <v>1031.1759999999999</v>
      </c>
    </row>
    <row r="826" spans="1:9" x14ac:dyDescent="0.3">
      <c r="A826" t="str">
        <f t="shared" si="275"/>
        <v>United States</v>
      </c>
      <c r="B826" t="str">
        <f t="shared" si="291"/>
        <v>Cleveland</v>
      </c>
      <c r="C826" t="str">
        <f t="shared" si="294"/>
        <v>Same Day</v>
      </c>
      <c r="D826" t="s">
        <v>17</v>
      </c>
      <c r="E826" t="s">
        <v>16</v>
      </c>
      <c r="F826">
        <v>4</v>
      </c>
      <c r="G826">
        <v>0.2</v>
      </c>
      <c r="H826" s="2">
        <v>7.2576000000000001</v>
      </c>
      <c r="I826" s="2">
        <v>20.736000000000004</v>
      </c>
    </row>
    <row r="827" spans="1:9" x14ac:dyDescent="0.3">
      <c r="A827" t="str">
        <f t="shared" si="275"/>
        <v>United States</v>
      </c>
      <c r="B827" t="str">
        <f t="shared" si="291"/>
        <v>Cleveland</v>
      </c>
      <c r="C827" t="s">
        <v>7</v>
      </c>
      <c r="D827" t="s">
        <v>8</v>
      </c>
      <c r="E827" t="s">
        <v>19</v>
      </c>
      <c r="F827">
        <v>2</v>
      </c>
      <c r="G827">
        <v>0.2</v>
      </c>
      <c r="H827" s="2">
        <v>1.6324000000000014</v>
      </c>
      <c r="I827" s="2">
        <v>18.656000000000002</v>
      </c>
    </row>
    <row r="828" spans="1:9" x14ac:dyDescent="0.3">
      <c r="A828" t="str">
        <f t="shared" si="275"/>
        <v>United States</v>
      </c>
      <c r="B828" t="str">
        <f t="shared" si="291"/>
        <v>Cleveland</v>
      </c>
      <c r="C828" t="str">
        <f t="shared" ref="C828:C833" si="296">C827</f>
        <v>Second Class</v>
      </c>
      <c r="D828" t="str">
        <f t="shared" ref="D828:D833" si="297">D827</f>
        <v>Consumer</v>
      </c>
      <c r="E828" t="s">
        <v>20</v>
      </c>
      <c r="F828">
        <v>6</v>
      </c>
      <c r="G828">
        <v>0.7</v>
      </c>
      <c r="H828" s="2">
        <v>-34.38000000000001</v>
      </c>
      <c r="I828" s="2">
        <v>41.256000000000007</v>
      </c>
    </row>
    <row r="829" spans="1:9" x14ac:dyDescent="0.3">
      <c r="A829" t="str">
        <f t="shared" si="275"/>
        <v>United States</v>
      </c>
      <c r="B829" t="str">
        <f t="shared" si="291"/>
        <v>Cleveland</v>
      </c>
      <c r="C829" t="str">
        <f t="shared" si="296"/>
        <v>Second Class</v>
      </c>
      <c r="D829" t="str">
        <f t="shared" si="297"/>
        <v>Consumer</v>
      </c>
      <c r="E829" t="s">
        <v>34</v>
      </c>
      <c r="F829">
        <v>3</v>
      </c>
      <c r="G829">
        <v>0.5</v>
      </c>
      <c r="H829" s="2">
        <v>-241.17600000000002</v>
      </c>
      <c r="I829" s="2">
        <v>301.46999999999997</v>
      </c>
    </row>
    <row r="830" spans="1:9" x14ac:dyDescent="0.3">
      <c r="A830" t="str">
        <f t="shared" si="275"/>
        <v>United States</v>
      </c>
      <c r="B830" t="str">
        <f t="shared" si="291"/>
        <v>Cleveland</v>
      </c>
      <c r="C830" t="str">
        <f t="shared" si="296"/>
        <v>Second Class</v>
      </c>
      <c r="D830" t="str">
        <f t="shared" si="297"/>
        <v>Consumer</v>
      </c>
      <c r="E830" t="s">
        <v>33</v>
      </c>
      <c r="F830">
        <v>2</v>
      </c>
      <c r="G830">
        <v>0.3</v>
      </c>
      <c r="H830" s="2">
        <v>-54.595799999999997</v>
      </c>
      <c r="I830" s="2">
        <v>181.98599999999999</v>
      </c>
    </row>
    <row r="831" spans="1:9" x14ac:dyDescent="0.3">
      <c r="A831" t="str">
        <f t="shared" si="275"/>
        <v>United States</v>
      </c>
      <c r="B831" t="str">
        <f t="shared" si="291"/>
        <v>Cleveland</v>
      </c>
      <c r="C831" t="str">
        <f t="shared" si="296"/>
        <v>Second Class</v>
      </c>
      <c r="D831" t="str">
        <f t="shared" si="297"/>
        <v>Consumer</v>
      </c>
      <c r="E831" t="s">
        <v>21</v>
      </c>
      <c r="F831">
        <v>8</v>
      </c>
      <c r="G831">
        <v>0.4</v>
      </c>
      <c r="H831" s="2">
        <v>-15.771200000000022</v>
      </c>
      <c r="I831" s="2">
        <v>200.27200000000005</v>
      </c>
    </row>
    <row r="832" spans="1:9" x14ac:dyDescent="0.3">
      <c r="A832" t="str">
        <f t="shared" si="275"/>
        <v>United States</v>
      </c>
      <c r="B832" t="str">
        <f t="shared" si="291"/>
        <v>Cleveland</v>
      </c>
      <c r="C832" t="str">
        <f t="shared" si="296"/>
        <v>Second Class</v>
      </c>
      <c r="D832" t="str">
        <f t="shared" si="297"/>
        <v>Consumer</v>
      </c>
      <c r="E832" t="s">
        <v>24</v>
      </c>
      <c r="F832">
        <v>5</v>
      </c>
      <c r="G832">
        <v>0.8</v>
      </c>
      <c r="H832" s="2">
        <v>-137.04739999999998</v>
      </c>
      <c r="I832" s="2">
        <v>587.346</v>
      </c>
    </row>
    <row r="833" spans="1:9" x14ac:dyDescent="0.3">
      <c r="A833" t="str">
        <f t="shared" si="275"/>
        <v>United States</v>
      </c>
      <c r="B833" t="str">
        <f t="shared" si="291"/>
        <v>Cleveland</v>
      </c>
      <c r="C833" t="str">
        <f t="shared" si="296"/>
        <v>Second Class</v>
      </c>
      <c r="D833" t="str">
        <f t="shared" si="297"/>
        <v>Consumer</v>
      </c>
      <c r="E833" t="s">
        <v>14</v>
      </c>
      <c r="F833">
        <v>2</v>
      </c>
      <c r="G833">
        <v>0.2</v>
      </c>
      <c r="H833" s="2">
        <v>-25.108999999999988</v>
      </c>
      <c r="I833" s="2">
        <v>118.16</v>
      </c>
    </row>
    <row r="834" spans="1:9" x14ac:dyDescent="0.3">
      <c r="A834" t="str">
        <f t="shared" si="275"/>
        <v>United States</v>
      </c>
      <c r="B834" t="str">
        <f t="shared" si="291"/>
        <v>Cleveland</v>
      </c>
      <c r="C834" t="s">
        <v>22</v>
      </c>
      <c r="D834" t="s">
        <v>8</v>
      </c>
      <c r="E834" t="s">
        <v>23</v>
      </c>
      <c r="F834">
        <v>2</v>
      </c>
      <c r="G834">
        <v>0.2</v>
      </c>
      <c r="H834" s="2">
        <v>4.4603999999999999</v>
      </c>
      <c r="I834" s="2">
        <v>25.488</v>
      </c>
    </row>
    <row r="835" spans="1:9" x14ac:dyDescent="0.3">
      <c r="A835" t="str">
        <f t="shared" si="275"/>
        <v>United States</v>
      </c>
      <c r="B835" t="str">
        <f t="shared" si="291"/>
        <v>Cleveland</v>
      </c>
      <c r="C835" t="str">
        <f t="shared" ref="C835:C849" si="298">C834</f>
        <v>Standard Class</v>
      </c>
      <c r="D835" t="str">
        <f t="shared" ref="D835:D842" si="299">D834</f>
        <v>Consumer</v>
      </c>
      <c r="E835" t="s">
        <v>12</v>
      </c>
      <c r="F835">
        <v>1</v>
      </c>
      <c r="G835">
        <v>0.2</v>
      </c>
      <c r="H835" s="2">
        <v>17.890999999999977</v>
      </c>
      <c r="I835" s="2">
        <v>286.25600000000003</v>
      </c>
    </row>
    <row r="836" spans="1:9" x14ac:dyDescent="0.3">
      <c r="A836" t="str">
        <f t="shared" ref="A836:A899" si="300">A835</f>
        <v>United States</v>
      </c>
      <c r="B836" t="str">
        <f t="shared" si="291"/>
        <v>Cleveland</v>
      </c>
      <c r="C836" t="str">
        <f t="shared" si="298"/>
        <v>Standard Class</v>
      </c>
      <c r="D836" t="str">
        <f t="shared" si="299"/>
        <v>Consumer</v>
      </c>
      <c r="E836" t="s">
        <v>19</v>
      </c>
      <c r="F836">
        <v>5</v>
      </c>
      <c r="G836">
        <v>0.2</v>
      </c>
      <c r="H836" s="2">
        <v>3.8879999999999972</v>
      </c>
      <c r="I836" s="2">
        <v>25.920000000000005</v>
      </c>
    </row>
    <row r="837" spans="1:9" x14ac:dyDescent="0.3">
      <c r="A837" t="str">
        <f t="shared" si="300"/>
        <v>United States</v>
      </c>
      <c r="B837" t="str">
        <f t="shared" si="291"/>
        <v>Cleveland</v>
      </c>
      <c r="C837" t="str">
        <f t="shared" si="298"/>
        <v>Standard Class</v>
      </c>
      <c r="D837" t="str">
        <f t="shared" si="299"/>
        <v>Consumer</v>
      </c>
      <c r="E837" t="s">
        <v>20</v>
      </c>
      <c r="F837">
        <v>12</v>
      </c>
      <c r="G837">
        <v>1.4</v>
      </c>
      <c r="H837" s="2">
        <v>-92.469300000000018</v>
      </c>
      <c r="I837" s="2">
        <v>118.08300000000003</v>
      </c>
    </row>
    <row r="838" spans="1:9" x14ac:dyDescent="0.3">
      <c r="A838" t="str">
        <f t="shared" si="300"/>
        <v>United States</v>
      </c>
      <c r="B838" t="str">
        <f t="shared" si="291"/>
        <v>Cleveland</v>
      </c>
      <c r="C838" t="str">
        <f t="shared" si="298"/>
        <v>Standard Class</v>
      </c>
      <c r="D838" t="str">
        <f t="shared" si="299"/>
        <v>Consumer</v>
      </c>
      <c r="E838" t="s">
        <v>21</v>
      </c>
      <c r="F838">
        <v>2</v>
      </c>
      <c r="G838">
        <v>0.2</v>
      </c>
      <c r="H838" s="2">
        <v>-9.0903999999999989</v>
      </c>
      <c r="I838" s="2">
        <v>66.112000000000009</v>
      </c>
    </row>
    <row r="839" spans="1:9" x14ac:dyDescent="0.3">
      <c r="A839" t="str">
        <f t="shared" si="300"/>
        <v>United States</v>
      </c>
      <c r="B839" t="str">
        <f t="shared" si="291"/>
        <v>Cleveland</v>
      </c>
      <c r="C839" t="str">
        <f t="shared" si="298"/>
        <v>Standard Class</v>
      </c>
      <c r="D839" t="str">
        <f t="shared" si="299"/>
        <v>Consumer</v>
      </c>
      <c r="E839" t="s">
        <v>43</v>
      </c>
      <c r="F839">
        <v>2</v>
      </c>
      <c r="G839">
        <v>0.2</v>
      </c>
      <c r="H839" s="2">
        <v>1.764</v>
      </c>
      <c r="I839" s="2">
        <v>5.04</v>
      </c>
    </row>
    <row r="840" spans="1:9" x14ac:dyDescent="0.3">
      <c r="A840" t="str">
        <f t="shared" si="300"/>
        <v>United States</v>
      </c>
      <c r="B840" t="str">
        <f t="shared" si="291"/>
        <v>Cleveland</v>
      </c>
      <c r="C840" t="str">
        <f t="shared" si="298"/>
        <v>Standard Class</v>
      </c>
      <c r="D840" t="str">
        <f t="shared" si="299"/>
        <v>Consumer</v>
      </c>
      <c r="E840" t="s">
        <v>16</v>
      </c>
      <c r="F840">
        <v>1</v>
      </c>
      <c r="G840">
        <v>0.2</v>
      </c>
      <c r="H840" s="2">
        <v>7.7449999999999983</v>
      </c>
      <c r="I840" s="2">
        <v>24.784000000000002</v>
      </c>
    </row>
    <row r="841" spans="1:9" x14ac:dyDescent="0.3">
      <c r="A841" t="str">
        <f t="shared" si="300"/>
        <v>United States</v>
      </c>
      <c r="B841" t="str">
        <f t="shared" si="291"/>
        <v>Cleveland</v>
      </c>
      <c r="C841" t="str">
        <f t="shared" si="298"/>
        <v>Standard Class</v>
      </c>
      <c r="D841" t="str">
        <f t="shared" si="299"/>
        <v>Consumer</v>
      </c>
      <c r="E841" t="s">
        <v>24</v>
      </c>
      <c r="F841">
        <v>2</v>
      </c>
      <c r="G841">
        <v>0.4</v>
      </c>
      <c r="H841" s="2">
        <v>-168.95579999999995</v>
      </c>
      <c r="I841" s="2">
        <v>779.79600000000005</v>
      </c>
    </row>
    <row r="842" spans="1:9" x14ac:dyDescent="0.3">
      <c r="A842" t="str">
        <f t="shared" si="300"/>
        <v>United States</v>
      </c>
      <c r="B842" t="str">
        <f t="shared" si="291"/>
        <v>Cleveland</v>
      </c>
      <c r="C842" t="str">
        <f t="shared" si="298"/>
        <v>Standard Class</v>
      </c>
      <c r="D842" t="str">
        <f t="shared" si="299"/>
        <v>Consumer</v>
      </c>
      <c r="E842" t="s">
        <v>14</v>
      </c>
      <c r="F842">
        <v>5</v>
      </c>
      <c r="G842">
        <v>0.4</v>
      </c>
      <c r="H842" s="2">
        <v>-87.728800000000007</v>
      </c>
      <c r="I842" s="2">
        <v>355.76</v>
      </c>
    </row>
    <row r="843" spans="1:9" x14ac:dyDescent="0.3">
      <c r="A843" t="str">
        <f t="shared" si="300"/>
        <v>United States</v>
      </c>
      <c r="B843" t="str">
        <f t="shared" si="291"/>
        <v>Cleveland</v>
      </c>
      <c r="C843" t="str">
        <f t="shared" si="298"/>
        <v>Standard Class</v>
      </c>
      <c r="D843" t="s">
        <v>15</v>
      </c>
      <c r="E843" t="s">
        <v>34</v>
      </c>
      <c r="F843">
        <v>4</v>
      </c>
      <c r="G843">
        <v>0.5</v>
      </c>
      <c r="H843" s="2">
        <v>-64.937599999999989</v>
      </c>
      <c r="I843" s="2">
        <v>115.96</v>
      </c>
    </row>
    <row r="844" spans="1:9" x14ac:dyDescent="0.3">
      <c r="A844" t="str">
        <f t="shared" si="300"/>
        <v>United States</v>
      </c>
      <c r="B844" t="str">
        <f t="shared" si="291"/>
        <v>Cleveland</v>
      </c>
      <c r="C844" t="str">
        <f t="shared" si="298"/>
        <v>Standard Class</v>
      </c>
      <c r="D844" t="str">
        <f t="shared" ref="D844:D845" si="301">D843</f>
        <v>Corporate</v>
      </c>
      <c r="E844" t="s">
        <v>21</v>
      </c>
      <c r="F844">
        <v>3</v>
      </c>
      <c r="G844">
        <v>0.2</v>
      </c>
      <c r="H844" s="2">
        <v>4.1448</v>
      </c>
      <c r="I844" s="2">
        <v>15.072000000000003</v>
      </c>
    </row>
    <row r="845" spans="1:9" x14ac:dyDescent="0.3">
      <c r="A845" t="str">
        <f t="shared" si="300"/>
        <v>United States</v>
      </c>
      <c r="B845" t="str">
        <f t="shared" si="291"/>
        <v>Cleveland</v>
      </c>
      <c r="C845" t="str">
        <f t="shared" si="298"/>
        <v>Standard Class</v>
      </c>
      <c r="D845" t="str">
        <f t="shared" si="301"/>
        <v>Corporate</v>
      </c>
      <c r="E845" t="s">
        <v>16</v>
      </c>
      <c r="F845">
        <v>3</v>
      </c>
      <c r="G845">
        <v>0.2</v>
      </c>
      <c r="H845" s="2">
        <v>5.0286000000000008</v>
      </c>
      <c r="I845" s="2">
        <v>13.872000000000002</v>
      </c>
    </row>
    <row r="846" spans="1:9" x14ac:dyDescent="0.3">
      <c r="A846" t="str">
        <f t="shared" si="300"/>
        <v>United States</v>
      </c>
      <c r="B846" t="str">
        <f t="shared" si="291"/>
        <v>Cleveland</v>
      </c>
      <c r="C846" t="str">
        <f t="shared" si="298"/>
        <v>Standard Class</v>
      </c>
      <c r="D846" t="s">
        <v>17</v>
      </c>
      <c r="E846" t="s">
        <v>23</v>
      </c>
      <c r="F846">
        <v>3</v>
      </c>
      <c r="G846">
        <v>0.2</v>
      </c>
      <c r="H846" s="2">
        <v>15.863099999999999</v>
      </c>
      <c r="I846" s="2">
        <v>55.176000000000002</v>
      </c>
    </row>
    <row r="847" spans="1:9" x14ac:dyDescent="0.3">
      <c r="A847" t="str">
        <f t="shared" si="300"/>
        <v>United States</v>
      </c>
      <c r="B847" t="str">
        <f t="shared" si="291"/>
        <v>Cleveland</v>
      </c>
      <c r="C847" t="str">
        <f t="shared" si="298"/>
        <v>Standard Class</v>
      </c>
      <c r="D847" t="str">
        <f t="shared" ref="D847:D849" si="302">D846</f>
        <v>Home Office</v>
      </c>
      <c r="E847" t="s">
        <v>20</v>
      </c>
      <c r="F847">
        <v>3</v>
      </c>
      <c r="G847">
        <v>0.7</v>
      </c>
      <c r="H847" s="2">
        <v>-22.619999999999997</v>
      </c>
      <c r="I847" s="2">
        <v>33.930000000000007</v>
      </c>
    </row>
    <row r="848" spans="1:9" x14ac:dyDescent="0.3">
      <c r="A848" t="str">
        <f t="shared" si="300"/>
        <v>United States</v>
      </c>
      <c r="B848" t="str">
        <f t="shared" si="291"/>
        <v>Cleveland</v>
      </c>
      <c r="C848" t="str">
        <f t="shared" si="298"/>
        <v>Standard Class</v>
      </c>
      <c r="D848" t="str">
        <f t="shared" si="302"/>
        <v>Home Office</v>
      </c>
      <c r="E848" t="s">
        <v>24</v>
      </c>
      <c r="F848">
        <v>10</v>
      </c>
      <c r="G848">
        <v>0.8</v>
      </c>
      <c r="H848" s="2">
        <v>-72.876599999999996</v>
      </c>
      <c r="I848" s="2">
        <v>320.94000000000005</v>
      </c>
    </row>
    <row r="849" spans="1:9" x14ac:dyDescent="0.3">
      <c r="A849" t="str">
        <f t="shared" si="300"/>
        <v>United States</v>
      </c>
      <c r="B849" t="str">
        <f t="shared" si="291"/>
        <v>Cleveland</v>
      </c>
      <c r="C849" t="str">
        <f t="shared" si="298"/>
        <v>Standard Class</v>
      </c>
      <c r="D849" t="str">
        <f t="shared" si="302"/>
        <v>Home Office</v>
      </c>
      <c r="E849" t="s">
        <v>14</v>
      </c>
      <c r="F849">
        <v>7</v>
      </c>
      <c r="G849">
        <v>0.2</v>
      </c>
      <c r="H849" s="2">
        <v>25.010999999999967</v>
      </c>
      <c r="I849" s="2">
        <v>222.32000000000005</v>
      </c>
    </row>
    <row r="850" spans="1:9" x14ac:dyDescent="0.3">
      <c r="A850" t="str">
        <f t="shared" si="300"/>
        <v>United States</v>
      </c>
      <c r="B850" t="s">
        <v>117</v>
      </c>
      <c r="C850" t="s">
        <v>11</v>
      </c>
      <c r="D850" t="s">
        <v>8</v>
      </c>
      <c r="E850" t="s">
        <v>12</v>
      </c>
      <c r="F850">
        <v>4</v>
      </c>
      <c r="G850">
        <v>0</v>
      </c>
      <c r="H850" s="2">
        <v>22.118400000000001</v>
      </c>
      <c r="I850" s="2">
        <v>81.92</v>
      </c>
    </row>
    <row r="851" spans="1:9" x14ac:dyDescent="0.3">
      <c r="A851" t="str">
        <f t="shared" si="300"/>
        <v>United States</v>
      </c>
      <c r="B851" t="str">
        <f>B850</f>
        <v>Clifton</v>
      </c>
      <c r="C851" t="str">
        <f>C850</f>
        <v>First Class</v>
      </c>
      <c r="D851" t="str">
        <f>D850</f>
        <v>Consumer</v>
      </c>
      <c r="E851" t="s">
        <v>21</v>
      </c>
      <c r="F851">
        <v>5</v>
      </c>
      <c r="G851">
        <v>0</v>
      </c>
      <c r="H851" s="2">
        <v>76.469999999999985</v>
      </c>
      <c r="I851" s="2">
        <v>254.89999999999998</v>
      </c>
    </row>
    <row r="852" spans="1:9" x14ac:dyDescent="0.3">
      <c r="A852" t="str">
        <f t="shared" si="300"/>
        <v>United States</v>
      </c>
      <c r="B852" t="s">
        <v>118</v>
      </c>
      <c r="C852" t="s">
        <v>11</v>
      </c>
      <c r="D852" t="s">
        <v>8</v>
      </c>
      <c r="E852" t="s">
        <v>19</v>
      </c>
      <c r="F852">
        <v>3</v>
      </c>
      <c r="G852">
        <v>0</v>
      </c>
      <c r="H852" s="2">
        <v>2.0747999999999998</v>
      </c>
      <c r="I852" s="2">
        <v>7.98</v>
      </c>
    </row>
    <row r="853" spans="1:9" x14ac:dyDescent="0.3">
      <c r="A853" t="str">
        <f t="shared" si="300"/>
        <v>United States</v>
      </c>
      <c r="B853" t="str">
        <f t="shared" ref="B853:B875" si="303">B852</f>
        <v>Clinton</v>
      </c>
      <c r="C853" t="str">
        <f t="shared" ref="C853:C855" si="304">C852</f>
        <v>First Class</v>
      </c>
      <c r="D853" t="str">
        <f t="shared" ref="D853:D855" si="305">D852</f>
        <v>Consumer</v>
      </c>
      <c r="E853" t="s">
        <v>21</v>
      </c>
      <c r="F853">
        <v>6</v>
      </c>
      <c r="G853">
        <v>0</v>
      </c>
      <c r="H853" s="2">
        <v>4.6464000000000008</v>
      </c>
      <c r="I853" s="2">
        <v>10.56</v>
      </c>
    </row>
    <row r="854" spans="1:9" x14ac:dyDescent="0.3">
      <c r="A854" t="str">
        <f t="shared" si="300"/>
        <v>United States</v>
      </c>
      <c r="B854" t="str">
        <f t="shared" si="303"/>
        <v>Clinton</v>
      </c>
      <c r="C854" t="str">
        <f t="shared" si="304"/>
        <v>First Class</v>
      </c>
      <c r="D854" t="str">
        <f t="shared" si="305"/>
        <v>Consumer</v>
      </c>
      <c r="E854" t="s">
        <v>16</v>
      </c>
      <c r="F854">
        <v>5</v>
      </c>
      <c r="G854">
        <v>0</v>
      </c>
      <c r="H854" s="2">
        <v>13.475300000000001</v>
      </c>
      <c r="I854" s="2">
        <v>27.89</v>
      </c>
    </row>
    <row r="855" spans="1:9" x14ac:dyDescent="0.3">
      <c r="A855" t="str">
        <f t="shared" si="300"/>
        <v>United States</v>
      </c>
      <c r="B855" t="str">
        <f t="shared" si="303"/>
        <v>Clinton</v>
      </c>
      <c r="C855" t="str">
        <f t="shared" si="304"/>
        <v>First Class</v>
      </c>
      <c r="D855" t="str">
        <f t="shared" si="305"/>
        <v>Consumer</v>
      </c>
      <c r="E855" t="s">
        <v>25</v>
      </c>
      <c r="F855">
        <v>3</v>
      </c>
      <c r="G855">
        <v>0.3</v>
      </c>
      <c r="H855" s="2">
        <v>-47.179800000000029</v>
      </c>
      <c r="I855" s="2">
        <v>550.43100000000004</v>
      </c>
    </row>
    <row r="856" spans="1:9" x14ac:dyDescent="0.3">
      <c r="A856" t="str">
        <f t="shared" si="300"/>
        <v>United States</v>
      </c>
      <c r="B856" t="str">
        <f t="shared" si="303"/>
        <v>Clinton</v>
      </c>
      <c r="C856" t="s">
        <v>27</v>
      </c>
      <c r="D856" t="s">
        <v>15</v>
      </c>
      <c r="E856" t="s">
        <v>14</v>
      </c>
      <c r="F856">
        <v>6</v>
      </c>
      <c r="G856">
        <v>0</v>
      </c>
      <c r="H856" s="2">
        <v>25.149600000000007</v>
      </c>
      <c r="I856" s="2">
        <v>89.820000000000007</v>
      </c>
    </row>
    <row r="857" spans="1:9" x14ac:dyDescent="0.3">
      <c r="A857" t="str">
        <f t="shared" si="300"/>
        <v>United States</v>
      </c>
      <c r="B857" t="str">
        <f t="shared" si="303"/>
        <v>Clinton</v>
      </c>
      <c r="C857" t="s">
        <v>7</v>
      </c>
      <c r="D857" t="s">
        <v>15</v>
      </c>
      <c r="E857" t="s">
        <v>33</v>
      </c>
      <c r="F857">
        <v>3</v>
      </c>
      <c r="G857">
        <v>0</v>
      </c>
      <c r="H857" s="2">
        <v>43.675200000000018</v>
      </c>
      <c r="I857" s="2">
        <v>272.96999999999997</v>
      </c>
    </row>
    <row r="858" spans="1:9" x14ac:dyDescent="0.3">
      <c r="A858" t="str">
        <f t="shared" si="300"/>
        <v>United States</v>
      </c>
      <c r="B858" t="str">
        <f t="shared" si="303"/>
        <v>Clinton</v>
      </c>
      <c r="C858" t="s">
        <v>22</v>
      </c>
      <c r="D858" t="s">
        <v>8</v>
      </c>
      <c r="E858" t="s">
        <v>19</v>
      </c>
      <c r="F858">
        <v>4</v>
      </c>
      <c r="G858">
        <v>0</v>
      </c>
      <c r="H858" s="2">
        <v>32.537600000000005</v>
      </c>
      <c r="I858" s="2">
        <v>79.36</v>
      </c>
    </row>
    <row r="859" spans="1:9" x14ac:dyDescent="0.3">
      <c r="A859" t="str">
        <f t="shared" si="300"/>
        <v>United States</v>
      </c>
      <c r="B859" t="str">
        <f t="shared" si="303"/>
        <v>Clinton</v>
      </c>
      <c r="C859" t="str">
        <f t="shared" ref="C859:C875" si="306">C858</f>
        <v>Standard Class</v>
      </c>
      <c r="D859" t="str">
        <f t="shared" ref="D859:D864" si="307">D858</f>
        <v>Consumer</v>
      </c>
      <c r="E859" t="s">
        <v>20</v>
      </c>
      <c r="F859">
        <v>18</v>
      </c>
      <c r="G859">
        <v>0</v>
      </c>
      <c r="H859" s="2">
        <v>133.99379999999999</v>
      </c>
      <c r="I859" s="2">
        <v>281.13</v>
      </c>
    </row>
    <row r="860" spans="1:9" x14ac:dyDescent="0.3">
      <c r="A860" t="str">
        <f t="shared" si="300"/>
        <v>United States</v>
      </c>
      <c r="B860" t="str">
        <f t="shared" si="303"/>
        <v>Clinton</v>
      </c>
      <c r="C860" t="str">
        <f t="shared" si="306"/>
        <v>Standard Class</v>
      </c>
      <c r="D860" t="str">
        <f t="shared" si="307"/>
        <v>Consumer</v>
      </c>
      <c r="E860" t="s">
        <v>18</v>
      </c>
      <c r="F860">
        <v>4</v>
      </c>
      <c r="G860">
        <v>0</v>
      </c>
      <c r="H860" s="2">
        <v>5.0559999999999992</v>
      </c>
      <c r="I860" s="2">
        <v>15.8</v>
      </c>
    </row>
    <row r="861" spans="1:9" x14ac:dyDescent="0.3">
      <c r="A861" t="str">
        <f t="shared" si="300"/>
        <v>United States</v>
      </c>
      <c r="B861" t="str">
        <f t="shared" si="303"/>
        <v>Clinton</v>
      </c>
      <c r="C861" t="str">
        <f t="shared" si="306"/>
        <v>Standard Class</v>
      </c>
      <c r="D861" t="str">
        <f t="shared" si="307"/>
        <v>Consumer</v>
      </c>
      <c r="E861" t="s">
        <v>21</v>
      </c>
      <c r="F861">
        <v>2</v>
      </c>
      <c r="G861">
        <v>0</v>
      </c>
      <c r="H861" s="2">
        <v>20.015600000000006</v>
      </c>
      <c r="I861" s="2">
        <v>181.96</v>
      </c>
    </row>
    <row r="862" spans="1:9" x14ac:dyDescent="0.3">
      <c r="A862" t="str">
        <f t="shared" si="300"/>
        <v>United States</v>
      </c>
      <c r="B862" t="str">
        <f t="shared" si="303"/>
        <v>Clinton</v>
      </c>
      <c r="C862" t="str">
        <f t="shared" si="306"/>
        <v>Standard Class</v>
      </c>
      <c r="D862" t="str">
        <f t="shared" si="307"/>
        <v>Consumer</v>
      </c>
      <c r="E862" t="s">
        <v>43</v>
      </c>
      <c r="F862">
        <v>3</v>
      </c>
      <c r="G862">
        <v>0</v>
      </c>
      <c r="H862" s="2">
        <v>5.6993999999999998</v>
      </c>
      <c r="I862" s="2">
        <v>12.39</v>
      </c>
    </row>
    <row r="863" spans="1:9" x14ac:dyDescent="0.3">
      <c r="A863" t="str">
        <f t="shared" si="300"/>
        <v>United States</v>
      </c>
      <c r="B863" t="str">
        <f t="shared" si="303"/>
        <v>Clinton</v>
      </c>
      <c r="C863" t="str">
        <f t="shared" si="306"/>
        <v>Standard Class</v>
      </c>
      <c r="D863" t="str">
        <f t="shared" si="307"/>
        <v>Consumer</v>
      </c>
      <c r="E863" t="s">
        <v>46</v>
      </c>
      <c r="F863">
        <v>3</v>
      </c>
      <c r="G863">
        <v>0</v>
      </c>
      <c r="H863" s="2">
        <v>209.23649999999998</v>
      </c>
      <c r="I863" s="2">
        <v>464.97</v>
      </c>
    </row>
    <row r="864" spans="1:9" x14ac:dyDescent="0.3">
      <c r="A864" t="str">
        <f t="shared" si="300"/>
        <v>United States</v>
      </c>
      <c r="B864" t="str">
        <f t="shared" si="303"/>
        <v>Clinton</v>
      </c>
      <c r="C864" t="str">
        <f t="shared" si="306"/>
        <v>Standard Class</v>
      </c>
      <c r="D864" t="str">
        <f t="shared" si="307"/>
        <v>Consumer</v>
      </c>
      <c r="E864" t="s">
        <v>14</v>
      </c>
      <c r="F864">
        <v>7</v>
      </c>
      <c r="G864">
        <v>0</v>
      </c>
      <c r="H864" s="2">
        <v>28.480899999999984</v>
      </c>
      <c r="I864" s="2">
        <v>98.21</v>
      </c>
    </row>
    <row r="865" spans="1:9" x14ac:dyDescent="0.3">
      <c r="A865" t="str">
        <f t="shared" si="300"/>
        <v>United States</v>
      </c>
      <c r="B865" t="str">
        <f t="shared" si="303"/>
        <v>Clinton</v>
      </c>
      <c r="C865" t="str">
        <f t="shared" si="306"/>
        <v>Standard Class</v>
      </c>
      <c r="D865" t="s">
        <v>15</v>
      </c>
      <c r="E865" t="s">
        <v>20</v>
      </c>
      <c r="F865">
        <v>4</v>
      </c>
      <c r="G865">
        <v>0</v>
      </c>
      <c r="H865" s="2">
        <v>31.889199999999995</v>
      </c>
      <c r="I865" s="2">
        <v>65.08</v>
      </c>
    </row>
    <row r="866" spans="1:9" x14ac:dyDescent="0.3">
      <c r="A866" t="str">
        <f t="shared" si="300"/>
        <v>United States</v>
      </c>
      <c r="B866" t="str">
        <f t="shared" si="303"/>
        <v>Clinton</v>
      </c>
      <c r="C866" t="str">
        <f t="shared" si="306"/>
        <v>Standard Class</v>
      </c>
      <c r="D866" t="str">
        <f t="shared" ref="D866:D871" si="308">D865</f>
        <v>Corporate</v>
      </c>
      <c r="E866" t="s">
        <v>33</v>
      </c>
      <c r="F866">
        <v>8</v>
      </c>
      <c r="G866">
        <v>0</v>
      </c>
      <c r="H866" s="2">
        <v>64.756799999999998</v>
      </c>
      <c r="I866" s="2">
        <v>239.84</v>
      </c>
    </row>
    <row r="867" spans="1:9" x14ac:dyDescent="0.3">
      <c r="A867" t="str">
        <f t="shared" si="300"/>
        <v>United States</v>
      </c>
      <c r="B867" t="str">
        <f t="shared" si="303"/>
        <v>Clinton</v>
      </c>
      <c r="C867" t="str">
        <f t="shared" si="306"/>
        <v>Standard Class</v>
      </c>
      <c r="D867" t="str">
        <f t="shared" si="308"/>
        <v>Corporate</v>
      </c>
      <c r="E867" t="s">
        <v>21</v>
      </c>
      <c r="F867">
        <v>3</v>
      </c>
      <c r="G867">
        <v>0</v>
      </c>
      <c r="H867" s="2">
        <v>23.680799999999998</v>
      </c>
      <c r="I867" s="2">
        <v>60.72</v>
      </c>
    </row>
    <row r="868" spans="1:9" x14ac:dyDescent="0.3">
      <c r="A868" t="str">
        <f t="shared" si="300"/>
        <v>United States</v>
      </c>
      <c r="B868" t="str">
        <f t="shared" si="303"/>
        <v>Clinton</v>
      </c>
      <c r="C868" t="str">
        <f t="shared" si="306"/>
        <v>Standard Class</v>
      </c>
      <c r="D868" t="str">
        <f t="shared" si="308"/>
        <v>Corporate</v>
      </c>
      <c r="E868" t="s">
        <v>43</v>
      </c>
      <c r="F868">
        <v>6</v>
      </c>
      <c r="G868">
        <v>0</v>
      </c>
      <c r="H868" s="2">
        <v>7.2035999999999998</v>
      </c>
      <c r="I868" s="2">
        <v>15.66</v>
      </c>
    </row>
    <row r="869" spans="1:9" x14ac:dyDescent="0.3">
      <c r="A869" t="str">
        <f t="shared" si="300"/>
        <v>United States</v>
      </c>
      <c r="B869" t="str">
        <f t="shared" si="303"/>
        <v>Clinton</v>
      </c>
      <c r="C869" t="str">
        <f t="shared" si="306"/>
        <v>Standard Class</v>
      </c>
      <c r="D869" t="str">
        <f t="shared" si="308"/>
        <v>Corporate</v>
      </c>
      <c r="E869" t="s">
        <v>16</v>
      </c>
      <c r="F869">
        <v>3</v>
      </c>
      <c r="G869">
        <v>0</v>
      </c>
      <c r="H869" s="2">
        <v>73.41</v>
      </c>
      <c r="I869" s="2">
        <v>146.82</v>
      </c>
    </row>
    <row r="870" spans="1:9" x14ac:dyDescent="0.3">
      <c r="A870" t="str">
        <f t="shared" si="300"/>
        <v>United States</v>
      </c>
      <c r="B870" t="str">
        <f t="shared" si="303"/>
        <v>Clinton</v>
      </c>
      <c r="C870" t="str">
        <f t="shared" si="306"/>
        <v>Standard Class</v>
      </c>
      <c r="D870" t="str">
        <f t="shared" si="308"/>
        <v>Corporate</v>
      </c>
      <c r="E870" t="s">
        <v>24</v>
      </c>
      <c r="F870">
        <v>8</v>
      </c>
      <c r="G870">
        <v>0</v>
      </c>
      <c r="H870" s="2">
        <v>457.57920000000007</v>
      </c>
      <c r="I870" s="2">
        <v>1759.92</v>
      </c>
    </row>
    <row r="871" spans="1:9" x14ac:dyDescent="0.3">
      <c r="A871" t="str">
        <f t="shared" si="300"/>
        <v>United States</v>
      </c>
      <c r="B871" t="str">
        <f t="shared" si="303"/>
        <v>Clinton</v>
      </c>
      <c r="C871" t="str">
        <f t="shared" si="306"/>
        <v>Standard Class</v>
      </c>
      <c r="D871" t="str">
        <f t="shared" si="308"/>
        <v>Corporate</v>
      </c>
      <c r="E871" t="s">
        <v>14</v>
      </c>
      <c r="F871">
        <v>9</v>
      </c>
      <c r="G871">
        <v>0</v>
      </c>
      <c r="H871" s="2">
        <v>7.9724000000000004</v>
      </c>
      <c r="I871" s="2">
        <v>678.82</v>
      </c>
    </row>
    <row r="872" spans="1:9" x14ac:dyDescent="0.3">
      <c r="A872" t="str">
        <f t="shared" si="300"/>
        <v>United States</v>
      </c>
      <c r="B872" t="str">
        <f t="shared" si="303"/>
        <v>Clinton</v>
      </c>
      <c r="C872" t="str">
        <f t="shared" si="306"/>
        <v>Standard Class</v>
      </c>
      <c r="D872" t="s">
        <v>17</v>
      </c>
      <c r="E872" t="s">
        <v>23</v>
      </c>
      <c r="F872">
        <v>3</v>
      </c>
      <c r="G872">
        <v>0</v>
      </c>
      <c r="H872" s="2">
        <v>4.9079999999999977</v>
      </c>
      <c r="I872" s="2">
        <v>49.08</v>
      </c>
    </row>
    <row r="873" spans="1:9" x14ac:dyDescent="0.3">
      <c r="A873" t="str">
        <f t="shared" si="300"/>
        <v>United States</v>
      </c>
      <c r="B873" t="str">
        <f t="shared" si="303"/>
        <v>Clinton</v>
      </c>
      <c r="C873" t="str">
        <f t="shared" si="306"/>
        <v>Standard Class</v>
      </c>
      <c r="D873" t="str">
        <f t="shared" ref="D873:D875" si="309">D872</f>
        <v>Home Office</v>
      </c>
      <c r="E873" t="s">
        <v>12</v>
      </c>
      <c r="F873">
        <v>2</v>
      </c>
      <c r="G873">
        <v>0</v>
      </c>
      <c r="H873" s="2">
        <v>103.22839999999997</v>
      </c>
      <c r="I873" s="2">
        <v>355.96</v>
      </c>
    </row>
    <row r="874" spans="1:9" x14ac:dyDescent="0.3">
      <c r="A874" t="str">
        <f t="shared" si="300"/>
        <v>United States</v>
      </c>
      <c r="B874" t="str">
        <f t="shared" si="303"/>
        <v>Clinton</v>
      </c>
      <c r="C874" t="str">
        <f t="shared" si="306"/>
        <v>Standard Class</v>
      </c>
      <c r="D874" t="str">
        <f t="shared" si="309"/>
        <v>Home Office</v>
      </c>
      <c r="E874" t="s">
        <v>21</v>
      </c>
      <c r="F874">
        <v>1</v>
      </c>
      <c r="G874">
        <v>0</v>
      </c>
      <c r="H874" s="2">
        <v>8.5914000000000019</v>
      </c>
      <c r="I874" s="2">
        <v>19.98</v>
      </c>
    </row>
    <row r="875" spans="1:9" x14ac:dyDescent="0.3">
      <c r="A875" t="str">
        <f t="shared" si="300"/>
        <v>United States</v>
      </c>
      <c r="B875" t="str">
        <f t="shared" si="303"/>
        <v>Clinton</v>
      </c>
      <c r="C875" t="str">
        <f t="shared" si="306"/>
        <v>Standard Class</v>
      </c>
      <c r="D875" t="str">
        <f t="shared" si="309"/>
        <v>Home Office</v>
      </c>
      <c r="E875" t="s">
        <v>16</v>
      </c>
      <c r="F875">
        <v>5</v>
      </c>
      <c r="G875">
        <v>0</v>
      </c>
      <c r="H875" s="2">
        <v>14.161000000000001</v>
      </c>
      <c r="I875" s="2">
        <v>28.900000000000002</v>
      </c>
    </row>
    <row r="876" spans="1:9" x14ac:dyDescent="0.3">
      <c r="A876" t="str">
        <f t="shared" si="300"/>
        <v>United States</v>
      </c>
      <c r="B876" t="s">
        <v>119</v>
      </c>
      <c r="C876" t="s">
        <v>22</v>
      </c>
      <c r="D876" t="s">
        <v>8</v>
      </c>
      <c r="E876" t="s">
        <v>23</v>
      </c>
      <c r="F876">
        <v>3</v>
      </c>
      <c r="G876">
        <v>0</v>
      </c>
      <c r="H876" s="2">
        <v>8.1071999999999917</v>
      </c>
      <c r="I876" s="2">
        <v>101.34</v>
      </c>
    </row>
    <row r="877" spans="1:9" x14ac:dyDescent="0.3">
      <c r="A877" t="str">
        <f t="shared" si="300"/>
        <v>United States</v>
      </c>
      <c r="B877" t="str">
        <f>B876</f>
        <v>Clovis</v>
      </c>
      <c r="C877" t="str">
        <f>C876</f>
        <v>Standard Class</v>
      </c>
      <c r="D877" t="str">
        <f>D876</f>
        <v>Consumer</v>
      </c>
      <c r="E877" t="s">
        <v>20</v>
      </c>
      <c r="F877">
        <v>7</v>
      </c>
      <c r="G877">
        <v>0.2</v>
      </c>
      <c r="H877" s="2">
        <v>3.5279999999999996</v>
      </c>
      <c r="I877" s="2">
        <v>10.080000000000002</v>
      </c>
    </row>
    <row r="878" spans="1:9" x14ac:dyDescent="0.3">
      <c r="A878" t="str">
        <f t="shared" si="300"/>
        <v>United States</v>
      </c>
      <c r="B878" t="s">
        <v>120</v>
      </c>
      <c r="C878" t="s">
        <v>22</v>
      </c>
      <c r="D878" t="s">
        <v>15</v>
      </c>
      <c r="E878" t="s">
        <v>23</v>
      </c>
      <c r="F878">
        <v>1</v>
      </c>
      <c r="G878">
        <v>0</v>
      </c>
      <c r="H878" s="2">
        <v>43.995600000000003</v>
      </c>
      <c r="I878" s="2">
        <v>99.99</v>
      </c>
    </row>
    <row r="879" spans="1:9" x14ac:dyDescent="0.3">
      <c r="A879" t="str">
        <f t="shared" si="300"/>
        <v>United States</v>
      </c>
      <c r="B879" t="str">
        <f>B878</f>
        <v>Coachella</v>
      </c>
      <c r="C879" t="str">
        <f>C878</f>
        <v>Standard Class</v>
      </c>
      <c r="D879" t="str">
        <f>D878</f>
        <v>Corporate</v>
      </c>
      <c r="E879" t="s">
        <v>14</v>
      </c>
      <c r="F879">
        <v>2</v>
      </c>
      <c r="G879">
        <v>0</v>
      </c>
      <c r="H879" s="2">
        <v>3.1779999999999973</v>
      </c>
      <c r="I879" s="2">
        <v>63.56</v>
      </c>
    </row>
    <row r="880" spans="1:9" x14ac:dyDescent="0.3">
      <c r="A880" t="str">
        <f t="shared" si="300"/>
        <v>United States</v>
      </c>
      <c r="B880" t="s">
        <v>121</v>
      </c>
      <c r="C880" t="s">
        <v>7</v>
      </c>
      <c r="D880" t="s">
        <v>8</v>
      </c>
      <c r="E880" t="s">
        <v>12</v>
      </c>
      <c r="F880">
        <v>8</v>
      </c>
      <c r="G880">
        <v>0.8</v>
      </c>
      <c r="H880" s="2">
        <v>-74.74560000000001</v>
      </c>
      <c r="I880" s="2">
        <v>29.311999999999994</v>
      </c>
    </row>
    <row r="881" spans="1:9" x14ac:dyDescent="0.3">
      <c r="A881" t="str">
        <f t="shared" si="300"/>
        <v>United States</v>
      </c>
      <c r="B881" t="str">
        <f t="shared" ref="B881:B882" si="310">B880</f>
        <v>College Station</v>
      </c>
      <c r="C881" t="str">
        <f>C880</f>
        <v>Second Class</v>
      </c>
      <c r="D881" t="str">
        <f>D880</f>
        <v>Consumer</v>
      </c>
      <c r="E881" t="s">
        <v>16</v>
      </c>
      <c r="F881">
        <v>8</v>
      </c>
      <c r="G881">
        <v>0.2</v>
      </c>
      <c r="H881" s="2">
        <v>10.393600000000001</v>
      </c>
      <c r="I881" s="2">
        <v>28.672000000000004</v>
      </c>
    </row>
    <row r="882" spans="1:9" x14ac:dyDescent="0.3">
      <c r="A882" t="str">
        <f t="shared" si="300"/>
        <v>United States</v>
      </c>
      <c r="B882" t="str">
        <f t="shared" si="310"/>
        <v>College Station</v>
      </c>
      <c r="C882" t="s">
        <v>22</v>
      </c>
      <c r="D882" t="s">
        <v>8</v>
      </c>
      <c r="E882" t="s">
        <v>33</v>
      </c>
      <c r="F882">
        <v>3</v>
      </c>
      <c r="G882">
        <v>0.3</v>
      </c>
      <c r="H882" s="2">
        <v>-53.270399999999995</v>
      </c>
      <c r="I882" s="2">
        <v>233.05799999999999</v>
      </c>
    </row>
    <row r="883" spans="1:9" x14ac:dyDescent="0.3">
      <c r="A883" t="str">
        <f t="shared" si="300"/>
        <v>United States</v>
      </c>
      <c r="B883" t="s">
        <v>122</v>
      </c>
      <c r="C883" t="s">
        <v>11</v>
      </c>
      <c r="D883" t="s">
        <v>8</v>
      </c>
      <c r="E883" t="s">
        <v>19</v>
      </c>
      <c r="F883">
        <v>2</v>
      </c>
      <c r="G883">
        <v>0.2</v>
      </c>
      <c r="H883" s="2">
        <v>2.5488000000000004</v>
      </c>
      <c r="I883" s="2">
        <v>11.328000000000001</v>
      </c>
    </row>
    <row r="884" spans="1:9" x14ac:dyDescent="0.3">
      <c r="A884" t="str">
        <f t="shared" si="300"/>
        <v>United States</v>
      </c>
      <c r="B884" t="str">
        <f t="shared" ref="B884:B900" si="311">B883</f>
        <v>Colorado Springs</v>
      </c>
      <c r="C884" t="str">
        <f t="shared" ref="C884:C888" si="312">C883</f>
        <v>First Class</v>
      </c>
      <c r="D884" t="s">
        <v>15</v>
      </c>
      <c r="E884" t="s">
        <v>20</v>
      </c>
      <c r="F884">
        <v>5</v>
      </c>
      <c r="G884">
        <v>0.7</v>
      </c>
      <c r="H884" s="2">
        <v>-62.88000000000001</v>
      </c>
      <c r="I884" s="2">
        <v>78.600000000000009</v>
      </c>
    </row>
    <row r="885" spans="1:9" x14ac:dyDescent="0.3">
      <c r="A885" t="str">
        <f t="shared" si="300"/>
        <v>United States</v>
      </c>
      <c r="B885" t="str">
        <f t="shared" si="311"/>
        <v>Colorado Springs</v>
      </c>
      <c r="C885" t="str">
        <f t="shared" si="312"/>
        <v>First Class</v>
      </c>
      <c r="D885" t="str">
        <f t="shared" ref="D885:D887" si="313">D884</f>
        <v>Corporate</v>
      </c>
      <c r="E885" t="s">
        <v>33</v>
      </c>
      <c r="F885">
        <v>3</v>
      </c>
      <c r="G885">
        <v>0.2</v>
      </c>
      <c r="H885" s="2">
        <v>20.155800000000013</v>
      </c>
      <c r="I885" s="2">
        <v>230.35200000000003</v>
      </c>
    </row>
    <row r="886" spans="1:9" x14ac:dyDescent="0.3">
      <c r="A886" t="str">
        <f t="shared" si="300"/>
        <v>United States</v>
      </c>
      <c r="B886" t="str">
        <f t="shared" si="311"/>
        <v>Colorado Springs</v>
      </c>
      <c r="C886" t="str">
        <f t="shared" si="312"/>
        <v>First Class</v>
      </c>
      <c r="D886" t="str">
        <f t="shared" si="313"/>
        <v>Corporate</v>
      </c>
      <c r="E886" t="s">
        <v>18</v>
      </c>
      <c r="F886">
        <v>3</v>
      </c>
      <c r="G886">
        <v>0.2</v>
      </c>
      <c r="H886" s="2">
        <v>9.2987999999999964</v>
      </c>
      <c r="I886" s="2">
        <v>27.552000000000003</v>
      </c>
    </row>
    <row r="887" spans="1:9" x14ac:dyDescent="0.3">
      <c r="A887" t="str">
        <f t="shared" si="300"/>
        <v>United States</v>
      </c>
      <c r="B887" t="str">
        <f t="shared" si="311"/>
        <v>Colorado Springs</v>
      </c>
      <c r="C887" t="str">
        <f t="shared" si="312"/>
        <v>First Class</v>
      </c>
      <c r="D887" t="str">
        <f t="shared" si="313"/>
        <v>Corporate</v>
      </c>
      <c r="E887" t="s">
        <v>21</v>
      </c>
      <c r="F887">
        <v>11</v>
      </c>
      <c r="G887">
        <v>0.4</v>
      </c>
      <c r="H887" s="2">
        <v>54.294600000000003</v>
      </c>
      <c r="I887" s="2">
        <v>518.76800000000003</v>
      </c>
    </row>
    <row r="888" spans="1:9" x14ac:dyDescent="0.3">
      <c r="A888" t="str">
        <f t="shared" si="300"/>
        <v>United States</v>
      </c>
      <c r="B888" t="str">
        <f t="shared" si="311"/>
        <v>Colorado Springs</v>
      </c>
      <c r="C888" t="str">
        <f t="shared" si="312"/>
        <v>First Class</v>
      </c>
      <c r="D888" t="s">
        <v>17</v>
      </c>
      <c r="E888" t="s">
        <v>20</v>
      </c>
      <c r="F888">
        <v>7</v>
      </c>
      <c r="G888">
        <v>0.7</v>
      </c>
      <c r="H888" s="2">
        <v>-32.507999999999996</v>
      </c>
      <c r="I888" s="2">
        <v>40.635000000000012</v>
      </c>
    </row>
    <row r="889" spans="1:9" x14ac:dyDescent="0.3">
      <c r="A889" t="str">
        <f t="shared" si="300"/>
        <v>United States</v>
      </c>
      <c r="B889" t="str">
        <f t="shared" si="311"/>
        <v>Colorado Springs</v>
      </c>
      <c r="C889" t="s">
        <v>22</v>
      </c>
      <c r="D889" t="s">
        <v>8</v>
      </c>
      <c r="E889" t="s">
        <v>23</v>
      </c>
      <c r="F889">
        <v>4</v>
      </c>
      <c r="G889">
        <v>0.2</v>
      </c>
      <c r="H889" s="2">
        <v>-6.5339999999999954</v>
      </c>
      <c r="I889" s="2">
        <v>58.08</v>
      </c>
    </row>
    <row r="890" spans="1:9" x14ac:dyDescent="0.3">
      <c r="A890" t="str">
        <f t="shared" si="300"/>
        <v>United States</v>
      </c>
      <c r="B890" t="str">
        <f t="shared" si="311"/>
        <v>Colorado Springs</v>
      </c>
      <c r="C890" t="str">
        <f t="shared" ref="C890:C900" si="314">C889</f>
        <v>Standard Class</v>
      </c>
      <c r="D890" t="str">
        <f t="shared" ref="D890:D894" si="315">D889</f>
        <v>Consumer</v>
      </c>
      <c r="E890" t="s">
        <v>19</v>
      </c>
      <c r="F890">
        <v>11</v>
      </c>
      <c r="G890">
        <v>0.60000000000000009</v>
      </c>
      <c r="H890" s="2">
        <v>3.2026999999999992</v>
      </c>
      <c r="I890" s="2">
        <v>31.384</v>
      </c>
    </row>
    <row r="891" spans="1:9" x14ac:dyDescent="0.3">
      <c r="A891" t="str">
        <f t="shared" si="300"/>
        <v>United States</v>
      </c>
      <c r="B891" t="str">
        <f t="shared" si="311"/>
        <v>Colorado Springs</v>
      </c>
      <c r="C891" t="str">
        <f t="shared" si="314"/>
        <v>Standard Class</v>
      </c>
      <c r="D891" t="str">
        <f t="shared" si="315"/>
        <v>Consumer</v>
      </c>
      <c r="E891" t="s">
        <v>34</v>
      </c>
      <c r="F891">
        <v>11</v>
      </c>
      <c r="G891">
        <v>1.4</v>
      </c>
      <c r="H891" s="2">
        <v>-930.53440000000023</v>
      </c>
      <c r="I891" s="2">
        <v>659.63400000000013</v>
      </c>
    </row>
    <row r="892" spans="1:9" x14ac:dyDescent="0.3">
      <c r="A892" t="str">
        <f t="shared" si="300"/>
        <v>United States</v>
      </c>
      <c r="B892" t="str">
        <f t="shared" si="311"/>
        <v>Colorado Springs</v>
      </c>
      <c r="C892" t="str">
        <f t="shared" si="314"/>
        <v>Standard Class</v>
      </c>
      <c r="D892" t="str">
        <f t="shared" si="315"/>
        <v>Consumer</v>
      </c>
      <c r="E892" t="s">
        <v>21</v>
      </c>
      <c r="F892">
        <v>14</v>
      </c>
      <c r="G892">
        <v>0.4</v>
      </c>
      <c r="H892" s="2">
        <v>26.053600000000003</v>
      </c>
      <c r="I892" s="2">
        <v>107.33600000000001</v>
      </c>
    </row>
    <row r="893" spans="1:9" x14ac:dyDescent="0.3">
      <c r="A893" t="str">
        <f t="shared" si="300"/>
        <v>United States</v>
      </c>
      <c r="B893" t="str">
        <f t="shared" si="311"/>
        <v>Colorado Springs</v>
      </c>
      <c r="C893" t="str">
        <f t="shared" si="314"/>
        <v>Standard Class</v>
      </c>
      <c r="D893" t="str">
        <f t="shared" si="315"/>
        <v>Consumer</v>
      </c>
      <c r="E893" t="s">
        <v>16</v>
      </c>
      <c r="F893">
        <v>6</v>
      </c>
      <c r="G893">
        <v>0.4</v>
      </c>
      <c r="H893" s="2">
        <v>38.399999999999991</v>
      </c>
      <c r="I893" s="2">
        <v>112.752</v>
      </c>
    </row>
    <row r="894" spans="1:9" x14ac:dyDescent="0.3">
      <c r="A894" t="str">
        <f t="shared" si="300"/>
        <v>United States</v>
      </c>
      <c r="B894" t="str">
        <f t="shared" si="311"/>
        <v>Colorado Springs</v>
      </c>
      <c r="C894" t="str">
        <f t="shared" si="314"/>
        <v>Standard Class</v>
      </c>
      <c r="D894" t="str">
        <f t="shared" si="315"/>
        <v>Consumer</v>
      </c>
      <c r="E894" t="s">
        <v>25</v>
      </c>
      <c r="F894">
        <v>5</v>
      </c>
      <c r="G894">
        <v>0.5</v>
      </c>
      <c r="H894" s="2">
        <v>-248.16599999999994</v>
      </c>
      <c r="I894" s="2">
        <v>364.95</v>
      </c>
    </row>
    <row r="895" spans="1:9" x14ac:dyDescent="0.3">
      <c r="A895" t="str">
        <f t="shared" si="300"/>
        <v>United States</v>
      </c>
      <c r="B895" t="str">
        <f t="shared" si="311"/>
        <v>Colorado Springs</v>
      </c>
      <c r="C895" t="str">
        <f t="shared" si="314"/>
        <v>Standard Class</v>
      </c>
      <c r="D895" t="s">
        <v>15</v>
      </c>
      <c r="E895" t="s">
        <v>12</v>
      </c>
      <c r="F895">
        <v>7</v>
      </c>
      <c r="G895">
        <v>0.2</v>
      </c>
      <c r="H895" s="2">
        <v>4.5737999999999985</v>
      </c>
      <c r="I895" s="2">
        <v>60.984000000000009</v>
      </c>
    </row>
    <row r="896" spans="1:9" x14ac:dyDescent="0.3">
      <c r="A896" t="str">
        <f t="shared" si="300"/>
        <v>United States</v>
      </c>
      <c r="B896" t="str">
        <f t="shared" si="311"/>
        <v>Colorado Springs</v>
      </c>
      <c r="C896" t="str">
        <f t="shared" si="314"/>
        <v>Standard Class</v>
      </c>
      <c r="D896" t="str">
        <f t="shared" ref="D896:D897" si="316">D895</f>
        <v>Corporate</v>
      </c>
      <c r="E896" t="s">
        <v>20</v>
      </c>
      <c r="F896">
        <v>2</v>
      </c>
      <c r="G896">
        <v>0.7</v>
      </c>
      <c r="H896" s="2">
        <v>-1.3565999999999994</v>
      </c>
      <c r="I896" s="2">
        <v>1.9380000000000002</v>
      </c>
    </row>
    <row r="897" spans="1:9" x14ac:dyDescent="0.3">
      <c r="A897" t="str">
        <f t="shared" si="300"/>
        <v>United States</v>
      </c>
      <c r="B897" t="str">
        <f t="shared" si="311"/>
        <v>Colorado Springs</v>
      </c>
      <c r="C897" t="str">
        <f t="shared" si="314"/>
        <v>Standard Class</v>
      </c>
      <c r="D897" t="str">
        <f t="shared" si="316"/>
        <v>Corporate</v>
      </c>
      <c r="E897" t="s">
        <v>16</v>
      </c>
      <c r="F897">
        <v>8</v>
      </c>
      <c r="G897">
        <v>0.4</v>
      </c>
      <c r="H897" s="2">
        <v>14.351199999999995</v>
      </c>
      <c r="I897" s="2">
        <v>45.296000000000006</v>
      </c>
    </row>
    <row r="898" spans="1:9" x14ac:dyDescent="0.3">
      <c r="A898" t="str">
        <f t="shared" si="300"/>
        <v>United States</v>
      </c>
      <c r="B898" t="str">
        <f t="shared" si="311"/>
        <v>Colorado Springs</v>
      </c>
      <c r="C898" t="str">
        <f t="shared" si="314"/>
        <v>Standard Class</v>
      </c>
      <c r="D898" t="s">
        <v>17</v>
      </c>
      <c r="E898" t="s">
        <v>20</v>
      </c>
      <c r="F898">
        <v>2</v>
      </c>
      <c r="G898">
        <v>0.7</v>
      </c>
      <c r="H898" s="2">
        <v>-2.1755999999999993</v>
      </c>
      <c r="I898" s="2">
        <v>3.1080000000000001</v>
      </c>
    </row>
    <row r="899" spans="1:9" x14ac:dyDescent="0.3">
      <c r="A899" t="str">
        <f t="shared" si="300"/>
        <v>United States</v>
      </c>
      <c r="B899" t="str">
        <f t="shared" si="311"/>
        <v>Colorado Springs</v>
      </c>
      <c r="C899" t="str">
        <f t="shared" si="314"/>
        <v>Standard Class</v>
      </c>
      <c r="D899" t="str">
        <f t="shared" ref="D899:D900" si="317">D898</f>
        <v>Home Office</v>
      </c>
      <c r="E899" t="s">
        <v>33</v>
      </c>
      <c r="F899">
        <v>6</v>
      </c>
      <c r="G899">
        <v>0.2</v>
      </c>
      <c r="H899" s="2">
        <v>149.14799999999991</v>
      </c>
      <c r="I899" s="2">
        <v>1325.76</v>
      </c>
    </row>
    <row r="900" spans="1:9" x14ac:dyDescent="0.3">
      <c r="A900" t="str">
        <f t="shared" ref="A900:A963" si="318">A899</f>
        <v>United States</v>
      </c>
      <c r="B900" t="str">
        <f t="shared" si="311"/>
        <v>Colorado Springs</v>
      </c>
      <c r="C900" t="str">
        <f t="shared" si="314"/>
        <v>Standard Class</v>
      </c>
      <c r="D900" t="str">
        <f t="shared" si="317"/>
        <v>Home Office</v>
      </c>
      <c r="E900" t="s">
        <v>16</v>
      </c>
      <c r="F900">
        <v>3</v>
      </c>
      <c r="G900">
        <v>0.2</v>
      </c>
      <c r="H900" s="2">
        <v>5.4432</v>
      </c>
      <c r="I900" s="2">
        <v>15.552000000000003</v>
      </c>
    </row>
    <row r="901" spans="1:9" x14ac:dyDescent="0.3">
      <c r="A901" t="str">
        <f t="shared" si="318"/>
        <v>United States</v>
      </c>
      <c r="B901" t="s">
        <v>123</v>
      </c>
      <c r="C901" t="s">
        <v>27</v>
      </c>
      <c r="D901" t="s">
        <v>8</v>
      </c>
      <c r="E901" t="s">
        <v>12</v>
      </c>
      <c r="F901">
        <v>3</v>
      </c>
      <c r="G901">
        <v>0</v>
      </c>
      <c r="H901" s="2">
        <v>297.64349999999996</v>
      </c>
      <c r="I901" s="2">
        <v>901.94999999999993</v>
      </c>
    </row>
    <row r="902" spans="1:9" x14ac:dyDescent="0.3">
      <c r="A902" t="str">
        <f t="shared" si="318"/>
        <v>United States</v>
      </c>
      <c r="B902" t="str">
        <f t="shared" ref="B902:B948" si="319">B901</f>
        <v>Columbia</v>
      </c>
      <c r="C902" t="str">
        <f t="shared" ref="C902:C908" si="320">C901</f>
        <v>Same Day</v>
      </c>
      <c r="D902" t="str">
        <f t="shared" ref="D902:D906" si="321">D901</f>
        <v>Consumer</v>
      </c>
      <c r="E902" t="s">
        <v>20</v>
      </c>
      <c r="F902">
        <v>7</v>
      </c>
      <c r="G902">
        <v>0.7</v>
      </c>
      <c r="H902" s="2">
        <v>23.345199999999995</v>
      </c>
      <c r="I902" s="2">
        <v>85.968000000000004</v>
      </c>
    </row>
    <row r="903" spans="1:9" x14ac:dyDescent="0.3">
      <c r="A903" t="str">
        <f t="shared" si="318"/>
        <v>United States</v>
      </c>
      <c r="B903" t="str">
        <f t="shared" si="319"/>
        <v>Columbia</v>
      </c>
      <c r="C903" t="str">
        <f t="shared" si="320"/>
        <v>Same Day</v>
      </c>
      <c r="D903" t="str">
        <f t="shared" si="321"/>
        <v>Consumer</v>
      </c>
      <c r="E903" t="s">
        <v>38</v>
      </c>
      <c r="F903">
        <v>5</v>
      </c>
      <c r="G903">
        <v>0</v>
      </c>
      <c r="H903" s="2">
        <v>89.954999999999984</v>
      </c>
      <c r="I903" s="2">
        <v>199.89999999999998</v>
      </c>
    </row>
    <row r="904" spans="1:9" x14ac:dyDescent="0.3">
      <c r="A904" t="str">
        <f t="shared" si="318"/>
        <v>United States</v>
      </c>
      <c r="B904" t="str">
        <f t="shared" si="319"/>
        <v>Columbia</v>
      </c>
      <c r="C904" t="str">
        <f t="shared" si="320"/>
        <v>Same Day</v>
      </c>
      <c r="D904" t="str">
        <f t="shared" si="321"/>
        <v>Consumer</v>
      </c>
      <c r="E904" t="s">
        <v>21</v>
      </c>
      <c r="F904">
        <v>5</v>
      </c>
      <c r="G904">
        <v>0</v>
      </c>
      <c r="H904" s="2">
        <v>252.59</v>
      </c>
      <c r="I904" s="2">
        <v>971.5</v>
      </c>
    </row>
    <row r="905" spans="1:9" x14ac:dyDescent="0.3">
      <c r="A905" t="str">
        <f t="shared" si="318"/>
        <v>United States</v>
      </c>
      <c r="B905" t="str">
        <f t="shared" si="319"/>
        <v>Columbia</v>
      </c>
      <c r="C905" t="str">
        <f t="shared" si="320"/>
        <v>Same Day</v>
      </c>
      <c r="D905" t="str">
        <f t="shared" si="321"/>
        <v>Consumer</v>
      </c>
      <c r="E905" t="s">
        <v>16</v>
      </c>
      <c r="F905">
        <v>2</v>
      </c>
      <c r="G905">
        <v>0</v>
      </c>
      <c r="H905" s="2">
        <v>6.2208000000000006</v>
      </c>
      <c r="I905" s="2">
        <v>12.96</v>
      </c>
    </row>
    <row r="906" spans="1:9" x14ac:dyDescent="0.3">
      <c r="A906" t="str">
        <f t="shared" si="318"/>
        <v>United States</v>
      </c>
      <c r="B906" t="str">
        <f t="shared" si="319"/>
        <v>Columbia</v>
      </c>
      <c r="C906" t="str">
        <f t="shared" si="320"/>
        <v>Same Day</v>
      </c>
      <c r="D906" t="str">
        <f t="shared" si="321"/>
        <v>Consumer</v>
      </c>
      <c r="E906" t="s">
        <v>14</v>
      </c>
      <c r="F906">
        <v>9</v>
      </c>
      <c r="G906">
        <v>0.2</v>
      </c>
      <c r="H906" s="2">
        <v>16.90579999999996</v>
      </c>
      <c r="I906" s="2">
        <v>422.03600000000006</v>
      </c>
    </row>
    <row r="907" spans="1:9" x14ac:dyDescent="0.3">
      <c r="A907" t="str">
        <f t="shared" si="318"/>
        <v>United States</v>
      </c>
      <c r="B907" t="str">
        <f t="shared" si="319"/>
        <v>Columbia</v>
      </c>
      <c r="C907" t="str">
        <f t="shared" si="320"/>
        <v>Same Day</v>
      </c>
      <c r="D907" t="s">
        <v>15</v>
      </c>
      <c r="E907" t="s">
        <v>19</v>
      </c>
      <c r="F907">
        <v>8</v>
      </c>
      <c r="G907">
        <v>0</v>
      </c>
      <c r="H907" s="2">
        <v>64.629000000000005</v>
      </c>
      <c r="I907" s="2">
        <v>237.42</v>
      </c>
    </row>
    <row r="908" spans="1:9" x14ac:dyDescent="0.3">
      <c r="A908" t="str">
        <f t="shared" si="318"/>
        <v>United States</v>
      </c>
      <c r="B908" t="str">
        <f t="shared" si="319"/>
        <v>Columbia</v>
      </c>
      <c r="C908" t="str">
        <f t="shared" si="320"/>
        <v>Same Day</v>
      </c>
      <c r="D908" t="str">
        <f>D907</f>
        <v>Corporate</v>
      </c>
      <c r="E908" t="s">
        <v>33</v>
      </c>
      <c r="F908">
        <v>5</v>
      </c>
      <c r="G908">
        <v>0</v>
      </c>
      <c r="H908" s="2">
        <v>373.77899999999983</v>
      </c>
      <c r="I908" s="2">
        <v>1779.9</v>
      </c>
    </row>
    <row r="909" spans="1:9" x14ac:dyDescent="0.3">
      <c r="A909" t="str">
        <f t="shared" si="318"/>
        <v>United States</v>
      </c>
      <c r="B909" t="str">
        <f t="shared" si="319"/>
        <v>Columbia</v>
      </c>
      <c r="C909" t="s">
        <v>7</v>
      </c>
      <c r="D909" t="s">
        <v>8</v>
      </c>
      <c r="E909" t="s">
        <v>23</v>
      </c>
      <c r="F909">
        <v>3</v>
      </c>
      <c r="G909">
        <v>0</v>
      </c>
      <c r="H909" s="2">
        <v>22.647599999999997</v>
      </c>
      <c r="I909" s="2">
        <v>62.91</v>
      </c>
    </row>
    <row r="910" spans="1:9" x14ac:dyDescent="0.3">
      <c r="A910" t="str">
        <f t="shared" si="318"/>
        <v>United States</v>
      </c>
      <c r="B910" t="str">
        <f t="shared" si="319"/>
        <v>Columbia</v>
      </c>
      <c r="C910" t="str">
        <f t="shared" ref="C910:C925" si="322">C909</f>
        <v>Second Class</v>
      </c>
      <c r="D910" t="str">
        <f t="shared" ref="D910:D915" si="323">D909</f>
        <v>Consumer</v>
      </c>
      <c r="E910" t="s">
        <v>12</v>
      </c>
      <c r="F910">
        <v>3</v>
      </c>
      <c r="G910">
        <v>0.2</v>
      </c>
      <c r="H910" s="2">
        <v>87.180000000000092</v>
      </c>
      <c r="I910" s="2">
        <v>871.80000000000007</v>
      </c>
    </row>
    <row r="911" spans="1:9" x14ac:dyDescent="0.3">
      <c r="A911" t="str">
        <f t="shared" si="318"/>
        <v>United States</v>
      </c>
      <c r="B911" t="str">
        <f t="shared" si="319"/>
        <v>Columbia</v>
      </c>
      <c r="C911" t="str">
        <f t="shared" si="322"/>
        <v>Second Class</v>
      </c>
      <c r="D911" t="str">
        <f t="shared" si="323"/>
        <v>Consumer</v>
      </c>
      <c r="E911" t="s">
        <v>20</v>
      </c>
      <c r="F911">
        <v>11</v>
      </c>
      <c r="G911">
        <v>0</v>
      </c>
      <c r="H911" s="2">
        <v>40.051000000000002</v>
      </c>
      <c r="I911" s="2">
        <v>85.42</v>
      </c>
    </row>
    <row r="912" spans="1:9" x14ac:dyDescent="0.3">
      <c r="A912" t="str">
        <f t="shared" si="318"/>
        <v>United States</v>
      </c>
      <c r="B912" t="str">
        <f t="shared" si="319"/>
        <v>Columbia</v>
      </c>
      <c r="C912" t="str">
        <f t="shared" si="322"/>
        <v>Second Class</v>
      </c>
      <c r="D912" t="str">
        <f t="shared" si="323"/>
        <v>Consumer</v>
      </c>
      <c r="E912" t="s">
        <v>33</v>
      </c>
      <c r="F912">
        <v>3</v>
      </c>
      <c r="G912">
        <v>0</v>
      </c>
      <c r="H912" s="2">
        <v>48.438099999999991</v>
      </c>
      <c r="I912" s="2">
        <v>362.84999999999997</v>
      </c>
    </row>
    <row r="913" spans="1:9" x14ac:dyDescent="0.3">
      <c r="A913" t="str">
        <f t="shared" si="318"/>
        <v>United States</v>
      </c>
      <c r="B913" t="str">
        <f t="shared" si="319"/>
        <v>Columbia</v>
      </c>
      <c r="C913" t="str">
        <f t="shared" si="322"/>
        <v>Second Class</v>
      </c>
      <c r="D913" t="str">
        <f t="shared" si="323"/>
        <v>Consumer</v>
      </c>
      <c r="E913" t="s">
        <v>21</v>
      </c>
      <c r="F913">
        <v>3</v>
      </c>
      <c r="G913">
        <v>0</v>
      </c>
      <c r="H913" s="2">
        <v>53.270399999999995</v>
      </c>
      <c r="I913" s="2">
        <v>332.94</v>
      </c>
    </row>
    <row r="914" spans="1:9" x14ac:dyDescent="0.3">
      <c r="A914" t="str">
        <f t="shared" si="318"/>
        <v>United States</v>
      </c>
      <c r="B914" t="str">
        <f t="shared" si="319"/>
        <v>Columbia</v>
      </c>
      <c r="C914" t="str">
        <f t="shared" si="322"/>
        <v>Second Class</v>
      </c>
      <c r="D914" t="str">
        <f t="shared" si="323"/>
        <v>Consumer</v>
      </c>
      <c r="E914" t="s">
        <v>43</v>
      </c>
      <c r="F914">
        <v>3</v>
      </c>
      <c r="G914">
        <v>0</v>
      </c>
      <c r="H914" s="2">
        <v>6.8723999999999998</v>
      </c>
      <c r="I914" s="2">
        <v>14.940000000000001</v>
      </c>
    </row>
    <row r="915" spans="1:9" x14ac:dyDescent="0.3">
      <c r="A915" t="str">
        <f t="shared" si="318"/>
        <v>United States</v>
      </c>
      <c r="B915" t="str">
        <f t="shared" si="319"/>
        <v>Columbia</v>
      </c>
      <c r="C915" t="str">
        <f t="shared" si="322"/>
        <v>Second Class</v>
      </c>
      <c r="D915" t="str">
        <f t="shared" si="323"/>
        <v>Consumer</v>
      </c>
      <c r="E915" t="s">
        <v>14</v>
      </c>
      <c r="F915">
        <v>2</v>
      </c>
      <c r="G915">
        <v>0</v>
      </c>
      <c r="H915" s="2">
        <v>2.598399999999998</v>
      </c>
      <c r="I915" s="2">
        <v>64.959999999999994</v>
      </c>
    </row>
    <row r="916" spans="1:9" x14ac:dyDescent="0.3">
      <c r="A916" t="str">
        <f t="shared" si="318"/>
        <v>United States</v>
      </c>
      <c r="B916" t="str">
        <f t="shared" si="319"/>
        <v>Columbia</v>
      </c>
      <c r="C916" t="str">
        <f t="shared" si="322"/>
        <v>Second Class</v>
      </c>
      <c r="D916" t="s">
        <v>15</v>
      </c>
      <c r="E916" t="s">
        <v>23</v>
      </c>
      <c r="F916">
        <v>5</v>
      </c>
      <c r="G916">
        <v>0</v>
      </c>
      <c r="H916" s="2">
        <v>373.68180000000012</v>
      </c>
      <c r="I916" s="2">
        <v>902.60000000000014</v>
      </c>
    </row>
    <row r="917" spans="1:9" x14ac:dyDescent="0.3">
      <c r="A917" t="str">
        <f t="shared" si="318"/>
        <v>United States</v>
      </c>
      <c r="B917" t="str">
        <f t="shared" si="319"/>
        <v>Columbia</v>
      </c>
      <c r="C917" t="str">
        <f t="shared" si="322"/>
        <v>Second Class</v>
      </c>
      <c r="D917" t="str">
        <f t="shared" ref="D917:D923" si="324">D916</f>
        <v>Corporate</v>
      </c>
      <c r="E917" t="s">
        <v>19</v>
      </c>
      <c r="F917">
        <v>7</v>
      </c>
      <c r="G917">
        <v>0</v>
      </c>
      <c r="H917" s="2">
        <v>9.9096000000000011</v>
      </c>
      <c r="I917" s="2">
        <v>35.44</v>
      </c>
    </row>
    <row r="918" spans="1:9" x14ac:dyDescent="0.3">
      <c r="A918" t="str">
        <f t="shared" si="318"/>
        <v>United States</v>
      </c>
      <c r="B918" t="str">
        <f t="shared" si="319"/>
        <v>Columbia</v>
      </c>
      <c r="C918" t="str">
        <f t="shared" si="322"/>
        <v>Second Class</v>
      </c>
      <c r="D918" t="str">
        <f t="shared" si="324"/>
        <v>Corporate</v>
      </c>
      <c r="E918" t="s">
        <v>20</v>
      </c>
      <c r="F918">
        <v>12</v>
      </c>
      <c r="G918">
        <v>0</v>
      </c>
      <c r="H918" s="2">
        <v>41.059199999999997</v>
      </c>
      <c r="I918" s="2">
        <v>85.86</v>
      </c>
    </row>
    <row r="919" spans="1:9" x14ac:dyDescent="0.3">
      <c r="A919" t="str">
        <f t="shared" si="318"/>
        <v>United States</v>
      </c>
      <c r="B919" t="str">
        <f t="shared" si="319"/>
        <v>Columbia</v>
      </c>
      <c r="C919" t="str">
        <f t="shared" si="322"/>
        <v>Second Class</v>
      </c>
      <c r="D919" t="str">
        <f t="shared" si="324"/>
        <v>Corporate</v>
      </c>
      <c r="E919" t="s">
        <v>38</v>
      </c>
      <c r="F919">
        <v>5</v>
      </c>
      <c r="G919">
        <v>0</v>
      </c>
      <c r="H919" s="2">
        <v>4.7939999999999996</v>
      </c>
      <c r="I919" s="2">
        <v>10.199999999999999</v>
      </c>
    </row>
    <row r="920" spans="1:9" x14ac:dyDescent="0.3">
      <c r="A920" t="str">
        <f t="shared" si="318"/>
        <v>United States</v>
      </c>
      <c r="B920" t="str">
        <f t="shared" si="319"/>
        <v>Columbia</v>
      </c>
      <c r="C920" t="str">
        <f t="shared" si="322"/>
        <v>Second Class</v>
      </c>
      <c r="D920" t="str">
        <f t="shared" si="324"/>
        <v>Corporate</v>
      </c>
      <c r="E920" t="s">
        <v>21</v>
      </c>
      <c r="F920">
        <v>5</v>
      </c>
      <c r="G920">
        <v>0</v>
      </c>
      <c r="H920" s="2">
        <v>43.735999999999962</v>
      </c>
      <c r="I920" s="2">
        <v>397.59999999999997</v>
      </c>
    </row>
    <row r="921" spans="1:9" x14ac:dyDescent="0.3">
      <c r="A921" t="str">
        <f t="shared" si="318"/>
        <v>United States</v>
      </c>
      <c r="B921" t="str">
        <f t="shared" si="319"/>
        <v>Columbia</v>
      </c>
      <c r="C921" t="str">
        <f t="shared" si="322"/>
        <v>Second Class</v>
      </c>
      <c r="D921" t="str">
        <f t="shared" si="324"/>
        <v>Corporate</v>
      </c>
      <c r="E921" t="s">
        <v>16</v>
      </c>
      <c r="F921">
        <v>16</v>
      </c>
      <c r="G921">
        <v>0</v>
      </c>
      <c r="H921" s="2">
        <v>69.258799999999994</v>
      </c>
      <c r="I921" s="2">
        <v>146.07999999999998</v>
      </c>
    </row>
    <row r="922" spans="1:9" x14ac:dyDescent="0.3">
      <c r="A922" t="str">
        <f t="shared" si="318"/>
        <v>United States</v>
      </c>
      <c r="B922" t="str">
        <f t="shared" si="319"/>
        <v>Columbia</v>
      </c>
      <c r="C922" t="str">
        <f t="shared" si="322"/>
        <v>Second Class</v>
      </c>
      <c r="D922" t="str">
        <f t="shared" si="324"/>
        <v>Corporate</v>
      </c>
      <c r="E922" t="s">
        <v>24</v>
      </c>
      <c r="F922">
        <v>4</v>
      </c>
      <c r="G922">
        <v>0.2</v>
      </c>
      <c r="H922" s="2">
        <v>58.379999999999939</v>
      </c>
      <c r="I922" s="2">
        <v>467.03999999999996</v>
      </c>
    </row>
    <row r="923" spans="1:9" x14ac:dyDescent="0.3">
      <c r="A923" t="str">
        <f t="shared" si="318"/>
        <v>United States</v>
      </c>
      <c r="B923" t="str">
        <f t="shared" si="319"/>
        <v>Columbia</v>
      </c>
      <c r="C923" t="str">
        <f t="shared" si="322"/>
        <v>Second Class</v>
      </c>
      <c r="D923" t="str">
        <f t="shared" si="324"/>
        <v>Corporate</v>
      </c>
      <c r="E923" t="s">
        <v>14</v>
      </c>
      <c r="F923">
        <v>12</v>
      </c>
      <c r="G923">
        <v>0</v>
      </c>
      <c r="H923" s="2">
        <v>631.4807999999997</v>
      </c>
      <c r="I923" s="2">
        <v>2177.52</v>
      </c>
    </row>
    <row r="924" spans="1:9" x14ac:dyDescent="0.3">
      <c r="A924" t="str">
        <f t="shared" si="318"/>
        <v>United States</v>
      </c>
      <c r="B924" t="str">
        <f t="shared" si="319"/>
        <v>Columbia</v>
      </c>
      <c r="C924" t="str">
        <f t="shared" si="322"/>
        <v>Second Class</v>
      </c>
      <c r="D924" t="s">
        <v>17</v>
      </c>
      <c r="E924" t="s">
        <v>12</v>
      </c>
      <c r="F924">
        <v>7</v>
      </c>
      <c r="G924">
        <v>0</v>
      </c>
      <c r="H924" s="2">
        <v>751.76010000000008</v>
      </c>
      <c r="I924" s="2">
        <v>1927.5900000000001</v>
      </c>
    </row>
    <row r="925" spans="1:9" x14ac:dyDescent="0.3">
      <c r="A925" t="str">
        <f t="shared" si="318"/>
        <v>United States</v>
      </c>
      <c r="B925" t="str">
        <f t="shared" si="319"/>
        <v>Columbia</v>
      </c>
      <c r="C925" t="str">
        <f t="shared" si="322"/>
        <v>Second Class</v>
      </c>
      <c r="D925" t="str">
        <f>D924</f>
        <v>Home Office</v>
      </c>
      <c r="E925" t="s">
        <v>24</v>
      </c>
      <c r="F925">
        <v>3</v>
      </c>
      <c r="G925">
        <v>0</v>
      </c>
      <c r="H925" s="2">
        <v>220.48530000000002</v>
      </c>
      <c r="I925" s="2">
        <v>449.97</v>
      </c>
    </row>
    <row r="926" spans="1:9" x14ac:dyDescent="0.3">
      <c r="A926" t="str">
        <f t="shared" si="318"/>
        <v>United States</v>
      </c>
      <c r="B926" t="str">
        <f t="shared" si="319"/>
        <v>Columbia</v>
      </c>
      <c r="C926" t="s">
        <v>22</v>
      </c>
      <c r="D926" t="s">
        <v>8</v>
      </c>
      <c r="E926" t="s">
        <v>23</v>
      </c>
      <c r="F926">
        <v>2</v>
      </c>
      <c r="G926">
        <v>0</v>
      </c>
      <c r="H926" s="2">
        <v>26.391200000000005</v>
      </c>
      <c r="I926" s="2">
        <v>59.98</v>
      </c>
    </row>
    <row r="927" spans="1:9" x14ac:dyDescent="0.3">
      <c r="A927" t="str">
        <f t="shared" si="318"/>
        <v>United States</v>
      </c>
      <c r="B927" t="str">
        <f t="shared" si="319"/>
        <v>Columbia</v>
      </c>
      <c r="C927" t="str">
        <f t="shared" ref="C927:C948" si="325">C926</f>
        <v>Standard Class</v>
      </c>
      <c r="D927" t="str">
        <f t="shared" ref="D927:D936" si="326">D926</f>
        <v>Consumer</v>
      </c>
      <c r="E927" t="s">
        <v>12</v>
      </c>
      <c r="F927">
        <v>7</v>
      </c>
      <c r="G927">
        <v>0.2</v>
      </c>
      <c r="H927" s="2">
        <v>3.8073000000000015</v>
      </c>
      <c r="I927" s="2">
        <v>43.512</v>
      </c>
    </row>
    <row r="928" spans="1:9" x14ac:dyDescent="0.3">
      <c r="A928" t="str">
        <f t="shared" si="318"/>
        <v>United States</v>
      </c>
      <c r="B928" t="str">
        <f t="shared" si="319"/>
        <v>Columbia</v>
      </c>
      <c r="C928" t="str">
        <f t="shared" si="325"/>
        <v>Standard Class</v>
      </c>
      <c r="D928" t="str">
        <f t="shared" si="326"/>
        <v>Consumer</v>
      </c>
      <c r="E928" t="s">
        <v>20</v>
      </c>
      <c r="F928">
        <v>7</v>
      </c>
      <c r="G928">
        <v>0</v>
      </c>
      <c r="H928" s="2">
        <v>1359.7730000000001</v>
      </c>
      <c r="I928" s="2">
        <v>2730.88</v>
      </c>
    </row>
    <row r="929" spans="1:9" x14ac:dyDescent="0.3">
      <c r="A929" t="str">
        <f t="shared" si="318"/>
        <v>United States</v>
      </c>
      <c r="B929" t="str">
        <f t="shared" si="319"/>
        <v>Columbia</v>
      </c>
      <c r="C929" t="str">
        <f t="shared" si="325"/>
        <v>Standard Class</v>
      </c>
      <c r="D929" t="str">
        <f t="shared" si="326"/>
        <v>Consumer</v>
      </c>
      <c r="E929" t="s">
        <v>34</v>
      </c>
      <c r="F929">
        <v>3</v>
      </c>
      <c r="G929">
        <v>0</v>
      </c>
      <c r="H929" s="2">
        <v>36.293999999999997</v>
      </c>
      <c r="I929" s="2">
        <v>362.94</v>
      </c>
    </row>
    <row r="930" spans="1:9" x14ac:dyDescent="0.3">
      <c r="A930" t="str">
        <f t="shared" si="318"/>
        <v>United States</v>
      </c>
      <c r="B930" t="str">
        <f t="shared" si="319"/>
        <v>Columbia</v>
      </c>
      <c r="C930" t="str">
        <f t="shared" si="325"/>
        <v>Standard Class</v>
      </c>
      <c r="D930" t="str">
        <f t="shared" si="326"/>
        <v>Consumer</v>
      </c>
      <c r="E930" t="s">
        <v>33</v>
      </c>
      <c r="F930">
        <v>17</v>
      </c>
      <c r="G930">
        <v>0.60000000000000009</v>
      </c>
      <c r="H930" s="2">
        <v>512.65039999999988</v>
      </c>
      <c r="I930" s="2">
        <v>2904.1840000000002</v>
      </c>
    </row>
    <row r="931" spans="1:9" x14ac:dyDescent="0.3">
      <c r="A931" t="str">
        <f t="shared" si="318"/>
        <v>United States</v>
      </c>
      <c r="B931" t="str">
        <f t="shared" si="319"/>
        <v>Columbia</v>
      </c>
      <c r="C931" t="str">
        <f t="shared" si="325"/>
        <v>Standard Class</v>
      </c>
      <c r="D931" t="str">
        <f t="shared" si="326"/>
        <v>Consumer</v>
      </c>
      <c r="E931" t="s">
        <v>38</v>
      </c>
      <c r="F931">
        <v>2</v>
      </c>
      <c r="G931">
        <v>0</v>
      </c>
      <c r="H931" s="2">
        <v>57.32119999999999</v>
      </c>
      <c r="I931" s="2">
        <v>121.96</v>
      </c>
    </row>
    <row r="932" spans="1:9" x14ac:dyDescent="0.3">
      <c r="A932" t="str">
        <f t="shared" si="318"/>
        <v>United States</v>
      </c>
      <c r="B932" t="str">
        <f t="shared" si="319"/>
        <v>Columbia</v>
      </c>
      <c r="C932" t="str">
        <f t="shared" si="325"/>
        <v>Standard Class</v>
      </c>
      <c r="D932" t="str">
        <f t="shared" si="326"/>
        <v>Consumer</v>
      </c>
      <c r="E932" t="s">
        <v>21</v>
      </c>
      <c r="F932">
        <v>6</v>
      </c>
      <c r="G932">
        <v>0.2</v>
      </c>
      <c r="H932" s="2">
        <v>55.149000000000001</v>
      </c>
      <c r="I932" s="2">
        <v>178.35599999999999</v>
      </c>
    </row>
    <row r="933" spans="1:9" x14ac:dyDescent="0.3">
      <c r="A933" t="str">
        <f t="shared" si="318"/>
        <v>United States</v>
      </c>
      <c r="B933" t="str">
        <f t="shared" si="319"/>
        <v>Columbia</v>
      </c>
      <c r="C933" t="str">
        <f t="shared" si="325"/>
        <v>Standard Class</v>
      </c>
      <c r="D933" t="str">
        <f t="shared" si="326"/>
        <v>Consumer</v>
      </c>
      <c r="E933" t="s">
        <v>16</v>
      </c>
      <c r="F933">
        <v>13</v>
      </c>
      <c r="G933">
        <v>0.4</v>
      </c>
      <c r="H933" s="2">
        <v>82.930399999999992</v>
      </c>
      <c r="I933" s="2">
        <v>227.37600000000003</v>
      </c>
    </row>
    <row r="934" spans="1:9" x14ac:dyDescent="0.3">
      <c r="A934" t="str">
        <f t="shared" si="318"/>
        <v>United States</v>
      </c>
      <c r="B934" t="str">
        <f t="shared" si="319"/>
        <v>Columbia</v>
      </c>
      <c r="C934" t="str">
        <f t="shared" si="325"/>
        <v>Standard Class</v>
      </c>
      <c r="D934" t="str">
        <f t="shared" si="326"/>
        <v>Consumer</v>
      </c>
      <c r="E934" t="s">
        <v>24</v>
      </c>
      <c r="F934">
        <v>8</v>
      </c>
      <c r="G934">
        <v>0</v>
      </c>
      <c r="H934" s="2">
        <v>209.36770000000001</v>
      </c>
      <c r="I934" s="2">
        <v>743.68</v>
      </c>
    </row>
    <row r="935" spans="1:9" x14ac:dyDescent="0.3">
      <c r="A935" t="str">
        <f t="shared" si="318"/>
        <v>United States</v>
      </c>
      <c r="B935" t="str">
        <f t="shared" si="319"/>
        <v>Columbia</v>
      </c>
      <c r="C935" t="str">
        <f t="shared" si="325"/>
        <v>Standard Class</v>
      </c>
      <c r="D935" t="str">
        <f t="shared" si="326"/>
        <v>Consumer</v>
      </c>
      <c r="E935" t="s">
        <v>14</v>
      </c>
      <c r="F935">
        <v>19</v>
      </c>
      <c r="G935">
        <v>0.2</v>
      </c>
      <c r="H935" s="2">
        <v>44.990600000000001</v>
      </c>
      <c r="I935" s="2">
        <v>1296.24</v>
      </c>
    </row>
    <row r="936" spans="1:9" x14ac:dyDescent="0.3">
      <c r="A936" t="str">
        <f t="shared" si="318"/>
        <v>United States</v>
      </c>
      <c r="B936" t="str">
        <f t="shared" si="319"/>
        <v>Columbia</v>
      </c>
      <c r="C936" t="str">
        <f t="shared" si="325"/>
        <v>Standard Class</v>
      </c>
      <c r="D936" t="str">
        <f t="shared" si="326"/>
        <v>Consumer</v>
      </c>
      <c r="E936" t="s">
        <v>9</v>
      </c>
      <c r="F936">
        <v>3</v>
      </c>
      <c r="G936">
        <v>0.2</v>
      </c>
      <c r="H936" s="2">
        <v>-1.9872000000000005</v>
      </c>
      <c r="I936" s="2">
        <v>8.8320000000000007</v>
      </c>
    </row>
    <row r="937" spans="1:9" x14ac:dyDescent="0.3">
      <c r="A937" t="str">
        <f t="shared" si="318"/>
        <v>United States</v>
      </c>
      <c r="B937" t="str">
        <f t="shared" si="319"/>
        <v>Columbia</v>
      </c>
      <c r="C937" t="str">
        <f t="shared" si="325"/>
        <v>Standard Class</v>
      </c>
      <c r="D937" t="s">
        <v>15</v>
      </c>
      <c r="E937" t="s">
        <v>23</v>
      </c>
      <c r="F937">
        <v>9</v>
      </c>
      <c r="G937">
        <v>0.2</v>
      </c>
      <c r="H937" s="2">
        <v>20.560600000000004</v>
      </c>
      <c r="I937" s="2">
        <v>66.058000000000007</v>
      </c>
    </row>
    <row r="938" spans="1:9" x14ac:dyDescent="0.3">
      <c r="A938" t="str">
        <f t="shared" si="318"/>
        <v>United States</v>
      </c>
      <c r="B938" t="str">
        <f t="shared" si="319"/>
        <v>Columbia</v>
      </c>
      <c r="C938" t="str">
        <f t="shared" si="325"/>
        <v>Standard Class</v>
      </c>
      <c r="D938" t="str">
        <f t="shared" ref="D938:D945" si="327">D937</f>
        <v>Corporate</v>
      </c>
      <c r="E938" t="s">
        <v>12</v>
      </c>
      <c r="F938">
        <v>2</v>
      </c>
      <c r="G938">
        <v>0</v>
      </c>
      <c r="H938" s="2">
        <v>10.5504</v>
      </c>
      <c r="I938" s="2">
        <v>37.68</v>
      </c>
    </row>
    <row r="939" spans="1:9" x14ac:dyDescent="0.3">
      <c r="A939" t="str">
        <f t="shared" si="318"/>
        <v>United States</v>
      </c>
      <c r="B939" t="str">
        <f t="shared" si="319"/>
        <v>Columbia</v>
      </c>
      <c r="C939" t="str">
        <f t="shared" si="325"/>
        <v>Standard Class</v>
      </c>
      <c r="D939" t="str">
        <f t="shared" si="327"/>
        <v>Corporate</v>
      </c>
      <c r="E939" t="s">
        <v>19</v>
      </c>
      <c r="F939">
        <v>7</v>
      </c>
      <c r="G939">
        <v>0</v>
      </c>
      <c r="H939" s="2">
        <v>11.575199999999999</v>
      </c>
      <c r="I939" s="2">
        <v>29.68</v>
      </c>
    </row>
    <row r="940" spans="1:9" x14ac:dyDescent="0.3">
      <c r="A940" t="str">
        <f t="shared" si="318"/>
        <v>United States</v>
      </c>
      <c r="B940" t="str">
        <f t="shared" si="319"/>
        <v>Columbia</v>
      </c>
      <c r="C940" t="str">
        <f t="shared" si="325"/>
        <v>Standard Class</v>
      </c>
      <c r="D940" t="str">
        <f t="shared" si="327"/>
        <v>Corporate</v>
      </c>
      <c r="E940" t="s">
        <v>20</v>
      </c>
      <c r="F940">
        <v>3</v>
      </c>
      <c r="G940">
        <v>0</v>
      </c>
      <c r="H940" s="2">
        <v>2.5920000000000001</v>
      </c>
      <c r="I940" s="2">
        <v>5.4</v>
      </c>
    </row>
    <row r="941" spans="1:9" x14ac:dyDescent="0.3">
      <c r="A941" t="str">
        <f t="shared" si="318"/>
        <v>United States</v>
      </c>
      <c r="B941" t="str">
        <f t="shared" si="319"/>
        <v>Columbia</v>
      </c>
      <c r="C941" t="str">
        <f t="shared" si="325"/>
        <v>Standard Class</v>
      </c>
      <c r="D941" t="str">
        <f t="shared" si="327"/>
        <v>Corporate</v>
      </c>
      <c r="E941" t="s">
        <v>38</v>
      </c>
      <c r="F941">
        <v>3</v>
      </c>
      <c r="G941">
        <v>0</v>
      </c>
      <c r="H941" s="2">
        <v>87.744299999999981</v>
      </c>
      <c r="I941" s="2">
        <v>186.69</v>
      </c>
    </row>
    <row r="942" spans="1:9" x14ac:dyDescent="0.3">
      <c r="A942" t="str">
        <f t="shared" si="318"/>
        <v>United States</v>
      </c>
      <c r="B942" t="str">
        <f t="shared" si="319"/>
        <v>Columbia</v>
      </c>
      <c r="C942" t="str">
        <f t="shared" si="325"/>
        <v>Standard Class</v>
      </c>
      <c r="D942" t="str">
        <f t="shared" si="327"/>
        <v>Corporate</v>
      </c>
      <c r="E942" t="s">
        <v>21</v>
      </c>
      <c r="F942">
        <v>8</v>
      </c>
      <c r="G942">
        <v>0.2</v>
      </c>
      <c r="H942" s="2">
        <v>23.168799999999997</v>
      </c>
      <c r="I942" s="2">
        <v>106.54</v>
      </c>
    </row>
    <row r="943" spans="1:9" x14ac:dyDescent="0.3">
      <c r="A943" t="str">
        <f t="shared" si="318"/>
        <v>United States</v>
      </c>
      <c r="B943" t="str">
        <f t="shared" si="319"/>
        <v>Columbia</v>
      </c>
      <c r="C943" t="str">
        <f t="shared" si="325"/>
        <v>Standard Class</v>
      </c>
      <c r="D943" t="str">
        <f t="shared" si="327"/>
        <v>Corporate</v>
      </c>
      <c r="E943" t="s">
        <v>16</v>
      </c>
      <c r="F943">
        <v>11</v>
      </c>
      <c r="G943">
        <v>0</v>
      </c>
      <c r="H943" s="2">
        <v>85.138500000000008</v>
      </c>
      <c r="I943" s="2">
        <v>174.81</v>
      </c>
    </row>
    <row r="944" spans="1:9" x14ac:dyDescent="0.3">
      <c r="A944" t="str">
        <f t="shared" si="318"/>
        <v>United States</v>
      </c>
      <c r="B944" t="str">
        <f t="shared" si="319"/>
        <v>Columbia</v>
      </c>
      <c r="C944" t="str">
        <f t="shared" si="325"/>
        <v>Standard Class</v>
      </c>
      <c r="D944" t="str">
        <f t="shared" si="327"/>
        <v>Corporate</v>
      </c>
      <c r="E944" t="s">
        <v>24</v>
      </c>
      <c r="F944">
        <v>5</v>
      </c>
      <c r="G944">
        <v>0</v>
      </c>
      <c r="H944" s="2">
        <v>163.78700000000003</v>
      </c>
      <c r="I944" s="2">
        <v>629.94999999999993</v>
      </c>
    </row>
    <row r="945" spans="1:9" x14ac:dyDescent="0.3">
      <c r="A945" t="str">
        <f t="shared" si="318"/>
        <v>United States</v>
      </c>
      <c r="B945" t="str">
        <f t="shared" si="319"/>
        <v>Columbia</v>
      </c>
      <c r="C945" t="str">
        <f t="shared" si="325"/>
        <v>Standard Class</v>
      </c>
      <c r="D945" t="str">
        <f t="shared" si="327"/>
        <v>Corporate</v>
      </c>
      <c r="E945" t="s">
        <v>25</v>
      </c>
      <c r="F945">
        <v>7</v>
      </c>
      <c r="G945">
        <v>0.4</v>
      </c>
      <c r="H945" s="2">
        <v>-968.88329999999996</v>
      </c>
      <c r="I945" s="2">
        <v>1875.258</v>
      </c>
    </row>
    <row r="946" spans="1:9" x14ac:dyDescent="0.3">
      <c r="A946" t="str">
        <f t="shared" si="318"/>
        <v>United States</v>
      </c>
      <c r="B946" t="str">
        <f t="shared" si="319"/>
        <v>Columbia</v>
      </c>
      <c r="C946" t="str">
        <f t="shared" si="325"/>
        <v>Standard Class</v>
      </c>
      <c r="D946" t="s">
        <v>17</v>
      </c>
      <c r="E946" t="s">
        <v>20</v>
      </c>
      <c r="F946">
        <v>9</v>
      </c>
      <c r="G946">
        <v>0.7</v>
      </c>
      <c r="H946" s="2">
        <v>3.8614000000000033</v>
      </c>
      <c r="I946" s="2">
        <v>55.9</v>
      </c>
    </row>
    <row r="947" spans="1:9" x14ac:dyDescent="0.3">
      <c r="A947" t="str">
        <f t="shared" si="318"/>
        <v>United States</v>
      </c>
      <c r="B947" t="str">
        <f t="shared" si="319"/>
        <v>Columbia</v>
      </c>
      <c r="C947" t="str">
        <f t="shared" si="325"/>
        <v>Standard Class</v>
      </c>
      <c r="D947" t="str">
        <f t="shared" ref="D947:D948" si="328">D946</f>
        <v>Home Office</v>
      </c>
      <c r="E947" t="s">
        <v>21</v>
      </c>
      <c r="F947">
        <v>6</v>
      </c>
      <c r="G947">
        <v>0</v>
      </c>
      <c r="H947" s="2">
        <v>39.807199999999995</v>
      </c>
      <c r="I947" s="2">
        <v>117.08</v>
      </c>
    </row>
    <row r="948" spans="1:9" x14ac:dyDescent="0.3">
      <c r="A948" t="str">
        <f t="shared" si="318"/>
        <v>United States</v>
      </c>
      <c r="B948" t="str">
        <f t="shared" si="319"/>
        <v>Columbia</v>
      </c>
      <c r="C948" t="str">
        <f t="shared" si="325"/>
        <v>Standard Class</v>
      </c>
      <c r="D948" t="str">
        <f t="shared" si="328"/>
        <v>Home Office</v>
      </c>
      <c r="E948" t="s">
        <v>16</v>
      </c>
      <c r="F948">
        <v>11</v>
      </c>
      <c r="G948">
        <v>0.2</v>
      </c>
      <c r="H948" s="2">
        <v>148.8552</v>
      </c>
      <c r="I948" s="2">
        <v>312.98399999999998</v>
      </c>
    </row>
    <row r="949" spans="1:9" x14ac:dyDescent="0.3">
      <c r="A949" t="str">
        <f t="shared" si="318"/>
        <v>United States</v>
      </c>
      <c r="B949" t="s">
        <v>124</v>
      </c>
      <c r="C949" t="s">
        <v>11</v>
      </c>
      <c r="D949" t="s">
        <v>8</v>
      </c>
      <c r="E949" t="s">
        <v>23</v>
      </c>
      <c r="F949">
        <v>3</v>
      </c>
      <c r="G949">
        <v>0</v>
      </c>
      <c r="H949" s="2">
        <v>40.749900000000004</v>
      </c>
      <c r="I949" s="2">
        <v>99.390000000000015</v>
      </c>
    </row>
    <row r="950" spans="1:9" x14ac:dyDescent="0.3">
      <c r="A950" t="str">
        <f t="shared" si="318"/>
        <v>United States</v>
      </c>
      <c r="B950" t="str">
        <f t="shared" ref="B950:B981" si="329">B949</f>
        <v>Columbus</v>
      </c>
      <c r="C950" t="str">
        <f t="shared" ref="C950:C970" si="330">C949</f>
        <v>First Class</v>
      </c>
      <c r="D950" t="str">
        <f t="shared" ref="D950:D958" si="331">D949</f>
        <v>Consumer</v>
      </c>
      <c r="E950" t="s">
        <v>12</v>
      </c>
      <c r="F950">
        <v>3</v>
      </c>
      <c r="G950">
        <v>0</v>
      </c>
      <c r="H950" s="2">
        <v>16.588799999999999</v>
      </c>
      <c r="I950" s="2">
        <v>61.44</v>
      </c>
    </row>
    <row r="951" spans="1:9" x14ac:dyDescent="0.3">
      <c r="A951" t="str">
        <f t="shared" si="318"/>
        <v>United States</v>
      </c>
      <c r="B951" t="str">
        <f t="shared" si="329"/>
        <v>Columbus</v>
      </c>
      <c r="C951" t="str">
        <f t="shared" si="330"/>
        <v>First Class</v>
      </c>
      <c r="D951" t="str">
        <f t="shared" si="331"/>
        <v>Consumer</v>
      </c>
      <c r="E951" t="s">
        <v>19</v>
      </c>
      <c r="F951">
        <v>5</v>
      </c>
      <c r="G951">
        <v>0.4</v>
      </c>
      <c r="H951" s="2">
        <v>3.7721999999999976</v>
      </c>
      <c r="I951" s="2">
        <v>22.128000000000004</v>
      </c>
    </row>
    <row r="952" spans="1:9" x14ac:dyDescent="0.3">
      <c r="A952" t="str">
        <f t="shared" si="318"/>
        <v>United States</v>
      </c>
      <c r="B952" t="str">
        <f t="shared" si="329"/>
        <v>Columbus</v>
      </c>
      <c r="C952" t="str">
        <f t="shared" si="330"/>
        <v>First Class</v>
      </c>
      <c r="D952" t="str">
        <f t="shared" si="331"/>
        <v>Consumer</v>
      </c>
      <c r="E952" t="s">
        <v>20</v>
      </c>
      <c r="F952">
        <v>7</v>
      </c>
      <c r="G952">
        <v>0</v>
      </c>
      <c r="H952" s="2">
        <v>17.8066</v>
      </c>
      <c r="I952" s="2">
        <v>38.71</v>
      </c>
    </row>
    <row r="953" spans="1:9" x14ac:dyDescent="0.3">
      <c r="A953" t="str">
        <f t="shared" si="318"/>
        <v>United States</v>
      </c>
      <c r="B953" t="str">
        <f t="shared" si="329"/>
        <v>Columbus</v>
      </c>
      <c r="C953" t="str">
        <f t="shared" si="330"/>
        <v>First Class</v>
      </c>
      <c r="D953" t="str">
        <f t="shared" si="331"/>
        <v>Consumer</v>
      </c>
      <c r="E953" t="s">
        <v>34</v>
      </c>
      <c r="F953">
        <v>5</v>
      </c>
      <c r="G953">
        <v>0</v>
      </c>
      <c r="H953" s="2">
        <v>88.725000000000023</v>
      </c>
      <c r="I953" s="2">
        <v>354.90000000000003</v>
      </c>
    </row>
    <row r="954" spans="1:9" x14ac:dyDescent="0.3">
      <c r="A954" t="str">
        <f t="shared" si="318"/>
        <v>United States</v>
      </c>
      <c r="B954" t="str">
        <f t="shared" si="329"/>
        <v>Columbus</v>
      </c>
      <c r="C954" t="str">
        <f t="shared" si="330"/>
        <v>First Class</v>
      </c>
      <c r="D954" t="str">
        <f t="shared" si="331"/>
        <v>Consumer</v>
      </c>
      <c r="E954" t="s">
        <v>33</v>
      </c>
      <c r="F954">
        <v>2</v>
      </c>
      <c r="G954">
        <v>0.3</v>
      </c>
      <c r="H954" s="2">
        <v>-7.0979999999999919</v>
      </c>
      <c r="I954" s="2">
        <v>99.372</v>
      </c>
    </row>
    <row r="955" spans="1:9" x14ac:dyDescent="0.3">
      <c r="A955" t="str">
        <f t="shared" si="318"/>
        <v>United States</v>
      </c>
      <c r="B955" t="str">
        <f t="shared" si="329"/>
        <v>Columbus</v>
      </c>
      <c r="C955" t="str">
        <f t="shared" si="330"/>
        <v>First Class</v>
      </c>
      <c r="D955" t="str">
        <f t="shared" si="331"/>
        <v>Consumer</v>
      </c>
      <c r="E955" t="s">
        <v>45</v>
      </c>
      <c r="F955">
        <v>4</v>
      </c>
      <c r="G955">
        <v>0.4</v>
      </c>
      <c r="H955" s="2">
        <v>191.99680000000001</v>
      </c>
      <c r="I955" s="2">
        <v>1439.9759999999999</v>
      </c>
    </row>
    <row r="956" spans="1:9" x14ac:dyDescent="0.3">
      <c r="A956" t="str">
        <f t="shared" si="318"/>
        <v>United States</v>
      </c>
      <c r="B956" t="str">
        <f t="shared" si="329"/>
        <v>Columbus</v>
      </c>
      <c r="C956" t="str">
        <f t="shared" si="330"/>
        <v>First Class</v>
      </c>
      <c r="D956" t="str">
        <f t="shared" si="331"/>
        <v>Consumer</v>
      </c>
      <c r="E956" t="s">
        <v>21</v>
      </c>
      <c r="F956">
        <v>5</v>
      </c>
      <c r="G956">
        <v>0.4</v>
      </c>
      <c r="H956" s="2">
        <v>-2.0836000000000068</v>
      </c>
      <c r="I956" s="2">
        <v>152.92000000000002</v>
      </c>
    </row>
    <row r="957" spans="1:9" x14ac:dyDescent="0.3">
      <c r="A957" t="str">
        <f t="shared" si="318"/>
        <v>United States</v>
      </c>
      <c r="B957" t="str">
        <f t="shared" si="329"/>
        <v>Columbus</v>
      </c>
      <c r="C957" t="str">
        <f t="shared" si="330"/>
        <v>First Class</v>
      </c>
      <c r="D957" t="str">
        <f t="shared" si="331"/>
        <v>Consumer</v>
      </c>
      <c r="E957" t="s">
        <v>16</v>
      </c>
      <c r="F957">
        <v>5</v>
      </c>
      <c r="G957">
        <v>0</v>
      </c>
      <c r="H957" s="2">
        <v>17.504999999999995</v>
      </c>
      <c r="I957" s="2">
        <v>38.9</v>
      </c>
    </row>
    <row r="958" spans="1:9" x14ac:dyDescent="0.3">
      <c r="A958" t="str">
        <f t="shared" si="318"/>
        <v>United States</v>
      </c>
      <c r="B958" t="str">
        <f t="shared" si="329"/>
        <v>Columbus</v>
      </c>
      <c r="C958" t="str">
        <f t="shared" si="330"/>
        <v>First Class</v>
      </c>
      <c r="D958" t="str">
        <f t="shared" si="331"/>
        <v>Consumer</v>
      </c>
      <c r="E958" t="s">
        <v>14</v>
      </c>
      <c r="F958">
        <v>3</v>
      </c>
      <c r="G958">
        <v>0</v>
      </c>
      <c r="H958" s="2">
        <v>10.0725</v>
      </c>
      <c r="I958" s="2">
        <v>40.29</v>
      </c>
    </row>
    <row r="959" spans="1:9" x14ac:dyDescent="0.3">
      <c r="A959" t="str">
        <f t="shared" si="318"/>
        <v>United States</v>
      </c>
      <c r="B959" t="str">
        <f t="shared" si="329"/>
        <v>Columbus</v>
      </c>
      <c r="C959" t="str">
        <f t="shared" si="330"/>
        <v>First Class</v>
      </c>
      <c r="D959" t="s">
        <v>15</v>
      </c>
      <c r="E959" t="s">
        <v>12</v>
      </c>
      <c r="F959">
        <v>8</v>
      </c>
      <c r="G959">
        <v>0</v>
      </c>
      <c r="H959" s="2">
        <v>168.4384</v>
      </c>
      <c r="I959" s="2">
        <v>647.84</v>
      </c>
    </row>
    <row r="960" spans="1:9" x14ac:dyDescent="0.3">
      <c r="A960" t="str">
        <f t="shared" si="318"/>
        <v>United States</v>
      </c>
      <c r="B960" t="str">
        <f t="shared" si="329"/>
        <v>Columbus</v>
      </c>
      <c r="C960" t="str">
        <f t="shared" si="330"/>
        <v>First Class</v>
      </c>
      <c r="D960" t="str">
        <f t="shared" ref="D960:D966" si="332">D959</f>
        <v>Corporate</v>
      </c>
      <c r="E960" t="s">
        <v>20</v>
      </c>
      <c r="F960">
        <v>5</v>
      </c>
      <c r="G960">
        <v>0.7</v>
      </c>
      <c r="H960" s="2">
        <v>-7.8399999999999963</v>
      </c>
      <c r="I960" s="2">
        <v>11.760000000000002</v>
      </c>
    </row>
    <row r="961" spans="1:9" x14ac:dyDescent="0.3">
      <c r="A961" t="str">
        <f t="shared" si="318"/>
        <v>United States</v>
      </c>
      <c r="B961" t="str">
        <f t="shared" si="329"/>
        <v>Columbus</v>
      </c>
      <c r="C961" t="str">
        <f t="shared" si="330"/>
        <v>First Class</v>
      </c>
      <c r="D961" t="str">
        <f t="shared" si="332"/>
        <v>Corporate</v>
      </c>
      <c r="E961" t="s">
        <v>33</v>
      </c>
      <c r="F961">
        <v>3</v>
      </c>
      <c r="G961">
        <v>0.3</v>
      </c>
      <c r="H961" s="2">
        <v>-86.058600000000013</v>
      </c>
      <c r="I961" s="2">
        <v>317.05799999999999</v>
      </c>
    </row>
    <row r="962" spans="1:9" x14ac:dyDescent="0.3">
      <c r="A962" t="str">
        <f t="shared" si="318"/>
        <v>United States</v>
      </c>
      <c r="B962" t="str">
        <f t="shared" si="329"/>
        <v>Columbus</v>
      </c>
      <c r="C962" t="str">
        <f t="shared" si="330"/>
        <v>First Class</v>
      </c>
      <c r="D962" t="str">
        <f t="shared" si="332"/>
        <v>Corporate</v>
      </c>
      <c r="E962" t="s">
        <v>18</v>
      </c>
      <c r="F962">
        <v>14</v>
      </c>
      <c r="G962">
        <v>0.4</v>
      </c>
      <c r="H962" s="2">
        <v>9.887699999999997</v>
      </c>
      <c r="I962" s="2">
        <v>29.495999999999999</v>
      </c>
    </row>
    <row r="963" spans="1:9" x14ac:dyDescent="0.3">
      <c r="A963" t="str">
        <f t="shared" si="318"/>
        <v>United States</v>
      </c>
      <c r="B963" t="str">
        <f t="shared" si="329"/>
        <v>Columbus</v>
      </c>
      <c r="C963" t="str">
        <f t="shared" si="330"/>
        <v>First Class</v>
      </c>
      <c r="D963" t="str">
        <f t="shared" si="332"/>
        <v>Corporate</v>
      </c>
      <c r="E963" t="s">
        <v>21</v>
      </c>
      <c r="F963">
        <v>4</v>
      </c>
      <c r="G963">
        <v>0.2</v>
      </c>
      <c r="H963" s="2">
        <v>-4.1568000000000023</v>
      </c>
      <c r="I963" s="2">
        <v>41.568000000000005</v>
      </c>
    </row>
    <row r="964" spans="1:9" x14ac:dyDescent="0.3">
      <c r="A964" t="str">
        <f t="shared" ref="A964:A1027" si="333">A963</f>
        <v>United States</v>
      </c>
      <c r="B964" t="str">
        <f t="shared" si="329"/>
        <v>Columbus</v>
      </c>
      <c r="C964" t="str">
        <f t="shared" si="330"/>
        <v>First Class</v>
      </c>
      <c r="D964" t="str">
        <f t="shared" si="332"/>
        <v>Corporate</v>
      </c>
      <c r="E964" t="s">
        <v>43</v>
      </c>
      <c r="F964">
        <v>2</v>
      </c>
      <c r="G964">
        <v>0</v>
      </c>
      <c r="H964" s="2">
        <v>9.9359999999999999</v>
      </c>
      <c r="I964" s="2">
        <v>20.7</v>
      </c>
    </row>
    <row r="965" spans="1:9" x14ac:dyDescent="0.3">
      <c r="A965" t="str">
        <f t="shared" si="333"/>
        <v>United States</v>
      </c>
      <c r="B965" t="str">
        <f t="shared" si="329"/>
        <v>Columbus</v>
      </c>
      <c r="C965" t="str">
        <f t="shared" si="330"/>
        <v>First Class</v>
      </c>
      <c r="D965" t="str">
        <f t="shared" si="332"/>
        <v>Corporate</v>
      </c>
      <c r="E965" t="s">
        <v>16</v>
      </c>
      <c r="F965">
        <v>6</v>
      </c>
      <c r="G965">
        <v>0.4</v>
      </c>
      <c r="H965" s="2">
        <v>47.904199999999996</v>
      </c>
      <c r="I965" s="2">
        <v>117.66799999999999</v>
      </c>
    </row>
    <row r="966" spans="1:9" x14ac:dyDescent="0.3">
      <c r="A966" t="str">
        <f t="shared" si="333"/>
        <v>United States</v>
      </c>
      <c r="B966" t="str">
        <f t="shared" si="329"/>
        <v>Columbus</v>
      </c>
      <c r="C966" t="str">
        <f t="shared" si="330"/>
        <v>First Class</v>
      </c>
      <c r="D966" t="str">
        <f t="shared" si="332"/>
        <v>Corporate</v>
      </c>
      <c r="E966" t="s">
        <v>24</v>
      </c>
      <c r="F966">
        <v>5</v>
      </c>
      <c r="G966">
        <v>0.4</v>
      </c>
      <c r="H966" s="2">
        <v>-11.993999999999993</v>
      </c>
      <c r="I966" s="2">
        <v>59.969999999999992</v>
      </c>
    </row>
    <row r="967" spans="1:9" x14ac:dyDescent="0.3">
      <c r="A967" t="str">
        <f t="shared" si="333"/>
        <v>United States</v>
      </c>
      <c r="B967" t="str">
        <f t="shared" si="329"/>
        <v>Columbus</v>
      </c>
      <c r="C967" t="str">
        <f t="shared" si="330"/>
        <v>First Class</v>
      </c>
      <c r="D967" t="s">
        <v>17</v>
      </c>
      <c r="E967" t="s">
        <v>23</v>
      </c>
      <c r="F967">
        <v>4</v>
      </c>
      <c r="G967">
        <v>0</v>
      </c>
      <c r="H967" s="2">
        <v>129.6</v>
      </c>
      <c r="I967" s="2">
        <v>360</v>
      </c>
    </row>
    <row r="968" spans="1:9" x14ac:dyDescent="0.3">
      <c r="A968" t="str">
        <f t="shared" si="333"/>
        <v>United States</v>
      </c>
      <c r="B968" t="str">
        <f t="shared" si="329"/>
        <v>Columbus</v>
      </c>
      <c r="C968" t="str">
        <f t="shared" si="330"/>
        <v>First Class</v>
      </c>
      <c r="D968" t="str">
        <f t="shared" ref="D968:D970" si="334">D967</f>
        <v>Home Office</v>
      </c>
      <c r="E968" t="s">
        <v>19</v>
      </c>
      <c r="F968">
        <v>7</v>
      </c>
      <c r="G968">
        <v>0</v>
      </c>
      <c r="H968" s="2">
        <v>10.628799999999998</v>
      </c>
      <c r="I968" s="2">
        <v>40.879999999999995</v>
      </c>
    </row>
    <row r="969" spans="1:9" x14ac:dyDescent="0.3">
      <c r="A969" t="str">
        <f t="shared" si="333"/>
        <v>United States</v>
      </c>
      <c r="B969" t="str">
        <f t="shared" si="329"/>
        <v>Columbus</v>
      </c>
      <c r="C969" t="str">
        <f t="shared" si="330"/>
        <v>First Class</v>
      </c>
      <c r="D969" t="str">
        <f t="shared" si="334"/>
        <v>Home Office</v>
      </c>
      <c r="E969" t="s">
        <v>33</v>
      </c>
      <c r="F969">
        <v>2</v>
      </c>
      <c r="G969">
        <v>0</v>
      </c>
      <c r="H969" s="2">
        <v>30.444999999999993</v>
      </c>
      <c r="I969" s="2">
        <v>121.78</v>
      </c>
    </row>
    <row r="970" spans="1:9" x14ac:dyDescent="0.3">
      <c r="A970" t="str">
        <f t="shared" si="333"/>
        <v>United States</v>
      </c>
      <c r="B970" t="str">
        <f t="shared" si="329"/>
        <v>Columbus</v>
      </c>
      <c r="C970" t="str">
        <f t="shared" si="330"/>
        <v>First Class</v>
      </c>
      <c r="D970" t="str">
        <f t="shared" si="334"/>
        <v>Home Office</v>
      </c>
      <c r="E970" t="s">
        <v>25</v>
      </c>
      <c r="F970">
        <v>2</v>
      </c>
      <c r="G970">
        <v>0</v>
      </c>
      <c r="H970" s="2">
        <v>70.005999999999972</v>
      </c>
      <c r="I970" s="2">
        <v>411.8</v>
      </c>
    </row>
    <row r="971" spans="1:9" x14ac:dyDescent="0.3">
      <c r="A971" t="str">
        <f t="shared" si="333"/>
        <v>United States</v>
      </c>
      <c r="B971" t="str">
        <f t="shared" si="329"/>
        <v>Columbus</v>
      </c>
      <c r="C971" t="s">
        <v>27</v>
      </c>
      <c r="D971" t="s">
        <v>8</v>
      </c>
      <c r="E971" t="s">
        <v>23</v>
      </c>
      <c r="F971">
        <v>5</v>
      </c>
      <c r="G971">
        <v>0.4</v>
      </c>
      <c r="H971" s="2">
        <v>40.433399999999999</v>
      </c>
      <c r="I971" s="2">
        <v>302.47199999999998</v>
      </c>
    </row>
    <row r="972" spans="1:9" x14ac:dyDescent="0.3">
      <c r="A972" t="str">
        <f t="shared" si="333"/>
        <v>United States</v>
      </c>
      <c r="B972" t="str">
        <f t="shared" si="329"/>
        <v>Columbus</v>
      </c>
      <c r="C972" t="str">
        <f t="shared" ref="C972:C986" si="335">C971</f>
        <v>Same Day</v>
      </c>
      <c r="D972" t="str">
        <f t="shared" ref="D972:D980" si="336">D971</f>
        <v>Consumer</v>
      </c>
      <c r="E972" t="s">
        <v>12</v>
      </c>
      <c r="F972">
        <v>3</v>
      </c>
      <c r="G972">
        <v>0.2</v>
      </c>
      <c r="H972" s="2">
        <v>1.9602000000000004</v>
      </c>
      <c r="I972" s="2">
        <v>26.136000000000003</v>
      </c>
    </row>
    <row r="973" spans="1:9" x14ac:dyDescent="0.3">
      <c r="A973" t="str">
        <f t="shared" si="333"/>
        <v>United States</v>
      </c>
      <c r="B973" t="str">
        <f t="shared" si="329"/>
        <v>Columbus</v>
      </c>
      <c r="C973" t="str">
        <f t="shared" si="335"/>
        <v>Same Day</v>
      </c>
      <c r="D973" t="str">
        <f t="shared" si="336"/>
        <v>Consumer</v>
      </c>
      <c r="E973" t="s">
        <v>19</v>
      </c>
      <c r="F973">
        <v>7</v>
      </c>
      <c r="G973">
        <v>0.4</v>
      </c>
      <c r="H973" s="2">
        <v>6.124799999999996</v>
      </c>
      <c r="I973" s="2">
        <v>73.104000000000013</v>
      </c>
    </row>
    <row r="974" spans="1:9" x14ac:dyDescent="0.3">
      <c r="A974" t="str">
        <f t="shared" si="333"/>
        <v>United States</v>
      </c>
      <c r="B974" t="str">
        <f t="shared" si="329"/>
        <v>Columbus</v>
      </c>
      <c r="C974" t="str">
        <f t="shared" si="335"/>
        <v>Same Day</v>
      </c>
      <c r="D974" t="str">
        <f t="shared" si="336"/>
        <v>Consumer</v>
      </c>
      <c r="E974" t="s">
        <v>20</v>
      </c>
      <c r="F974">
        <v>11</v>
      </c>
      <c r="G974">
        <v>2.0999999999999996</v>
      </c>
      <c r="H974" s="2">
        <v>-21.343599999999995</v>
      </c>
      <c r="I974" s="2">
        <v>30.189000000000007</v>
      </c>
    </row>
    <row r="975" spans="1:9" x14ac:dyDescent="0.3">
      <c r="A975" t="str">
        <f t="shared" si="333"/>
        <v>United States</v>
      </c>
      <c r="B975" t="str">
        <f t="shared" si="329"/>
        <v>Columbus</v>
      </c>
      <c r="C975" t="str">
        <f t="shared" si="335"/>
        <v>Same Day</v>
      </c>
      <c r="D975" t="str">
        <f t="shared" si="336"/>
        <v>Consumer</v>
      </c>
      <c r="E975" t="s">
        <v>38</v>
      </c>
      <c r="F975">
        <v>7</v>
      </c>
      <c r="G975">
        <v>0.4</v>
      </c>
      <c r="H975" s="2">
        <v>10.430999999999997</v>
      </c>
      <c r="I975" s="2">
        <v>30.320000000000004</v>
      </c>
    </row>
    <row r="976" spans="1:9" x14ac:dyDescent="0.3">
      <c r="A976" t="str">
        <f t="shared" si="333"/>
        <v>United States</v>
      </c>
      <c r="B976" t="str">
        <f t="shared" si="329"/>
        <v>Columbus</v>
      </c>
      <c r="C976" t="str">
        <f t="shared" si="335"/>
        <v>Same Day</v>
      </c>
      <c r="D976" t="str">
        <f t="shared" si="336"/>
        <v>Consumer</v>
      </c>
      <c r="E976" t="s">
        <v>21</v>
      </c>
      <c r="F976">
        <v>6</v>
      </c>
      <c r="G976">
        <v>0.2</v>
      </c>
      <c r="H976" s="2">
        <v>7.6895999999999933</v>
      </c>
      <c r="I976" s="2">
        <v>51.264000000000003</v>
      </c>
    </row>
    <row r="977" spans="1:9" x14ac:dyDescent="0.3">
      <c r="A977" t="str">
        <f t="shared" si="333"/>
        <v>United States</v>
      </c>
      <c r="B977" t="str">
        <f t="shared" si="329"/>
        <v>Columbus</v>
      </c>
      <c r="C977" t="str">
        <f t="shared" si="335"/>
        <v>Same Day</v>
      </c>
      <c r="D977" t="str">
        <f t="shared" si="336"/>
        <v>Consumer</v>
      </c>
      <c r="E977" t="s">
        <v>43</v>
      </c>
      <c r="F977">
        <v>1</v>
      </c>
      <c r="G977">
        <v>0.2</v>
      </c>
      <c r="H977" s="2">
        <v>7.9378000000000002</v>
      </c>
      <c r="I977" s="2">
        <v>24.424000000000003</v>
      </c>
    </row>
    <row r="978" spans="1:9" x14ac:dyDescent="0.3">
      <c r="A978" t="str">
        <f t="shared" si="333"/>
        <v>United States</v>
      </c>
      <c r="B978" t="str">
        <f t="shared" si="329"/>
        <v>Columbus</v>
      </c>
      <c r="C978" t="str">
        <f t="shared" si="335"/>
        <v>Same Day</v>
      </c>
      <c r="D978" t="str">
        <f t="shared" si="336"/>
        <v>Consumer</v>
      </c>
      <c r="E978" t="s">
        <v>46</v>
      </c>
      <c r="F978">
        <v>2</v>
      </c>
      <c r="G978">
        <v>0.7</v>
      </c>
      <c r="H978" s="2">
        <v>-71.39579999999998</v>
      </c>
      <c r="I978" s="2">
        <v>101.99400000000001</v>
      </c>
    </row>
    <row r="979" spans="1:9" x14ac:dyDescent="0.3">
      <c r="A979" t="str">
        <f t="shared" si="333"/>
        <v>United States</v>
      </c>
      <c r="B979" t="str">
        <f t="shared" si="329"/>
        <v>Columbus</v>
      </c>
      <c r="C979" t="str">
        <f t="shared" si="335"/>
        <v>Same Day</v>
      </c>
      <c r="D979" t="str">
        <f t="shared" si="336"/>
        <v>Consumer</v>
      </c>
      <c r="E979" t="s">
        <v>24</v>
      </c>
      <c r="F979">
        <v>2</v>
      </c>
      <c r="G979">
        <v>0.4</v>
      </c>
      <c r="H979" s="2">
        <v>-7.3960000000000043</v>
      </c>
      <c r="I979" s="2">
        <v>44.375999999999998</v>
      </c>
    </row>
    <row r="980" spans="1:9" x14ac:dyDescent="0.3">
      <c r="A980" t="str">
        <f t="shared" si="333"/>
        <v>United States</v>
      </c>
      <c r="B980" t="str">
        <f t="shared" si="329"/>
        <v>Columbus</v>
      </c>
      <c r="C980" t="str">
        <f t="shared" si="335"/>
        <v>Same Day</v>
      </c>
      <c r="D980" t="str">
        <f t="shared" si="336"/>
        <v>Consumer</v>
      </c>
      <c r="E980" t="s">
        <v>14</v>
      </c>
      <c r="F980">
        <v>4</v>
      </c>
      <c r="G980">
        <v>0.4</v>
      </c>
      <c r="H980" s="2">
        <v>5.0673999999999975</v>
      </c>
      <c r="I980" s="2">
        <v>87.792000000000002</v>
      </c>
    </row>
    <row r="981" spans="1:9" x14ac:dyDescent="0.3">
      <c r="A981" t="str">
        <f t="shared" si="333"/>
        <v>United States</v>
      </c>
      <c r="B981" t="str">
        <f t="shared" si="329"/>
        <v>Columbus</v>
      </c>
      <c r="C981" t="str">
        <f t="shared" si="335"/>
        <v>Same Day</v>
      </c>
      <c r="D981" t="s">
        <v>15</v>
      </c>
      <c r="E981" t="s">
        <v>12</v>
      </c>
      <c r="F981">
        <v>4</v>
      </c>
      <c r="G981">
        <v>0.2</v>
      </c>
      <c r="H981" s="2">
        <v>24.196000000000012</v>
      </c>
      <c r="I981" s="2">
        <v>387.13600000000002</v>
      </c>
    </row>
    <row r="982" spans="1:9" x14ac:dyDescent="0.3">
      <c r="A982" t="str">
        <f t="shared" si="333"/>
        <v>United States</v>
      </c>
      <c r="B982" t="str">
        <f t="shared" ref="B982:B1013" si="337">B981</f>
        <v>Columbus</v>
      </c>
      <c r="C982" t="str">
        <f t="shared" si="335"/>
        <v>Same Day</v>
      </c>
      <c r="D982" t="str">
        <f t="shared" ref="D982:D986" si="338">D981</f>
        <v>Corporate</v>
      </c>
      <c r="E982" t="s">
        <v>33</v>
      </c>
      <c r="F982">
        <v>8</v>
      </c>
      <c r="G982">
        <v>0.6</v>
      </c>
      <c r="H982" s="2">
        <v>-172.44660000000005</v>
      </c>
      <c r="I982" s="2">
        <v>1069.4879999999998</v>
      </c>
    </row>
    <row r="983" spans="1:9" x14ac:dyDescent="0.3">
      <c r="A983" t="str">
        <f t="shared" si="333"/>
        <v>United States</v>
      </c>
      <c r="B983" t="str">
        <f t="shared" si="337"/>
        <v>Columbus</v>
      </c>
      <c r="C983" t="str">
        <f t="shared" si="335"/>
        <v>Same Day</v>
      </c>
      <c r="D983" t="str">
        <f t="shared" si="338"/>
        <v>Corporate</v>
      </c>
      <c r="E983" t="s">
        <v>24</v>
      </c>
      <c r="F983">
        <v>5</v>
      </c>
      <c r="G983">
        <v>0.4</v>
      </c>
      <c r="H983" s="2">
        <v>-209.99399999999991</v>
      </c>
      <c r="I983" s="2">
        <v>1049.97</v>
      </c>
    </row>
    <row r="984" spans="1:9" x14ac:dyDescent="0.3">
      <c r="A984" t="str">
        <f t="shared" si="333"/>
        <v>United States</v>
      </c>
      <c r="B984" t="str">
        <f t="shared" si="337"/>
        <v>Columbus</v>
      </c>
      <c r="C984" t="str">
        <f t="shared" si="335"/>
        <v>Same Day</v>
      </c>
      <c r="D984" t="str">
        <f t="shared" si="338"/>
        <v>Corporate</v>
      </c>
      <c r="E984" t="s">
        <v>14</v>
      </c>
      <c r="F984">
        <v>5</v>
      </c>
      <c r="G984">
        <v>0.2</v>
      </c>
      <c r="H984" s="2">
        <v>-4.0599999999999987</v>
      </c>
      <c r="I984" s="2">
        <v>64.959999999999994</v>
      </c>
    </row>
    <row r="985" spans="1:9" x14ac:dyDescent="0.3">
      <c r="A985" t="str">
        <f t="shared" si="333"/>
        <v>United States</v>
      </c>
      <c r="B985" t="str">
        <f t="shared" si="337"/>
        <v>Columbus</v>
      </c>
      <c r="C985" t="str">
        <f t="shared" si="335"/>
        <v>Same Day</v>
      </c>
      <c r="D985" t="str">
        <f t="shared" si="338"/>
        <v>Corporate</v>
      </c>
      <c r="E985" t="s">
        <v>9</v>
      </c>
      <c r="F985">
        <v>2</v>
      </c>
      <c r="G985">
        <v>0.2</v>
      </c>
      <c r="H985" s="2">
        <v>1.6899999999999986</v>
      </c>
      <c r="I985" s="2">
        <v>13.52</v>
      </c>
    </row>
    <row r="986" spans="1:9" x14ac:dyDescent="0.3">
      <c r="A986" t="str">
        <f t="shared" si="333"/>
        <v>United States</v>
      </c>
      <c r="B986" t="str">
        <f t="shared" si="337"/>
        <v>Columbus</v>
      </c>
      <c r="C986" t="str">
        <f t="shared" si="335"/>
        <v>Same Day</v>
      </c>
      <c r="D986" t="str">
        <f t="shared" si="338"/>
        <v>Corporate</v>
      </c>
      <c r="E986" t="s">
        <v>25</v>
      </c>
      <c r="F986">
        <v>3</v>
      </c>
      <c r="G986">
        <v>0.4</v>
      </c>
      <c r="H986" s="2">
        <v>-147.8655</v>
      </c>
      <c r="I986" s="2">
        <v>328.59000000000003</v>
      </c>
    </row>
    <row r="987" spans="1:9" x14ac:dyDescent="0.3">
      <c r="A987" t="str">
        <f t="shared" si="333"/>
        <v>United States</v>
      </c>
      <c r="B987" t="str">
        <f t="shared" si="337"/>
        <v>Columbus</v>
      </c>
      <c r="C987" t="s">
        <v>7</v>
      </c>
      <c r="D987" t="s">
        <v>8</v>
      </c>
      <c r="E987" t="s">
        <v>23</v>
      </c>
      <c r="F987">
        <v>4</v>
      </c>
      <c r="G987">
        <v>0.4</v>
      </c>
      <c r="H987" s="2">
        <v>-2.1002000000000027</v>
      </c>
      <c r="I987" s="2">
        <v>71.984000000000009</v>
      </c>
    </row>
    <row r="988" spans="1:9" x14ac:dyDescent="0.3">
      <c r="A988" t="str">
        <f t="shared" si="333"/>
        <v>United States</v>
      </c>
      <c r="B988" t="str">
        <f t="shared" si="337"/>
        <v>Columbus</v>
      </c>
      <c r="C988" t="str">
        <f t="shared" ref="C988:C1009" si="339">C987</f>
        <v>Second Class</v>
      </c>
      <c r="D988" t="str">
        <f t="shared" ref="D988:D999" si="340">D987</f>
        <v>Consumer</v>
      </c>
      <c r="E988" t="s">
        <v>12</v>
      </c>
      <c r="F988">
        <v>5</v>
      </c>
      <c r="G988">
        <v>0.2</v>
      </c>
      <c r="H988" s="2">
        <v>11.489999999999991</v>
      </c>
      <c r="I988" s="2">
        <v>91.92</v>
      </c>
    </row>
    <row r="989" spans="1:9" x14ac:dyDescent="0.3">
      <c r="A989" t="str">
        <f t="shared" si="333"/>
        <v>United States</v>
      </c>
      <c r="B989" t="str">
        <f t="shared" si="337"/>
        <v>Columbus</v>
      </c>
      <c r="C989" t="str">
        <f t="shared" si="339"/>
        <v>Second Class</v>
      </c>
      <c r="D989" t="str">
        <f t="shared" si="340"/>
        <v>Consumer</v>
      </c>
      <c r="E989" t="s">
        <v>19</v>
      </c>
      <c r="F989">
        <v>6</v>
      </c>
      <c r="G989">
        <v>0.2</v>
      </c>
      <c r="H989" s="2">
        <v>12.452999999999998</v>
      </c>
      <c r="I989" s="2">
        <v>49.961999999999996</v>
      </c>
    </row>
    <row r="990" spans="1:9" x14ac:dyDescent="0.3">
      <c r="A990" t="str">
        <f t="shared" si="333"/>
        <v>United States</v>
      </c>
      <c r="B990" t="str">
        <f t="shared" si="337"/>
        <v>Columbus</v>
      </c>
      <c r="C990" t="str">
        <f t="shared" si="339"/>
        <v>Second Class</v>
      </c>
      <c r="D990" t="str">
        <f t="shared" si="340"/>
        <v>Consumer</v>
      </c>
      <c r="E990" t="s">
        <v>20</v>
      </c>
      <c r="F990">
        <v>17</v>
      </c>
      <c r="G990">
        <v>2.0999999999999996</v>
      </c>
      <c r="H990" s="2">
        <v>-9.0991999999999678</v>
      </c>
      <c r="I990" s="2">
        <v>269.24799999999999</v>
      </c>
    </row>
    <row r="991" spans="1:9" x14ac:dyDescent="0.3">
      <c r="A991" t="str">
        <f t="shared" si="333"/>
        <v>United States</v>
      </c>
      <c r="B991" t="str">
        <f t="shared" si="337"/>
        <v>Columbus</v>
      </c>
      <c r="C991" t="str">
        <f t="shared" si="339"/>
        <v>Second Class</v>
      </c>
      <c r="D991" t="str">
        <f t="shared" si="340"/>
        <v>Consumer</v>
      </c>
      <c r="E991" t="s">
        <v>34</v>
      </c>
      <c r="F991">
        <v>1</v>
      </c>
      <c r="G991">
        <v>0.5</v>
      </c>
      <c r="H991" s="2">
        <v>-15.615600000000001</v>
      </c>
      <c r="I991" s="2">
        <v>35.49</v>
      </c>
    </row>
    <row r="992" spans="1:9" x14ac:dyDescent="0.3">
      <c r="A992" t="str">
        <f t="shared" si="333"/>
        <v>United States</v>
      </c>
      <c r="B992" t="str">
        <f t="shared" si="337"/>
        <v>Columbus</v>
      </c>
      <c r="C992" t="str">
        <f t="shared" si="339"/>
        <v>Second Class</v>
      </c>
      <c r="D992" t="str">
        <f t="shared" si="340"/>
        <v>Consumer</v>
      </c>
      <c r="E992" t="s">
        <v>33</v>
      </c>
      <c r="F992">
        <v>9</v>
      </c>
      <c r="G992">
        <v>0.3</v>
      </c>
      <c r="H992" s="2">
        <v>29.189400000000077</v>
      </c>
      <c r="I992" s="2">
        <v>1278.6899999999998</v>
      </c>
    </row>
    <row r="993" spans="1:9" x14ac:dyDescent="0.3">
      <c r="A993" t="str">
        <f t="shared" si="333"/>
        <v>United States</v>
      </c>
      <c r="B993" t="str">
        <f t="shared" si="337"/>
        <v>Columbus</v>
      </c>
      <c r="C993" t="str">
        <f t="shared" si="339"/>
        <v>Second Class</v>
      </c>
      <c r="D993" t="str">
        <f t="shared" si="340"/>
        <v>Consumer</v>
      </c>
      <c r="E993" t="s">
        <v>45</v>
      </c>
      <c r="F993">
        <v>2</v>
      </c>
      <c r="G993">
        <v>0.4</v>
      </c>
      <c r="H993" s="2">
        <v>109.99799999999999</v>
      </c>
      <c r="I993" s="2">
        <v>659.98799999999994</v>
      </c>
    </row>
    <row r="994" spans="1:9" x14ac:dyDescent="0.3">
      <c r="A994" t="str">
        <f t="shared" si="333"/>
        <v>United States</v>
      </c>
      <c r="B994" t="str">
        <f t="shared" si="337"/>
        <v>Columbus</v>
      </c>
      <c r="C994" t="str">
        <f t="shared" si="339"/>
        <v>Second Class</v>
      </c>
      <c r="D994" t="str">
        <f t="shared" si="340"/>
        <v>Consumer</v>
      </c>
      <c r="E994" t="s">
        <v>38</v>
      </c>
      <c r="F994">
        <v>8</v>
      </c>
      <c r="G994">
        <v>0.4</v>
      </c>
      <c r="H994" s="2">
        <v>45.683599999999998</v>
      </c>
      <c r="I994" s="2">
        <v>135.184</v>
      </c>
    </row>
    <row r="995" spans="1:9" x14ac:dyDescent="0.3">
      <c r="A995" t="str">
        <f t="shared" si="333"/>
        <v>United States</v>
      </c>
      <c r="B995" t="str">
        <f t="shared" si="337"/>
        <v>Columbus</v>
      </c>
      <c r="C995" t="str">
        <f t="shared" si="339"/>
        <v>Second Class</v>
      </c>
      <c r="D995" t="str">
        <f t="shared" si="340"/>
        <v>Consumer</v>
      </c>
      <c r="E995" t="s">
        <v>18</v>
      </c>
      <c r="F995">
        <v>20</v>
      </c>
      <c r="G995">
        <v>0.4</v>
      </c>
      <c r="H995" s="2">
        <v>16.235199999999995</v>
      </c>
      <c r="I995" s="2">
        <v>50.56</v>
      </c>
    </row>
    <row r="996" spans="1:9" x14ac:dyDescent="0.3">
      <c r="A996" t="str">
        <f t="shared" si="333"/>
        <v>United States</v>
      </c>
      <c r="B996" t="str">
        <f t="shared" si="337"/>
        <v>Columbus</v>
      </c>
      <c r="C996" t="str">
        <f t="shared" si="339"/>
        <v>Second Class</v>
      </c>
      <c r="D996" t="str">
        <f t="shared" si="340"/>
        <v>Consumer</v>
      </c>
      <c r="E996" t="s">
        <v>21</v>
      </c>
      <c r="F996">
        <v>17</v>
      </c>
      <c r="G996">
        <v>0.4</v>
      </c>
      <c r="H996" s="2">
        <v>59.89049999999996</v>
      </c>
      <c r="I996" s="2">
        <v>314.07799999999997</v>
      </c>
    </row>
    <row r="997" spans="1:9" x14ac:dyDescent="0.3">
      <c r="A997" t="str">
        <f t="shared" si="333"/>
        <v>United States</v>
      </c>
      <c r="B997" t="str">
        <f t="shared" si="337"/>
        <v>Columbus</v>
      </c>
      <c r="C997" t="str">
        <f t="shared" si="339"/>
        <v>Second Class</v>
      </c>
      <c r="D997" t="str">
        <f t="shared" si="340"/>
        <v>Consumer</v>
      </c>
      <c r="E997" t="s">
        <v>16</v>
      </c>
      <c r="F997">
        <v>10</v>
      </c>
      <c r="G997">
        <v>0.4</v>
      </c>
      <c r="H997" s="2">
        <v>20.193300000000001</v>
      </c>
      <c r="I997" s="2">
        <v>60.26400000000001</v>
      </c>
    </row>
    <row r="998" spans="1:9" x14ac:dyDescent="0.3">
      <c r="A998" t="str">
        <f t="shared" si="333"/>
        <v>United States</v>
      </c>
      <c r="B998" t="str">
        <f t="shared" si="337"/>
        <v>Columbus</v>
      </c>
      <c r="C998" t="str">
        <f t="shared" si="339"/>
        <v>Second Class</v>
      </c>
      <c r="D998" t="str">
        <f t="shared" si="340"/>
        <v>Consumer</v>
      </c>
      <c r="E998" t="s">
        <v>14</v>
      </c>
      <c r="F998">
        <v>5</v>
      </c>
      <c r="G998">
        <v>0</v>
      </c>
      <c r="H998" s="2">
        <v>34.292499999999997</v>
      </c>
      <c r="I998" s="2">
        <v>118.25</v>
      </c>
    </row>
    <row r="999" spans="1:9" x14ac:dyDescent="0.3">
      <c r="A999" t="str">
        <f t="shared" si="333"/>
        <v>United States</v>
      </c>
      <c r="B999" t="str">
        <f t="shared" si="337"/>
        <v>Columbus</v>
      </c>
      <c r="C999" t="str">
        <f t="shared" si="339"/>
        <v>Second Class</v>
      </c>
      <c r="D999" t="str">
        <f t="shared" si="340"/>
        <v>Consumer</v>
      </c>
      <c r="E999" t="s">
        <v>9</v>
      </c>
      <c r="F999">
        <v>2</v>
      </c>
      <c r="G999">
        <v>0.2</v>
      </c>
      <c r="H999" s="2">
        <v>1.1479999999999988</v>
      </c>
      <c r="I999" s="2">
        <v>9.1840000000000011</v>
      </c>
    </row>
    <row r="1000" spans="1:9" x14ac:dyDescent="0.3">
      <c r="A1000" t="str">
        <f t="shared" si="333"/>
        <v>United States</v>
      </c>
      <c r="B1000" t="str">
        <f t="shared" si="337"/>
        <v>Columbus</v>
      </c>
      <c r="C1000" t="str">
        <f t="shared" si="339"/>
        <v>Second Class</v>
      </c>
      <c r="D1000" t="s">
        <v>15</v>
      </c>
      <c r="E1000" t="s">
        <v>19</v>
      </c>
      <c r="F1000">
        <v>2</v>
      </c>
      <c r="G1000">
        <v>0.2</v>
      </c>
      <c r="H1000" s="2">
        <v>0.33839999999999981</v>
      </c>
      <c r="I1000" s="2">
        <v>3.008</v>
      </c>
    </row>
    <row r="1001" spans="1:9" x14ac:dyDescent="0.3">
      <c r="A1001" t="str">
        <f t="shared" si="333"/>
        <v>United States</v>
      </c>
      <c r="B1001" t="str">
        <f t="shared" si="337"/>
        <v>Columbus</v>
      </c>
      <c r="C1001" t="str">
        <f t="shared" si="339"/>
        <v>Second Class</v>
      </c>
      <c r="D1001" t="str">
        <f t="shared" ref="D1001:D1003" si="341">D1000</f>
        <v>Corporate</v>
      </c>
      <c r="E1001" t="s">
        <v>20</v>
      </c>
      <c r="F1001">
        <v>2</v>
      </c>
      <c r="G1001">
        <v>0</v>
      </c>
      <c r="H1001" s="2">
        <v>1.8047999999999997</v>
      </c>
      <c r="I1001" s="2">
        <v>3.76</v>
      </c>
    </row>
    <row r="1002" spans="1:9" x14ac:dyDescent="0.3">
      <c r="A1002" t="str">
        <f t="shared" si="333"/>
        <v>United States</v>
      </c>
      <c r="B1002" t="str">
        <f t="shared" si="337"/>
        <v>Columbus</v>
      </c>
      <c r="C1002" t="str">
        <f t="shared" si="339"/>
        <v>Second Class</v>
      </c>
      <c r="D1002" t="str">
        <f t="shared" si="341"/>
        <v>Corporate</v>
      </c>
      <c r="E1002" t="s">
        <v>43</v>
      </c>
      <c r="F1002">
        <v>2</v>
      </c>
      <c r="G1002">
        <v>0</v>
      </c>
      <c r="H1002" s="2">
        <v>4.8117999999999999</v>
      </c>
      <c r="I1002" s="2">
        <v>9.82</v>
      </c>
    </row>
    <row r="1003" spans="1:9" x14ac:dyDescent="0.3">
      <c r="A1003" t="str">
        <f t="shared" si="333"/>
        <v>United States</v>
      </c>
      <c r="B1003" t="str">
        <f t="shared" si="337"/>
        <v>Columbus</v>
      </c>
      <c r="C1003" t="str">
        <f t="shared" si="339"/>
        <v>Second Class</v>
      </c>
      <c r="D1003" t="str">
        <f t="shared" si="341"/>
        <v>Corporate</v>
      </c>
      <c r="E1003" t="s">
        <v>9</v>
      </c>
      <c r="F1003">
        <v>2</v>
      </c>
      <c r="G1003">
        <v>0.2</v>
      </c>
      <c r="H1003" s="2">
        <v>-81.725799999999978</v>
      </c>
      <c r="I1003" s="2">
        <v>384.59200000000004</v>
      </c>
    </row>
    <row r="1004" spans="1:9" x14ac:dyDescent="0.3">
      <c r="A1004" t="str">
        <f t="shared" si="333"/>
        <v>United States</v>
      </c>
      <c r="B1004" t="str">
        <f t="shared" si="337"/>
        <v>Columbus</v>
      </c>
      <c r="C1004" t="str">
        <f t="shared" si="339"/>
        <v>Second Class</v>
      </c>
      <c r="D1004" t="s">
        <v>17</v>
      </c>
      <c r="E1004" t="s">
        <v>23</v>
      </c>
      <c r="F1004">
        <v>2</v>
      </c>
      <c r="G1004">
        <v>0.2</v>
      </c>
      <c r="H1004" s="2">
        <v>54.396600000000007</v>
      </c>
      <c r="I1004" s="2">
        <v>255.98400000000004</v>
      </c>
    </row>
    <row r="1005" spans="1:9" x14ac:dyDescent="0.3">
      <c r="A1005" t="str">
        <f t="shared" si="333"/>
        <v>United States</v>
      </c>
      <c r="B1005" t="str">
        <f t="shared" si="337"/>
        <v>Columbus</v>
      </c>
      <c r="C1005" t="str">
        <f t="shared" si="339"/>
        <v>Second Class</v>
      </c>
      <c r="D1005" t="str">
        <f t="shared" ref="D1005:D1009" si="342">D1004</f>
        <v>Home Office</v>
      </c>
      <c r="E1005" t="s">
        <v>34</v>
      </c>
      <c r="F1005">
        <v>3</v>
      </c>
      <c r="G1005">
        <v>0.5</v>
      </c>
      <c r="H1005" s="2">
        <v>-48.703199999999995</v>
      </c>
      <c r="I1005" s="2">
        <v>86.97</v>
      </c>
    </row>
    <row r="1006" spans="1:9" x14ac:dyDescent="0.3">
      <c r="A1006" t="str">
        <f t="shared" si="333"/>
        <v>United States</v>
      </c>
      <c r="B1006" t="str">
        <f t="shared" si="337"/>
        <v>Columbus</v>
      </c>
      <c r="C1006" t="str">
        <f t="shared" si="339"/>
        <v>Second Class</v>
      </c>
      <c r="D1006" t="str">
        <f t="shared" si="342"/>
        <v>Home Office</v>
      </c>
      <c r="E1006" t="s">
        <v>18</v>
      </c>
      <c r="F1006">
        <v>7</v>
      </c>
      <c r="G1006">
        <v>0.2</v>
      </c>
      <c r="H1006" s="2">
        <v>6.6835999999999993</v>
      </c>
      <c r="I1006" s="2">
        <v>19.096</v>
      </c>
    </row>
    <row r="1007" spans="1:9" x14ac:dyDescent="0.3">
      <c r="A1007" t="str">
        <f t="shared" si="333"/>
        <v>United States</v>
      </c>
      <c r="B1007" t="str">
        <f t="shared" si="337"/>
        <v>Columbus</v>
      </c>
      <c r="C1007" t="str">
        <f t="shared" si="339"/>
        <v>Second Class</v>
      </c>
      <c r="D1007" t="str">
        <f t="shared" si="342"/>
        <v>Home Office</v>
      </c>
      <c r="E1007" t="s">
        <v>21</v>
      </c>
      <c r="F1007">
        <v>4</v>
      </c>
      <c r="G1007">
        <v>0</v>
      </c>
      <c r="H1007" s="2">
        <v>3.0976000000000004</v>
      </c>
      <c r="I1007" s="2">
        <v>7.04</v>
      </c>
    </row>
    <row r="1008" spans="1:9" x14ac:dyDescent="0.3">
      <c r="A1008" t="str">
        <f t="shared" si="333"/>
        <v>United States</v>
      </c>
      <c r="B1008" t="str">
        <f t="shared" si="337"/>
        <v>Columbus</v>
      </c>
      <c r="C1008" t="str">
        <f t="shared" si="339"/>
        <v>Second Class</v>
      </c>
      <c r="D1008" t="str">
        <f t="shared" si="342"/>
        <v>Home Office</v>
      </c>
      <c r="E1008" t="s">
        <v>43</v>
      </c>
      <c r="F1008">
        <v>8</v>
      </c>
      <c r="G1008">
        <v>0.2</v>
      </c>
      <c r="H1008" s="2">
        <v>6.2423999999999999</v>
      </c>
      <c r="I1008" s="2">
        <v>18.496000000000002</v>
      </c>
    </row>
    <row r="1009" spans="1:9" x14ac:dyDescent="0.3">
      <c r="A1009" t="str">
        <f t="shared" si="333"/>
        <v>United States</v>
      </c>
      <c r="B1009" t="str">
        <f t="shared" si="337"/>
        <v>Columbus</v>
      </c>
      <c r="C1009" t="str">
        <f t="shared" si="339"/>
        <v>Second Class</v>
      </c>
      <c r="D1009" t="str">
        <f t="shared" si="342"/>
        <v>Home Office</v>
      </c>
      <c r="E1009" t="s">
        <v>16</v>
      </c>
      <c r="F1009">
        <v>3</v>
      </c>
      <c r="G1009">
        <v>0.2</v>
      </c>
      <c r="H1009" s="2">
        <v>3.4397999999999995</v>
      </c>
      <c r="I1009" s="2">
        <v>10.584000000000001</v>
      </c>
    </row>
    <row r="1010" spans="1:9" x14ac:dyDescent="0.3">
      <c r="A1010" t="str">
        <f t="shared" si="333"/>
        <v>United States</v>
      </c>
      <c r="B1010" t="str">
        <f t="shared" si="337"/>
        <v>Columbus</v>
      </c>
      <c r="C1010" t="s">
        <v>22</v>
      </c>
      <c r="D1010" t="s">
        <v>8</v>
      </c>
      <c r="E1010" t="s">
        <v>23</v>
      </c>
      <c r="F1010">
        <v>18</v>
      </c>
      <c r="G1010">
        <v>0.2</v>
      </c>
      <c r="H1010" s="2">
        <v>201.07129999999995</v>
      </c>
      <c r="I1010" s="2">
        <v>987.86</v>
      </c>
    </row>
    <row r="1011" spans="1:9" x14ac:dyDescent="0.3">
      <c r="A1011" t="str">
        <f t="shared" si="333"/>
        <v>United States</v>
      </c>
      <c r="B1011" t="str">
        <f t="shared" si="337"/>
        <v>Columbus</v>
      </c>
      <c r="C1011" t="str">
        <f t="shared" ref="C1011:C1044" si="343">C1010</f>
        <v>Standard Class</v>
      </c>
      <c r="D1011" t="str">
        <f t="shared" ref="D1011:D1023" si="344">D1010</f>
        <v>Consumer</v>
      </c>
      <c r="E1011" t="s">
        <v>12</v>
      </c>
      <c r="F1011">
        <v>7</v>
      </c>
      <c r="G1011">
        <v>0.4</v>
      </c>
      <c r="H1011" s="2">
        <v>166.61319999999998</v>
      </c>
      <c r="I1011" s="2">
        <v>789.30399999999997</v>
      </c>
    </row>
    <row r="1012" spans="1:9" x14ac:dyDescent="0.3">
      <c r="A1012" t="str">
        <f t="shared" si="333"/>
        <v>United States</v>
      </c>
      <c r="B1012" t="str">
        <f t="shared" si="337"/>
        <v>Columbus</v>
      </c>
      <c r="C1012" t="str">
        <f t="shared" si="343"/>
        <v>Standard Class</v>
      </c>
      <c r="D1012" t="str">
        <f t="shared" si="344"/>
        <v>Consumer</v>
      </c>
      <c r="E1012" t="s">
        <v>19</v>
      </c>
      <c r="F1012">
        <v>10</v>
      </c>
      <c r="G1012">
        <v>0.4</v>
      </c>
      <c r="H1012" s="2">
        <v>7.5975999999999964</v>
      </c>
      <c r="I1012" s="2">
        <v>36.680000000000007</v>
      </c>
    </row>
    <row r="1013" spans="1:9" x14ac:dyDescent="0.3">
      <c r="A1013" t="str">
        <f t="shared" si="333"/>
        <v>United States</v>
      </c>
      <c r="B1013" t="str">
        <f t="shared" si="337"/>
        <v>Columbus</v>
      </c>
      <c r="C1013" t="str">
        <f t="shared" si="343"/>
        <v>Standard Class</v>
      </c>
      <c r="D1013" t="str">
        <f t="shared" si="344"/>
        <v>Consumer</v>
      </c>
      <c r="E1013" t="s">
        <v>20</v>
      </c>
      <c r="F1013">
        <v>20</v>
      </c>
      <c r="G1013">
        <v>2.8</v>
      </c>
      <c r="H1013" s="2">
        <v>14.316600000000001</v>
      </c>
      <c r="I1013" s="2">
        <v>109.55800000000001</v>
      </c>
    </row>
    <row r="1014" spans="1:9" x14ac:dyDescent="0.3">
      <c r="A1014" t="str">
        <f t="shared" si="333"/>
        <v>United States</v>
      </c>
      <c r="B1014" t="str">
        <f t="shared" ref="B1014:B1044" si="345">B1013</f>
        <v>Columbus</v>
      </c>
      <c r="C1014" t="str">
        <f t="shared" si="343"/>
        <v>Standard Class</v>
      </c>
      <c r="D1014" t="str">
        <f t="shared" si="344"/>
        <v>Consumer</v>
      </c>
      <c r="E1014" t="s">
        <v>33</v>
      </c>
      <c r="F1014">
        <v>14</v>
      </c>
      <c r="G1014">
        <v>0.89999999999999991</v>
      </c>
      <c r="H1014" s="2">
        <v>369.72660000000002</v>
      </c>
      <c r="I1014" s="2">
        <v>1847.1179999999999</v>
      </c>
    </row>
    <row r="1015" spans="1:9" x14ac:dyDescent="0.3">
      <c r="A1015" t="str">
        <f t="shared" si="333"/>
        <v>United States</v>
      </c>
      <c r="B1015" t="str">
        <f t="shared" si="345"/>
        <v>Columbus</v>
      </c>
      <c r="C1015" t="str">
        <f t="shared" si="343"/>
        <v>Standard Class</v>
      </c>
      <c r="D1015" t="str">
        <f t="shared" si="344"/>
        <v>Consumer</v>
      </c>
      <c r="E1015" t="s">
        <v>38</v>
      </c>
      <c r="F1015">
        <v>17</v>
      </c>
      <c r="G1015">
        <v>0.2</v>
      </c>
      <c r="H1015" s="2">
        <v>115.38659999999999</v>
      </c>
      <c r="I1015" s="2">
        <v>278.88799999999998</v>
      </c>
    </row>
    <row r="1016" spans="1:9" x14ac:dyDescent="0.3">
      <c r="A1016" t="str">
        <f t="shared" si="333"/>
        <v>United States</v>
      </c>
      <c r="B1016" t="str">
        <f t="shared" si="345"/>
        <v>Columbus</v>
      </c>
      <c r="C1016" t="str">
        <f t="shared" si="343"/>
        <v>Standard Class</v>
      </c>
      <c r="D1016" t="str">
        <f t="shared" si="344"/>
        <v>Consumer</v>
      </c>
      <c r="E1016" t="s">
        <v>18</v>
      </c>
      <c r="F1016">
        <v>5</v>
      </c>
      <c r="G1016">
        <v>0.4</v>
      </c>
      <c r="H1016" s="2">
        <v>2.3126999999999995</v>
      </c>
      <c r="I1016" s="2">
        <v>7.8319999999999999</v>
      </c>
    </row>
    <row r="1017" spans="1:9" x14ac:dyDescent="0.3">
      <c r="A1017" t="str">
        <f t="shared" si="333"/>
        <v>United States</v>
      </c>
      <c r="B1017" t="str">
        <f t="shared" si="345"/>
        <v>Columbus</v>
      </c>
      <c r="C1017" t="str">
        <f t="shared" si="343"/>
        <v>Standard Class</v>
      </c>
      <c r="D1017" t="str">
        <f t="shared" si="344"/>
        <v>Consumer</v>
      </c>
      <c r="E1017" t="s">
        <v>21</v>
      </c>
      <c r="F1017">
        <v>29</v>
      </c>
      <c r="G1017">
        <v>0.8</v>
      </c>
      <c r="H1017" s="2">
        <v>254.10219999999998</v>
      </c>
      <c r="I1017" s="2">
        <v>833.87200000000018</v>
      </c>
    </row>
    <row r="1018" spans="1:9" x14ac:dyDescent="0.3">
      <c r="A1018" t="str">
        <f t="shared" si="333"/>
        <v>United States</v>
      </c>
      <c r="B1018" t="str">
        <f t="shared" si="345"/>
        <v>Columbus</v>
      </c>
      <c r="C1018" t="str">
        <f t="shared" si="343"/>
        <v>Standard Class</v>
      </c>
      <c r="D1018" t="str">
        <f t="shared" si="344"/>
        <v>Consumer</v>
      </c>
      <c r="E1018" t="s">
        <v>43</v>
      </c>
      <c r="F1018">
        <v>2</v>
      </c>
      <c r="G1018">
        <v>0.2</v>
      </c>
      <c r="H1018" s="2">
        <v>1.9925999999999999</v>
      </c>
      <c r="I1018" s="2">
        <v>5.9039999999999999</v>
      </c>
    </row>
    <row r="1019" spans="1:9" x14ac:dyDescent="0.3">
      <c r="A1019" t="str">
        <f t="shared" si="333"/>
        <v>United States</v>
      </c>
      <c r="B1019" t="str">
        <f t="shared" si="345"/>
        <v>Columbus</v>
      </c>
      <c r="C1019" t="str">
        <f t="shared" si="343"/>
        <v>Standard Class</v>
      </c>
      <c r="D1019" t="str">
        <f t="shared" si="344"/>
        <v>Consumer</v>
      </c>
      <c r="E1019" t="s">
        <v>46</v>
      </c>
      <c r="F1019">
        <v>11</v>
      </c>
      <c r="G1019">
        <v>0.7</v>
      </c>
      <c r="H1019" s="2">
        <v>165.80399999999997</v>
      </c>
      <c r="I1019" s="2">
        <v>426.34500000000003</v>
      </c>
    </row>
    <row r="1020" spans="1:9" x14ac:dyDescent="0.3">
      <c r="A1020" t="str">
        <f t="shared" si="333"/>
        <v>United States</v>
      </c>
      <c r="B1020" t="str">
        <f t="shared" si="345"/>
        <v>Columbus</v>
      </c>
      <c r="C1020" t="str">
        <f t="shared" si="343"/>
        <v>Standard Class</v>
      </c>
      <c r="D1020" t="str">
        <f t="shared" si="344"/>
        <v>Consumer</v>
      </c>
      <c r="E1020" t="s">
        <v>16</v>
      </c>
      <c r="F1020">
        <v>29</v>
      </c>
      <c r="G1020">
        <v>0.60000000000000009</v>
      </c>
      <c r="H1020" s="2">
        <v>159.53089999999995</v>
      </c>
      <c r="I1020" s="2">
        <v>371.60599999999999</v>
      </c>
    </row>
    <row r="1021" spans="1:9" x14ac:dyDescent="0.3">
      <c r="A1021" t="str">
        <f t="shared" si="333"/>
        <v>United States</v>
      </c>
      <c r="B1021" t="str">
        <f t="shared" si="345"/>
        <v>Columbus</v>
      </c>
      <c r="C1021" t="str">
        <f t="shared" si="343"/>
        <v>Standard Class</v>
      </c>
      <c r="D1021" t="str">
        <f t="shared" si="344"/>
        <v>Consumer</v>
      </c>
      <c r="E1021" t="s">
        <v>24</v>
      </c>
      <c r="F1021">
        <v>50</v>
      </c>
      <c r="G1021">
        <v>1.6</v>
      </c>
      <c r="H1021" s="2">
        <v>741.06700000000023</v>
      </c>
      <c r="I1021" s="2">
        <v>7187.1920000000009</v>
      </c>
    </row>
    <row r="1022" spans="1:9" x14ac:dyDescent="0.3">
      <c r="A1022" t="str">
        <f t="shared" si="333"/>
        <v>United States</v>
      </c>
      <c r="B1022" t="str">
        <f t="shared" si="345"/>
        <v>Columbus</v>
      </c>
      <c r="C1022" t="str">
        <f t="shared" si="343"/>
        <v>Standard Class</v>
      </c>
      <c r="D1022" t="str">
        <f t="shared" si="344"/>
        <v>Consumer</v>
      </c>
      <c r="E1022" t="s">
        <v>14</v>
      </c>
      <c r="F1022">
        <v>15</v>
      </c>
      <c r="G1022">
        <v>0.4</v>
      </c>
      <c r="H1022" s="2">
        <v>110.37</v>
      </c>
      <c r="I1022" s="2">
        <v>976.55600000000004</v>
      </c>
    </row>
    <row r="1023" spans="1:9" x14ac:dyDescent="0.3">
      <c r="A1023" t="str">
        <f t="shared" si="333"/>
        <v>United States</v>
      </c>
      <c r="B1023" t="str">
        <f t="shared" si="345"/>
        <v>Columbus</v>
      </c>
      <c r="C1023" t="str">
        <f t="shared" si="343"/>
        <v>Standard Class</v>
      </c>
      <c r="D1023" t="str">
        <f t="shared" si="344"/>
        <v>Consumer</v>
      </c>
      <c r="E1023" t="s">
        <v>9</v>
      </c>
      <c r="F1023">
        <v>4</v>
      </c>
      <c r="G1023">
        <v>0.2</v>
      </c>
      <c r="H1023" s="2">
        <v>1.1796000000000002</v>
      </c>
      <c r="I1023" s="2">
        <v>18.752000000000002</v>
      </c>
    </row>
    <row r="1024" spans="1:9" x14ac:dyDescent="0.3">
      <c r="A1024" t="str">
        <f t="shared" si="333"/>
        <v>United States</v>
      </c>
      <c r="B1024" t="str">
        <f t="shared" si="345"/>
        <v>Columbus</v>
      </c>
      <c r="C1024" t="str">
        <f t="shared" si="343"/>
        <v>Standard Class</v>
      </c>
      <c r="D1024" t="s">
        <v>15</v>
      </c>
      <c r="E1024" t="s">
        <v>23</v>
      </c>
      <c r="F1024">
        <v>17</v>
      </c>
      <c r="G1024">
        <v>0.4</v>
      </c>
      <c r="H1024" s="2">
        <v>88.680399999999977</v>
      </c>
      <c r="I1024" s="2">
        <v>522.68399999999997</v>
      </c>
    </row>
    <row r="1025" spans="1:9" x14ac:dyDescent="0.3">
      <c r="A1025" t="str">
        <f t="shared" si="333"/>
        <v>United States</v>
      </c>
      <c r="B1025" t="str">
        <f t="shared" si="345"/>
        <v>Columbus</v>
      </c>
      <c r="C1025" t="str">
        <f t="shared" si="343"/>
        <v>Standard Class</v>
      </c>
      <c r="D1025" t="str">
        <f t="shared" ref="D1025:D1035" si="346">D1024</f>
        <v>Corporate</v>
      </c>
      <c r="E1025" t="s">
        <v>12</v>
      </c>
      <c r="F1025">
        <v>16</v>
      </c>
      <c r="G1025">
        <v>0.4</v>
      </c>
      <c r="H1025" s="2">
        <v>334.97699999999998</v>
      </c>
      <c r="I1025" s="2">
        <v>982.43799999999999</v>
      </c>
    </row>
    <row r="1026" spans="1:9" x14ac:dyDescent="0.3">
      <c r="A1026" t="str">
        <f t="shared" si="333"/>
        <v>United States</v>
      </c>
      <c r="B1026" t="str">
        <f t="shared" si="345"/>
        <v>Columbus</v>
      </c>
      <c r="C1026" t="str">
        <f t="shared" si="343"/>
        <v>Standard Class</v>
      </c>
      <c r="D1026" t="str">
        <f t="shared" si="346"/>
        <v>Corporate</v>
      </c>
      <c r="E1026" t="s">
        <v>19</v>
      </c>
      <c r="F1026">
        <v>8</v>
      </c>
      <c r="G1026">
        <v>0</v>
      </c>
      <c r="H1026" s="2">
        <v>46.539999999999985</v>
      </c>
      <c r="I1026" s="2">
        <v>147.34</v>
      </c>
    </row>
    <row r="1027" spans="1:9" x14ac:dyDescent="0.3">
      <c r="A1027" t="str">
        <f t="shared" si="333"/>
        <v>United States</v>
      </c>
      <c r="B1027" t="str">
        <f t="shared" si="345"/>
        <v>Columbus</v>
      </c>
      <c r="C1027" t="str">
        <f t="shared" si="343"/>
        <v>Standard Class</v>
      </c>
      <c r="D1027" t="str">
        <f t="shared" si="346"/>
        <v>Corporate</v>
      </c>
      <c r="E1027" t="s">
        <v>20</v>
      </c>
      <c r="F1027">
        <v>36</v>
      </c>
      <c r="G1027">
        <v>2.8</v>
      </c>
      <c r="H1027" s="2">
        <v>778.84179999999992</v>
      </c>
      <c r="I1027" s="2">
        <v>1864.9459999999999</v>
      </c>
    </row>
    <row r="1028" spans="1:9" x14ac:dyDescent="0.3">
      <c r="A1028" t="str">
        <f t="shared" ref="A1028:A1091" si="347">A1027</f>
        <v>United States</v>
      </c>
      <c r="B1028" t="str">
        <f t="shared" si="345"/>
        <v>Columbus</v>
      </c>
      <c r="C1028" t="str">
        <f t="shared" si="343"/>
        <v>Standard Class</v>
      </c>
      <c r="D1028" t="str">
        <f t="shared" si="346"/>
        <v>Corporate</v>
      </c>
      <c r="E1028" t="s">
        <v>34</v>
      </c>
      <c r="F1028">
        <v>5</v>
      </c>
      <c r="G1028">
        <v>0.5</v>
      </c>
      <c r="H1028" s="2">
        <v>-199.61700000000002</v>
      </c>
      <c r="I1028" s="2">
        <v>302.45</v>
      </c>
    </row>
    <row r="1029" spans="1:9" x14ac:dyDescent="0.3">
      <c r="A1029" t="str">
        <f t="shared" si="347"/>
        <v>United States</v>
      </c>
      <c r="B1029" t="str">
        <f t="shared" si="345"/>
        <v>Columbus</v>
      </c>
      <c r="C1029" t="str">
        <f t="shared" si="343"/>
        <v>Standard Class</v>
      </c>
      <c r="D1029" t="str">
        <f t="shared" si="346"/>
        <v>Corporate</v>
      </c>
      <c r="E1029" t="s">
        <v>38</v>
      </c>
      <c r="F1029">
        <v>7</v>
      </c>
      <c r="G1029">
        <v>0</v>
      </c>
      <c r="H1029" s="2">
        <v>94.7239</v>
      </c>
      <c r="I1029" s="2">
        <v>208.55</v>
      </c>
    </row>
    <row r="1030" spans="1:9" x14ac:dyDescent="0.3">
      <c r="A1030" t="str">
        <f t="shared" si="347"/>
        <v>United States</v>
      </c>
      <c r="B1030" t="str">
        <f t="shared" si="345"/>
        <v>Columbus</v>
      </c>
      <c r="C1030" t="str">
        <f t="shared" si="343"/>
        <v>Standard Class</v>
      </c>
      <c r="D1030" t="str">
        <f t="shared" si="346"/>
        <v>Corporate</v>
      </c>
      <c r="E1030" t="s">
        <v>21</v>
      </c>
      <c r="F1030">
        <v>15</v>
      </c>
      <c r="G1030">
        <v>0</v>
      </c>
      <c r="H1030" s="2">
        <v>324.47959999999995</v>
      </c>
      <c r="I1030" s="2">
        <v>675.86</v>
      </c>
    </row>
    <row r="1031" spans="1:9" x14ac:dyDescent="0.3">
      <c r="A1031" t="str">
        <f t="shared" si="347"/>
        <v>United States</v>
      </c>
      <c r="B1031" t="str">
        <f t="shared" si="345"/>
        <v>Columbus</v>
      </c>
      <c r="C1031" t="str">
        <f t="shared" si="343"/>
        <v>Standard Class</v>
      </c>
      <c r="D1031" t="str">
        <f t="shared" si="346"/>
        <v>Corporate</v>
      </c>
      <c r="E1031" t="s">
        <v>43</v>
      </c>
      <c r="F1031">
        <v>3</v>
      </c>
      <c r="G1031">
        <v>0.2</v>
      </c>
      <c r="H1031" s="2">
        <v>4.9139999999999988</v>
      </c>
      <c r="I1031" s="2">
        <v>15.120000000000001</v>
      </c>
    </row>
    <row r="1032" spans="1:9" x14ac:dyDescent="0.3">
      <c r="A1032" t="str">
        <f t="shared" si="347"/>
        <v>United States</v>
      </c>
      <c r="B1032" t="str">
        <f t="shared" si="345"/>
        <v>Columbus</v>
      </c>
      <c r="C1032" t="str">
        <f t="shared" si="343"/>
        <v>Standard Class</v>
      </c>
      <c r="D1032" t="str">
        <f t="shared" si="346"/>
        <v>Corporate</v>
      </c>
      <c r="E1032" t="s">
        <v>16</v>
      </c>
      <c r="F1032">
        <v>42</v>
      </c>
      <c r="G1032">
        <v>0.60000000000000009</v>
      </c>
      <c r="H1032" s="2">
        <v>473.78999999999996</v>
      </c>
      <c r="I1032" s="2">
        <v>1033.8159999999998</v>
      </c>
    </row>
    <row r="1033" spans="1:9" x14ac:dyDescent="0.3">
      <c r="A1033" t="str">
        <f t="shared" si="347"/>
        <v>United States</v>
      </c>
      <c r="B1033" t="str">
        <f t="shared" si="345"/>
        <v>Columbus</v>
      </c>
      <c r="C1033" t="str">
        <f t="shared" si="343"/>
        <v>Standard Class</v>
      </c>
      <c r="D1033" t="str">
        <f t="shared" si="346"/>
        <v>Corporate</v>
      </c>
      <c r="E1033" t="s">
        <v>24</v>
      </c>
      <c r="F1033">
        <v>19</v>
      </c>
      <c r="G1033">
        <v>0.8</v>
      </c>
      <c r="H1033" s="2">
        <v>328.59889999999996</v>
      </c>
      <c r="I1033" s="2">
        <v>1600.2780000000002</v>
      </c>
    </row>
    <row r="1034" spans="1:9" x14ac:dyDescent="0.3">
      <c r="A1034" t="str">
        <f t="shared" si="347"/>
        <v>United States</v>
      </c>
      <c r="B1034" t="str">
        <f t="shared" si="345"/>
        <v>Columbus</v>
      </c>
      <c r="C1034" t="str">
        <f t="shared" si="343"/>
        <v>Standard Class</v>
      </c>
      <c r="D1034" t="str">
        <f t="shared" si="346"/>
        <v>Corporate</v>
      </c>
      <c r="E1034" t="s">
        <v>14</v>
      </c>
      <c r="F1034">
        <v>13</v>
      </c>
      <c r="G1034">
        <v>0.2</v>
      </c>
      <c r="H1034" s="2">
        <v>95.757299999999958</v>
      </c>
      <c r="I1034" s="2">
        <v>919.92200000000003</v>
      </c>
    </row>
    <row r="1035" spans="1:9" x14ac:dyDescent="0.3">
      <c r="A1035" t="str">
        <f t="shared" si="347"/>
        <v>United States</v>
      </c>
      <c r="B1035" t="str">
        <f t="shared" si="345"/>
        <v>Columbus</v>
      </c>
      <c r="C1035" t="str">
        <f t="shared" si="343"/>
        <v>Standard Class</v>
      </c>
      <c r="D1035" t="str">
        <f t="shared" si="346"/>
        <v>Corporate</v>
      </c>
      <c r="E1035" t="s">
        <v>9</v>
      </c>
      <c r="F1035">
        <v>2</v>
      </c>
      <c r="G1035">
        <v>0</v>
      </c>
      <c r="H1035" s="2">
        <v>9.9991999999999948</v>
      </c>
      <c r="I1035" s="2">
        <v>34.479999999999997</v>
      </c>
    </row>
    <row r="1036" spans="1:9" x14ac:dyDescent="0.3">
      <c r="A1036" t="str">
        <f t="shared" si="347"/>
        <v>United States</v>
      </c>
      <c r="B1036" t="str">
        <f t="shared" si="345"/>
        <v>Columbus</v>
      </c>
      <c r="C1036" t="str">
        <f t="shared" si="343"/>
        <v>Standard Class</v>
      </c>
      <c r="D1036" t="s">
        <v>17</v>
      </c>
      <c r="E1036" t="s">
        <v>23</v>
      </c>
      <c r="F1036">
        <v>2</v>
      </c>
      <c r="G1036">
        <v>0</v>
      </c>
      <c r="H1036" s="2">
        <v>15.1158</v>
      </c>
      <c r="I1036" s="2">
        <v>71.98</v>
      </c>
    </row>
    <row r="1037" spans="1:9" x14ac:dyDescent="0.3">
      <c r="A1037" t="str">
        <f t="shared" si="347"/>
        <v>United States</v>
      </c>
      <c r="B1037" t="str">
        <f t="shared" si="345"/>
        <v>Columbus</v>
      </c>
      <c r="C1037" t="str">
        <f t="shared" si="343"/>
        <v>Standard Class</v>
      </c>
      <c r="D1037" t="str">
        <f t="shared" ref="D1037:D1044" si="348">D1036</f>
        <v>Home Office</v>
      </c>
      <c r="E1037" t="s">
        <v>12</v>
      </c>
      <c r="F1037">
        <v>2</v>
      </c>
      <c r="G1037">
        <v>0</v>
      </c>
      <c r="H1037" s="2">
        <v>56.510999999999996</v>
      </c>
      <c r="I1037" s="2">
        <v>209.3</v>
      </c>
    </row>
    <row r="1038" spans="1:9" x14ac:dyDescent="0.3">
      <c r="A1038" t="str">
        <f t="shared" si="347"/>
        <v>United States</v>
      </c>
      <c r="B1038" t="str">
        <f t="shared" si="345"/>
        <v>Columbus</v>
      </c>
      <c r="C1038" t="str">
        <f t="shared" si="343"/>
        <v>Standard Class</v>
      </c>
      <c r="D1038" t="str">
        <f t="shared" si="348"/>
        <v>Home Office</v>
      </c>
      <c r="E1038" t="s">
        <v>19</v>
      </c>
      <c r="F1038">
        <v>5</v>
      </c>
      <c r="G1038">
        <v>0</v>
      </c>
      <c r="H1038" s="2">
        <v>13.452000000000002</v>
      </c>
      <c r="I1038" s="2">
        <v>35.4</v>
      </c>
    </row>
    <row r="1039" spans="1:9" x14ac:dyDescent="0.3">
      <c r="A1039" t="str">
        <f t="shared" si="347"/>
        <v>United States</v>
      </c>
      <c r="B1039" t="str">
        <f t="shared" si="345"/>
        <v>Columbus</v>
      </c>
      <c r="C1039" t="str">
        <f t="shared" si="343"/>
        <v>Standard Class</v>
      </c>
      <c r="D1039" t="str">
        <f t="shared" si="348"/>
        <v>Home Office</v>
      </c>
      <c r="E1039" t="s">
        <v>20</v>
      </c>
      <c r="F1039">
        <v>22</v>
      </c>
      <c r="G1039">
        <v>2.0999999999999996</v>
      </c>
      <c r="H1039" s="2">
        <v>38.026599999999995</v>
      </c>
      <c r="I1039" s="2">
        <v>144.61699999999999</v>
      </c>
    </row>
    <row r="1040" spans="1:9" x14ac:dyDescent="0.3">
      <c r="A1040" t="str">
        <f t="shared" si="347"/>
        <v>United States</v>
      </c>
      <c r="B1040" t="str">
        <f t="shared" si="345"/>
        <v>Columbus</v>
      </c>
      <c r="C1040" t="str">
        <f t="shared" si="343"/>
        <v>Standard Class</v>
      </c>
      <c r="D1040" t="str">
        <f t="shared" si="348"/>
        <v>Home Office</v>
      </c>
      <c r="E1040" t="s">
        <v>33</v>
      </c>
      <c r="F1040">
        <v>4</v>
      </c>
      <c r="G1040">
        <v>0.6</v>
      </c>
      <c r="H1040" s="2">
        <v>-24.117599999999982</v>
      </c>
      <c r="I1040" s="2">
        <v>562.74399999999991</v>
      </c>
    </row>
    <row r="1041" spans="1:9" x14ac:dyDescent="0.3">
      <c r="A1041" t="str">
        <f t="shared" si="347"/>
        <v>United States</v>
      </c>
      <c r="B1041" t="str">
        <f t="shared" si="345"/>
        <v>Columbus</v>
      </c>
      <c r="C1041" t="str">
        <f t="shared" si="343"/>
        <v>Standard Class</v>
      </c>
      <c r="D1041" t="str">
        <f t="shared" si="348"/>
        <v>Home Office</v>
      </c>
      <c r="E1041" t="s">
        <v>21</v>
      </c>
      <c r="F1041">
        <v>26</v>
      </c>
      <c r="G1041">
        <v>0.4</v>
      </c>
      <c r="H1041" s="2">
        <v>54.531000000000006</v>
      </c>
      <c r="I1041" s="2">
        <v>179.208</v>
      </c>
    </row>
    <row r="1042" spans="1:9" x14ac:dyDescent="0.3">
      <c r="A1042" t="str">
        <f t="shared" si="347"/>
        <v>United States</v>
      </c>
      <c r="B1042" t="str">
        <f t="shared" si="345"/>
        <v>Columbus</v>
      </c>
      <c r="C1042" t="str">
        <f t="shared" si="343"/>
        <v>Standard Class</v>
      </c>
      <c r="D1042" t="str">
        <f t="shared" si="348"/>
        <v>Home Office</v>
      </c>
      <c r="E1042" t="s">
        <v>16</v>
      </c>
      <c r="F1042">
        <v>20</v>
      </c>
      <c r="G1042">
        <v>0.4</v>
      </c>
      <c r="H1042" s="2">
        <v>260.14279999999997</v>
      </c>
      <c r="I1042" s="2">
        <v>667.80399999999997</v>
      </c>
    </row>
    <row r="1043" spans="1:9" x14ac:dyDescent="0.3">
      <c r="A1043" t="str">
        <f t="shared" si="347"/>
        <v>United States</v>
      </c>
      <c r="B1043" t="str">
        <f t="shared" si="345"/>
        <v>Columbus</v>
      </c>
      <c r="C1043" t="str">
        <f t="shared" si="343"/>
        <v>Standard Class</v>
      </c>
      <c r="D1043" t="str">
        <f t="shared" si="348"/>
        <v>Home Office</v>
      </c>
      <c r="E1043" t="s">
        <v>14</v>
      </c>
      <c r="F1043">
        <v>16</v>
      </c>
      <c r="G1043">
        <v>0</v>
      </c>
      <c r="H1043" s="2">
        <v>300.87079999999997</v>
      </c>
      <c r="I1043" s="2">
        <v>1833.2899999999997</v>
      </c>
    </row>
    <row r="1044" spans="1:9" x14ac:dyDescent="0.3">
      <c r="A1044" t="str">
        <f t="shared" si="347"/>
        <v>United States</v>
      </c>
      <c r="B1044" t="str">
        <f t="shared" si="345"/>
        <v>Columbus</v>
      </c>
      <c r="C1044" t="str">
        <f t="shared" si="343"/>
        <v>Standard Class</v>
      </c>
      <c r="D1044" t="str">
        <f t="shared" si="348"/>
        <v>Home Office</v>
      </c>
      <c r="E1044" t="s">
        <v>25</v>
      </c>
      <c r="F1044">
        <v>5</v>
      </c>
      <c r="G1044">
        <v>0.4</v>
      </c>
      <c r="H1044" s="2">
        <v>9.8077999999999861</v>
      </c>
      <c r="I1044" s="2">
        <v>658.11599999999999</v>
      </c>
    </row>
    <row r="1045" spans="1:9" x14ac:dyDescent="0.3">
      <c r="A1045" t="str">
        <f t="shared" si="347"/>
        <v>United States</v>
      </c>
      <c r="B1045" t="s">
        <v>125</v>
      </c>
      <c r="C1045" t="s">
        <v>11</v>
      </c>
      <c r="D1045" t="s">
        <v>8</v>
      </c>
      <c r="E1045" t="s">
        <v>14</v>
      </c>
      <c r="F1045">
        <v>3</v>
      </c>
      <c r="G1045">
        <v>0.2</v>
      </c>
      <c r="H1045" s="2">
        <v>-32.929200000000002</v>
      </c>
      <c r="I1045" s="2">
        <v>146.352</v>
      </c>
    </row>
    <row r="1046" spans="1:9" x14ac:dyDescent="0.3">
      <c r="A1046" t="str">
        <f t="shared" si="347"/>
        <v>United States</v>
      </c>
      <c r="B1046" t="s">
        <v>126</v>
      </c>
      <c r="C1046" t="s">
        <v>11</v>
      </c>
      <c r="D1046" t="s">
        <v>8</v>
      </c>
      <c r="E1046" t="s">
        <v>19</v>
      </c>
      <c r="F1046">
        <v>9</v>
      </c>
      <c r="G1046">
        <v>0.2</v>
      </c>
      <c r="H1046" s="2">
        <v>1.7514000000000003</v>
      </c>
      <c r="I1046" s="2">
        <v>20.015999999999998</v>
      </c>
    </row>
    <row r="1047" spans="1:9" x14ac:dyDescent="0.3">
      <c r="A1047" t="str">
        <f t="shared" si="347"/>
        <v>United States</v>
      </c>
      <c r="B1047" t="str">
        <f t="shared" ref="B1047:B1071" si="349">B1046</f>
        <v>Concord</v>
      </c>
      <c r="C1047" t="str">
        <f t="shared" ref="C1047:C1049" si="350">C1046</f>
        <v>First Class</v>
      </c>
      <c r="D1047" t="str">
        <f t="shared" ref="D1047:D1049" si="351">D1046</f>
        <v>Consumer</v>
      </c>
      <c r="E1047" t="s">
        <v>21</v>
      </c>
      <c r="F1047">
        <v>1</v>
      </c>
      <c r="G1047">
        <v>0</v>
      </c>
      <c r="H1047" s="2">
        <v>26.597999999999999</v>
      </c>
      <c r="I1047" s="2">
        <v>102.3</v>
      </c>
    </row>
    <row r="1048" spans="1:9" x14ac:dyDescent="0.3">
      <c r="A1048" t="str">
        <f t="shared" si="347"/>
        <v>United States</v>
      </c>
      <c r="B1048" t="str">
        <f t="shared" si="349"/>
        <v>Concord</v>
      </c>
      <c r="C1048" t="str">
        <f t="shared" si="350"/>
        <v>First Class</v>
      </c>
      <c r="D1048" t="str">
        <f t="shared" si="351"/>
        <v>Consumer</v>
      </c>
      <c r="E1048" t="s">
        <v>16</v>
      </c>
      <c r="F1048">
        <v>3</v>
      </c>
      <c r="G1048">
        <v>0</v>
      </c>
      <c r="H1048" s="2">
        <v>17.22</v>
      </c>
      <c r="I1048" s="2">
        <v>34.44</v>
      </c>
    </row>
    <row r="1049" spans="1:9" x14ac:dyDescent="0.3">
      <c r="A1049" t="str">
        <f t="shared" si="347"/>
        <v>United States</v>
      </c>
      <c r="B1049" t="str">
        <f t="shared" si="349"/>
        <v>Concord</v>
      </c>
      <c r="C1049" t="str">
        <f t="shared" si="350"/>
        <v>First Class</v>
      </c>
      <c r="D1049" t="str">
        <f t="shared" si="351"/>
        <v>Consumer</v>
      </c>
      <c r="E1049" t="s">
        <v>9</v>
      </c>
      <c r="F1049">
        <v>1</v>
      </c>
      <c r="G1049">
        <v>0.2</v>
      </c>
      <c r="H1049" s="2">
        <v>0.34919999999999951</v>
      </c>
      <c r="I1049" s="2">
        <v>3.1040000000000001</v>
      </c>
    </row>
    <row r="1050" spans="1:9" x14ac:dyDescent="0.3">
      <c r="A1050" t="str">
        <f t="shared" si="347"/>
        <v>United States</v>
      </c>
      <c r="B1050" t="str">
        <f t="shared" si="349"/>
        <v>Concord</v>
      </c>
      <c r="C1050" t="s">
        <v>27</v>
      </c>
      <c r="D1050" t="s">
        <v>8</v>
      </c>
      <c r="E1050" t="s">
        <v>20</v>
      </c>
      <c r="F1050">
        <v>5</v>
      </c>
      <c r="G1050">
        <v>0.2</v>
      </c>
      <c r="H1050" s="2">
        <v>22.155999999999999</v>
      </c>
      <c r="I1050" s="2">
        <v>61.120000000000005</v>
      </c>
    </row>
    <row r="1051" spans="1:9" x14ac:dyDescent="0.3">
      <c r="A1051" t="str">
        <f t="shared" si="347"/>
        <v>United States</v>
      </c>
      <c r="B1051" t="str">
        <f t="shared" si="349"/>
        <v>Concord</v>
      </c>
      <c r="C1051" t="s">
        <v>7</v>
      </c>
      <c r="D1051" t="s">
        <v>8</v>
      </c>
      <c r="E1051" t="s">
        <v>34</v>
      </c>
      <c r="F1051">
        <v>2</v>
      </c>
      <c r="G1051">
        <v>0.15</v>
      </c>
      <c r="H1051" s="2">
        <v>14.097999999999999</v>
      </c>
      <c r="I1051" s="2">
        <v>239.66599999999997</v>
      </c>
    </row>
    <row r="1052" spans="1:9" x14ac:dyDescent="0.3">
      <c r="A1052" t="str">
        <f t="shared" si="347"/>
        <v>United States</v>
      </c>
      <c r="B1052" t="str">
        <f t="shared" si="349"/>
        <v>Concord</v>
      </c>
      <c r="C1052" t="str">
        <f t="shared" ref="C1052:C1058" si="352">C1051</f>
        <v>Second Class</v>
      </c>
      <c r="D1052" t="str">
        <f>D1051</f>
        <v>Consumer</v>
      </c>
      <c r="E1052" t="s">
        <v>25</v>
      </c>
      <c r="F1052">
        <v>13</v>
      </c>
      <c r="G1052">
        <v>0.4</v>
      </c>
      <c r="H1052" s="2">
        <v>-1862.3124000000003</v>
      </c>
      <c r="I1052" s="2">
        <v>4297.6440000000002</v>
      </c>
    </row>
    <row r="1053" spans="1:9" x14ac:dyDescent="0.3">
      <c r="A1053" t="str">
        <f t="shared" si="347"/>
        <v>United States</v>
      </c>
      <c r="B1053" t="str">
        <f t="shared" si="349"/>
        <v>Concord</v>
      </c>
      <c r="C1053" t="str">
        <f t="shared" si="352"/>
        <v>Second Class</v>
      </c>
      <c r="D1053" t="s">
        <v>15</v>
      </c>
      <c r="E1053" t="s">
        <v>19</v>
      </c>
      <c r="F1053">
        <v>2</v>
      </c>
      <c r="G1053">
        <v>0</v>
      </c>
      <c r="H1053" s="2">
        <v>1.6896</v>
      </c>
      <c r="I1053" s="2">
        <v>3.52</v>
      </c>
    </row>
    <row r="1054" spans="1:9" x14ac:dyDescent="0.3">
      <c r="A1054" t="str">
        <f t="shared" si="347"/>
        <v>United States</v>
      </c>
      <c r="B1054" t="str">
        <f t="shared" si="349"/>
        <v>Concord</v>
      </c>
      <c r="C1054" t="str">
        <f t="shared" si="352"/>
        <v>Second Class</v>
      </c>
      <c r="D1054" t="str">
        <f t="shared" ref="D1054:D1057" si="353">D1053</f>
        <v>Corporate</v>
      </c>
      <c r="E1054" t="s">
        <v>20</v>
      </c>
      <c r="F1054">
        <v>4</v>
      </c>
      <c r="G1054">
        <v>0</v>
      </c>
      <c r="H1054" s="2">
        <v>11.0016</v>
      </c>
      <c r="I1054" s="2">
        <v>22.92</v>
      </c>
    </row>
    <row r="1055" spans="1:9" x14ac:dyDescent="0.3">
      <c r="A1055" t="str">
        <f t="shared" si="347"/>
        <v>United States</v>
      </c>
      <c r="B1055" t="str">
        <f t="shared" si="349"/>
        <v>Concord</v>
      </c>
      <c r="C1055" t="str">
        <f t="shared" si="352"/>
        <v>Second Class</v>
      </c>
      <c r="D1055" t="str">
        <f t="shared" si="353"/>
        <v>Corporate</v>
      </c>
      <c r="E1055" t="s">
        <v>21</v>
      </c>
      <c r="F1055">
        <v>8</v>
      </c>
      <c r="G1055">
        <v>0</v>
      </c>
      <c r="H1055" s="2">
        <v>101.4504</v>
      </c>
      <c r="I1055" s="2">
        <v>247.44</v>
      </c>
    </row>
    <row r="1056" spans="1:9" x14ac:dyDescent="0.3">
      <c r="A1056" t="str">
        <f t="shared" si="347"/>
        <v>United States</v>
      </c>
      <c r="B1056" t="str">
        <f t="shared" si="349"/>
        <v>Concord</v>
      </c>
      <c r="C1056" t="str">
        <f t="shared" si="352"/>
        <v>Second Class</v>
      </c>
      <c r="D1056" t="str">
        <f t="shared" si="353"/>
        <v>Corporate</v>
      </c>
      <c r="E1056" t="s">
        <v>24</v>
      </c>
      <c r="F1056">
        <v>9</v>
      </c>
      <c r="G1056">
        <v>0.2</v>
      </c>
      <c r="H1056" s="2">
        <v>121.96440000000001</v>
      </c>
      <c r="I1056" s="2">
        <v>1626.1920000000002</v>
      </c>
    </row>
    <row r="1057" spans="1:9" x14ac:dyDescent="0.3">
      <c r="A1057" t="str">
        <f t="shared" si="347"/>
        <v>United States</v>
      </c>
      <c r="B1057" t="str">
        <f t="shared" si="349"/>
        <v>Concord</v>
      </c>
      <c r="C1057" t="str">
        <f t="shared" si="352"/>
        <v>Second Class</v>
      </c>
      <c r="D1057" t="str">
        <f t="shared" si="353"/>
        <v>Corporate</v>
      </c>
      <c r="E1057" t="s">
        <v>14</v>
      </c>
      <c r="F1057">
        <v>5</v>
      </c>
      <c r="G1057">
        <v>0</v>
      </c>
      <c r="H1057" s="2">
        <v>16.193999999999988</v>
      </c>
      <c r="I1057" s="2">
        <v>269.89999999999998</v>
      </c>
    </row>
    <row r="1058" spans="1:9" x14ac:dyDescent="0.3">
      <c r="A1058" t="str">
        <f t="shared" si="347"/>
        <v>United States</v>
      </c>
      <c r="B1058" t="str">
        <f t="shared" si="349"/>
        <v>Concord</v>
      </c>
      <c r="C1058" t="str">
        <f t="shared" si="352"/>
        <v>Second Class</v>
      </c>
      <c r="D1058" t="s">
        <v>17</v>
      </c>
      <c r="E1058" t="s">
        <v>16</v>
      </c>
      <c r="F1058">
        <v>7</v>
      </c>
      <c r="G1058">
        <v>0</v>
      </c>
      <c r="H1058" s="2">
        <v>84.943599999999989</v>
      </c>
      <c r="I1058" s="2">
        <v>184.66</v>
      </c>
    </row>
    <row r="1059" spans="1:9" x14ac:dyDescent="0.3">
      <c r="A1059" t="str">
        <f t="shared" si="347"/>
        <v>United States</v>
      </c>
      <c r="B1059" t="str">
        <f t="shared" si="349"/>
        <v>Concord</v>
      </c>
      <c r="C1059" t="s">
        <v>22</v>
      </c>
      <c r="D1059" t="s">
        <v>8</v>
      </c>
      <c r="E1059" t="s">
        <v>20</v>
      </c>
      <c r="F1059">
        <v>2</v>
      </c>
      <c r="G1059">
        <v>0</v>
      </c>
      <c r="H1059" s="2">
        <v>32.251400000000004</v>
      </c>
      <c r="I1059" s="2">
        <v>68.62</v>
      </c>
    </row>
    <row r="1060" spans="1:9" x14ac:dyDescent="0.3">
      <c r="A1060" t="str">
        <f t="shared" si="347"/>
        <v>United States</v>
      </c>
      <c r="B1060" t="str">
        <f t="shared" si="349"/>
        <v>Concord</v>
      </c>
      <c r="C1060" t="str">
        <f t="shared" ref="C1060:C1071" si="354">C1059</f>
        <v>Standard Class</v>
      </c>
      <c r="D1060" t="str">
        <f t="shared" ref="D1060:D1063" si="355">D1059</f>
        <v>Consumer</v>
      </c>
      <c r="E1060" t="s">
        <v>33</v>
      </c>
      <c r="F1060">
        <v>7</v>
      </c>
      <c r="G1060">
        <v>0.4</v>
      </c>
      <c r="H1060" s="2">
        <v>-24.294000000000018</v>
      </c>
      <c r="I1060" s="2">
        <v>493.48800000000006</v>
      </c>
    </row>
    <row r="1061" spans="1:9" x14ac:dyDescent="0.3">
      <c r="A1061" t="str">
        <f t="shared" si="347"/>
        <v>United States</v>
      </c>
      <c r="B1061" t="str">
        <f t="shared" si="349"/>
        <v>Concord</v>
      </c>
      <c r="C1061" t="str">
        <f t="shared" si="354"/>
        <v>Standard Class</v>
      </c>
      <c r="D1061" t="str">
        <f t="shared" si="355"/>
        <v>Consumer</v>
      </c>
      <c r="E1061" t="s">
        <v>21</v>
      </c>
      <c r="F1061">
        <v>9</v>
      </c>
      <c r="G1061">
        <v>0.2</v>
      </c>
      <c r="H1061" s="2">
        <v>35.908600000000014</v>
      </c>
      <c r="I1061" s="2">
        <v>359.08600000000007</v>
      </c>
    </row>
    <row r="1062" spans="1:9" x14ac:dyDescent="0.3">
      <c r="A1062" t="str">
        <f t="shared" si="347"/>
        <v>United States</v>
      </c>
      <c r="B1062" t="str">
        <f t="shared" si="349"/>
        <v>Concord</v>
      </c>
      <c r="C1062" t="str">
        <f t="shared" si="354"/>
        <v>Standard Class</v>
      </c>
      <c r="D1062" t="str">
        <f t="shared" si="355"/>
        <v>Consumer</v>
      </c>
      <c r="E1062" t="s">
        <v>43</v>
      </c>
      <c r="F1062">
        <v>3</v>
      </c>
      <c r="G1062">
        <v>0.2</v>
      </c>
      <c r="H1062" s="2">
        <v>2.0358000000000001</v>
      </c>
      <c r="I1062" s="2">
        <v>6.2640000000000002</v>
      </c>
    </row>
    <row r="1063" spans="1:9" x14ac:dyDescent="0.3">
      <c r="A1063" t="str">
        <f t="shared" si="347"/>
        <v>United States</v>
      </c>
      <c r="B1063" t="str">
        <f t="shared" si="349"/>
        <v>Concord</v>
      </c>
      <c r="C1063" t="str">
        <f t="shared" si="354"/>
        <v>Standard Class</v>
      </c>
      <c r="D1063" t="str">
        <f t="shared" si="355"/>
        <v>Consumer</v>
      </c>
      <c r="E1063" t="s">
        <v>16</v>
      </c>
      <c r="F1063">
        <v>5</v>
      </c>
      <c r="G1063">
        <v>0.4</v>
      </c>
      <c r="H1063" s="2">
        <v>37.9116</v>
      </c>
      <c r="I1063" s="2">
        <v>105.12</v>
      </c>
    </row>
    <row r="1064" spans="1:9" x14ac:dyDescent="0.3">
      <c r="A1064" t="str">
        <f t="shared" si="347"/>
        <v>United States</v>
      </c>
      <c r="B1064" t="str">
        <f t="shared" si="349"/>
        <v>Concord</v>
      </c>
      <c r="C1064" t="str">
        <f t="shared" si="354"/>
        <v>Standard Class</v>
      </c>
      <c r="D1064" t="s">
        <v>17</v>
      </c>
      <c r="E1064" t="s">
        <v>23</v>
      </c>
      <c r="F1064">
        <v>8</v>
      </c>
      <c r="G1064">
        <v>0</v>
      </c>
      <c r="H1064" s="2">
        <v>220.13619999999997</v>
      </c>
      <c r="I1064" s="2">
        <v>801.92</v>
      </c>
    </row>
    <row r="1065" spans="1:9" x14ac:dyDescent="0.3">
      <c r="A1065" t="str">
        <f t="shared" si="347"/>
        <v>United States</v>
      </c>
      <c r="B1065" t="str">
        <f t="shared" si="349"/>
        <v>Concord</v>
      </c>
      <c r="C1065" t="str">
        <f t="shared" si="354"/>
        <v>Standard Class</v>
      </c>
      <c r="D1065" t="str">
        <f t="shared" ref="D1065:D1071" si="356">D1064</f>
        <v>Home Office</v>
      </c>
      <c r="E1065" t="s">
        <v>19</v>
      </c>
      <c r="F1065">
        <v>6</v>
      </c>
      <c r="G1065">
        <v>0</v>
      </c>
      <c r="H1065" s="2">
        <v>68.363999999999976</v>
      </c>
      <c r="I1065" s="2">
        <v>227.88</v>
      </c>
    </row>
    <row r="1066" spans="1:9" x14ac:dyDescent="0.3">
      <c r="A1066" t="str">
        <f t="shared" si="347"/>
        <v>United States</v>
      </c>
      <c r="B1066" t="str">
        <f t="shared" si="349"/>
        <v>Concord</v>
      </c>
      <c r="C1066" t="str">
        <f t="shared" si="354"/>
        <v>Standard Class</v>
      </c>
      <c r="D1066" t="str">
        <f t="shared" si="356"/>
        <v>Home Office</v>
      </c>
      <c r="E1066" t="s">
        <v>21</v>
      </c>
      <c r="F1066">
        <v>3</v>
      </c>
      <c r="G1066">
        <v>0</v>
      </c>
      <c r="H1066" s="2">
        <v>64.518000000000001</v>
      </c>
      <c r="I1066" s="2">
        <v>322.59000000000003</v>
      </c>
    </row>
    <row r="1067" spans="1:9" x14ac:dyDescent="0.3">
      <c r="A1067" t="str">
        <f t="shared" si="347"/>
        <v>United States</v>
      </c>
      <c r="B1067" t="str">
        <f t="shared" si="349"/>
        <v>Concord</v>
      </c>
      <c r="C1067" t="str">
        <f t="shared" si="354"/>
        <v>Standard Class</v>
      </c>
      <c r="D1067" t="str">
        <f t="shared" si="356"/>
        <v>Home Office</v>
      </c>
      <c r="E1067" t="s">
        <v>43</v>
      </c>
      <c r="F1067">
        <v>8</v>
      </c>
      <c r="G1067">
        <v>0</v>
      </c>
      <c r="H1067" s="2">
        <v>11.827199999999999</v>
      </c>
      <c r="I1067" s="2">
        <v>24.64</v>
      </c>
    </row>
    <row r="1068" spans="1:9" x14ac:dyDescent="0.3">
      <c r="A1068" t="str">
        <f t="shared" si="347"/>
        <v>United States</v>
      </c>
      <c r="B1068" t="str">
        <f t="shared" si="349"/>
        <v>Concord</v>
      </c>
      <c r="C1068" t="str">
        <f t="shared" si="354"/>
        <v>Standard Class</v>
      </c>
      <c r="D1068" t="str">
        <f t="shared" si="356"/>
        <v>Home Office</v>
      </c>
      <c r="E1068" t="s">
        <v>24</v>
      </c>
      <c r="F1068">
        <v>5</v>
      </c>
      <c r="G1068">
        <v>0</v>
      </c>
      <c r="H1068" s="2">
        <v>247.48499999999993</v>
      </c>
      <c r="I1068" s="2">
        <v>824.95</v>
      </c>
    </row>
    <row r="1069" spans="1:9" x14ac:dyDescent="0.3">
      <c r="A1069" t="str">
        <f t="shared" si="347"/>
        <v>United States</v>
      </c>
      <c r="B1069" t="str">
        <f t="shared" si="349"/>
        <v>Concord</v>
      </c>
      <c r="C1069" t="str">
        <f t="shared" si="354"/>
        <v>Standard Class</v>
      </c>
      <c r="D1069" t="str">
        <f t="shared" si="356"/>
        <v>Home Office</v>
      </c>
      <c r="E1069" t="s">
        <v>14</v>
      </c>
      <c r="F1069">
        <v>5</v>
      </c>
      <c r="G1069">
        <v>0</v>
      </c>
      <c r="H1069" s="2">
        <v>17.523999999999997</v>
      </c>
      <c r="I1069" s="2">
        <v>67.400000000000006</v>
      </c>
    </row>
    <row r="1070" spans="1:9" x14ac:dyDescent="0.3">
      <c r="A1070" t="str">
        <f t="shared" si="347"/>
        <v>United States</v>
      </c>
      <c r="B1070" t="str">
        <f t="shared" si="349"/>
        <v>Concord</v>
      </c>
      <c r="C1070" t="str">
        <f t="shared" si="354"/>
        <v>Standard Class</v>
      </c>
      <c r="D1070" t="str">
        <f t="shared" si="356"/>
        <v>Home Office</v>
      </c>
      <c r="E1070" t="s">
        <v>9</v>
      </c>
      <c r="F1070">
        <v>3</v>
      </c>
      <c r="G1070">
        <v>0</v>
      </c>
      <c r="H1070" s="2">
        <v>8.0996999999999986</v>
      </c>
      <c r="I1070" s="2">
        <v>27.93</v>
      </c>
    </row>
    <row r="1071" spans="1:9" x14ac:dyDescent="0.3">
      <c r="A1071" t="str">
        <f t="shared" si="347"/>
        <v>United States</v>
      </c>
      <c r="B1071" t="str">
        <f t="shared" si="349"/>
        <v>Concord</v>
      </c>
      <c r="C1071" t="str">
        <f t="shared" si="354"/>
        <v>Standard Class</v>
      </c>
      <c r="D1071" t="str">
        <f t="shared" si="356"/>
        <v>Home Office</v>
      </c>
      <c r="E1071" t="s">
        <v>25</v>
      </c>
      <c r="F1071">
        <v>1</v>
      </c>
      <c r="G1071">
        <v>0.2</v>
      </c>
      <c r="H1071" s="2">
        <v>2.4897999999999989</v>
      </c>
      <c r="I1071" s="2">
        <v>99.591999999999999</v>
      </c>
    </row>
    <row r="1072" spans="1:9" x14ac:dyDescent="0.3">
      <c r="A1072" t="str">
        <f t="shared" si="347"/>
        <v>United States</v>
      </c>
      <c r="B1072" t="s">
        <v>127</v>
      </c>
      <c r="C1072" t="s">
        <v>11</v>
      </c>
      <c r="D1072" t="s">
        <v>15</v>
      </c>
      <c r="E1072" t="s">
        <v>14</v>
      </c>
      <c r="F1072">
        <v>9</v>
      </c>
      <c r="G1072">
        <v>0.2</v>
      </c>
      <c r="H1072" s="2">
        <v>6.9794999999999909</v>
      </c>
      <c r="I1072" s="2">
        <v>111.67200000000001</v>
      </c>
    </row>
    <row r="1073" spans="1:9" x14ac:dyDescent="0.3">
      <c r="A1073" t="str">
        <f t="shared" si="347"/>
        <v>United States</v>
      </c>
      <c r="B1073" t="s">
        <v>128</v>
      </c>
      <c r="C1073" t="s">
        <v>22</v>
      </c>
      <c r="D1073" t="s">
        <v>8</v>
      </c>
      <c r="E1073" t="s">
        <v>25</v>
      </c>
      <c r="F1073">
        <v>2</v>
      </c>
      <c r="G1073">
        <v>0</v>
      </c>
      <c r="H1073" s="2">
        <v>45.293999999999983</v>
      </c>
      <c r="I1073" s="2">
        <v>301.95999999999998</v>
      </c>
    </row>
    <row r="1074" spans="1:9" x14ac:dyDescent="0.3">
      <c r="A1074" t="str">
        <f t="shared" si="347"/>
        <v>United States</v>
      </c>
      <c r="B1074" t="s">
        <v>129</v>
      </c>
      <c r="C1074" t="s">
        <v>22</v>
      </c>
      <c r="D1074" t="s">
        <v>8</v>
      </c>
      <c r="E1074" t="s">
        <v>24</v>
      </c>
      <c r="F1074">
        <v>3</v>
      </c>
      <c r="G1074">
        <v>0</v>
      </c>
      <c r="H1074" s="2">
        <v>78.951599999999999</v>
      </c>
      <c r="I1074" s="2">
        <v>281.96999999999997</v>
      </c>
    </row>
    <row r="1075" spans="1:9" x14ac:dyDescent="0.3">
      <c r="A1075" t="str">
        <f t="shared" si="347"/>
        <v>United States</v>
      </c>
      <c r="B1075" t="str">
        <f>B1074</f>
        <v>Coon Rapids</v>
      </c>
      <c r="C1075" t="str">
        <f>C1074</f>
        <v>Standard Class</v>
      </c>
      <c r="D1075" t="str">
        <f>D1074</f>
        <v>Consumer</v>
      </c>
      <c r="E1075" t="s">
        <v>14</v>
      </c>
      <c r="F1075">
        <v>4</v>
      </c>
      <c r="G1075">
        <v>0</v>
      </c>
      <c r="H1075" s="2">
        <v>57.501599999999996</v>
      </c>
      <c r="I1075" s="2">
        <v>221.16</v>
      </c>
    </row>
    <row r="1076" spans="1:9" x14ac:dyDescent="0.3">
      <c r="A1076" t="str">
        <f t="shared" si="347"/>
        <v>United States</v>
      </c>
      <c r="B1076" t="s">
        <v>130</v>
      </c>
      <c r="C1076" t="s">
        <v>11</v>
      </c>
      <c r="D1076" t="s">
        <v>15</v>
      </c>
      <c r="E1076" t="s">
        <v>24</v>
      </c>
      <c r="F1076">
        <v>4</v>
      </c>
      <c r="G1076">
        <v>0.2</v>
      </c>
      <c r="H1076" s="2">
        <v>34.741999999999997</v>
      </c>
      <c r="I1076" s="2">
        <v>95.84</v>
      </c>
    </row>
    <row r="1077" spans="1:9" x14ac:dyDescent="0.3">
      <c r="A1077" t="str">
        <f t="shared" si="347"/>
        <v>United States</v>
      </c>
      <c r="B1077" t="str">
        <f t="shared" ref="B1077:B1078" si="357">B1076</f>
        <v>Coppell</v>
      </c>
      <c r="C1077" t="s">
        <v>22</v>
      </c>
      <c r="D1077" t="s">
        <v>8</v>
      </c>
      <c r="E1077" t="s">
        <v>19</v>
      </c>
      <c r="F1077">
        <v>12</v>
      </c>
      <c r="G1077">
        <v>0.4</v>
      </c>
      <c r="H1077" s="2">
        <v>6.956999999999999</v>
      </c>
      <c r="I1077" s="2">
        <v>23.312000000000005</v>
      </c>
    </row>
    <row r="1078" spans="1:9" x14ac:dyDescent="0.3">
      <c r="A1078" t="str">
        <f t="shared" si="347"/>
        <v>United States</v>
      </c>
      <c r="B1078" t="str">
        <f t="shared" si="357"/>
        <v>Coppell</v>
      </c>
      <c r="C1078" t="str">
        <f>C1077</f>
        <v>Standard Class</v>
      </c>
      <c r="D1078" t="str">
        <f>D1077</f>
        <v>Consumer</v>
      </c>
      <c r="E1078" t="s">
        <v>14</v>
      </c>
      <c r="F1078">
        <v>1</v>
      </c>
      <c r="G1078">
        <v>0.2</v>
      </c>
      <c r="H1078" s="2">
        <v>-0.20980000000000043</v>
      </c>
      <c r="I1078" s="2">
        <v>16.784000000000002</v>
      </c>
    </row>
    <row r="1079" spans="1:9" x14ac:dyDescent="0.3">
      <c r="A1079" t="str">
        <f t="shared" si="347"/>
        <v>United States</v>
      </c>
      <c r="B1079" t="s">
        <v>131</v>
      </c>
      <c r="C1079" t="s">
        <v>22</v>
      </c>
      <c r="D1079" t="s">
        <v>15</v>
      </c>
      <c r="E1079" t="s">
        <v>21</v>
      </c>
      <c r="F1079">
        <v>3</v>
      </c>
      <c r="G1079">
        <v>0.2</v>
      </c>
      <c r="H1079" s="2">
        <v>2.6028000000000011</v>
      </c>
      <c r="I1079" s="2">
        <v>11.568000000000001</v>
      </c>
    </row>
    <row r="1080" spans="1:9" x14ac:dyDescent="0.3">
      <c r="A1080" t="str">
        <f t="shared" si="347"/>
        <v>United States</v>
      </c>
      <c r="B1080" t="str">
        <f>B1079</f>
        <v>Coral Gables</v>
      </c>
      <c r="C1080" t="str">
        <f>C1079</f>
        <v>Standard Class</v>
      </c>
      <c r="D1080" t="str">
        <f>D1079</f>
        <v>Corporate</v>
      </c>
      <c r="E1080" t="s">
        <v>24</v>
      </c>
      <c r="F1080">
        <v>3</v>
      </c>
      <c r="G1080">
        <v>0.2</v>
      </c>
      <c r="H1080" s="2">
        <v>19.754999999999999</v>
      </c>
      <c r="I1080" s="2">
        <v>52.679999999999993</v>
      </c>
    </row>
    <row r="1081" spans="1:9" x14ac:dyDescent="0.3">
      <c r="A1081" t="str">
        <f t="shared" si="347"/>
        <v>United States</v>
      </c>
      <c r="B1081" t="s">
        <v>132</v>
      </c>
      <c r="C1081" t="s">
        <v>11</v>
      </c>
      <c r="D1081" t="s">
        <v>8</v>
      </c>
      <c r="E1081" t="s">
        <v>34</v>
      </c>
      <c r="F1081">
        <v>3</v>
      </c>
      <c r="G1081">
        <v>0.2</v>
      </c>
      <c r="H1081" s="2">
        <v>-15.71759999999999</v>
      </c>
      <c r="I1081" s="2">
        <v>314.35199999999998</v>
      </c>
    </row>
    <row r="1082" spans="1:9" x14ac:dyDescent="0.3">
      <c r="A1082" t="str">
        <f t="shared" si="347"/>
        <v>United States</v>
      </c>
      <c r="B1082" t="str">
        <f t="shared" ref="B1082:B1087" si="358">B1081</f>
        <v>Coral Springs</v>
      </c>
      <c r="C1082" t="str">
        <f>C1081</f>
        <v>First Class</v>
      </c>
      <c r="D1082" t="str">
        <f>D1081</f>
        <v>Consumer</v>
      </c>
      <c r="E1082" t="s">
        <v>43</v>
      </c>
      <c r="F1082">
        <v>2</v>
      </c>
      <c r="G1082">
        <v>0.2</v>
      </c>
      <c r="H1082" s="2">
        <v>1.4975999999999996</v>
      </c>
      <c r="I1082" s="2">
        <v>4.6079999999999997</v>
      </c>
    </row>
    <row r="1083" spans="1:9" x14ac:dyDescent="0.3">
      <c r="A1083" t="str">
        <f t="shared" si="347"/>
        <v>United States</v>
      </c>
      <c r="B1083" t="str">
        <f t="shared" si="358"/>
        <v>Coral Springs</v>
      </c>
      <c r="C1083" t="s">
        <v>27</v>
      </c>
      <c r="D1083" t="s">
        <v>15</v>
      </c>
      <c r="E1083" t="s">
        <v>21</v>
      </c>
      <c r="F1083">
        <v>5</v>
      </c>
      <c r="G1083">
        <v>0.4</v>
      </c>
      <c r="H1083" s="2">
        <v>0.45439999999999303</v>
      </c>
      <c r="I1083" s="2">
        <v>71.679999999999993</v>
      </c>
    </row>
    <row r="1084" spans="1:9" x14ac:dyDescent="0.3">
      <c r="A1084" t="str">
        <f t="shared" si="347"/>
        <v>United States</v>
      </c>
      <c r="B1084" t="str">
        <f t="shared" si="358"/>
        <v>Coral Springs</v>
      </c>
      <c r="C1084" t="str">
        <f t="shared" ref="C1084:C1085" si="359">C1083</f>
        <v>Same Day</v>
      </c>
      <c r="D1084" t="str">
        <f t="shared" ref="D1084:D1085" si="360">D1083</f>
        <v>Corporate</v>
      </c>
      <c r="E1084" t="s">
        <v>16</v>
      </c>
      <c r="F1084">
        <v>3</v>
      </c>
      <c r="G1084">
        <v>0.2</v>
      </c>
      <c r="H1084" s="2">
        <v>5.4432</v>
      </c>
      <c r="I1084" s="2">
        <v>15.552000000000003</v>
      </c>
    </row>
    <row r="1085" spans="1:9" x14ac:dyDescent="0.3">
      <c r="A1085" t="str">
        <f t="shared" si="347"/>
        <v>United States</v>
      </c>
      <c r="B1085" t="str">
        <f t="shared" si="358"/>
        <v>Coral Springs</v>
      </c>
      <c r="C1085" t="str">
        <f t="shared" si="359"/>
        <v>Same Day</v>
      </c>
      <c r="D1085" t="str">
        <f t="shared" si="360"/>
        <v>Corporate</v>
      </c>
      <c r="E1085" t="s">
        <v>14</v>
      </c>
      <c r="F1085">
        <v>2</v>
      </c>
      <c r="G1085">
        <v>0.2</v>
      </c>
      <c r="H1085" s="2">
        <v>2.1588000000000021</v>
      </c>
      <c r="I1085" s="2">
        <v>24.672000000000001</v>
      </c>
    </row>
    <row r="1086" spans="1:9" x14ac:dyDescent="0.3">
      <c r="A1086" t="str">
        <f t="shared" si="347"/>
        <v>United States</v>
      </c>
      <c r="B1086" t="str">
        <f t="shared" si="358"/>
        <v>Coral Springs</v>
      </c>
      <c r="C1086" t="s">
        <v>22</v>
      </c>
      <c r="D1086" t="s">
        <v>8</v>
      </c>
      <c r="E1086" t="s">
        <v>12</v>
      </c>
      <c r="F1086">
        <v>4</v>
      </c>
      <c r="G1086">
        <v>0.2</v>
      </c>
      <c r="H1086" s="2">
        <v>24.196000000000012</v>
      </c>
      <c r="I1086" s="2">
        <v>387.13600000000002</v>
      </c>
    </row>
    <row r="1087" spans="1:9" x14ac:dyDescent="0.3">
      <c r="A1087" t="str">
        <f t="shared" si="347"/>
        <v>United States</v>
      </c>
      <c r="B1087" t="str">
        <f t="shared" si="358"/>
        <v>Coral Springs</v>
      </c>
      <c r="C1087" t="str">
        <f>C1086</f>
        <v>Standard Class</v>
      </c>
      <c r="D1087" t="s">
        <v>15</v>
      </c>
      <c r="E1087" t="s">
        <v>12</v>
      </c>
      <c r="F1087">
        <v>2</v>
      </c>
      <c r="G1087">
        <v>0.2</v>
      </c>
      <c r="H1087" s="2">
        <v>0.52439999999999998</v>
      </c>
      <c r="I1087" s="2">
        <v>6.9920000000000009</v>
      </c>
    </row>
    <row r="1088" spans="1:9" x14ac:dyDescent="0.3">
      <c r="A1088" t="str">
        <f t="shared" si="347"/>
        <v>United States</v>
      </c>
      <c r="B1088" t="s">
        <v>133</v>
      </c>
      <c r="C1088" t="s">
        <v>7</v>
      </c>
      <c r="D1088" t="s">
        <v>15</v>
      </c>
      <c r="E1088" t="s">
        <v>20</v>
      </c>
      <c r="F1088">
        <v>2</v>
      </c>
      <c r="G1088">
        <v>0.8</v>
      </c>
      <c r="H1088" s="2">
        <v>-13.683199999999999</v>
      </c>
      <c r="I1088" s="2">
        <v>8.5519999999999978</v>
      </c>
    </row>
    <row r="1089" spans="1:9" x14ac:dyDescent="0.3">
      <c r="A1089" t="str">
        <f t="shared" si="347"/>
        <v>United States</v>
      </c>
      <c r="B1089" t="str">
        <f t="shared" ref="B1089:B1094" si="361">B1088</f>
        <v>Corpus Christi</v>
      </c>
      <c r="C1089" t="str">
        <f t="shared" ref="C1089:C1092" si="362">C1088</f>
        <v>Second Class</v>
      </c>
      <c r="D1089" t="str">
        <f t="shared" ref="D1089:D1091" si="363">D1088</f>
        <v>Corporate</v>
      </c>
      <c r="E1089" t="s">
        <v>18</v>
      </c>
      <c r="F1089">
        <v>4</v>
      </c>
      <c r="G1089">
        <v>0.2</v>
      </c>
      <c r="H1089" s="2">
        <v>-1.3607999999999998</v>
      </c>
      <c r="I1089" s="2">
        <v>6.048</v>
      </c>
    </row>
    <row r="1090" spans="1:9" x14ac:dyDescent="0.3">
      <c r="A1090" t="str">
        <f t="shared" si="347"/>
        <v>United States</v>
      </c>
      <c r="B1090" t="str">
        <f t="shared" si="361"/>
        <v>Corpus Christi</v>
      </c>
      <c r="C1090" t="str">
        <f t="shared" si="362"/>
        <v>Second Class</v>
      </c>
      <c r="D1090" t="str">
        <f t="shared" si="363"/>
        <v>Corporate</v>
      </c>
      <c r="E1090" t="s">
        <v>21</v>
      </c>
      <c r="F1090">
        <v>5</v>
      </c>
      <c r="G1090">
        <v>0.6</v>
      </c>
      <c r="H1090" s="2">
        <v>-6.7230000000000008</v>
      </c>
      <c r="I1090" s="2">
        <v>9.9600000000000009</v>
      </c>
    </row>
    <row r="1091" spans="1:9" x14ac:dyDescent="0.3">
      <c r="A1091" t="str">
        <f t="shared" si="347"/>
        <v>United States</v>
      </c>
      <c r="B1091" t="str">
        <f t="shared" si="361"/>
        <v>Corpus Christi</v>
      </c>
      <c r="C1091" t="str">
        <f t="shared" si="362"/>
        <v>Second Class</v>
      </c>
      <c r="D1091" t="str">
        <f t="shared" si="363"/>
        <v>Corporate</v>
      </c>
      <c r="E1091" t="s">
        <v>16</v>
      </c>
      <c r="F1091">
        <v>2</v>
      </c>
      <c r="G1091">
        <v>0.2</v>
      </c>
      <c r="H1091" s="2">
        <v>2.1399999999999992</v>
      </c>
      <c r="I1091" s="2">
        <v>6.8480000000000008</v>
      </c>
    </row>
    <row r="1092" spans="1:9" x14ac:dyDescent="0.3">
      <c r="A1092" t="str">
        <f t="shared" ref="A1092:A1155" si="364">A1091</f>
        <v>United States</v>
      </c>
      <c r="B1092" t="str">
        <f t="shared" si="361"/>
        <v>Corpus Christi</v>
      </c>
      <c r="C1092" t="str">
        <f t="shared" si="362"/>
        <v>Second Class</v>
      </c>
      <c r="D1092" t="s">
        <v>17</v>
      </c>
      <c r="E1092" t="s">
        <v>16</v>
      </c>
      <c r="F1092">
        <v>3</v>
      </c>
      <c r="G1092">
        <v>0.2</v>
      </c>
      <c r="H1092" s="2">
        <v>23.234999999999992</v>
      </c>
      <c r="I1092" s="2">
        <v>74.352000000000004</v>
      </c>
    </row>
    <row r="1093" spans="1:9" x14ac:dyDescent="0.3">
      <c r="A1093" t="str">
        <f t="shared" si="364"/>
        <v>United States</v>
      </c>
      <c r="B1093" t="str">
        <f t="shared" si="361"/>
        <v>Corpus Christi</v>
      </c>
      <c r="C1093" t="s">
        <v>22</v>
      </c>
      <c r="D1093" t="s">
        <v>15</v>
      </c>
      <c r="E1093" t="s">
        <v>19</v>
      </c>
      <c r="F1093">
        <v>7</v>
      </c>
      <c r="G1093">
        <v>0.2</v>
      </c>
      <c r="H1093" s="2">
        <v>1.4406000000000008</v>
      </c>
      <c r="I1093" s="2">
        <v>16.463999999999999</v>
      </c>
    </row>
    <row r="1094" spans="1:9" x14ac:dyDescent="0.3">
      <c r="A1094" t="str">
        <f t="shared" si="364"/>
        <v>United States</v>
      </c>
      <c r="B1094" t="str">
        <f t="shared" si="361"/>
        <v>Corpus Christi</v>
      </c>
      <c r="C1094" t="str">
        <f>C1093</f>
        <v>Standard Class</v>
      </c>
      <c r="D1094" t="str">
        <f>D1093</f>
        <v>Corporate</v>
      </c>
      <c r="E1094" t="s">
        <v>21</v>
      </c>
      <c r="F1094">
        <v>10</v>
      </c>
      <c r="G1094">
        <v>1.2</v>
      </c>
      <c r="H1094" s="2">
        <v>-48.778999999999996</v>
      </c>
      <c r="I1094" s="2">
        <v>98.320000000000007</v>
      </c>
    </row>
    <row r="1095" spans="1:9" x14ac:dyDescent="0.3">
      <c r="A1095" t="str">
        <f t="shared" si="364"/>
        <v>United States</v>
      </c>
      <c r="B1095" t="s">
        <v>134</v>
      </c>
      <c r="C1095" t="s">
        <v>7</v>
      </c>
      <c r="D1095" t="s">
        <v>17</v>
      </c>
      <c r="E1095" t="s">
        <v>23</v>
      </c>
      <c r="F1095">
        <v>3</v>
      </c>
      <c r="G1095">
        <v>0</v>
      </c>
      <c r="H1095" s="2">
        <v>26.39670000000001</v>
      </c>
      <c r="I1095" s="2">
        <v>239.96999999999997</v>
      </c>
    </row>
    <row r="1096" spans="1:9" x14ac:dyDescent="0.3">
      <c r="A1096" t="str">
        <f t="shared" si="364"/>
        <v>United States</v>
      </c>
      <c r="B1096" t="str">
        <f t="shared" ref="B1096:B1102" si="365">B1095</f>
        <v>Costa Mesa</v>
      </c>
      <c r="C1096" t="str">
        <f>C1095</f>
        <v>Second Class</v>
      </c>
      <c r="D1096" t="str">
        <f>D1095</f>
        <v>Home Office</v>
      </c>
      <c r="E1096" t="s">
        <v>21</v>
      </c>
      <c r="F1096">
        <v>3</v>
      </c>
      <c r="G1096">
        <v>0</v>
      </c>
      <c r="H1096" s="2">
        <v>12.831599999999996</v>
      </c>
      <c r="I1096" s="2">
        <v>37.74</v>
      </c>
    </row>
    <row r="1097" spans="1:9" x14ac:dyDescent="0.3">
      <c r="A1097" t="str">
        <f t="shared" si="364"/>
        <v>United States</v>
      </c>
      <c r="B1097" t="str">
        <f t="shared" si="365"/>
        <v>Costa Mesa</v>
      </c>
      <c r="C1097" t="s">
        <v>22</v>
      </c>
      <c r="D1097" t="s">
        <v>8</v>
      </c>
      <c r="E1097" t="s">
        <v>20</v>
      </c>
      <c r="F1097">
        <v>8</v>
      </c>
      <c r="G1097">
        <v>0.2</v>
      </c>
      <c r="H1097" s="2">
        <v>40.370399999999997</v>
      </c>
      <c r="I1097" s="2">
        <v>119.61600000000001</v>
      </c>
    </row>
    <row r="1098" spans="1:9" x14ac:dyDescent="0.3">
      <c r="A1098" t="str">
        <f t="shared" si="364"/>
        <v>United States</v>
      </c>
      <c r="B1098" t="str">
        <f t="shared" si="365"/>
        <v>Costa Mesa</v>
      </c>
      <c r="C1098" t="str">
        <f t="shared" ref="C1098:C1102" si="366">C1097</f>
        <v>Standard Class</v>
      </c>
      <c r="D1098" t="str">
        <f t="shared" ref="D1098:D1102" si="367">D1097</f>
        <v>Consumer</v>
      </c>
      <c r="E1098" t="s">
        <v>33</v>
      </c>
      <c r="F1098">
        <v>2</v>
      </c>
      <c r="G1098">
        <v>0.2</v>
      </c>
      <c r="H1098" s="2">
        <v>18.11760000000001</v>
      </c>
      <c r="I1098" s="2">
        <v>241.56799999999998</v>
      </c>
    </row>
    <row r="1099" spans="1:9" x14ac:dyDescent="0.3">
      <c r="A1099" t="str">
        <f t="shared" si="364"/>
        <v>United States</v>
      </c>
      <c r="B1099" t="str">
        <f t="shared" si="365"/>
        <v>Costa Mesa</v>
      </c>
      <c r="C1099" t="str">
        <f t="shared" si="366"/>
        <v>Standard Class</v>
      </c>
      <c r="D1099" t="str">
        <f t="shared" si="367"/>
        <v>Consumer</v>
      </c>
      <c r="E1099" t="s">
        <v>21</v>
      </c>
      <c r="F1099">
        <v>18</v>
      </c>
      <c r="G1099">
        <v>0</v>
      </c>
      <c r="H1099" s="2">
        <v>133.2022</v>
      </c>
      <c r="I1099" s="2">
        <v>446.23999999999995</v>
      </c>
    </row>
    <row r="1100" spans="1:9" x14ac:dyDescent="0.3">
      <c r="A1100" t="str">
        <f t="shared" si="364"/>
        <v>United States</v>
      </c>
      <c r="B1100" t="str">
        <f t="shared" si="365"/>
        <v>Costa Mesa</v>
      </c>
      <c r="C1100" t="str">
        <f t="shared" si="366"/>
        <v>Standard Class</v>
      </c>
      <c r="D1100" t="str">
        <f t="shared" si="367"/>
        <v>Consumer</v>
      </c>
      <c r="E1100" t="s">
        <v>16</v>
      </c>
      <c r="F1100">
        <v>4</v>
      </c>
      <c r="G1100">
        <v>0</v>
      </c>
      <c r="H1100" s="2">
        <v>13.32</v>
      </c>
      <c r="I1100" s="2">
        <v>29.6</v>
      </c>
    </row>
    <row r="1101" spans="1:9" x14ac:dyDescent="0.3">
      <c r="A1101" t="str">
        <f t="shared" si="364"/>
        <v>United States</v>
      </c>
      <c r="B1101" t="str">
        <f t="shared" si="365"/>
        <v>Costa Mesa</v>
      </c>
      <c r="C1101" t="str">
        <f t="shared" si="366"/>
        <v>Standard Class</v>
      </c>
      <c r="D1101" t="str">
        <f t="shared" si="367"/>
        <v>Consumer</v>
      </c>
      <c r="E1101" t="s">
        <v>24</v>
      </c>
      <c r="F1101">
        <v>2</v>
      </c>
      <c r="G1101">
        <v>0.2</v>
      </c>
      <c r="H1101" s="2">
        <v>19.393200000000007</v>
      </c>
      <c r="I1101" s="2">
        <v>258.57600000000002</v>
      </c>
    </row>
    <row r="1102" spans="1:9" x14ac:dyDescent="0.3">
      <c r="A1102" t="str">
        <f t="shared" si="364"/>
        <v>United States</v>
      </c>
      <c r="B1102" t="str">
        <f t="shared" si="365"/>
        <v>Costa Mesa</v>
      </c>
      <c r="C1102" t="str">
        <f t="shared" si="366"/>
        <v>Standard Class</v>
      </c>
      <c r="D1102" t="str">
        <f t="shared" si="367"/>
        <v>Consumer</v>
      </c>
      <c r="E1102" t="s">
        <v>14</v>
      </c>
      <c r="F1102">
        <v>2</v>
      </c>
      <c r="G1102">
        <v>0</v>
      </c>
      <c r="H1102" s="2">
        <v>33.577200000000005</v>
      </c>
      <c r="I1102" s="2">
        <v>124.36</v>
      </c>
    </row>
    <row r="1103" spans="1:9" x14ac:dyDescent="0.3">
      <c r="A1103" t="str">
        <f t="shared" si="364"/>
        <v>United States</v>
      </c>
      <c r="B1103" t="s">
        <v>135</v>
      </c>
      <c r="C1103" t="s">
        <v>22</v>
      </c>
      <c r="D1103" t="s">
        <v>8</v>
      </c>
      <c r="E1103" t="s">
        <v>23</v>
      </c>
      <c r="F1103">
        <v>4</v>
      </c>
      <c r="G1103">
        <v>0</v>
      </c>
      <c r="H1103" s="2">
        <v>47.92</v>
      </c>
      <c r="I1103" s="2">
        <v>119.8</v>
      </c>
    </row>
    <row r="1104" spans="1:9" x14ac:dyDescent="0.3">
      <c r="A1104" t="str">
        <f t="shared" si="364"/>
        <v>United States</v>
      </c>
      <c r="B1104" t="str">
        <f>B1103</f>
        <v>Cottage Grove</v>
      </c>
      <c r="C1104" t="str">
        <f>C1103</f>
        <v>Standard Class</v>
      </c>
      <c r="D1104" t="str">
        <f>D1103</f>
        <v>Consumer</v>
      </c>
      <c r="E1104" t="s">
        <v>14</v>
      </c>
      <c r="F1104">
        <v>2</v>
      </c>
      <c r="G1104">
        <v>0</v>
      </c>
      <c r="H1104" s="2">
        <v>6.8767999999999994</v>
      </c>
      <c r="I1104" s="2">
        <v>24.56</v>
      </c>
    </row>
    <row r="1105" spans="1:9" x14ac:dyDescent="0.3">
      <c r="A1105" t="str">
        <f t="shared" si="364"/>
        <v>United States</v>
      </c>
      <c r="B1105" t="s">
        <v>136</v>
      </c>
      <c r="C1105" t="s">
        <v>7</v>
      </c>
      <c r="D1105" t="s">
        <v>15</v>
      </c>
      <c r="E1105" t="s">
        <v>21</v>
      </c>
      <c r="F1105">
        <v>5</v>
      </c>
      <c r="G1105">
        <v>0</v>
      </c>
      <c r="H1105" s="2">
        <v>13.132000000000001</v>
      </c>
      <c r="I1105" s="2">
        <v>46.900000000000006</v>
      </c>
    </row>
    <row r="1106" spans="1:9" x14ac:dyDescent="0.3">
      <c r="A1106" t="str">
        <f t="shared" si="364"/>
        <v>United States</v>
      </c>
      <c r="B1106" t="str">
        <f t="shared" ref="B1106:B1108" si="368">B1105</f>
        <v>Covington</v>
      </c>
      <c r="C1106" t="s">
        <v>22</v>
      </c>
      <c r="D1106" t="s">
        <v>17</v>
      </c>
      <c r="E1106" t="s">
        <v>23</v>
      </c>
      <c r="F1106">
        <v>4</v>
      </c>
      <c r="G1106">
        <v>0</v>
      </c>
      <c r="H1106" s="2">
        <v>21</v>
      </c>
      <c r="I1106" s="2">
        <v>100</v>
      </c>
    </row>
    <row r="1107" spans="1:9" x14ac:dyDescent="0.3">
      <c r="A1107" t="str">
        <f t="shared" si="364"/>
        <v>United States</v>
      </c>
      <c r="B1107" t="str">
        <f t="shared" si="368"/>
        <v>Covington</v>
      </c>
      <c r="C1107" t="str">
        <f t="shared" ref="C1107:C1108" si="369">C1106</f>
        <v>Standard Class</v>
      </c>
      <c r="D1107" t="str">
        <f t="shared" ref="D1107:D1108" si="370">D1106</f>
        <v>Home Office</v>
      </c>
      <c r="E1107" t="s">
        <v>12</v>
      </c>
      <c r="F1107">
        <v>6</v>
      </c>
      <c r="G1107">
        <v>0</v>
      </c>
      <c r="H1107" s="2">
        <v>66.326400000000007</v>
      </c>
      <c r="I1107" s="2">
        <v>236.88</v>
      </c>
    </row>
    <row r="1108" spans="1:9" x14ac:dyDescent="0.3">
      <c r="A1108" t="str">
        <f t="shared" si="364"/>
        <v>United States</v>
      </c>
      <c r="B1108" t="str">
        <f t="shared" si="368"/>
        <v>Covington</v>
      </c>
      <c r="C1108" t="str">
        <f t="shared" si="369"/>
        <v>Standard Class</v>
      </c>
      <c r="D1108" t="str">
        <f t="shared" si="370"/>
        <v>Home Office</v>
      </c>
      <c r="E1108" t="s">
        <v>16</v>
      </c>
      <c r="F1108">
        <v>5</v>
      </c>
      <c r="G1108">
        <v>0</v>
      </c>
      <c r="H1108" s="2">
        <v>14.651</v>
      </c>
      <c r="I1108" s="2">
        <v>29.900000000000002</v>
      </c>
    </row>
    <row r="1109" spans="1:9" x14ac:dyDescent="0.3">
      <c r="A1109" t="str">
        <f t="shared" si="364"/>
        <v>United States</v>
      </c>
      <c r="B1109" t="s">
        <v>137</v>
      </c>
      <c r="C1109" t="s">
        <v>11</v>
      </c>
      <c r="D1109" t="s">
        <v>15</v>
      </c>
      <c r="E1109" t="s">
        <v>12</v>
      </c>
      <c r="F1109">
        <v>1</v>
      </c>
      <c r="G1109">
        <v>0</v>
      </c>
      <c r="H1109" s="2">
        <v>0.66599999999999993</v>
      </c>
      <c r="I1109" s="2">
        <v>2.2200000000000002</v>
      </c>
    </row>
    <row r="1110" spans="1:9" x14ac:dyDescent="0.3">
      <c r="A1110" t="str">
        <f t="shared" si="364"/>
        <v>United States</v>
      </c>
      <c r="B1110" t="str">
        <f t="shared" ref="B1110:B1121" si="371">B1109</f>
        <v>Cranston</v>
      </c>
      <c r="C1110" t="str">
        <f t="shared" ref="C1110:C1113" si="372">C1109</f>
        <v>First Class</v>
      </c>
      <c r="D1110" t="str">
        <f t="shared" ref="D1110:D1113" si="373">D1109</f>
        <v>Corporate</v>
      </c>
      <c r="E1110" t="s">
        <v>21</v>
      </c>
      <c r="F1110">
        <v>6</v>
      </c>
      <c r="G1110">
        <v>0</v>
      </c>
      <c r="H1110" s="2">
        <v>65.263199999999998</v>
      </c>
      <c r="I1110" s="2">
        <v>245.68</v>
      </c>
    </row>
    <row r="1111" spans="1:9" x14ac:dyDescent="0.3">
      <c r="A1111" t="str">
        <f t="shared" si="364"/>
        <v>United States</v>
      </c>
      <c r="B1111" t="str">
        <f t="shared" si="371"/>
        <v>Cranston</v>
      </c>
      <c r="C1111" t="str">
        <f t="shared" si="372"/>
        <v>First Class</v>
      </c>
      <c r="D1111" t="str">
        <f t="shared" si="373"/>
        <v>Corporate</v>
      </c>
      <c r="E1111" t="s">
        <v>16</v>
      </c>
      <c r="F1111">
        <v>8</v>
      </c>
      <c r="G1111">
        <v>0</v>
      </c>
      <c r="H1111" s="2">
        <v>21.285599999999999</v>
      </c>
      <c r="I1111" s="2">
        <v>43.44</v>
      </c>
    </row>
    <row r="1112" spans="1:9" x14ac:dyDescent="0.3">
      <c r="A1112" t="str">
        <f t="shared" si="364"/>
        <v>United States</v>
      </c>
      <c r="B1112" t="str">
        <f t="shared" si="371"/>
        <v>Cranston</v>
      </c>
      <c r="C1112" t="str">
        <f t="shared" si="372"/>
        <v>First Class</v>
      </c>
      <c r="D1112" t="str">
        <f t="shared" si="373"/>
        <v>Corporate</v>
      </c>
      <c r="E1112" t="s">
        <v>14</v>
      </c>
      <c r="F1112">
        <v>1</v>
      </c>
      <c r="G1112">
        <v>0</v>
      </c>
      <c r="H1112" s="2">
        <v>11.117599999999999</v>
      </c>
      <c r="I1112" s="2">
        <v>42.76</v>
      </c>
    </row>
    <row r="1113" spans="1:9" x14ac:dyDescent="0.3">
      <c r="A1113" t="str">
        <f t="shared" si="364"/>
        <v>United States</v>
      </c>
      <c r="B1113" t="str">
        <f t="shared" si="371"/>
        <v>Cranston</v>
      </c>
      <c r="C1113" t="str">
        <f t="shared" si="372"/>
        <v>First Class</v>
      </c>
      <c r="D1113" t="str">
        <f t="shared" si="373"/>
        <v>Corporate</v>
      </c>
      <c r="E1113" t="s">
        <v>25</v>
      </c>
      <c r="F1113">
        <v>7</v>
      </c>
      <c r="G1113">
        <v>0.6</v>
      </c>
      <c r="H1113" s="2">
        <v>-141.33599999999996</v>
      </c>
      <c r="I1113" s="2">
        <v>878.64</v>
      </c>
    </row>
    <row r="1114" spans="1:9" x14ac:dyDescent="0.3">
      <c r="A1114" t="str">
        <f t="shared" si="364"/>
        <v>United States</v>
      </c>
      <c r="B1114" t="str">
        <f t="shared" si="371"/>
        <v>Cranston</v>
      </c>
      <c r="C1114" t="s">
        <v>7</v>
      </c>
      <c r="D1114" t="s">
        <v>8</v>
      </c>
      <c r="E1114" t="s">
        <v>19</v>
      </c>
      <c r="F1114">
        <v>5</v>
      </c>
      <c r="G1114">
        <v>0</v>
      </c>
      <c r="H1114" s="2">
        <v>18.715000000000003</v>
      </c>
      <c r="I1114" s="2">
        <v>49.25</v>
      </c>
    </row>
    <row r="1115" spans="1:9" x14ac:dyDescent="0.3">
      <c r="A1115" t="str">
        <f t="shared" si="364"/>
        <v>United States</v>
      </c>
      <c r="B1115" t="str">
        <f t="shared" si="371"/>
        <v>Cranston</v>
      </c>
      <c r="C1115" t="str">
        <f t="shared" ref="C1115:C1120" si="374">C1114</f>
        <v>Second Class</v>
      </c>
      <c r="D1115" t="str">
        <f t="shared" ref="D1115:D1119" si="375">D1114</f>
        <v>Consumer</v>
      </c>
      <c r="E1115" t="s">
        <v>20</v>
      </c>
      <c r="F1115">
        <v>2</v>
      </c>
      <c r="G1115">
        <v>0</v>
      </c>
      <c r="H1115" s="2">
        <v>15.676799999999997</v>
      </c>
      <c r="I1115" s="2">
        <v>34.08</v>
      </c>
    </row>
    <row r="1116" spans="1:9" x14ac:dyDescent="0.3">
      <c r="A1116" t="str">
        <f t="shared" si="364"/>
        <v>United States</v>
      </c>
      <c r="B1116" t="str">
        <f t="shared" si="371"/>
        <v>Cranston</v>
      </c>
      <c r="C1116" t="str">
        <f t="shared" si="374"/>
        <v>Second Class</v>
      </c>
      <c r="D1116" t="str">
        <f t="shared" si="375"/>
        <v>Consumer</v>
      </c>
      <c r="E1116" t="s">
        <v>33</v>
      </c>
      <c r="F1116">
        <v>5</v>
      </c>
      <c r="G1116">
        <v>0</v>
      </c>
      <c r="H1116" s="2">
        <v>481.46999999999991</v>
      </c>
      <c r="I1116" s="2">
        <v>1604.9</v>
      </c>
    </row>
    <row r="1117" spans="1:9" x14ac:dyDescent="0.3">
      <c r="A1117" t="str">
        <f t="shared" si="364"/>
        <v>United States</v>
      </c>
      <c r="B1117" t="str">
        <f t="shared" si="371"/>
        <v>Cranston</v>
      </c>
      <c r="C1117" t="str">
        <f t="shared" si="374"/>
        <v>Second Class</v>
      </c>
      <c r="D1117" t="str">
        <f t="shared" si="375"/>
        <v>Consumer</v>
      </c>
      <c r="E1117" t="s">
        <v>21</v>
      </c>
      <c r="F1117">
        <v>5</v>
      </c>
      <c r="G1117">
        <v>0</v>
      </c>
      <c r="H1117" s="2">
        <v>12.055199999999999</v>
      </c>
      <c r="I1117" s="2">
        <v>32.43</v>
      </c>
    </row>
    <row r="1118" spans="1:9" x14ac:dyDescent="0.3">
      <c r="A1118" t="str">
        <f t="shared" si="364"/>
        <v>United States</v>
      </c>
      <c r="B1118" t="str">
        <f t="shared" si="371"/>
        <v>Cranston</v>
      </c>
      <c r="C1118" t="str">
        <f t="shared" si="374"/>
        <v>Second Class</v>
      </c>
      <c r="D1118" t="str">
        <f t="shared" si="375"/>
        <v>Consumer</v>
      </c>
      <c r="E1118" t="s">
        <v>16</v>
      </c>
      <c r="F1118">
        <v>2</v>
      </c>
      <c r="G1118">
        <v>0</v>
      </c>
      <c r="H1118" s="2">
        <v>4.7751999999999999</v>
      </c>
      <c r="I1118" s="2">
        <v>10.16</v>
      </c>
    </row>
    <row r="1119" spans="1:9" x14ac:dyDescent="0.3">
      <c r="A1119" t="str">
        <f t="shared" si="364"/>
        <v>United States</v>
      </c>
      <c r="B1119" t="str">
        <f t="shared" si="371"/>
        <v>Cranston</v>
      </c>
      <c r="C1119" t="str">
        <f t="shared" si="374"/>
        <v>Second Class</v>
      </c>
      <c r="D1119" t="str">
        <f t="shared" si="375"/>
        <v>Consumer</v>
      </c>
      <c r="E1119" t="s">
        <v>25</v>
      </c>
      <c r="F1119">
        <v>1</v>
      </c>
      <c r="G1119">
        <v>0.3</v>
      </c>
      <c r="H1119" s="2">
        <v>-60.607800000000026</v>
      </c>
      <c r="I1119" s="2">
        <v>385.68599999999998</v>
      </c>
    </row>
    <row r="1120" spans="1:9" x14ac:dyDescent="0.3">
      <c r="A1120" t="str">
        <f t="shared" si="364"/>
        <v>United States</v>
      </c>
      <c r="B1120" t="str">
        <f t="shared" si="371"/>
        <v>Cranston</v>
      </c>
      <c r="C1120" t="str">
        <f t="shared" si="374"/>
        <v>Second Class</v>
      </c>
      <c r="D1120" t="s">
        <v>17</v>
      </c>
      <c r="E1120" t="s">
        <v>14</v>
      </c>
      <c r="F1120">
        <v>6</v>
      </c>
      <c r="G1120">
        <v>0</v>
      </c>
      <c r="H1120" s="2">
        <v>160.03979999999999</v>
      </c>
      <c r="I1120" s="2">
        <v>592.74</v>
      </c>
    </row>
    <row r="1121" spans="1:9" x14ac:dyDescent="0.3">
      <c r="A1121" t="str">
        <f t="shared" si="364"/>
        <v>United States</v>
      </c>
      <c r="B1121" t="str">
        <f t="shared" si="371"/>
        <v>Cranston</v>
      </c>
      <c r="C1121" t="s">
        <v>22</v>
      </c>
      <c r="D1121" t="s">
        <v>8</v>
      </c>
      <c r="E1121" t="s">
        <v>20</v>
      </c>
      <c r="F1121">
        <v>3</v>
      </c>
      <c r="G1121">
        <v>0</v>
      </c>
      <c r="H1121" s="2">
        <v>48.377100000000006</v>
      </c>
      <c r="I1121" s="2">
        <v>102.93</v>
      </c>
    </row>
    <row r="1122" spans="1:9" x14ac:dyDescent="0.3">
      <c r="A1122" t="str">
        <f t="shared" si="364"/>
        <v>United States</v>
      </c>
      <c r="B1122" t="s">
        <v>138</v>
      </c>
      <c r="C1122" t="s">
        <v>7</v>
      </c>
      <c r="D1122" t="s">
        <v>8</v>
      </c>
      <c r="E1122" t="s">
        <v>20</v>
      </c>
      <c r="F1122">
        <v>3</v>
      </c>
      <c r="G1122">
        <v>0.7</v>
      </c>
      <c r="H1122" s="2">
        <v>-1.4760000000000004</v>
      </c>
      <c r="I1122" s="2">
        <v>2.2140000000000004</v>
      </c>
    </row>
    <row r="1123" spans="1:9" x14ac:dyDescent="0.3">
      <c r="A1123" t="str">
        <f t="shared" si="364"/>
        <v>United States</v>
      </c>
      <c r="B1123" t="str">
        <f t="shared" ref="B1123:B1124" si="376">B1122</f>
        <v>Cuyahoga Falls</v>
      </c>
      <c r="C1123" t="s">
        <v>22</v>
      </c>
      <c r="D1123" t="s">
        <v>8</v>
      </c>
      <c r="E1123" t="s">
        <v>20</v>
      </c>
      <c r="F1123">
        <v>4</v>
      </c>
      <c r="G1123">
        <v>0.7</v>
      </c>
      <c r="H1123" s="2">
        <v>-12.352</v>
      </c>
      <c r="I1123" s="2">
        <v>18.528000000000002</v>
      </c>
    </row>
    <row r="1124" spans="1:9" x14ac:dyDescent="0.3">
      <c r="A1124" t="str">
        <f t="shared" si="364"/>
        <v>United States</v>
      </c>
      <c r="B1124" t="str">
        <f t="shared" si="376"/>
        <v>Cuyahoga Falls</v>
      </c>
      <c r="C1124" t="str">
        <f>C1123</f>
        <v>Standard Class</v>
      </c>
      <c r="D1124" t="s">
        <v>15</v>
      </c>
      <c r="E1124" t="s">
        <v>21</v>
      </c>
      <c r="F1124">
        <v>6</v>
      </c>
      <c r="G1124">
        <v>0.2</v>
      </c>
      <c r="H1124" s="2">
        <v>1.2527999999999997</v>
      </c>
      <c r="I1124" s="2">
        <v>8.3520000000000003</v>
      </c>
    </row>
    <row r="1125" spans="1:9" x14ac:dyDescent="0.3">
      <c r="A1125" t="str">
        <f t="shared" si="364"/>
        <v>United States</v>
      </c>
      <c r="B1125" t="s">
        <v>139</v>
      </c>
      <c r="C1125" t="s">
        <v>11</v>
      </c>
      <c r="D1125" t="s">
        <v>8</v>
      </c>
      <c r="E1125" t="s">
        <v>23</v>
      </c>
      <c r="F1125">
        <v>3</v>
      </c>
      <c r="G1125">
        <v>0.2</v>
      </c>
      <c r="H1125" s="2">
        <v>-13.437900000000006</v>
      </c>
      <c r="I1125" s="2">
        <v>119.44800000000001</v>
      </c>
    </row>
    <row r="1126" spans="1:9" x14ac:dyDescent="0.3">
      <c r="A1126" t="str">
        <f t="shared" si="364"/>
        <v>United States</v>
      </c>
      <c r="B1126" t="str">
        <f t="shared" ref="B1126:B1157" si="377">B1125</f>
        <v>Dallas</v>
      </c>
      <c r="C1126" t="str">
        <f t="shared" ref="C1126:C1141" si="378">C1125</f>
        <v>First Class</v>
      </c>
      <c r="D1126" t="str">
        <f t="shared" ref="D1126:D1132" si="379">D1125</f>
        <v>Consumer</v>
      </c>
      <c r="E1126" t="s">
        <v>12</v>
      </c>
      <c r="F1126">
        <v>2</v>
      </c>
      <c r="G1126">
        <v>0.8</v>
      </c>
      <c r="H1126" s="2">
        <v>-54.549600000000012</v>
      </c>
      <c r="I1126" s="2">
        <v>21.391999999999992</v>
      </c>
    </row>
    <row r="1127" spans="1:9" x14ac:dyDescent="0.3">
      <c r="A1127" t="str">
        <f t="shared" si="364"/>
        <v>United States</v>
      </c>
      <c r="B1127" t="str">
        <f t="shared" si="377"/>
        <v>Dallas</v>
      </c>
      <c r="C1127" t="str">
        <f t="shared" si="378"/>
        <v>First Class</v>
      </c>
      <c r="D1127" t="str">
        <f t="shared" si="379"/>
        <v>Consumer</v>
      </c>
      <c r="E1127" t="s">
        <v>19</v>
      </c>
      <c r="F1127">
        <v>3</v>
      </c>
      <c r="G1127">
        <v>0.4</v>
      </c>
      <c r="H1127" s="2">
        <v>4.876000000000003</v>
      </c>
      <c r="I1127" s="2">
        <v>50.991999999999997</v>
      </c>
    </row>
    <row r="1128" spans="1:9" x14ac:dyDescent="0.3">
      <c r="A1128" t="str">
        <f t="shared" si="364"/>
        <v>United States</v>
      </c>
      <c r="B1128" t="str">
        <f t="shared" si="377"/>
        <v>Dallas</v>
      </c>
      <c r="C1128" t="str">
        <f t="shared" si="378"/>
        <v>First Class</v>
      </c>
      <c r="D1128" t="str">
        <f t="shared" si="379"/>
        <v>Consumer</v>
      </c>
      <c r="E1128" t="s">
        <v>20</v>
      </c>
      <c r="F1128">
        <v>21</v>
      </c>
      <c r="G1128">
        <v>2.4000000000000004</v>
      </c>
      <c r="H1128" s="2">
        <v>-90.852600000000024</v>
      </c>
      <c r="I1128" s="2">
        <v>54.123999999999995</v>
      </c>
    </row>
    <row r="1129" spans="1:9" x14ac:dyDescent="0.3">
      <c r="A1129" t="str">
        <f t="shared" si="364"/>
        <v>United States</v>
      </c>
      <c r="B1129" t="str">
        <f t="shared" si="377"/>
        <v>Dallas</v>
      </c>
      <c r="C1129" t="str">
        <f t="shared" si="378"/>
        <v>First Class</v>
      </c>
      <c r="D1129" t="str">
        <f t="shared" si="379"/>
        <v>Consumer</v>
      </c>
      <c r="E1129" t="s">
        <v>34</v>
      </c>
      <c r="F1129">
        <v>5</v>
      </c>
      <c r="G1129">
        <v>0.64</v>
      </c>
      <c r="H1129" s="2">
        <v>-149.3612</v>
      </c>
      <c r="I1129" s="2">
        <v>566.37199999999996</v>
      </c>
    </row>
    <row r="1130" spans="1:9" x14ac:dyDescent="0.3">
      <c r="A1130" t="str">
        <f t="shared" si="364"/>
        <v>United States</v>
      </c>
      <c r="B1130" t="str">
        <f t="shared" si="377"/>
        <v>Dallas</v>
      </c>
      <c r="C1130" t="str">
        <f t="shared" si="378"/>
        <v>First Class</v>
      </c>
      <c r="D1130" t="str">
        <f t="shared" si="379"/>
        <v>Consumer</v>
      </c>
      <c r="E1130" t="s">
        <v>24</v>
      </c>
      <c r="F1130">
        <v>2</v>
      </c>
      <c r="G1130">
        <v>0.2</v>
      </c>
      <c r="H1130" s="2">
        <v>12.314399999999999</v>
      </c>
      <c r="I1130" s="2">
        <v>35.183999999999997</v>
      </c>
    </row>
    <row r="1131" spans="1:9" x14ac:dyDescent="0.3">
      <c r="A1131" t="str">
        <f t="shared" si="364"/>
        <v>United States</v>
      </c>
      <c r="B1131" t="str">
        <f t="shared" si="377"/>
        <v>Dallas</v>
      </c>
      <c r="C1131" t="str">
        <f t="shared" si="378"/>
        <v>First Class</v>
      </c>
      <c r="D1131" t="str">
        <f t="shared" si="379"/>
        <v>Consumer</v>
      </c>
      <c r="E1131" t="s">
        <v>14</v>
      </c>
      <c r="F1131">
        <v>4</v>
      </c>
      <c r="G1131">
        <v>0.4</v>
      </c>
      <c r="H1131" s="2">
        <v>-5.2849999999999895</v>
      </c>
      <c r="I1131" s="2">
        <v>382.48</v>
      </c>
    </row>
    <row r="1132" spans="1:9" x14ac:dyDescent="0.3">
      <c r="A1132" t="str">
        <f t="shared" si="364"/>
        <v>United States</v>
      </c>
      <c r="B1132" t="str">
        <f t="shared" si="377"/>
        <v>Dallas</v>
      </c>
      <c r="C1132" t="str">
        <f t="shared" si="378"/>
        <v>First Class</v>
      </c>
      <c r="D1132" t="str">
        <f t="shared" si="379"/>
        <v>Consumer</v>
      </c>
      <c r="E1132" t="s">
        <v>25</v>
      </c>
      <c r="F1132">
        <v>3</v>
      </c>
      <c r="G1132">
        <v>0.3</v>
      </c>
      <c r="H1132" s="2">
        <v>-39.511800000000036</v>
      </c>
      <c r="I1132" s="2">
        <v>307.31400000000002</v>
      </c>
    </row>
    <row r="1133" spans="1:9" x14ac:dyDescent="0.3">
      <c r="A1133" t="str">
        <f t="shared" si="364"/>
        <v>United States</v>
      </c>
      <c r="B1133" t="str">
        <f t="shared" si="377"/>
        <v>Dallas</v>
      </c>
      <c r="C1133" t="str">
        <f t="shared" si="378"/>
        <v>First Class</v>
      </c>
      <c r="D1133" t="s">
        <v>15</v>
      </c>
      <c r="E1133" t="s">
        <v>23</v>
      </c>
      <c r="F1133">
        <v>2</v>
      </c>
      <c r="G1133">
        <v>0.2</v>
      </c>
      <c r="H1133" s="2">
        <v>-1.4994000000000067</v>
      </c>
      <c r="I1133" s="2">
        <v>39.984000000000002</v>
      </c>
    </row>
    <row r="1134" spans="1:9" x14ac:dyDescent="0.3">
      <c r="A1134" t="str">
        <f t="shared" si="364"/>
        <v>United States</v>
      </c>
      <c r="B1134" t="str">
        <f t="shared" si="377"/>
        <v>Dallas</v>
      </c>
      <c r="C1134" t="str">
        <f t="shared" si="378"/>
        <v>First Class</v>
      </c>
      <c r="D1134" t="str">
        <f t="shared" ref="D1134:D1139" si="380">D1133</f>
        <v>Corporate</v>
      </c>
      <c r="E1134" t="s">
        <v>20</v>
      </c>
      <c r="F1134">
        <v>2</v>
      </c>
      <c r="G1134">
        <v>0.8</v>
      </c>
      <c r="H1134" s="2">
        <v>-9.1560000000000006</v>
      </c>
      <c r="I1134" s="2">
        <v>6.1039999999999983</v>
      </c>
    </row>
    <row r="1135" spans="1:9" x14ac:dyDescent="0.3">
      <c r="A1135" t="str">
        <f t="shared" si="364"/>
        <v>United States</v>
      </c>
      <c r="B1135" t="str">
        <f t="shared" si="377"/>
        <v>Dallas</v>
      </c>
      <c r="C1135" t="str">
        <f t="shared" si="378"/>
        <v>First Class</v>
      </c>
      <c r="D1135" t="str">
        <f t="shared" si="380"/>
        <v>Corporate</v>
      </c>
      <c r="E1135" t="s">
        <v>43</v>
      </c>
      <c r="F1135">
        <v>4</v>
      </c>
      <c r="G1135">
        <v>0.2</v>
      </c>
      <c r="H1135" s="2">
        <v>5.6955999999999989</v>
      </c>
      <c r="I1135" s="2">
        <v>15.712000000000002</v>
      </c>
    </row>
    <row r="1136" spans="1:9" x14ac:dyDescent="0.3">
      <c r="A1136" t="str">
        <f t="shared" si="364"/>
        <v>United States</v>
      </c>
      <c r="B1136" t="str">
        <f t="shared" si="377"/>
        <v>Dallas</v>
      </c>
      <c r="C1136" t="str">
        <f t="shared" si="378"/>
        <v>First Class</v>
      </c>
      <c r="D1136" t="str">
        <f t="shared" si="380"/>
        <v>Corporate</v>
      </c>
      <c r="E1136" t="s">
        <v>16</v>
      </c>
      <c r="F1136">
        <v>9</v>
      </c>
      <c r="G1136">
        <v>0.4</v>
      </c>
      <c r="H1136" s="2">
        <v>42.064799999999998</v>
      </c>
      <c r="I1136" s="2">
        <v>114.59200000000001</v>
      </c>
    </row>
    <row r="1137" spans="1:9" x14ac:dyDescent="0.3">
      <c r="A1137" t="str">
        <f t="shared" si="364"/>
        <v>United States</v>
      </c>
      <c r="B1137" t="str">
        <f t="shared" si="377"/>
        <v>Dallas</v>
      </c>
      <c r="C1137" t="str">
        <f t="shared" si="378"/>
        <v>First Class</v>
      </c>
      <c r="D1137" t="str">
        <f t="shared" si="380"/>
        <v>Corporate</v>
      </c>
      <c r="E1137" t="s">
        <v>24</v>
      </c>
      <c r="F1137">
        <v>3</v>
      </c>
      <c r="G1137">
        <v>0.2</v>
      </c>
      <c r="H1137" s="2">
        <v>41.577299999999951</v>
      </c>
      <c r="I1137" s="2">
        <v>369.57600000000002</v>
      </c>
    </row>
    <row r="1138" spans="1:9" x14ac:dyDescent="0.3">
      <c r="A1138" t="str">
        <f t="shared" si="364"/>
        <v>United States</v>
      </c>
      <c r="B1138" t="str">
        <f t="shared" si="377"/>
        <v>Dallas</v>
      </c>
      <c r="C1138" t="str">
        <f t="shared" si="378"/>
        <v>First Class</v>
      </c>
      <c r="D1138" t="str">
        <f t="shared" si="380"/>
        <v>Corporate</v>
      </c>
      <c r="E1138" t="s">
        <v>14</v>
      </c>
      <c r="F1138">
        <v>5</v>
      </c>
      <c r="G1138">
        <v>0.2</v>
      </c>
      <c r="H1138" s="2">
        <v>54.056999999999988</v>
      </c>
      <c r="I1138" s="2">
        <v>720.7600000000001</v>
      </c>
    </row>
    <row r="1139" spans="1:9" x14ac:dyDescent="0.3">
      <c r="A1139" t="str">
        <f t="shared" si="364"/>
        <v>United States</v>
      </c>
      <c r="B1139" t="str">
        <f t="shared" si="377"/>
        <v>Dallas</v>
      </c>
      <c r="C1139" t="str">
        <f t="shared" si="378"/>
        <v>First Class</v>
      </c>
      <c r="D1139" t="str">
        <f t="shared" si="380"/>
        <v>Corporate</v>
      </c>
      <c r="E1139" t="s">
        <v>25</v>
      </c>
      <c r="F1139">
        <v>1</v>
      </c>
      <c r="G1139">
        <v>0.3</v>
      </c>
      <c r="H1139" s="2">
        <v>-31.033499999999989</v>
      </c>
      <c r="I1139" s="2">
        <v>127.785</v>
      </c>
    </row>
    <row r="1140" spans="1:9" x14ac:dyDescent="0.3">
      <c r="A1140" t="str">
        <f t="shared" si="364"/>
        <v>United States</v>
      </c>
      <c r="B1140" t="str">
        <f t="shared" si="377"/>
        <v>Dallas</v>
      </c>
      <c r="C1140" t="str">
        <f t="shared" si="378"/>
        <v>First Class</v>
      </c>
      <c r="D1140" t="s">
        <v>17</v>
      </c>
      <c r="E1140" t="s">
        <v>38</v>
      </c>
      <c r="F1140">
        <v>4</v>
      </c>
      <c r="G1140">
        <v>0.2</v>
      </c>
      <c r="H1140" s="2">
        <v>35.889999999999986</v>
      </c>
      <c r="I1140" s="2">
        <v>114.84800000000001</v>
      </c>
    </row>
    <row r="1141" spans="1:9" x14ac:dyDescent="0.3">
      <c r="A1141" t="str">
        <f t="shared" si="364"/>
        <v>United States</v>
      </c>
      <c r="B1141" t="str">
        <f t="shared" si="377"/>
        <v>Dallas</v>
      </c>
      <c r="C1141" t="str">
        <f t="shared" si="378"/>
        <v>First Class</v>
      </c>
      <c r="D1141" t="str">
        <f>D1140</f>
        <v>Home Office</v>
      </c>
      <c r="E1141" t="s">
        <v>25</v>
      </c>
      <c r="F1141">
        <v>6</v>
      </c>
      <c r="G1141">
        <v>0.3</v>
      </c>
      <c r="H1141" s="2">
        <v>-4.2588000000000363</v>
      </c>
      <c r="I1141" s="2">
        <v>298.11599999999999</v>
      </c>
    </row>
    <row r="1142" spans="1:9" x14ac:dyDescent="0.3">
      <c r="A1142" t="str">
        <f t="shared" si="364"/>
        <v>United States</v>
      </c>
      <c r="B1142" t="str">
        <f t="shared" si="377"/>
        <v>Dallas</v>
      </c>
      <c r="C1142" t="s">
        <v>27</v>
      </c>
      <c r="D1142" t="s">
        <v>8</v>
      </c>
      <c r="E1142" t="s">
        <v>19</v>
      </c>
      <c r="F1142">
        <v>2</v>
      </c>
      <c r="G1142">
        <v>0.2</v>
      </c>
      <c r="H1142" s="2">
        <v>0.3335999999999999</v>
      </c>
      <c r="I1142" s="2">
        <v>4.4479999999999995</v>
      </c>
    </row>
    <row r="1143" spans="1:9" x14ac:dyDescent="0.3">
      <c r="A1143" t="str">
        <f t="shared" si="364"/>
        <v>United States</v>
      </c>
      <c r="B1143" t="str">
        <f t="shared" si="377"/>
        <v>Dallas</v>
      </c>
      <c r="C1143" t="str">
        <f t="shared" ref="C1143:C1147" si="381">C1142</f>
        <v>Same Day</v>
      </c>
      <c r="D1143" t="str">
        <f t="shared" ref="D1143:D1146" si="382">D1142</f>
        <v>Consumer</v>
      </c>
      <c r="E1143" t="s">
        <v>21</v>
      </c>
      <c r="F1143">
        <v>8</v>
      </c>
      <c r="G1143">
        <v>1.2</v>
      </c>
      <c r="H1143" s="2">
        <v>-103.74840000000002</v>
      </c>
      <c r="I1143" s="2">
        <v>147.56800000000001</v>
      </c>
    </row>
    <row r="1144" spans="1:9" x14ac:dyDescent="0.3">
      <c r="A1144" t="str">
        <f t="shared" si="364"/>
        <v>United States</v>
      </c>
      <c r="B1144" t="str">
        <f t="shared" si="377"/>
        <v>Dallas</v>
      </c>
      <c r="C1144" t="str">
        <f t="shared" si="381"/>
        <v>Same Day</v>
      </c>
      <c r="D1144" t="str">
        <f t="shared" si="382"/>
        <v>Consumer</v>
      </c>
      <c r="E1144" t="s">
        <v>16</v>
      </c>
      <c r="F1144">
        <v>5</v>
      </c>
      <c r="G1144">
        <v>0.60000000000000009</v>
      </c>
      <c r="H1144" s="2">
        <v>9.1928000000000001</v>
      </c>
      <c r="I1144" s="2">
        <v>26.080000000000005</v>
      </c>
    </row>
    <row r="1145" spans="1:9" x14ac:dyDescent="0.3">
      <c r="A1145" t="str">
        <f t="shared" si="364"/>
        <v>United States</v>
      </c>
      <c r="B1145" t="str">
        <f t="shared" si="377"/>
        <v>Dallas</v>
      </c>
      <c r="C1145" t="str">
        <f t="shared" si="381"/>
        <v>Same Day</v>
      </c>
      <c r="D1145" t="str">
        <f t="shared" si="382"/>
        <v>Consumer</v>
      </c>
      <c r="E1145" t="s">
        <v>14</v>
      </c>
      <c r="F1145">
        <v>6</v>
      </c>
      <c r="G1145">
        <v>0.2</v>
      </c>
      <c r="H1145" s="2">
        <v>4.0643999999999973</v>
      </c>
      <c r="I1145" s="2">
        <v>54.192</v>
      </c>
    </row>
    <row r="1146" spans="1:9" x14ac:dyDescent="0.3">
      <c r="A1146" t="str">
        <f t="shared" si="364"/>
        <v>United States</v>
      </c>
      <c r="B1146" t="str">
        <f t="shared" si="377"/>
        <v>Dallas</v>
      </c>
      <c r="C1146" t="str">
        <f t="shared" si="381"/>
        <v>Same Day</v>
      </c>
      <c r="D1146" t="str">
        <f t="shared" si="382"/>
        <v>Consumer</v>
      </c>
      <c r="E1146" t="s">
        <v>25</v>
      </c>
      <c r="F1146">
        <v>2</v>
      </c>
      <c r="G1146">
        <v>0.3</v>
      </c>
      <c r="H1146" s="2">
        <v>-68.130199999999988</v>
      </c>
      <c r="I1146" s="2">
        <v>251.00599999999997</v>
      </c>
    </row>
    <row r="1147" spans="1:9" x14ac:dyDescent="0.3">
      <c r="A1147" t="str">
        <f t="shared" si="364"/>
        <v>United States</v>
      </c>
      <c r="B1147" t="str">
        <f t="shared" si="377"/>
        <v>Dallas</v>
      </c>
      <c r="C1147" t="str">
        <f t="shared" si="381"/>
        <v>Same Day</v>
      </c>
      <c r="D1147" t="s">
        <v>17</v>
      </c>
      <c r="E1147" t="s">
        <v>16</v>
      </c>
      <c r="F1147">
        <v>3</v>
      </c>
      <c r="G1147">
        <v>0.2</v>
      </c>
      <c r="H1147" s="2">
        <v>3.2099999999999982</v>
      </c>
      <c r="I1147" s="2">
        <v>10.272000000000002</v>
      </c>
    </row>
    <row r="1148" spans="1:9" x14ac:dyDescent="0.3">
      <c r="A1148" t="str">
        <f t="shared" si="364"/>
        <v>United States</v>
      </c>
      <c r="B1148" t="str">
        <f t="shared" si="377"/>
        <v>Dallas</v>
      </c>
      <c r="C1148" t="s">
        <v>7</v>
      </c>
      <c r="D1148" t="s">
        <v>8</v>
      </c>
      <c r="E1148" t="s">
        <v>23</v>
      </c>
      <c r="F1148">
        <v>13</v>
      </c>
      <c r="G1148">
        <v>0.8</v>
      </c>
      <c r="H1148" s="2">
        <v>78.155699999999939</v>
      </c>
      <c r="I1148" s="2">
        <v>806.5440000000001</v>
      </c>
    </row>
    <row r="1149" spans="1:9" x14ac:dyDescent="0.3">
      <c r="A1149" t="str">
        <f t="shared" si="364"/>
        <v>United States</v>
      </c>
      <c r="B1149" t="str">
        <f t="shared" si="377"/>
        <v>Dallas</v>
      </c>
      <c r="C1149" t="str">
        <f t="shared" ref="C1149:C1161" si="383">C1148</f>
        <v>Second Class</v>
      </c>
      <c r="D1149" t="str">
        <f t="shared" ref="D1149:D1156" si="384">D1148</f>
        <v>Consumer</v>
      </c>
      <c r="E1149" t="s">
        <v>12</v>
      </c>
      <c r="F1149">
        <v>2</v>
      </c>
      <c r="G1149">
        <v>0.8</v>
      </c>
      <c r="H1149" s="2">
        <v>-178.96680000000001</v>
      </c>
      <c r="I1149" s="2">
        <v>66.283999999999992</v>
      </c>
    </row>
    <row r="1150" spans="1:9" x14ac:dyDescent="0.3">
      <c r="A1150" t="str">
        <f t="shared" si="364"/>
        <v>United States</v>
      </c>
      <c r="B1150" t="str">
        <f t="shared" si="377"/>
        <v>Dallas</v>
      </c>
      <c r="C1150" t="str">
        <f t="shared" si="383"/>
        <v>Second Class</v>
      </c>
      <c r="D1150" t="str">
        <f t="shared" si="384"/>
        <v>Consumer</v>
      </c>
      <c r="E1150" t="s">
        <v>19</v>
      </c>
      <c r="F1150">
        <v>6</v>
      </c>
      <c r="G1150">
        <v>0.4</v>
      </c>
      <c r="H1150" s="2">
        <v>2.3732999999999982</v>
      </c>
      <c r="I1150" s="2">
        <v>21.095999999999997</v>
      </c>
    </row>
    <row r="1151" spans="1:9" x14ac:dyDescent="0.3">
      <c r="A1151" t="str">
        <f t="shared" si="364"/>
        <v>United States</v>
      </c>
      <c r="B1151" t="str">
        <f t="shared" si="377"/>
        <v>Dallas</v>
      </c>
      <c r="C1151" t="str">
        <f t="shared" si="383"/>
        <v>Second Class</v>
      </c>
      <c r="D1151" t="str">
        <f t="shared" si="384"/>
        <v>Consumer</v>
      </c>
      <c r="E1151" t="s">
        <v>20</v>
      </c>
      <c r="F1151">
        <v>1</v>
      </c>
      <c r="G1151">
        <v>0.8</v>
      </c>
      <c r="H1151" s="2">
        <v>-2.8380000000000001</v>
      </c>
      <c r="I1151" s="2">
        <v>1.7199999999999995</v>
      </c>
    </row>
    <row r="1152" spans="1:9" x14ac:dyDescent="0.3">
      <c r="A1152" t="str">
        <f t="shared" si="364"/>
        <v>United States</v>
      </c>
      <c r="B1152" t="str">
        <f t="shared" si="377"/>
        <v>Dallas</v>
      </c>
      <c r="C1152" t="str">
        <f t="shared" si="383"/>
        <v>Second Class</v>
      </c>
      <c r="D1152" t="str">
        <f t="shared" si="384"/>
        <v>Consumer</v>
      </c>
      <c r="E1152" t="s">
        <v>34</v>
      </c>
      <c r="F1152">
        <v>10</v>
      </c>
      <c r="G1152">
        <v>0.64</v>
      </c>
      <c r="H1152" s="2">
        <v>-443.56000000000023</v>
      </c>
      <c r="I1152" s="2">
        <v>1557.0639999999999</v>
      </c>
    </row>
    <row r="1153" spans="1:9" x14ac:dyDescent="0.3">
      <c r="A1153" t="str">
        <f t="shared" si="364"/>
        <v>United States</v>
      </c>
      <c r="B1153" t="str">
        <f t="shared" si="377"/>
        <v>Dallas</v>
      </c>
      <c r="C1153" t="str">
        <f t="shared" si="383"/>
        <v>Second Class</v>
      </c>
      <c r="D1153" t="str">
        <f t="shared" si="384"/>
        <v>Consumer</v>
      </c>
      <c r="E1153" t="s">
        <v>18</v>
      </c>
      <c r="F1153">
        <v>7</v>
      </c>
      <c r="G1153">
        <v>0.4</v>
      </c>
      <c r="H1153" s="2">
        <v>4.4983999999999993</v>
      </c>
      <c r="I1153" s="2">
        <v>15.512</v>
      </c>
    </row>
    <row r="1154" spans="1:9" x14ac:dyDescent="0.3">
      <c r="A1154" t="str">
        <f t="shared" si="364"/>
        <v>United States</v>
      </c>
      <c r="B1154" t="str">
        <f t="shared" si="377"/>
        <v>Dallas</v>
      </c>
      <c r="C1154" t="str">
        <f t="shared" si="383"/>
        <v>Second Class</v>
      </c>
      <c r="D1154" t="str">
        <f t="shared" si="384"/>
        <v>Consumer</v>
      </c>
      <c r="E1154" t="s">
        <v>21</v>
      </c>
      <c r="F1154">
        <v>5</v>
      </c>
      <c r="G1154">
        <v>0.6</v>
      </c>
      <c r="H1154" s="2">
        <v>-19.863999999999997</v>
      </c>
      <c r="I1154" s="2">
        <v>30.560000000000002</v>
      </c>
    </row>
    <row r="1155" spans="1:9" x14ac:dyDescent="0.3">
      <c r="A1155" t="str">
        <f t="shared" si="364"/>
        <v>United States</v>
      </c>
      <c r="B1155" t="str">
        <f t="shared" si="377"/>
        <v>Dallas</v>
      </c>
      <c r="C1155" t="str">
        <f t="shared" si="383"/>
        <v>Second Class</v>
      </c>
      <c r="D1155" t="str">
        <f t="shared" si="384"/>
        <v>Consumer</v>
      </c>
      <c r="E1155" t="s">
        <v>16</v>
      </c>
      <c r="F1155">
        <v>12</v>
      </c>
      <c r="G1155">
        <v>1</v>
      </c>
      <c r="H1155" s="2">
        <v>49.79679999999999</v>
      </c>
      <c r="I1155" s="2">
        <v>154.68800000000002</v>
      </c>
    </row>
    <row r="1156" spans="1:9" x14ac:dyDescent="0.3">
      <c r="A1156" t="str">
        <f t="shared" ref="A1156:A1219" si="385">A1155</f>
        <v>United States</v>
      </c>
      <c r="B1156" t="str">
        <f t="shared" si="377"/>
        <v>Dallas</v>
      </c>
      <c r="C1156" t="str">
        <f t="shared" si="383"/>
        <v>Second Class</v>
      </c>
      <c r="D1156" t="str">
        <f t="shared" si="384"/>
        <v>Consumer</v>
      </c>
      <c r="E1156" t="s">
        <v>14</v>
      </c>
      <c r="F1156">
        <v>5</v>
      </c>
      <c r="G1156">
        <v>0.2</v>
      </c>
      <c r="H1156" s="2">
        <v>3.6679999999999993</v>
      </c>
      <c r="I1156" s="2">
        <v>41.92</v>
      </c>
    </row>
    <row r="1157" spans="1:9" x14ac:dyDescent="0.3">
      <c r="A1157" t="str">
        <f t="shared" si="385"/>
        <v>United States</v>
      </c>
      <c r="B1157" t="str">
        <f t="shared" si="377"/>
        <v>Dallas</v>
      </c>
      <c r="C1157" t="str">
        <f t="shared" si="383"/>
        <v>Second Class</v>
      </c>
      <c r="D1157" t="s">
        <v>15</v>
      </c>
      <c r="E1157" t="s">
        <v>23</v>
      </c>
      <c r="F1157">
        <v>4</v>
      </c>
      <c r="G1157">
        <v>0.4</v>
      </c>
      <c r="H1157" s="2">
        <v>23.294600000000003</v>
      </c>
      <c r="I1157" s="2">
        <v>79.215999999999994</v>
      </c>
    </row>
    <row r="1158" spans="1:9" x14ac:dyDescent="0.3">
      <c r="A1158" t="str">
        <f t="shared" si="385"/>
        <v>United States</v>
      </c>
      <c r="B1158" t="str">
        <f t="shared" ref="B1158:B1189" si="386">B1157</f>
        <v>Dallas</v>
      </c>
      <c r="C1158" t="str">
        <f t="shared" si="383"/>
        <v>Second Class</v>
      </c>
      <c r="D1158" t="str">
        <f t="shared" ref="D1158:D1160" si="387">D1157</f>
        <v>Corporate</v>
      </c>
      <c r="E1158" t="s">
        <v>16</v>
      </c>
      <c r="F1158">
        <v>3</v>
      </c>
      <c r="G1158">
        <v>0.2</v>
      </c>
      <c r="H1158" s="2">
        <v>28.706399999999991</v>
      </c>
      <c r="I1158" s="2">
        <v>85.055999999999997</v>
      </c>
    </row>
    <row r="1159" spans="1:9" x14ac:dyDescent="0.3">
      <c r="A1159" t="str">
        <f t="shared" si="385"/>
        <v>United States</v>
      </c>
      <c r="B1159" t="str">
        <f t="shared" si="386"/>
        <v>Dallas</v>
      </c>
      <c r="C1159" t="str">
        <f t="shared" si="383"/>
        <v>Second Class</v>
      </c>
      <c r="D1159" t="str">
        <f t="shared" si="387"/>
        <v>Corporate</v>
      </c>
      <c r="E1159" t="s">
        <v>24</v>
      </c>
      <c r="F1159">
        <v>7</v>
      </c>
      <c r="G1159">
        <v>0.4</v>
      </c>
      <c r="H1159" s="2">
        <v>84.054599999999937</v>
      </c>
      <c r="I1159" s="2">
        <v>874.34400000000005</v>
      </c>
    </row>
    <row r="1160" spans="1:9" x14ac:dyDescent="0.3">
      <c r="A1160" t="str">
        <f t="shared" si="385"/>
        <v>United States</v>
      </c>
      <c r="B1160" t="str">
        <f t="shared" si="386"/>
        <v>Dallas</v>
      </c>
      <c r="C1160" t="str">
        <f t="shared" si="383"/>
        <v>Second Class</v>
      </c>
      <c r="D1160" t="str">
        <f t="shared" si="387"/>
        <v>Corporate</v>
      </c>
      <c r="E1160" t="s">
        <v>9</v>
      </c>
      <c r="F1160">
        <v>3</v>
      </c>
      <c r="G1160">
        <v>0.2</v>
      </c>
      <c r="H1160" s="2">
        <v>2.0789999999999997</v>
      </c>
      <c r="I1160" s="2">
        <v>23.76</v>
      </c>
    </row>
    <row r="1161" spans="1:9" x14ac:dyDescent="0.3">
      <c r="A1161" t="str">
        <f t="shared" si="385"/>
        <v>United States</v>
      </c>
      <c r="B1161" t="str">
        <f t="shared" si="386"/>
        <v>Dallas</v>
      </c>
      <c r="C1161" t="str">
        <f t="shared" si="383"/>
        <v>Second Class</v>
      </c>
      <c r="D1161" t="s">
        <v>17</v>
      </c>
      <c r="E1161" t="s">
        <v>21</v>
      </c>
      <c r="F1161">
        <v>4</v>
      </c>
      <c r="G1161">
        <v>0.6</v>
      </c>
      <c r="H1161" s="2">
        <v>-12.006399999999999</v>
      </c>
      <c r="I1161" s="2">
        <v>15.008000000000003</v>
      </c>
    </row>
    <row r="1162" spans="1:9" x14ac:dyDescent="0.3">
      <c r="A1162" t="str">
        <f t="shared" si="385"/>
        <v>United States</v>
      </c>
      <c r="B1162" t="str">
        <f t="shared" si="386"/>
        <v>Dallas</v>
      </c>
      <c r="C1162" t="s">
        <v>22</v>
      </c>
      <c r="D1162" t="s">
        <v>8</v>
      </c>
      <c r="E1162" t="s">
        <v>23</v>
      </c>
      <c r="F1162">
        <v>10</v>
      </c>
      <c r="G1162">
        <v>0.4</v>
      </c>
      <c r="H1162" s="2">
        <v>1.1725999999999921</v>
      </c>
      <c r="I1162" s="2">
        <v>98.096000000000004</v>
      </c>
    </row>
    <row r="1163" spans="1:9" x14ac:dyDescent="0.3">
      <c r="A1163" t="str">
        <f t="shared" si="385"/>
        <v>United States</v>
      </c>
      <c r="B1163" t="str">
        <f t="shared" si="386"/>
        <v>Dallas</v>
      </c>
      <c r="C1163" t="str">
        <f t="shared" ref="C1163:C1196" si="388">C1162</f>
        <v>Standard Class</v>
      </c>
      <c r="D1163" t="str">
        <f t="shared" ref="D1163:D1173" si="389">D1162</f>
        <v>Consumer</v>
      </c>
      <c r="E1163" t="s">
        <v>12</v>
      </c>
      <c r="F1163">
        <v>4</v>
      </c>
      <c r="G1163">
        <v>1.6</v>
      </c>
      <c r="H1163" s="2">
        <v>-94.410000000000011</v>
      </c>
      <c r="I1163" s="2">
        <v>40.151999999999987</v>
      </c>
    </row>
    <row r="1164" spans="1:9" x14ac:dyDescent="0.3">
      <c r="A1164" t="str">
        <f t="shared" si="385"/>
        <v>United States</v>
      </c>
      <c r="B1164" t="str">
        <f t="shared" si="386"/>
        <v>Dallas</v>
      </c>
      <c r="C1164" t="str">
        <f t="shared" si="388"/>
        <v>Standard Class</v>
      </c>
      <c r="D1164" t="str">
        <f t="shared" si="389"/>
        <v>Consumer</v>
      </c>
      <c r="E1164" t="s">
        <v>19</v>
      </c>
      <c r="F1164">
        <v>13</v>
      </c>
      <c r="G1164">
        <v>0.8</v>
      </c>
      <c r="H1164" s="2">
        <v>31.04819999999998</v>
      </c>
      <c r="I1164" s="2">
        <v>273.30399999999997</v>
      </c>
    </row>
    <row r="1165" spans="1:9" x14ac:dyDescent="0.3">
      <c r="A1165" t="str">
        <f t="shared" si="385"/>
        <v>United States</v>
      </c>
      <c r="B1165" t="str">
        <f t="shared" si="386"/>
        <v>Dallas</v>
      </c>
      <c r="C1165" t="str">
        <f t="shared" si="388"/>
        <v>Standard Class</v>
      </c>
      <c r="D1165" t="str">
        <f t="shared" si="389"/>
        <v>Consumer</v>
      </c>
      <c r="E1165" t="s">
        <v>20</v>
      </c>
      <c r="F1165">
        <v>32</v>
      </c>
      <c r="G1165">
        <v>5.6</v>
      </c>
      <c r="H1165" s="2">
        <v>-179.38119999999998</v>
      </c>
      <c r="I1165" s="2">
        <v>114.72199999999997</v>
      </c>
    </row>
    <row r="1166" spans="1:9" x14ac:dyDescent="0.3">
      <c r="A1166" t="str">
        <f t="shared" si="385"/>
        <v>United States</v>
      </c>
      <c r="B1166" t="str">
        <f t="shared" si="386"/>
        <v>Dallas</v>
      </c>
      <c r="C1166" t="str">
        <f t="shared" si="388"/>
        <v>Standard Class</v>
      </c>
      <c r="D1166" t="str">
        <f t="shared" si="389"/>
        <v>Consumer</v>
      </c>
      <c r="E1166" t="s">
        <v>18</v>
      </c>
      <c r="F1166">
        <v>7</v>
      </c>
      <c r="G1166">
        <v>0.4</v>
      </c>
      <c r="H1166" s="2">
        <v>-2.8992000000000004</v>
      </c>
      <c r="I1166" s="2">
        <v>19.416</v>
      </c>
    </row>
    <row r="1167" spans="1:9" x14ac:dyDescent="0.3">
      <c r="A1167" t="str">
        <f t="shared" si="385"/>
        <v>United States</v>
      </c>
      <c r="B1167" t="str">
        <f t="shared" si="386"/>
        <v>Dallas</v>
      </c>
      <c r="C1167" t="str">
        <f t="shared" si="388"/>
        <v>Standard Class</v>
      </c>
      <c r="D1167" t="str">
        <f t="shared" si="389"/>
        <v>Consumer</v>
      </c>
      <c r="E1167" t="s">
        <v>21</v>
      </c>
      <c r="F1167">
        <v>13</v>
      </c>
      <c r="G1167">
        <v>1.7999999999999998</v>
      </c>
      <c r="H1167" s="2">
        <v>-142.53960000000004</v>
      </c>
      <c r="I1167" s="2">
        <v>184.63600000000002</v>
      </c>
    </row>
    <row r="1168" spans="1:9" x14ac:dyDescent="0.3">
      <c r="A1168" t="str">
        <f t="shared" si="385"/>
        <v>United States</v>
      </c>
      <c r="B1168" t="str">
        <f t="shared" si="386"/>
        <v>Dallas</v>
      </c>
      <c r="C1168" t="str">
        <f t="shared" si="388"/>
        <v>Standard Class</v>
      </c>
      <c r="D1168" t="str">
        <f t="shared" si="389"/>
        <v>Consumer</v>
      </c>
      <c r="E1168" t="s">
        <v>43</v>
      </c>
      <c r="F1168">
        <v>4</v>
      </c>
      <c r="G1168">
        <v>0.4</v>
      </c>
      <c r="H1168" s="2">
        <v>3.4495999999999993</v>
      </c>
      <c r="I1168" s="2">
        <v>9.8560000000000016</v>
      </c>
    </row>
    <row r="1169" spans="1:9" x14ac:dyDescent="0.3">
      <c r="A1169" t="str">
        <f t="shared" si="385"/>
        <v>United States</v>
      </c>
      <c r="B1169" t="str">
        <f t="shared" si="386"/>
        <v>Dallas</v>
      </c>
      <c r="C1169" t="str">
        <f t="shared" si="388"/>
        <v>Standard Class</v>
      </c>
      <c r="D1169" t="str">
        <f t="shared" si="389"/>
        <v>Consumer</v>
      </c>
      <c r="E1169" t="s">
        <v>16</v>
      </c>
      <c r="F1169">
        <v>10</v>
      </c>
      <c r="G1169">
        <v>0.60000000000000009</v>
      </c>
      <c r="H1169" s="2">
        <v>12.566799999999997</v>
      </c>
      <c r="I1169" s="2">
        <v>35.032000000000004</v>
      </c>
    </row>
    <row r="1170" spans="1:9" x14ac:dyDescent="0.3">
      <c r="A1170" t="str">
        <f t="shared" si="385"/>
        <v>United States</v>
      </c>
      <c r="B1170" t="str">
        <f t="shared" si="386"/>
        <v>Dallas</v>
      </c>
      <c r="C1170" t="str">
        <f t="shared" si="388"/>
        <v>Standard Class</v>
      </c>
      <c r="D1170" t="str">
        <f t="shared" si="389"/>
        <v>Consumer</v>
      </c>
      <c r="E1170" t="s">
        <v>24</v>
      </c>
      <c r="F1170">
        <v>11</v>
      </c>
      <c r="G1170">
        <v>0.4</v>
      </c>
      <c r="H1170" s="2">
        <v>68.912400000000005</v>
      </c>
      <c r="I1170" s="2">
        <v>853.51200000000017</v>
      </c>
    </row>
    <row r="1171" spans="1:9" x14ac:dyDescent="0.3">
      <c r="A1171" t="str">
        <f t="shared" si="385"/>
        <v>United States</v>
      </c>
      <c r="B1171" t="str">
        <f t="shared" si="386"/>
        <v>Dallas</v>
      </c>
      <c r="C1171" t="str">
        <f t="shared" si="388"/>
        <v>Standard Class</v>
      </c>
      <c r="D1171" t="str">
        <f t="shared" si="389"/>
        <v>Consumer</v>
      </c>
      <c r="E1171" t="s">
        <v>14</v>
      </c>
      <c r="F1171">
        <v>13</v>
      </c>
      <c r="G1171">
        <v>1</v>
      </c>
      <c r="H1171" s="2">
        <v>-32.490099999999998</v>
      </c>
      <c r="I1171" s="2">
        <v>1023.936</v>
      </c>
    </row>
    <row r="1172" spans="1:9" x14ac:dyDescent="0.3">
      <c r="A1172" t="str">
        <f t="shared" si="385"/>
        <v>United States</v>
      </c>
      <c r="B1172" t="str">
        <f t="shared" si="386"/>
        <v>Dallas</v>
      </c>
      <c r="C1172" t="str">
        <f t="shared" si="388"/>
        <v>Standard Class</v>
      </c>
      <c r="D1172" t="str">
        <f t="shared" si="389"/>
        <v>Consumer</v>
      </c>
      <c r="E1172" t="s">
        <v>9</v>
      </c>
      <c r="F1172">
        <v>17</v>
      </c>
      <c r="G1172">
        <v>0.8</v>
      </c>
      <c r="H1172" s="2">
        <v>1.1245999999999841</v>
      </c>
      <c r="I1172" s="2">
        <v>162.56</v>
      </c>
    </row>
    <row r="1173" spans="1:9" x14ac:dyDescent="0.3">
      <c r="A1173" t="str">
        <f t="shared" si="385"/>
        <v>United States</v>
      </c>
      <c r="B1173" t="str">
        <f t="shared" si="386"/>
        <v>Dallas</v>
      </c>
      <c r="C1173" t="str">
        <f t="shared" si="388"/>
        <v>Standard Class</v>
      </c>
      <c r="D1173" t="str">
        <f t="shared" si="389"/>
        <v>Consumer</v>
      </c>
      <c r="E1173" t="s">
        <v>25</v>
      </c>
      <c r="F1173">
        <v>4</v>
      </c>
      <c r="G1173">
        <v>0.3</v>
      </c>
      <c r="H1173" s="2">
        <v>-173.34719999999999</v>
      </c>
      <c r="I1173" s="2">
        <v>933.40800000000002</v>
      </c>
    </row>
    <row r="1174" spans="1:9" x14ac:dyDescent="0.3">
      <c r="A1174" t="str">
        <f t="shared" si="385"/>
        <v>United States</v>
      </c>
      <c r="B1174" t="str">
        <f t="shared" si="386"/>
        <v>Dallas</v>
      </c>
      <c r="C1174" t="str">
        <f t="shared" si="388"/>
        <v>Standard Class</v>
      </c>
      <c r="D1174" t="s">
        <v>15</v>
      </c>
      <c r="E1174" t="s">
        <v>12</v>
      </c>
      <c r="F1174">
        <v>5</v>
      </c>
      <c r="G1174">
        <v>1.6</v>
      </c>
      <c r="H1174" s="2">
        <v>-134.55920000000003</v>
      </c>
      <c r="I1174" s="2">
        <v>53.623999999999988</v>
      </c>
    </row>
    <row r="1175" spans="1:9" x14ac:dyDescent="0.3">
      <c r="A1175" t="str">
        <f t="shared" si="385"/>
        <v>United States</v>
      </c>
      <c r="B1175" t="str">
        <f t="shared" si="386"/>
        <v>Dallas</v>
      </c>
      <c r="C1175" t="str">
        <f t="shared" si="388"/>
        <v>Standard Class</v>
      </c>
      <c r="D1175" t="str">
        <f t="shared" ref="D1175:D1186" si="390">D1174</f>
        <v>Corporate</v>
      </c>
      <c r="E1175" t="s">
        <v>19</v>
      </c>
      <c r="F1175">
        <v>2</v>
      </c>
      <c r="G1175">
        <v>0.2</v>
      </c>
      <c r="H1175" s="2">
        <v>6.1572000000000031</v>
      </c>
      <c r="I1175" s="2">
        <v>70.367999999999995</v>
      </c>
    </row>
    <row r="1176" spans="1:9" x14ac:dyDescent="0.3">
      <c r="A1176" t="str">
        <f t="shared" si="385"/>
        <v>United States</v>
      </c>
      <c r="B1176" t="str">
        <f t="shared" si="386"/>
        <v>Dallas</v>
      </c>
      <c r="C1176" t="str">
        <f t="shared" si="388"/>
        <v>Standard Class</v>
      </c>
      <c r="D1176" t="str">
        <f t="shared" si="390"/>
        <v>Corporate</v>
      </c>
      <c r="E1176" t="s">
        <v>20</v>
      </c>
      <c r="F1176">
        <v>26</v>
      </c>
      <c r="G1176">
        <v>5.6</v>
      </c>
      <c r="H1176" s="2">
        <v>-1196.9652000000001</v>
      </c>
      <c r="I1176" s="2">
        <v>795.28199999999981</v>
      </c>
    </row>
    <row r="1177" spans="1:9" x14ac:dyDescent="0.3">
      <c r="A1177" t="str">
        <f t="shared" si="385"/>
        <v>United States</v>
      </c>
      <c r="B1177" t="str">
        <f t="shared" si="386"/>
        <v>Dallas</v>
      </c>
      <c r="C1177" t="str">
        <f t="shared" si="388"/>
        <v>Standard Class</v>
      </c>
      <c r="D1177" t="str">
        <f t="shared" si="390"/>
        <v>Corporate</v>
      </c>
      <c r="E1177" t="s">
        <v>34</v>
      </c>
      <c r="F1177">
        <v>3</v>
      </c>
      <c r="G1177">
        <v>0.32</v>
      </c>
      <c r="H1177" s="2">
        <v>-27.264600000000016</v>
      </c>
      <c r="I1177" s="2">
        <v>205.99919999999997</v>
      </c>
    </row>
    <row r="1178" spans="1:9" x14ac:dyDescent="0.3">
      <c r="A1178" t="str">
        <f t="shared" si="385"/>
        <v>United States</v>
      </c>
      <c r="B1178" t="str">
        <f t="shared" si="386"/>
        <v>Dallas</v>
      </c>
      <c r="C1178" t="str">
        <f t="shared" si="388"/>
        <v>Standard Class</v>
      </c>
      <c r="D1178" t="str">
        <f t="shared" si="390"/>
        <v>Corporate</v>
      </c>
      <c r="E1178" t="s">
        <v>33</v>
      </c>
      <c r="F1178">
        <v>5</v>
      </c>
      <c r="G1178">
        <v>0.3</v>
      </c>
      <c r="H1178" s="2">
        <v>-93.989999999999952</v>
      </c>
      <c r="I1178" s="2">
        <v>657.93</v>
      </c>
    </row>
    <row r="1179" spans="1:9" x14ac:dyDescent="0.3">
      <c r="A1179" t="str">
        <f t="shared" si="385"/>
        <v>United States</v>
      </c>
      <c r="B1179" t="str">
        <f t="shared" si="386"/>
        <v>Dallas</v>
      </c>
      <c r="C1179" t="str">
        <f t="shared" si="388"/>
        <v>Standard Class</v>
      </c>
      <c r="D1179" t="str">
        <f t="shared" si="390"/>
        <v>Corporate</v>
      </c>
      <c r="E1179" t="s">
        <v>38</v>
      </c>
      <c r="F1179">
        <v>11</v>
      </c>
      <c r="G1179">
        <v>0.8</v>
      </c>
      <c r="H1179" s="2">
        <v>86.174099999999981</v>
      </c>
      <c r="I1179" s="2">
        <v>254.74400000000003</v>
      </c>
    </row>
    <row r="1180" spans="1:9" x14ac:dyDescent="0.3">
      <c r="A1180" t="str">
        <f t="shared" si="385"/>
        <v>United States</v>
      </c>
      <c r="B1180" t="str">
        <f t="shared" si="386"/>
        <v>Dallas</v>
      </c>
      <c r="C1180" t="str">
        <f t="shared" si="388"/>
        <v>Standard Class</v>
      </c>
      <c r="D1180" t="str">
        <f t="shared" si="390"/>
        <v>Corporate</v>
      </c>
      <c r="E1180" t="s">
        <v>21</v>
      </c>
      <c r="F1180">
        <v>17</v>
      </c>
      <c r="G1180">
        <v>1.7999999999999998</v>
      </c>
      <c r="H1180" s="2">
        <v>-431.02890000000002</v>
      </c>
      <c r="I1180" s="2">
        <v>419.56799999999998</v>
      </c>
    </row>
    <row r="1181" spans="1:9" x14ac:dyDescent="0.3">
      <c r="A1181" t="str">
        <f t="shared" si="385"/>
        <v>United States</v>
      </c>
      <c r="B1181" t="str">
        <f t="shared" si="386"/>
        <v>Dallas</v>
      </c>
      <c r="C1181" t="str">
        <f t="shared" si="388"/>
        <v>Standard Class</v>
      </c>
      <c r="D1181" t="str">
        <f t="shared" si="390"/>
        <v>Corporate</v>
      </c>
      <c r="E1181" t="s">
        <v>46</v>
      </c>
      <c r="F1181">
        <v>2</v>
      </c>
      <c r="G1181">
        <v>0.4</v>
      </c>
      <c r="H1181" s="2">
        <v>55.998599999999954</v>
      </c>
      <c r="I1181" s="2">
        <v>479.988</v>
      </c>
    </row>
    <row r="1182" spans="1:9" x14ac:dyDescent="0.3">
      <c r="A1182" t="str">
        <f t="shared" si="385"/>
        <v>United States</v>
      </c>
      <c r="B1182" t="str">
        <f t="shared" si="386"/>
        <v>Dallas</v>
      </c>
      <c r="C1182" t="str">
        <f t="shared" si="388"/>
        <v>Standard Class</v>
      </c>
      <c r="D1182" t="str">
        <f t="shared" si="390"/>
        <v>Corporate</v>
      </c>
      <c r="E1182" t="s">
        <v>16</v>
      </c>
      <c r="F1182">
        <v>31</v>
      </c>
      <c r="G1182">
        <v>1.5999999999999999</v>
      </c>
      <c r="H1182" s="2">
        <v>77.211000000000013</v>
      </c>
      <c r="I1182" s="2">
        <v>213.648</v>
      </c>
    </row>
    <row r="1183" spans="1:9" x14ac:dyDescent="0.3">
      <c r="A1183" t="str">
        <f t="shared" si="385"/>
        <v>United States</v>
      </c>
      <c r="B1183" t="str">
        <f t="shared" si="386"/>
        <v>Dallas</v>
      </c>
      <c r="C1183" t="str">
        <f t="shared" si="388"/>
        <v>Standard Class</v>
      </c>
      <c r="D1183" t="str">
        <f t="shared" si="390"/>
        <v>Corporate</v>
      </c>
      <c r="E1183" t="s">
        <v>24</v>
      </c>
      <c r="F1183">
        <v>17</v>
      </c>
      <c r="G1183">
        <v>0.8</v>
      </c>
      <c r="H1183" s="2">
        <v>158.05819999999994</v>
      </c>
      <c r="I1183" s="2">
        <v>1757.4639999999999</v>
      </c>
    </row>
    <row r="1184" spans="1:9" x14ac:dyDescent="0.3">
      <c r="A1184" t="str">
        <f t="shared" si="385"/>
        <v>United States</v>
      </c>
      <c r="B1184" t="str">
        <f t="shared" si="386"/>
        <v>Dallas</v>
      </c>
      <c r="C1184" t="str">
        <f t="shared" si="388"/>
        <v>Standard Class</v>
      </c>
      <c r="D1184" t="str">
        <f t="shared" si="390"/>
        <v>Corporate</v>
      </c>
      <c r="E1184" t="s">
        <v>14</v>
      </c>
      <c r="F1184">
        <v>22</v>
      </c>
      <c r="G1184">
        <v>0.8</v>
      </c>
      <c r="H1184" s="2">
        <v>14.855400000000007</v>
      </c>
      <c r="I1184" s="2">
        <v>215.71199999999999</v>
      </c>
    </row>
    <row r="1185" spans="1:9" x14ac:dyDescent="0.3">
      <c r="A1185" t="str">
        <f t="shared" si="385"/>
        <v>United States</v>
      </c>
      <c r="B1185" t="str">
        <f t="shared" si="386"/>
        <v>Dallas</v>
      </c>
      <c r="C1185" t="str">
        <f t="shared" si="388"/>
        <v>Standard Class</v>
      </c>
      <c r="D1185" t="str">
        <f t="shared" si="390"/>
        <v>Corporate</v>
      </c>
      <c r="E1185" t="s">
        <v>9</v>
      </c>
      <c r="F1185">
        <v>7</v>
      </c>
      <c r="G1185">
        <v>0.4</v>
      </c>
      <c r="H1185" s="2">
        <v>-6.2911999999999999</v>
      </c>
      <c r="I1185" s="2">
        <v>30.015999999999998</v>
      </c>
    </row>
    <row r="1186" spans="1:9" x14ac:dyDescent="0.3">
      <c r="A1186" t="str">
        <f t="shared" si="385"/>
        <v>United States</v>
      </c>
      <c r="B1186" t="str">
        <f t="shared" si="386"/>
        <v>Dallas</v>
      </c>
      <c r="C1186" t="str">
        <f t="shared" si="388"/>
        <v>Standard Class</v>
      </c>
      <c r="D1186" t="str">
        <f t="shared" si="390"/>
        <v>Corporate</v>
      </c>
      <c r="E1186" t="s">
        <v>25</v>
      </c>
      <c r="F1186">
        <v>1</v>
      </c>
      <c r="G1186">
        <v>0.3</v>
      </c>
      <c r="H1186" s="2">
        <v>-16.261300000000006</v>
      </c>
      <c r="I1186" s="2">
        <v>103.48100000000001</v>
      </c>
    </row>
    <row r="1187" spans="1:9" x14ac:dyDescent="0.3">
      <c r="A1187" t="str">
        <f t="shared" si="385"/>
        <v>United States</v>
      </c>
      <c r="B1187" t="str">
        <f t="shared" si="386"/>
        <v>Dallas</v>
      </c>
      <c r="C1187" t="str">
        <f t="shared" si="388"/>
        <v>Standard Class</v>
      </c>
      <c r="D1187" t="s">
        <v>17</v>
      </c>
      <c r="E1187" t="s">
        <v>23</v>
      </c>
      <c r="F1187">
        <v>10</v>
      </c>
      <c r="G1187">
        <v>0.60000000000000009</v>
      </c>
      <c r="H1187" s="2">
        <v>136.50869999999995</v>
      </c>
      <c r="I1187" s="2">
        <v>864.62399999999991</v>
      </c>
    </row>
    <row r="1188" spans="1:9" x14ac:dyDescent="0.3">
      <c r="A1188" t="str">
        <f t="shared" si="385"/>
        <v>United States</v>
      </c>
      <c r="B1188" t="str">
        <f t="shared" si="386"/>
        <v>Dallas</v>
      </c>
      <c r="C1188" t="str">
        <f t="shared" si="388"/>
        <v>Standard Class</v>
      </c>
      <c r="D1188" t="str">
        <f t="shared" ref="D1188:D1196" si="391">D1187</f>
        <v>Home Office</v>
      </c>
      <c r="E1188" t="s">
        <v>19</v>
      </c>
      <c r="F1188">
        <v>2</v>
      </c>
      <c r="G1188">
        <v>0.2</v>
      </c>
      <c r="H1188" s="2">
        <v>0.59039999999999915</v>
      </c>
      <c r="I1188" s="2">
        <v>5.2480000000000002</v>
      </c>
    </row>
    <row r="1189" spans="1:9" x14ac:dyDescent="0.3">
      <c r="A1189" t="str">
        <f t="shared" si="385"/>
        <v>United States</v>
      </c>
      <c r="B1189" t="str">
        <f t="shared" si="386"/>
        <v>Dallas</v>
      </c>
      <c r="C1189" t="str">
        <f t="shared" si="388"/>
        <v>Standard Class</v>
      </c>
      <c r="D1189" t="str">
        <f t="shared" si="391"/>
        <v>Home Office</v>
      </c>
      <c r="E1189" t="s">
        <v>20</v>
      </c>
      <c r="F1189">
        <v>29</v>
      </c>
      <c r="G1189">
        <v>4</v>
      </c>
      <c r="H1189" s="2">
        <v>-87.517200000000031</v>
      </c>
      <c r="I1189" s="2">
        <v>56.05599999999999</v>
      </c>
    </row>
    <row r="1190" spans="1:9" x14ac:dyDescent="0.3">
      <c r="A1190" t="str">
        <f t="shared" si="385"/>
        <v>United States</v>
      </c>
      <c r="B1190" t="str">
        <f t="shared" ref="B1190:B1196" si="392">B1189</f>
        <v>Dallas</v>
      </c>
      <c r="C1190" t="str">
        <f t="shared" si="388"/>
        <v>Standard Class</v>
      </c>
      <c r="D1190" t="str">
        <f t="shared" si="391"/>
        <v>Home Office</v>
      </c>
      <c r="E1190" t="s">
        <v>33</v>
      </c>
      <c r="F1190">
        <v>2</v>
      </c>
      <c r="G1190">
        <v>0.3</v>
      </c>
      <c r="H1190" s="2">
        <v>-140.19599999999997</v>
      </c>
      <c r="I1190" s="2">
        <v>981.37199999999996</v>
      </c>
    </row>
    <row r="1191" spans="1:9" x14ac:dyDescent="0.3">
      <c r="A1191" t="str">
        <f t="shared" si="385"/>
        <v>United States</v>
      </c>
      <c r="B1191" t="str">
        <f t="shared" si="392"/>
        <v>Dallas</v>
      </c>
      <c r="C1191" t="str">
        <f t="shared" si="388"/>
        <v>Standard Class</v>
      </c>
      <c r="D1191" t="str">
        <f t="shared" si="391"/>
        <v>Home Office</v>
      </c>
      <c r="E1191" t="s">
        <v>38</v>
      </c>
      <c r="F1191">
        <v>6</v>
      </c>
      <c r="G1191">
        <v>0.60000000000000009</v>
      </c>
      <c r="H1191" s="2">
        <v>55.498999999999995</v>
      </c>
      <c r="I1191" s="2">
        <v>163.04000000000002</v>
      </c>
    </row>
    <row r="1192" spans="1:9" x14ac:dyDescent="0.3">
      <c r="A1192" t="str">
        <f t="shared" si="385"/>
        <v>United States</v>
      </c>
      <c r="B1192" t="str">
        <f t="shared" si="392"/>
        <v>Dallas</v>
      </c>
      <c r="C1192" t="str">
        <f t="shared" si="388"/>
        <v>Standard Class</v>
      </c>
      <c r="D1192" t="str">
        <f t="shared" si="391"/>
        <v>Home Office</v>
      </c>
      <c r="E1192" t="s">
        <v>21</v>
      </c>
      <c r="F1192">
        <v>11</v>
      </c>
      <c r="G1192">
        <v>1.7999999999999998</v>
      </c>
      <c r="H1192" s="2">
        <v>-42.1098</v>
      </c>
      <c r="I1192" s="2">
        <v>62.195999999999998</v>
      </c>
    </row>
    <row r="1193" spans="1:9" x14ac:dyDescent="0.3">
      <c r="A1193" t="str">
        <f t="shared" si="385"/>
        <v>United States</v>
      </c>
      <c r="B1193" t="str">
        <f t="shared" si="392"/>
        <v>Dallas</v>
      </c>
      <c r="C1193" t="str">
        <f t="shared" si="388"/>
        <v>Standard Class</v>
      </c>
      <c r="D1193" t="str">
        <f t="shared" si="391"/>
        <v>Home Office</v>
      </c>
      <c r="E1193" t="s">
        <v>16</v>
      </c>
      <c r="F1193">
        <v>2</v>
      </c>
      <c r="G1193">
        <v>0.2</v>
      </c>
      <c r="H1193" s="2">
        <v>3.7584</v>
      </c>
      <c r="I1193" s="2">
        <v>10.368000000000002</v>
      </c>
    </row>
    <row r="1194" spans="1:9" x14ac:dyDescent="0.3">
      <c r="A1194" t="str">
        <f t="shared" si="385"/>
        <v>United States</v>
      </c>
      <c r="B1194" t="str">
        <f t="shared" si="392"/>
        <v>Dallas</v>
      </c>
      <c r="C1194" t="str">
        <f t="shared" si="388"/>
        <v>Standard Class</v>
      </c>
      <c r="D1194" t="str">
        <f t="shared" si="391"/>
        <v>Home Office</v>
      </c>
      <c r="E1194" t="s">
        <v>24</v>
      </c>
      <c r="F1194">
        <v>8</v>
      </c>
      <c r="G1194">
        <v>0.4</v>
      </c>
      <c r="H1194" s="2">
        <v>36.214800000000025</v>
      </c>
      <c r="I1194" s="2">
        <v>437.536</v>
      </c>
    </row>
    <row r="1195" spans="1:9" x14ac:dyDescent="0.3">
      <c r="A1195" t="str">
        <f t="shared" si="385"/>
        <v>United States</v>
      </c>
      <c r="B1195" t="str">
        <f t="shared" si="392"/>
        <v>Dallas</v>
      </c>
      <c r="C1195" t="str">
        <f t="shared" si="388"/>
        <v>Standard Class</v>
      </c>
      <c r="D1195" t="str">
        <f t="shared" si="391"/>
        <v>Home Office</v>
      </c>
      <c r="E1195" t="s">
        <v>14</v>
      </c>
      <c r="F1195">
        <v>8</v>
      </c>
      <c r="G1195">
        <v>0.60000000000000009</v>
      </c>
      <c r="H1195" s="2">
        <v>28.543399999999952</v>
      </c>
      <c r="I1195" s="2">
        <v>476.43200000000002</v>
      </c>
    </row>
    <row r="1196" spans="1:9" x14ac:dyDescent="0.3">
      <c r="A1196" t="str">
        <f t="shared" si="385"/>
        <v>United States</v>
      </c>
      <c r="B1196" t="str">
        <f t="shared" si="392"/>
        <v>Dallas</v>
      </c>
      <c r="C1196" t="str">
        <f t="shared" si="388"/>
        <v>Standard Class</v>
      </c>
      <c r="D1196" t="str">
        <f t="shared" si="391"/>
        <v>Home Office</v>
      </c>
      <c r="E1196" t="s">
        <v>25</v>
      </c>
      <c r="F1196">
        <v>3</v>
      </c>
      <c r="G1196">
        <v>0.3</v>
      </c>
      <c r="H1196" s="2">
        <v>-84.961500000000029</v>
      </c>
      <c r="I1196" s="2">
        <v>457.4849999999999</v>
      </c>
    </row>
    <row r="1197" spans="1:9" x14ac:dyDescent="0.3">
      <c r="A1197" t="str">
        <f t="shared" si="385"/>
        <v>United States</v>
      </c>
      <c r="B1197" t="s">
        <v>140</v>
      </c>
      <c r="C1197" t="s">
        <v>22</v>
      </c>
      <c r="D1197" t="s">
        <v>17</v>
      </c>
      <c r="E1197" t="s">
        <v>21</v>
      </c>
      <c r="F1197">
        <v>2</v>
      </c>
      <c r="G1197">
        <v>0</v>
      </c>
      <c r="H1197" s="2">
        <v>9.8856000000000002</v>
      </c>
      <c r="I1197" s="2">
        <v>27.46</v>
      </c>
    </row>
    <row r="1198" spans="1:9" x14ac:dyDescent="0.3">
      <c r="A1198" t="str">
        <f t="shared" si="385"/>
        <v>United States</v>
      </c>
      <c r="B1198" t="s">
        <v>141</v>
      </c>
      <c r="C1198" t="s">
        <v>7</v>
      </c>
      <c r="D1198" t="s">
        <v>17</v>
      </c>
      <c r="E1198" t="s">
        <v>19</v>
      </c>
      <c r="F1198">
        <v>5</v>
      </c>
      <c r="G1198">
        <v>0</v>
      </c>
      <c r="H1198" s="2">
        <v>4.2240000000000002</v>
      </c>
      <c r="I1198" s="2">
        <v>8.8000000000000007</v>
      </c>
    </row>
    <row r="1199" spans="1:9" x14ac:dyDescent="0.3">
      <c r="A1199" t="str">
        <f t="shared" si="385"/>
        <v>United States</v>
      </c>
      <c r="B1199" t="str">
        <f t="shared" ref="B1199:B1204" si="393">B1198</f>
        <v>Danville</v>
      </c>
      <c r="C1199" t="str">
        <f t="shared" ref="C1199:C1203" si="394">C1198</f>
        <v>Second Class</v>
      </c>
      <c r="D1199" t="str">
        <f t="shared" ref="D1199:D1203" si="395">D1198</f>
        <v>Home Office</v>
      </c>
      <c r="E1199" t="s">
        <v>20</v>
      </c>
      <c r="F1199">
        <v>6</v>
      </c>
      <c r="G1199">
        <v>0.2</v>
      </c>
      <c r="H1199" s="2">
        <v>206.62319999999997</v>
      </c>
      <c r="I1199" s="2">
        <v>590.35199999999998</v>
      </c>
    </row>
    <row r="1200" spans="1:9" x14ac:dyDescent="0.3">
      <c r="A1200" t="str">
        <f t="shared" si="385"/>
        <v>United States</v>
      </c>
      <c r="B1200" t="str">
        <f t="shared" si="393"/>
        <v>Danville</v>
      </c>
      <c r="C1200" t="str">
        <f t="shared" si="394"/>
        <v>Second Class</v>
      </c>
      <c r="D1200" t="str">
        <f t="shared" si="395"/>
        <v>Home Office</v>
      </c>
      <c r="E1200" t="s">
        <v>38</v>
      </c>
      <c r="F1200">
        <v>7</v>
      </c>
      <c r="G1200">
        <v>0</v>
      </c>
      <c r="H1200" s="2">
        <v>38.29</v>
      </c>
      <c r="I1200" s="2">
        <v>76.58</v>
      </c>
    </row>
    <row r="1201" spans="1:9" x14ac:dyDescent="0.3">
      <c r="A1201" t="str">
        <f t="shared" si="385"/>
        <v>United States</v>
      </c>
      <c r="B1201" t="str">
        <f t="shared" si="393"/>
        <v>Danville</v>
      </c>
      <c r="C1201" t="str">
        <f t="shared" si="394"/>
        <v>Second Class</v>
      </c>
      <c r="D1201" t="str">
        <f t="shared" si="395"/>
        <v>Home Office</v>
      </c>
      <c r="E1201" t="s">
        <v>18</v>
      </c>
      <c r="F1201">
        <v>3</v>
      </c>
      <c r="G1201">
        <v>0</v>
      </c>
      <c r="H1201" s="2">
        <v>0.16740000000000022</v>
      </c>
      <c r="I1201" s="2">
        <v>5.58</v>
      </c>
    </row>
    <row r="1202" spans="1:9" x14ac:dyDescent="0.3">
      <c r="A1202" t="str">
        <f t="shared" si="385"/>
        <v>United States</v>
      </c>
      <c r="B1202" t="str">
        <f t="shared" si="393"/>
        <v>Danville</v>
      </c>
      <c r="C1202" t="str">
        <f t="shared" si="394"/>
        <v>Second Class</v>
      </c>
      <c r="D1202" t="str">
        <f t="shared" si="395"/>
        <v>Home Office</v>
      </c>
      <c r="E1202" t="s">
        <v>21</v>
      </c>
      <c r="F1202">
        <v>3</v>
      </c>
      <c r="G1202">
        <v>0</v>
      </c>
      <c r="H1202" s="2">
        <v>10.508400000000002</v>
      </c>
      <c r="I1202" s="2">
        <v>25.02</v>
      </c>
    </row>
    <row r="1203" spans="1:9" x14ac:dyDescent="0.3">
      <c r="A1203" t="str">
        <f t="shared" si="385"/>
        <v>United States</v>
      </c>
      <c r="B1203" t="str">
        <f t="shared" si="393"/>
        <v>Danville</v>
      </c>
      <c r="C1203" t="str">
        <f t="shared" si="394"/>
        <v>Second Class</v>
      </c>
      <c r="D1203" t="str">
        <f t="shared" si="395"/>
        <v>Home Office</v>
      </c>
      <c r="E1203" t="s">
        <v>14</v>
      </c>
      <c r="F1203">
        <v>7</v>
      </c>
      <c r="G1203">
        <v>0</v>
      </c>
      <c r="H1203" s="2">
        <v>22.627499999999962</v>
      </c>
      <c r="I1203" s="2">
        <v>452.55000000000007</v>
      </c>
    </row>
    <row r="1204" spans="1:9" x14ac:dyDescent="0.3">
      <c r="A1204" t="str">
        <f t="shared" si="385"/>
        <v>United States</v>
      </c>
      <c r="B1204" t="str">
        <f t="shared" si="393"/>
        <v>Danville</v>
      </c>
      <c r="C1204" t="s">
        <v>22</v>
      </c>
      <c r="D1204" t="s">
        <v>17</v>
      </c>
      <c r="E1204" t="s">
        <v>20</v>
      </c>
      <c r="F1204">
        <v>7</v>
      </c>
      <c r="G1204">
        <v>0.8</v>
      </c>
      <c r="H1204" s="2">
        <v>-69.395200000000031</v>
      </c>
      <c r="I1204" s="2">
        <v>43.371999999999993</v>
      </c>
    </row>
    <row r="1205" spans="1:9" x14ac:dyDescent="0.3">
      <c r="A1205" t="str">
        <f t="shared" si="385"/>
        <v>United States</v>
      </c>
      <c r="B1205" t="s">
        <v>142</v>
      </c>
      <c r="C1205" t="s">
        <v>22</v>
      </c>
      <c r="D1205" t="s">
        <v>8</v>
      </c>
      <c r="E1205" t="s">
        <v>16</v>
      </c>
      <c r="F1205">
        <v>5</v>
      </c>
      <c r="G1205">
        <v>0</v>
      </c>
      <c r="H1205" s="2">
        <v>15.552000000000001</v>
      </c>
      <c r="I1205" s="2">
        <v>32.400000000000006</v>
      </c>
    </row>
    <row r="1206" spans="1:9" x14ac:dyDescent="0.3">
      <c r="A1206" t="str">
        <f t="shared" si="385"/>
        <v>United States</v>
      </c>
      <c r="B1206" t="s">
        <v>143</v>
      </c>
      <c r="C1206" t="s">
        <v>22</v>
      </c>
      <c r="D1206" t="s">
        <v>8</v>
      </c>
      <c r="E1206" t="s">
        <v>23</v>
      </c>
      <c r="F1206">
        <v>6</v>
      </c>
      <c r="G1206">
        <v>0.2</v>
      </c>
      <c r="H1206" s="2">
        <v>14.628000000000005</v>
      </c>
      <c r="I1206" s="2">
        <v>50.88</v>
      </c>
    </row>
    <row r="1207" spans="1:9" x14ac:dyDescent="0.3">
      <c r="A1207" t="str">
        <f t="shared" si="385"/>
        <v>United States</v>
      </c>
      <c r="B1207" t="str">
        <f t="shared" ref="B1207:B1209" si="396">B1206</f>
        <v>Daytona Beach</v>
      </c>
      <c r="C1207" t="str">
        <f t="shared" ref="C1207:C1209" si="397">C1206</f>
        <v>Standard Class</v>
      </c>
      <c r="D1207" t="str">
        <f t="shared" ref="D1207:D1209" si="398">D1206</f>
        <v>Consumer</v>
      </c>
      <c r="E1207" t="s">
        <v>19</v>
      </c>
      <c r="F1207">
        <v>1</v>
      </c>
      <c r="G1207">
        <v>0.2</v>
      </c>
      <c r="H1207" s="2">
        <v>0.42639999999999978</v>
      </c>
      <c r="I1207" s="2">
        <v>2.6240000000000001</v>
      </c>
    </row>
    <row r="1208" spans="1:9" x14ac:dyDescent="0.3">
      <c r="A1208" t="str">
        <f t="shared" si="385"/>
        <v>United States</v>
      </c>
      <c r="B1208" t="str">
        <f t="shared" si="396"/>
        <v>Daytona Beach</v>
      </c>
      <c r="C1208" t="str">
        <f t="shared" si="397"/>
        <v>Standard Class</v>
      </c>
      <c r="D1208" t="str">
        <f t="shared" si="398"/>
        <v>Consumer</v>
      </c>
      <c r="E1208" t="s">
        <v>38</v>
      </c>
      <c r="F1208">
        <v>2</v>
      </c>
      <c r="G1208">
        <v>0.2</v>
      </c>
      <c r="H1208" s="2">
        <v>9.2178000000000004</v>
      </c>
      <c r="I1208" s="2">
        <v>27.312000000000001</v>
      </c>
    </row>
    <row r="1209" spans="1:9" x14ac:dyDescent="0.3">
      <c r="A1209" t="str">
        <f t="shared" si="385"/>
        <v>United States</v>
      </c>
      <c r="B1209" t="str">
        <f t="shared" si="396"/>
        <v>Daytona Beach</v>
      </c>
      <c r="C1209" t="str">
        <f t="shared" si="397"/>
        <v>Standard Class</v>
      </c>
      <c r="D1209" t="str">
        <f t="shared" si="398"/>
        <v>Consumer</v>
      </c>
      <c r="E1209" t="s">
        <v>25</v>
      </c>
      <c r="F1209">
        <v>1</v>
      </c>
      <c r="G1209">
        <v>0.45</v>
      </c>
      <c r="H1209" s="2">
        <v>-76.606200000000001</v>
      </c>
      <c r="I1209" s="2">
        <v>191.5155</v>
      </c>
    </row>
    <row r="1210" spans="1:9" x14ac:dyDescent="0.3">
      <c r="A1210" t="str">
        <f t="shared" si="385"/>
        <v>United States</v>
      </c>
      <c r="B1210" t="s">
        <v>144</v>
      </c>
      <c r="C1210" t="s">
        <v>22</v>
      </c>
      <c r="D1210" t="s">
        <v>15</v>
      </c>
      <c r="E1210" t="s">
        <v>12</v>
      </c>
      <c r="F1210">
        <v>5</v>
      </c>
      <c r="G1210">
        <v>0.1</v>
      </c>
      <c r="H1210" s="2">
        <v>178.90100000000001</v>
      </c>
      <c r="I1210" s="2">
        <v>555.21</v>
      </c>
    </row>
    <row r="1211" spans="1:9" x14ac:dyDescent="0.3">
      <c r="A1211" t="str">
        <f t="shared" si="385"/>
        <v>United States</v>
      </c>
      <c r="B1211" t="str">
        <f t="shared" ref="B1211:B1214" si="399">B1210</f>
        <v>Dearborn</v>
      </c>
      <c r="C1211" t="str">
        <f t="shared" ref="C1211:C1214" si="400">C1210</f>
        <v>Standard Class</v>
      </c>
      <c r="D1211" t="str">
        <f t="shared" ref="D1211:D1214" si="401">D1210</f>
        <v>Corporate</v>
      </c>
      <c r="E1211" t="s">
        <v>19</v>
      </c>
      <c r="F1211">
        <v>9</v>
      </c>
      <c r="G1211">
        <v>0</v>
      </c>
      <c r="H1211" s="2">
        <v>46.927799999999984</v>
      </c>
      <c r="I1211" s="2">
        <v>161.82</v>
      </c>
    </row>
    <row r="1212" spans="1:9" x14ac:dyDescent="0.3">
      <c r="A1212" t="str">
        <f t="shared" si="385"/>
        <v>United States</v>
      </c>
      <c r="B1212" t="str">
        <f t="shared" si="399"/>
        <v>Dearborn</v>
      </c>
      <c r="C1212" t="str">
        <f t="shared" si="400"/>
        <v>Standard Class</v>
      </c>
      <c r="D1212" t="str">
        <f t="shared" si="401"/>
        <v>Corporate</v>
      </c>
      <c r="E1212" t="s">
        <v>33</v>
      </c>
      <c r="F1212">
        <v>2</v>
      </c>
      <c r="G1212">
        <v>0</v>
      </c>
      <c r="H1212" s="2">
        <v>87.568399999999968</v>
      </c>
      <c r="I1212" s="2">
        <v>301.95999999999998</v>
      </c>
    </row>
    <row r="1213" spans="1:9" x14ac:dyDescent="0.3">
      <c r="A1213" t="str">
        <f t="shared" si="385"/>
        <v>United States</v>
      </c>
      <c r="B1213" t="str">
        <f t="shared" si="399"/>
        <v>Dearborn</v>
      </c>
      <c r="C1213" t="str">
        <f t="shared" si="400"/>
        <v>Standard Class</v>
      </c>
      <c r="D1213" t="str">
        <f t="shared" si="401"/>
        <v>Corporate</v>
      </c>
      <c r="E1213" t="s">
        <v>21</v>
      </c>
      <c r="F1213">
        <v>3</v>
      </c>
      <c r="G1213">
        <v>0</v>
      </c>
      <c r="H1213" s="2">
        <v>23.119199999999999</v>
      </c>
      <c r="I1213" s="2">
        <v>60.84</v>
      </c>
    </row>
    <row r="1214" spans="1:9" x14ac:dyDescent="0.3">
      <c r="A1214" t="str">
        <f t="shared" si="385"/>
        <v>United States</v>
      </c>
      <c r="B1214" t="str">
        <f t="shared" si="399"/>
        <v>Dearborn</v>
      </c>
      <c r="C1214" t="str">
        <f t="shared" si="400"/>
        <v>Standard Class</v>
      </c>
      <c r="D1214" t="str">
        <f t="shared" si="401"/>
        <v>Corporate</v>
      </c>
      <c r="E1214" t="s">
        <v>14</v>
      </c>
      <c r="F1214">
        <v>4</v>
      </c>
      <c r="G1214">
        <v>0</v>
      </c>
      <c r="H1214" s="2">
        <v>130.87</v>
      </c>
      <c r="I1214" s="2">
        <v>523.48</v>
      </c>
    </row>
    <row r="1215" spans="1:9" x14ac:dyDescent="0.3">
      <c r="A1215" t="str">
        <f t="shared" si="385"/>
        <v>United States</v>
      </c>
      <c r="B1215" t="s">
        <v>145</v>
      </c>
      <c r="C1215" t="s">
        <v>7</v>
      </c>
      <c r="D1215" t="s">
        <v>8</v>
      </c>
      <c r="E1215" t="s">
        <v>19</v>
      </c>
      <c r="F1215">
        <v>5</v>
      </c>
      <c r="G1215">
        <v>0</v>
      </c>
      <c r="H1215" s="2">
        <v>12.059699999999999</v>
      </c>
      <c r="I1215" s="2">
        <v>40.590000000000003</v>
      </c>
    </row>
    <row r="1216" spans="1:9" x14ac:dyDescent="0.3">
      <c r="A1216" t="str">
        <f t="shared" si="385"/>
        <v>United States</v>
      </c>
      <c r="B1216" t="str">
        <f t="shared" ref="B1216:B1219" si="402">B1215</f>
        <v>Dearborn Heights</v>
      </c>
      <c r="C1216" t="str">
        <f t="shared" ref="C1216:C1217" si="403">C1215</f>
        <v>Second Class</v>
      </c>
      <c r="D1216" t="str">
        <f t="shared" ref="D1216:D1217" si="404">D1215</f>
        <v>Consumer</v>
      </c>
      <c r="E1216" t="s">
        <v>20</v>
      </c>
      <c r="F1216">
        <v>5</v>
      </c>
      <c r="G1216">
        <v>0</v>
      </c>
      <c r="H1216" s="2">
        <v>18.089999999999996</v>
      </c>
      <c r="I1216" s="2">
        <v>40.199999999999996</v>
      </c>
    </row>
    <row r="1217" spans="1:9" x14ac:dyDescent="0.3">
      <c r="A1217" t="str">
        <f t="shared" si="385"/>
        <v>United States</v>
      </c>
      <c r="B1217" t="str">
        <f t="shared" si="402"/>
        <v>Dearborn Heights</v>
      </c>
      <c r="C1217" t="str">
        <f t="shared" si="403"/>
        <v>Second Class</v>
      </c>
      <c r="D1217" t="str">
        <f t="shared" si="404"/>
        <v>Consumer</v>
      </c>
      <c r="E1217" t="s">
        <v>14</v>
      </c>
      <c r="F1217">
        <v>6</v>
      </c>
      <c r="G1217">
        <v>0</v>
      </c>
      <c r="H1217" s="2">
        <v>20.694600000000008</v>
      </c>
      <c r="I1217" s="2">
        <v>689.81999999999994</v>
      </c>
    </row>
    <row r="1218" spans="1:9" x14ac:dyDescent="0.3">
      <c r="A1218" t="str">
        <f t="shared" si="385"/>
        <v>United States</v>
      </c>
      <c r="B1218" t="str">
        <f t="shared" si="402"/>
        <v>Dearborn Heights</v>
      </c>
      <c r="C1218" t="s">
        <v>22</v>
      </c>
      <c r="D1218" t="s">
        <v>8</v>
      </c>
      <c r="E1218" t="s">
        <v>23</v>
      </c>
      <c r="F1218">
        <v>2</v>
      </c>
      <c r="G1218">
        <v>0</v>
      </c>
      <c r="H1218" s="2">
        <v>42.991400000000006</v>
      </c>
      <c r="I1218" s="2">
        <v>99.98</v>
      </c>
    </row>
    <row r="1219" spans="1:9" x14ac:dyDescent="0.3">
      <c r="A1219" t="str">
        <f t="shared" si="385"/>
        <v>United States</v>
      </c>
      <c r="B1219" t="str">
        <f t="shared" si="402"/>
        <v>Dearborn Heights</v>
      </c>
      <c r="C1219" t="str">
        <f>C1218</f>
        <v>Standard Class</v>
      </c>
      <c r="D1219" t="str">
        <f>D1218</f>
        <v>Consumer</v>
      </c>
      <c r="E1219" t="s">
        <v>33</v>
      </c>
      <c r="F1219">
        <v>1</v>
      </c>
      <c r="G1219">
        <v>0</v>
      </c>
      <c r="H1219" s="2">
        <v>47.0548</v>
      </c>
      <c r="I1219" s="2">
        <v>180.98</v>
      </c>
    </row>
    <row r="1220" spans="1:9" x14ac:dyDescent="0.3">
      <c r="A1220" t="str">
        <f t="shared" ref="A1220:A1283" si="405">A1219</f>
        <v>United States</v>
      </c>
      <c r="B1220" t="s">
        <v>146</v>
      </c>
      <c r="C1220" t="s">
        <v>11</v>
      </c>
      <c r="D1220" t="s">
        <v>8</v>
      </c>
      <c r="E1220" t="s">
        <v>21</v>
      </c>
      <c r="F1220">
        <v>7</v>
      </c>
      <c r="G1220">
        <v>0.6</v>
      </c>
      <c r="H1220" s="2">
        <v>-40.003599999999999</v>
      </c>
      <c r="I1220" s="2">
        <v>61.543999999999997</v>
      </c>
    </row>
    <row r="1221" spans="1:9" x14ac:dyDescent="0.3">
      <c r="A1221" t="str">
        <f t="shared" si="405"/>
        <v>United States</v>
      </c>
      <c r="B1221" t="str">
        <f t="shared" ref="B1221:B1244" si="406">B1220</f>
        <v>Decatur</v>
      </c>
      <c r="C1221" t="str">
        <f t="shared" ref="C1221:C1225" si="407">C1220</f>
        <v>First Class</v>
      </c>
      <c r="D1221" t="str">
        <f t="shared" ref="D1221:D1222" si="408">D1220</f>
        <v>Consumer</v>
      </c>
      <c r="E1221" t="s">
        <v>43</v>
      </c>
      <c r="F1221">
        <v>4</v>
      </c>
      <c r="G1221">
        <v>0.2</v>
      </c>
      <c r="H1221" s="2">
        <v>5.1791999999999998</v>
      </c>
      <c r="I1221" s="2">
        <v>15.936000000000002</v>
      </c>
    </row>
    <row r="1222" spans="1:9" x14ac:dyDescent="0.3">
      <c r="A1222" t="str">
        <f t="shared" si="405"/>
        <v>United States</v>
      </c>
      <c r="B1222" t="str">
        <f t="shared" si="406"/>
        <v>Decatur</v>
      </c>
      <c r="C1222" t="str">
        <f t="shared" si="407"/>
        <v>First Class</v>
      </c>
      <c r="D1222" t="str">
        <f t="shared" si="408"/>
        <v>Consumer</v>
      </c>
      <c r="E1222" t="s">
        <v>14</v>
      </c>
      <c r="F1222">
        <v>3</v>
      </c>
      <c r="G1222">
        <v>0.2</v>
      </c>
      <c r="H1222" s="2">
        <v>9.9521999999999977</v>
      </c>
      <c r="I1222" s="2">
        <v>132.696</v>
      </c>
    </row>
    <row r="1223" spans="1:9" x14ac:dyDescent="0.3">
      <c r="A1223" t="str">
        <f t="shared" si="405"/>
        <v>United States</v>
      </c>
      <c r="B1223" t="str">
        <f t="shared" si="406"/>
        <v>Decatur</v>
      </c>
      <c r="C1223" t="str">
        <f t="shared" si="407"/>
        <v>First Class</v>
      </c>
      <c r="D1223" t="s">
        <v>15</v>
      </c>
      <c r="E1223" t="s">
        <v>12</v>
      </c>
      <c r="F1223">
        <v>1</v>
      </c>
      <c r="G1223">
        <v>0</v>
      </c>
      <c r="H1223" s="2">
        <v>56.20320000000001</v>
      </c>
      <c r="I1223" s="2">
        <v>208.16</v>
      </c>
    </row>
    <row r="1224" spans="1:9" x14ac:dyDescent="0.3">
      <c r="A1224" t="str">
        <f t="shared" si="405"/>
        <v>United States</v>
      </c>
      <c r="B1224" t="str">
        <f t="shared" si="406"/>
        <v>Decatur</v>
      </c>
      <c r="C1224" t="str">
        <f t="shared" si="407"/>
        <v>First Class</v>
      </c>
      <c r="D1224" t="str">
        <f t="shared" ref="D1224:D1225" si="409">D1223</f>
        <v>Corporate</v>
      </c>
      <c r="E1224" t="s">
        <v>20</v>
      </c>
      <c r="F1224">
        <v>3</v>
      </c>
      <c r="G1224">
        <v>0</v>
      </c>
      <c r="H1224" s="2">
        <v>8.0351999999999997</v>
      </c>
      <c r="I1224" s="2">
        <v>16.740000000000002</v>
      </c>
    </row>
    <row r="1225" spans="1:9" x14ac:dyDescent="0.3">
      <c r="A1225" t="str">
        <f t="shared" si="405"/>
        <v>United States</v>
      </c>
      <c r="B1225" t="str">
        <f t="shared" si="406"/>
        <v>Decatur</v>
      </c>
      <c r="C1225" t="str">
        <f t="shared" si="407"/>
        <v>First Class</v>
      </c>
      <c r="D1225" t="str">
        <f t="shared" si="409"/>
        <v>Corporate</v>
      </c>
      <c r="E1225" t="s">
        <v>14</v>
      </c>
      <c r="F1225">
        <v>8</v>
      </c>
      <c r="G1225">
        <v>0.4</v>
      </c>
      <c r="H1225" s="2">
        <v>7.6296000000000035</v>
      </c>
      <c r="I1225" s="2">
        <v>101.72800000000001</v>
      </c>
    </row>
    <row r="1226" spans="1:9" x14ac:dyDescent="0.3">
      <c r="A1226" t="str">
        <f t="shared" si="405"/>
        <v>United States</v>
      </c>
      <c r="B1226" t="str">
        <f t="shared" si="406"/>
        <v>Decatur</v>
      </c>
      <c r="C1226" t="s">
        <v>7</v>
      </c>
      <c r="D1226" t="s">
        <v>8</v>
      </c>
      <c r="E1226" t="s">
        <v>23</v>
      </c>
      <c r="F1226">
        <v>6</v>
      </c>
      <c r="G1226">
        <v>0.2</v>
      </c>
      <c r="H1226" s="2">
        <v>89.990999999999985</v>
      </c>
      <c r="I1226" s="2">
        <v>479.952</v>
      </c>
    </row>
    <row r="1227" spans="1:9" x14ac:dyDescent="0.3">
      <c r="A1227" t="str">
        <f t="shared" si="405"/>
        <v>United States</v>
      </c>
      <c r="B1227" t="str">
        <f t="shared" si="406"/>
        <v>Decatur</v>
      </c>
      <c r="C1227" t="str">
        <f t="shared" ref="C1227:C1228" si="410">C1226</f>
        <v>Second Class</v>
      </c>
      <c r="D1227" t="s">
        <v>15</v>
      </c>
      <c r="E1227" t="s">
        <v>23</v>
      </c>
      <c r="F1227">
        <v>7</v>
      </c>
      <c r="G1227">
        <v>0.2</v>
      </c>
      <c r="H1227" s="2">
        <v>76.639499999999984</v>
      </c>
      <c r="I1227" s="2">
        <v>408.74399999999997</v>
      </c>
    </row>
    <row r="1228" spans="1:9" x14ac:dyDescent="0.3">
      <c r="A1228" t="str">
        <f t="shared" si="405"/>
        <v>United States</v>
      </c>
      <c r="B1228" t="str">
        <f t="shared" si="406"/>
        <v>Decatur</v>
      </c>
      <c r="C1228" t="str">
        <f t="shared" si="410"/>
        <v>Second Class</v>
      </c>
      <c r="D1228" t="str">
        <f>D1227</f>
        <v>Corporate</v>
      </c>
      <c r="E1228" t="s">
        <v>14</v>
      </c>
      <c r="F1228">
        <v>2</v>
      </c>
      <c r="G1228">
        <v>0.2</v>
      </c>
      <c r="H1228" s="2">
        <v>1.8612000000000002</v>
      </c>
      <c r="I1228" s="2">
        <v>24.816000000000003</v>
      </c>
    </row>
    <row r="1229" spans="1:9" x14ac:dyDescent="0.3">
      <c r="A1229" t="str">
        <f t="shared" si="405"/>
        <v>United States</v>
      </c>
      <c r="B1229" t="str">
        <f t="shared" si="406"/>
        <v>Decatur</v>
      </c>
      <c r="C1229" t="s">
        <v>22</v>
      </c>
      <c r="D1229" t="s">
        <v>8</v>
      </c>
      <c r="E1229" t="s">
        <v>23</v>
      </c>
      <c r="F1229">
        <v>8</v>
      </c>
      <c r="G1229">
        <v>0</v>
      </c>
      <c r="H1229" s="2">
        <v>23.99199999999999</v>
      </c>
      <c r="I1229" s="2">
        <v>239.92</v>
      </c>
    </row>
    <row r="1230" spans="1:9" x14ac:dyDescent="0.3">
      <c r="A1230" t="str">
        <f t="shared" si="405"/>
        <v>United States</v>
      </c>
      <c r="B1230" t="str">
        <f t="shared" si="406"/>
        <v>Decatur</v>
      </c>
      <c r="C1230" t="str">
        <f t="shared" ref="C1230:C1244" si="411">C1229</f>
        <v>Standard Class</v>
      </c>
      <c r="D1230" t="str">
        <f t="shared" ref="D1230:D1238" si="412">D1229</f>
        <v>Consumer</v>
      </c>
      <c r="E1230" t="s">
        <v>19</v>
      </c>
      <c r="F1230">
        <v>6</v>
      </c>
      <c r="G1230">
        <v>0.2</v>
      </c>
      <c r="H1230" s="2">
        <v>3.5039999999999996</v>
      </c>
      <c r="I1230" s="2">
        <v>28.031999999999996</v>
      </c>
    </row>
    <row r="1231" spans="1:9" x14ac:dyDescent="0.3">
      <c r="A1231" t="str">
        <f t="shared" si="405"/>
        <v>United States</v>
      </c>
      <c r="B1231" t="str">
        <f t="shared" si="406"/>
        <v>Decatur</v>
      </c>
      <c r="C1231" t="str">
        <f t="shared" si="411"/>
        <v>Standard Class</v>
      </c>
      <c r="D1231" t="str">
        <f t="shared" si="412"/>
        <v>Consumer</v>
      </c>
      <c r="E1231" t="s">
        <v>33</v>
      </c>
      <c r="F1231">
        <v>11</v>
      </c>
      <c r="G1231">
        <v>1.2</v>
      </c>
      <c r="H1231" s="2">
        <v>-143.97540000000015</v>
      </c>
      <c r="I1231" s="2">
        <v>1576.491</v>
      </c>
    </row>
    <row r="1232" spans="1:9" x14ac:dyDescent="0.3">
      <c r="A1232" t="str">
        <f t="shared" si="405"/>
        <v>United States</v>
      </c>
      <c r="B1232" t="str">
        <f t="shared" si="406"/>
        <v>Decatur</v>
      </c>
      <c r="C1232" t="str">
        <f t="shared" si="411"/>
        <v>Standard Class</v>
      </c>
      <c r="D1232" t="str">
        <f t="shared" si="412"/>
        <v>Consumer</v>
      </c>
      <c r="E1232" t="s">
        <v>38</v>
      </c>
      <c r="F1232">
        <v>2</v>
      </c>
      <c r="G1232">
        <v>0.2</v>
      </c>
      <c r="H1232" s="2">
        <v>3.3479999999999999</v>
      </c>
      <c r="I1232" s="2">
        <v>8.9280000000000008</v>
      </c>
    </row>
    <row r="1233" spans="1:9" x14ac:dyDescent="0.3">
      <c r="A1233" t="str">
        <f t="shared" si="405"/>
        <v>United States</v>
      </c>
      <c r="B1233" t="str">
        <f t="shared" si="406"/>
        <v>Decatur</v>
      </c>
      <c r="C1233" t="str">
        <f t="shared" si="411"/>
        <v>Standard Class</v>
      </c>
      <c r="D1233" t="str">
        <f t="shared" si="412"/>
        <v>Consumer</v>
      </c>
      <c r="E1233" t="s">
        <v>18</v>
      </c>
      <c r="F1233">
        <v>2</v>
      </c>
      <c r="G1233">
        <v>0.2</v>
      </c>
      <c r="H1233" s="2">
        <v>6.1991999999999994</v>
      </c>
      <c r="I1233" s="2">
        <v>18.368000000000002</v>
      </c>
    </row>
    <row r="1234" spans="1:9" x14ac:dyDescent="0.3">
      <c r="A1234" t="str">
        <f t="shared" si="405"/>
        <v>United States</v>
      </c>
      <c r="B1234" t="str">
        <f t="shared" si="406"/>
        <v>Decatur</v>
      </c>
      <c r="C1234" t="str">
        <f t="shared" si="411"/>
        <v>Standard Class</v>
      </c>
      <c r="D1234" t="str">
        <f t="shared" si="412"/>
        <v>Consumer</v>
      </c>
      <c r="E1234" t="s">
        <v>21</v>
      </c>
      <c r="F1234">
        <v>4</v>
      </c>
      <c r="G1234">
        <v>1.2</v>
      </c>
      <c r="H1234" s="2">
        <v>-16.479299999999995</v>
      </c>
      <c r="I1234" s="2">
        <v>39.756</v>
      </c>
    </row>
    <row r="1235" spans="1:9" x14ac:dyDescent="0.3">
      <c r="A1235" t="str">
        <f t="shared" si="405"/>
        <v>United States</v>
      </c>
      <c r="B1235" t="str">
        <f t="shared" si="406"/>
        <v>Decatur</v>
      </c>
      <c r="C1235" t="str">
        <f t="shared" si="411"/>
        <v>Standard Class</v>
      </c>
      <c r="D1235" t="str">
        <f t="shared" si="412"/>
        <v>Consumer</v>
      </c>
      <c r="E1235" t="s">
        <v>43</v>
      </c>
      <c r="F1235">
        <v>3</v>
      </c>
      <c r="G1235">
        <v>0</v>
      </c>
      <c r="H1235" s="2">
        <v>6.8723999999999998</v>
      </c>
      <c r="I1235" s="2">
        <v>14.940000000000001</v>
      </c>
    </row>
    <row r="1236" spans="1:9" x14ac:dyDescent="0.3">
      <c r="A1236" t="str">
        <f t="shared" si="405"/>
        <v>United States</v>
      </c>
      <c r="B1236" t="str">
        <f t="shared" si="406"/>
        <v>Decatur</v>
      </c>
      <c r="C1236" t="str">
        <f t="shared" si="411"/>
        <v>Standard Class</v>
      </c>
      <c r="D1236" t="str">
        <f t="shared" si="412"/>
        <v>Consumer</v>
      </c>
      <c r="E1236" t="s">
        <v>16</v>
      </c>
      <c r="F1236">
        <v>6</v>
      </c>
      <c r="G1236">
        <v>0.4</v>
      </c>
      <c r="H1236" s="2">
        <v>10.333600000000001</v>
      </c>
      <c r="I1236" s="2">
        <v>28.864000000000004</v>
      </c>
    </row>
    <row r="1237" spans="1:9" x14ac:dyDescent="0.3">
      <c r="A1237" t="str">
        <f t="shared" si="405"/>
        <v>United States</v>
      </c>
      <c r="B1237" t="str">
        <f t="shared" si="406"/>
        <v>Decatur</v>
      </c>
      <c r="C1237" t="str">
        <f t="shared" si="411"/>
        <v>Standard Class</v>
      </c>
      <c r="D1237" t="str">
        <f t="shared" si="412"/>
        <v>Consumer</v>
      </c>
      <c r="E1237" t="s">
        <v>24</v>
      </c>
      <c r="F1237">
        <v>3</v>
      </c>
      <c r="G1237">
        <v>0</v>
      </c>
      <c r="H1237" s="2">
        <v>46.581000000000003</v>
      </c>
      <c r="I1237" s="2">
        <v>180.93</v>
      </c>
    </row>
    <row r="1238" spans="1:9" x14ac:dyDescent="0.3">
      <c r="A1238" t="str">
        <f t="shared" si="405"/>
        <v>United States</v>
      </c>
      <c r="B1238" t="str">
        <f t="shared" si="406"/>
        <v>Decatur</v>
      </c>
      <c r="C1238" t="str">
        <f t="shared" si="411"/>
        <v>Standard Class</v>
      </c>
      <c r="D1238" t="str">
        <f t="shared" si="412"/>
        <v>Consumer</v>
      </c>
      <c r="E1238" t="s">
        <v>14</v>
      </c>
      <c r="F1238">
        <v>3</v>
      </c>
      <c r="G1238">
        <v>0.2</v>
      </c>
      <c r="H1238" s="2">
        <v>-8.1822000000000052</v>
      </c>
      <c r="I1238" s="2">
        <v>50.352000000000004</v>
      </c>
    </row>
    <row r="1239" spans="1:9" x14ac:dyDescent="0.3">
      <c r="A1239" t="str">
        <f t="shared" si="405"/>
        <v>United States</v>
      </c>
      <c r="B1239" t="str">
        <f t="shared" si="406"/>
        <v>Decatur</v>
      </c>
      <c r="C1239" t="str">
        <f t="shared" si="411"/>
        <v>Standard Class</v>
      </c>
      <c r="D1239" t="s">
        <v>15</v>
      </c>
      <c r="E1239" t="s">
        <v>23</v>
      </c>
      <c r="F1239">
        <v>5</v>
      </c>
      <c r="G1239">
        <v>0</v>
      </c>
      <c r="H1239" s="2">
        <v>184.26</v>
      </c>
      <c r="I1239" s="2">
        <v>498</v>
      </c>
    </row>
    <row r="1240" spans="1:9" x14ac:dyDescent="0.3">
      <c r="A1240" t="str">
        <f t="shared" si="405"/>
        <v>United States</v>
      </c>
      <c r="B1240" t="str">
        <f t="shared" si="406"/>
        <v>Decatur</v>
      </c>
      <c r="C1240" t="str">
        <f t="shared" si="411"/>
        <v>Standard Class</v>
      </c>
      <c r="D1240" t="str">
        <f t="shared" ref="D1240:D1244" si="413">D1239</f>
        <v>Corporate</v>
      </c>
      <c r="E1240" t="s">
        <v>19</v>
      </c>
      <c r="F1240">
        <v>6</v>
      </c>
      <c r="G1240">
        <v>0</v>
      </c>
      <c r="H1240" s="2">
        <v>6.9384000000000006</v>
      </c>
      <c r="I1240" s="2">
        <v>24.78</v>
      </c>
    </row>
    <row r="1241" spans="1:9" x14ac:dyDescent="0.3">
      <c r="A1241" t="str">
        <f t="shared" si="405"/>
        <v>United States</v>
      </c>
      <c r="B1241" t="str">
        <f t="shared" si="406"/>
        <v>Decatur</v>
      </c>
      <c r="C1241" t="str">
        <f t="shared" si="411"/>
        <v>Standard Class</v>
      </c>
      <c r="D1241" t="str">
        <f t="shared" si="413"/>
        <v>Corporate</v>
      </c>
      <c r="E1241" t="s">
        <v>20</v>
      </c>
      <c r="F1241">
        <v>6</v>
      </c>
      <c r="G1241">
        <v>0.8</v>
      </c>
      <c r="H1241" s="2">
        <v>-311.43510000000015</v>
      </c>
      <c r="I1241" s="2">
        <v>202.13399999999996</v>
      </c>
    </row>
    <row r="1242" spans="1:9" x14ac:dyDescent="0.3">
      <c r="A1242" t="str">
        <f t="shared" si="405"/>
        <v>United States</v>
      </c>
      <c r="B1242" t="str">
        <f t="shared" si="406"/>
        <v>Decatur</v>
      </c>
      <c r="C1242" t="str">
        <f t="shared" si="411"/>
        <v>Standard Class</v>
      </c>
      <c r="D1242" t="str">
        <f t="shared" si="413"/>
        <v>Corporate</v>
      </c>
      <c r="E1242" t="s">
        <v>45</v>
      </c>
      <c r="F1242">
        <v>3</v>
      </c>
      <c r="G1242">
        <v>0</v>
      </c>
      <c r="H1242" s="2">
        <v>314.98950000000002</v>
      </c>
      <c r="I1242" s="2">
        <v>899.97</v>
      </c>
    </row>
    <row r="1243" spans="1:9" x14ac:dyDescent="0.3">
      <c r="A1243" t="str">
        <f t="shared" si="405"/>
        <v>United States</v>
      </c>
      <c r="B1243" t="str">
        <f t="shared" si="406"/>
        <v>Decatur</v>
      </c>
      <c r="C1243" t="str">
        <f t="shared" si="411"/>
        <v>Standard Class</v>
      </c>
      <c r="D1243" t="str">
        <f t="shared" si="413"/>
        <v>Corporate</v>
      </c>
      <c r="E1243" t="s">
        <v>16</v>
      </c>
      <c r="F1243">
        <v>12</v>
      </c>
      <c r="G1243">
        <v>0.2</v>
      </c>
      <c r="H1243" s="2">
        <v>30.482800000000001</v>
      </c>
      <c r="I1243" s="2">
        <v>66.592000000000013</v>
      </c>
    </row>
    <row r="1244" spans="1:9" x14ac:dyDescent="0.3">
      <c r="A1244" t="str">
        <f t="shared" si="405"/>
        <v>United States</v>
      </c>
      <c r="B1244" t="str">
        <f t="shared" si="406"/>
        <v>Decatur</v>
      </c>
      <c r="C1244" t="str">
        <f t="shared" si="411"/>
        <v>Standard Class</v>
      </c>
      <c r="D1244" t="str">
        <f t="shared" si="413"/>
        <v>Corporate</v>
      </c>
      <c r="E1244" t="s">
        <v>25</v>
      </c>
      <c r="F1244">
        <v>8</v>
      </c>
      <c r="G1244">
        <v>0</v>
      </c>
      <c r="H1244" s="2">
        <v>316.13920000000007</v>
      </c>
      <c r="I1244" s="2">
        <v>1215.92</v>
      </c>
    </row>
    <row r="1245" spans="1:9" x14ac:dyDescent="0.3">
      <c r="A1245" t="str">
        <f t="shared" si="405"/>
        <v>United States</v>
      </c>
      <c r="B1245" t="s">
        <v>147</v>
      </c>
      <c r="C1245" t="s">
        <v>11</v>
      </c>
      <c r="D1245" t="s">
        <v>15</v>
      </c>
      <c r="E1245" t="s">
        <v>20</v>
      </c>
      <c r="F1245">
        <v>6</v>
      </c>
      <c r="G1245">
        <v>0.8</v>
      </c>
      <c r="H1245" s="2">
        <v>-10.385999999999999</v>
      </c>
      <c r="I1245" s="2">
        <v>6.9239999999999977</v>
      </c>
    </row>
    <row r="1246" spans="1:9" x14ac:dyDescent="0.3">
      <c r="A1246" t="str">
        <f t="shared" si="405"/>
        <v>United States</v>
      </c>
      <c r="B1246" t="s">
        <v>148</v>
      </c>
      <c r="C1246" t="s">
        <v>11</v>
      </c>
      <c r="D1246" t="s">
        <v>8</v>
      </c>
      <c r="E1246" t="s">
        <v>43</v>
      </c>
      <c r="F1246">
        <v>3</v>
      </c>
      <c r="G1246">
        <v>0.2</v>
      </c>
      <c r="H1246" s="2">
        <v>3.2213999999999996</v>
      </c>
      <c r="I1246" s="2">
        <v>9.9120000000000008</v>
      </c>
    </row>
    <row r="1247" spans="1:9" x14ac:dyDescent="0.3">
      <c r="A1247" t="str">
        <f t="shared" si="405"/>
        <v>United States</v>
      </c>
      <c r="B1247" t="str">
        <f t="shared" ref="B1247:B1248" si="414">B1246</f>
        <v>Delray Beach</v>
      </c>
      <c r="C1247" t="s">
        <v>7</v>
      </c>
      <c r="D1247" t="s">
        <v>15</v>
      </c>
      <c r="E1247" t="s">
        <v>23</v>
      </c>
      <c r="F1247">
        <v>2</v>
      </c>
      <c r="G1247">
        <v>0.2</v>
      </c>
      <c r="H1247" s="2">
        <v>11.98</v>
      </c>
      <c r="I1247" s="2">
        <v>47.92</v>
      </c>
    </row>
    <row r="1248" spans="1:9" x14ac:dyDescent="0.3">
      <c r="A1248" t="str">
        <f t="shared" si="405"/>
        <v>United States</v>
      </c>
      <c r="B1248" t="str">
        <f t="shared" si="414"/>
        <v>Delray Beach</v>
      </c>
      <c r="C1248" t="str">
        <f>C1247</f>
        <v>Second Class</v>
      </c>
      <c r="D1248" t="str">
        <f>D1247</f>
        <v>Corporate</v>
      </c>
      <c r="E1248" t="s">
        <v>14</v>
      </c>
      <c r="F1248">
        <v>6</v>
      </c>
      <c r="G1248">
        <v>0.2</v>
      </c>
      <c r="H1248" s="2">
        <v>13.852799999999995</v>
      </c>
      <c r="I1248" s="2">
        <v>184.70400000000001</v>
      </c>
    </row>
    <row r="1249" spans="1:9" x14ac:dyDescent="0.3">
      <c r="A1249" t="str">
        <f t="shared" si="405"/>
        <v>United States</v>
      </c>
      <c r="B1249" t="s">
        <v>149</v>
      </c>
      <c r="C1249" t="s">
        <v>22</v>
      </c>
      <c r="D1249" t="s">
        <v>8</v>
      </c>
      <c r="E1249" t="s">
        <v>33</v>
      </c>
      <c r="F1249">
        <v>4</v>
      </c>
      <c r="G1249">
        <v>0.2</v>
      </c>
      <c r="H1249" s="2">
        <v>13.972799999999999</v>
      </c>
      <c r="I1249" s="2">
        <v>186.304</v>
      </c>
    </row>
    <row r="1250" spans="1:9" x14ac:dyDescent="0.3">
      <c r="A1250" t="str">
        <f t="shared" si="405"/>
        <v>United States</v>
      </c>
      <c r="B1250" t="str">
        <f t="shared" ref="B1250:B1253" si="415">B1249</f>
        <v>Deltona</v>
      </c>
      <c r="C1250" t="str">
        <f t="shared" ref="C1250:C1253" si="416">C1249</f>
        <v>Standard Class</v>
      </c>
      <c r="D1250" t="str">
        <f>D1249</f>
        <v>Consumer</v>
      </c>
      <c r="E1250" t="s">
        <v>24</v>
      </c>
      <c r="F1250">
        <v>3</v>
      </c>
      <c r="G1250">
        <v>0.2</v>
      </c>
      <c r="H1250" s="2">
        <v>37.791599999999988</v>
      </c>
      <c r="I1250" s="2">
        <v>107.97600000000001</v>
      </c>
    </row>
    <row r="1251" spans="1:9" x14ac:dyDescent="0.3">
      <c r="A1251" t="str">
        <f t="shared" si="405"/>
        <v>United States</v>
      </c>
      <c r="B1251" t="str">
        <f t="shared" si="415"/>
        <v>Deltona</v>
      </c>
      <c r="C1251" t="str">
        <f t="shared" si="416"/>
        <v>Standard Class</v>
      </c>
      <c r="D1251" t="s">
        <v>15</v>
      </c>
      <c r="E1251" t="s">
        <v>20</v>
      </c>
      <c r="F1251">
        <v>6</v>
      </c>
      <c r="G1251">
        <v>0.7</v>
      </c>
      <c r="H1251" s="2">
        <v>-3.6288</v>
      </c>
      <c r="I1251" s="2">
        <v>5.1840000000000011</v>
      </c>
    </row>
    <row r="1252" spans="1:9" x14ac:dyDescent="0.3">
      <c r="A1252" t="str">
        <f t="shared" si="405"/>
        <v>United States</v>
      </c>
      <c r="B1252" t="str">
        <f t="shared" si="415"/>
        <v>Deltona</v>
      </c>
      <c r="C1252" t="str">
        <f t="shared" si="416"/>
        <v>Standard Class</v>
      </c>
      <c r="D1252" t="str">
        <f>D1251</f>
        <v>Corporate</v>
      </c>
      <c r="E1252" t="s">
        <v>24</v>
      </c>
      <c r="F1252">
        <v>2</v>
      </c>
      <c r="G1252">
        <v>0.2</v>
      </c>
      <c r="H1252" s="2">
        <v>71.989999999999981</v>
      </c>
      <c r="I1252" s="2">
        <v>575.91999999999996</v>
      </c>
    </row>
    <row r="1253" spans="1:9" x14ac:dyDescent="0.3">
      <c r="A1253" t="str">
        <f t="shared" si="405"/>
        <v>United States</v>
      </c>
      <c r="B1253" t="str">
        <f t="shared" si="415"/>
        <v>Deltona</v>
      </c>
      <c r="C1253" t="str">
        <f t="shared" si="416"/>
        <v>Standard Class</v>
      </c>
      <c r="D1253" t="s">
        <v>17</v>
      </c>
      <c r="E1253" t="s">
        <v>19</v>
      </c>
      <c r="F1253">
        <v>4</v>
      </c>
      <c r="G1253">
        <v>0.2</v>
      </c>
      <c r="H1253" s="2">
        <v>2.0087999999999973</v>
      </c>
      <c r="I1253" s="2">
        <v>17.856000000000002</v>
      </c>
    </row>
    <row r="1254" spans="1:9" x14ac:dyDescent="0.3">
      <c r="A1254" t="str">
        <f t="shared" si="405"/>
        <v>United States</v>
      </c>
      <c r="B1254" t="s">
        <v>150</v>
      </c>
      <c r="C1254" t="s">
        <v>11</v>
      </c>
      <c r="D1254" t="s">
        <v>8</v>
      </c>
      <c r="E1254" t="s">
        <v>12</v>
      </c>
      <c r="F1254">
        <v>1</v>
      </c>
      <c r="G1254">
        <v>0.2</v>
      </c>
      <c r="H1254" s="2">
        <v>0.29249999999999987</v>
      </c>
      <c r="I1254" s="2">
        <v>2.6</v>
      </c>
    </row>
    <row r="1255" spans="1:9" x14ac:dyDescent="0.3">
      <c r="A1255" t="str">
        <f t="shared" si="405"/>
        <v>United States</v>
      </c>
      <c r="B1255" t="str">
        <f t="shared" ref="B1255:B1282" si="417">B1254</f>
        <v>Denver</v>
      </c>
      <c r="C1255" t="str">
        <f t="shared" ref="C1255:C1260" si="418">C1254</f>
        <v>First Class</v>
      </c>
      <c r="D1255" t="str">
        <f t="shared" ref="D1255:D1256" si="419">D1254</f>
        <v>Consumer</v>
      </c>
      <c r="E1255" t="s">
        <v>16</v>
      </c>
      <c r="F1255">
        <v>2</v>
      </c>
      <c r="G1255">
        <v>0.2</v>
      </c>
      <c r="H1255" s="2">
        <v>31.068799999999996</v>
      </c>
      <c r="I1255" s="2">
        <v>88.768000000000001</v>
      </c>
    </row>
    <row r="1256" spans="1:9" x14ac:dyDescent="0.3">
      <c r="A1256" t="str">
        <f t="shared" si="405"/>
        <v>United States</v>
      </c>
      <c r="B1256" t="str">
        <f t="shared" si="417"/>
        <v>Denver</v>
      </c>
      <c r="C1256" t="str">
        <f t="shared" si="418"/>
        <v>First Class</v>
      </c>
      <c r="D1256" t="str">
        <f t="shared" si="419"/>
        <v>Consumer</v>
      </c>
      <c r="E1256" t="s">
        <v>25</v>
      </c>
      <c r="F1256">
        <v>2</v>
      </c>
      <c r="G1256">
        <v>0.5</v>
      </c>
      <c r="H1256" s="2">
        <v>-161.875</v>
      </c>
      <c r="I1256" s="2">
        <v>218.75</v>
      </c>
    </row>
    <row r="1257" spans="1:9" x14ac:dyDescent="0.3">
      <c r="A1257" t="str">
        <f t="shared" si="405"/>
        <v>United States</v>
      </c>
      <c r="B1257" t="str">
        <f t="shared" si="417"/>
        <v>Denver</v>
      </c>
      <c r="C1257" t="str">
        <f t="shared" si="418"/>
        <v>First Class</v>
      </c>
      <c r="D1257" t="s">
        <v>15</v>
      </c>
      <c r="E1257" t="s">
        <v>34</v>
      </c>
      <c r="F1257">
        <v>3</v>
      </c>
      <c r="G1257">
        <v>0.7</v>
      </c>
      <c r="H1257" s="2">
        <v>-190.85220000000004</v>
      </c>
      <c r="I1257" s="2">
        <v>90.882000000000005</v>
      </c>
    </row>
    <row r="1258" spans="1:9" x14ac:dyDescent="0.3">
      <c r="A1258" t="str">
        <f t="shared" si="405"/>
        <v>United States</v>
      </c>
      <c r="B1258" t="str">
        <f t="shared" si="417"/>
        <v>Denver</v>
      </c>
      <c r="C1258" t="str">
        <f t="shared" si="418"/>
        <v>First Class</v>
      </c>
      <c r="D1258" t="str">
        <f t="shared" ref="D1258:D1259" si="420">D1257</f>
        <v>Corporate</v>
      </c>
      <c r="E1258" t="s">
        <v>33</v>
      </c>
      <c r="F1258">
        <v>1</v>
      </c>
      <c r="G1258">
        <v>0.2</v>
      </c>
      <c r="H1258" s="2">
        <v>13.588199999999986</v>
      </c>
      <c r="I1258" s="2">
        <v>120.78399999999999</v>
      </c>
    </row>
    <row r="1259" spans="1:9" x14ac:dyDescent="0.3">
      <c r="A1259" t="str">
        <f t="shared" si="405"/>
        <v>United States</v>
      </c>
      <c r="B1259" t="str">
        <f t="shared" si="417"/>
        <v>Denver</v>
      </c>
      <c r="C1259" t="str">
        <f t="shared" si="418"/>
        <v>First Class</v>
      </c>
      <c r="D1259" t="str">
        <f t="shared" si="420"/>
        <v>Corporate</v>
      </c>
      <c r="E1259" t="s">
        <v>24</v>
      </c>
      <c r="F1259">
        <v>1</v>
      </c>
      <c r="G1259">
        <v>0.2</v>
      </c>
      <c r="H1259" s="2">
        <v>-2.9985000000000022</v>
      </c>
      <c r="I1259" s="2">
        <v>15.991999999999999</v>
      </c>
    </row>
    <row r="1260" spans="1:9" x14ac:dyDescent="0.3">
      <c r="A1260" t="str">
        <f t="shared" si="405"/>
        <v>United States</v>
      </c>
      <c r="B1260" t="str">
        <f t="shared" si="417"/>
        <v>Denver</v>
      </c>
      <c r="C1260" t="str">
        <f t="shared" si="418"/>
        <v>First Class</v>
      </c>
      <c r="D1260" t="s">
        <v>17</v>
      </c>
      <c r="E1260" t="s">
        <v>23</v>
      </c>
      <c r="F1260">
        <v>2</v>
      </c>
      <c r="G1260">
        <v>0.2</v>
      </c>
      <c r="H1260" s="2">
        <v>13.562599999999998</v>
      </c>
      <c r="I1260" s="2">
        <v>63.824000000000005</v>
      </c>
    </row>
    <row r="1261" spans="1:9" x14ac:dyDescent="0.3">
      <c r="A1261" t="str">
        <f t="shared" si="405"/>
        <v>United States</v>
      </c>
      <c r="B1261" t="str">
        <f t="shared" si="417"/>
        <v>Denver</v>
      </c>
      <c r="C1261" t="s">
        <v>27</v>
      </c>
      <c r="D1261" t="s">
        <v>15</v>
      </c>
      <c r="E1261" t="s">
        <v>33</v>
      </c>
      <c r="F1261">
        <v>8</v>
      </c>
      <c r="G1261">
        <v>0.2</v>
      </c>
      <c r="H1261" s="2">
        <v>-29.116799999999955</v>
      </c>
      <c r="I1261" s="2">
        <v>582.33600000000001</v>
      </c>
    </row>
    <row r="1262" spans="1:9" x14ac:dyDescent="0.3">
      <c r="A1262" t="str">
        <f t="shared" si="405"/>
        <v>United States</v>
      </c>
      <c r="B1262" t="str">
        <f t="shared" si="417"/>
        <v>Denver</v>
      </c>
      <c r="C1262" t="s">
        <v>7</v>
      </c>
      <c r="D1262" t="s">
        <v>15</v>
      </c>
      <c r="E1262" t="s">
        <v>45</v>
      </c>
      <c r="F1262">
        <v>1</v>
      </c>
      <c r="G1262">
        <v>0.2</v>
      </c>
      <c r="H1262" s="2">
        <v>164.99700000000001</v>
      </c>
      <c r="I1262" s="2">
        <v>439.99200000000002</v>
      </c>
    </row>
    <row r="1263" spans="1:9" x14ac:dyDescent="0.3">
      <c r="A1263" t="str">
        <f t="shared" si="405"/>
        <v>United States</v>
      </c>
      <c r="B1263" t="str">
        <f t="shared" si="417"/>
        <v>Denver</v>
      </c>
      <c r="C1263" t="str">
        <f t="shared" ref="C1263:C1265" si="421">C1262</f>
        <v>Second Class</v>
      </c>
      <c r="D1263" t="str">
        <f t="shared" ref="D1263:D1265" si="422">D1262</f>
        <v>Corporate</v>
      </c>
      <c r="E1263" t="s">
        <v>21</v>
      </c>
      <c r="F1263">
        <v>4</v>
      </c>
      <c r="G1263">
        <v>0.2</v>
      </c>
      <c r="H1263" s="2">
        <v>3.6783999999999999</v>
      </c>
      <c r="I1263" s="2">
        <v>15.488</v>
      </c>
    </row>
    <row r="1264" spans="1:9" x14ac:dyDescent="0.3">
      <c r="A1264" t="str">
        <f t="shared" si="405"/>
        <v>United States</v>
      </c>
      <c r="B1264" t="str">
        <f t="shared" si="417"/>
        <v>Denver</v>
      </c>
      <c r="C1264" t="str">
        <f t="shared" si="421"/>
        <v>Second Class</v>
      </c>
      <c r="D1264" t="str">
        <f t="shared" si="422"/>
        <v>Corporate</v>
      </c>
      <c r="E1264" t="s">
        <v>46</v>
      </c>
      <c r="F1264">
        <v>2</v>
      </c>
      <c r="G1264">
        <v>0.7</v>
      </c>
      <c r="H1264" s="2">
        <v>-45.995400000000004</v>
      </c>
      <c r="I1264" s="2">
        <v>59.994000000000007</v>
      </c>
    </row>
    <row r="1265" spans="1:9" x14ac:dyDescent="0.3">
      <c r="A1265" t="str">
        <f t="shared" si="405"/>
        <v>United States</v>
      </c>
      <c r="B1265" t="str">
        <f t="shared" si="417"/>
        <v>Denver</v>
      </c>
      <c r="C1265" t="str">
        <f t="shared" si="421"/>
        <v>Second Class</v>
      </c>
      <c r="D1265" t="str">
        <f t="shared" si="422"/>
        <v>Corporate</v>
      </c>
      <c r="E1265" t="s">
        <v>24</v>
      </c>
      <c r="F1265">
        <v>5</v>
      </c>
      <c r="G1265">
        <v>0.2</v>
      </c>
      <c r="H1265" s="2">
        <v>30.785999999999998</v>
      </c>
      <c r="I1265" s="2">
        <v>87.96</v>
      </c>
    </row>
    <row r="1266" spans="1:9" x14ac:dyDescent="0.3">
      <c r="A1266" t="str">
        <f t="shared" si="405"/>
        <v>United States</v>
      </c>
      <c r="B1266" t="str">
        <f t="shared" si="417"/>
        <v>Denver</v>
      </c>
      <c r="C1266" t="s">
        <v>22</v>
      </c>
      <c r="D1266" t="s">
        <v>8</v>
      </c>
      <c r="E1266" t="s">
        <v>23</v>
      </c>
      <c r="F1266">
        <v>9</v>
      </c>
      <c r="G1266">
        <v>0.2</v>
      </c>
      <c r="H1266" s="2">
        <v>64.789199999999951</v>
      </c>
      <c r="I1266" s="2">
        <v>431.92800000000005</v>
      </c>
    </row>
    <row r="1267" spans="1:9" x14ac:dyDescent="0.3">
      <c r="A1267" t="str">
        <f t="shared" si="405"/>
        <v>United States</v>
      </c>
      <c r="B1267" t="str">
        <f t="shared" si="417"/>
        <v>Denver</v>
      </c>
      <c r="C1267" t="str">
        <f t="shared" ref="C1267:C1282" si="423">C1266</f>
        <v>Standard Class</v>
      </c>
      <c r="D1267" t="str">
        <f t="shared" ref="D1267:D1274" si="424">D1266</f>
        <v>Consumer</v>
      </c>
      <c r="E1267" t="s">
        <v>12</v>
      </c>
      <c r="F1267">
        <v>3</v>
      </c>
      <c r="G1267">
        <v>0.2</v>
      </c>
      <c r="H1267" s="2">
        <v>3.5045999999999964</v>
      </c>
      <c r="I1267" s="2">
        <v>31.152000000000001</v>
      </c>
    </row>
    <row r="1268" spans="1:9" x14ac:dyDescent="0.3">
      <c r="A1268" t="str">
        <f t="shared" si="405"/>
        <v>United States</v>
      </c>
      <c r="B1268" t="str">
        <f t="shared" si="417"/>
        <v>Denver</v>
      </c>
      <c r="C1268" t="str">
        <f t="shared" si="423"/>
        <v>Standard Class</v>
      </c>
      <c r="D1268" t="str">
        <f t="shared" si="424"/>
        <v>Consumer</v>
      </c>
      <c r="E1268" t="s">
        <v>19</v>
      </c>
      <c r="F1268">
        <v>7</v>
      </c>
      <c r="G1268">
        <v>0.4</v>
      </c>
      <c r="H1268" s="2">
        <v>13.673999999999994</v>
      </c>
      <c r="I1268" s="2">
        <v>126.34400000000001</v>
      </c>
    </row>
    <row r="1269" spans="1:9" x14ac:dyDescent="0.3">
      <c r="A1269" t="str">
        <f t="shared" si="405"/>
        <v>United States</v>
      </c>
      <c r="B1269" t="str">
        <f t="shared" si="417"/>
        <v>Denver</v>
      </c>
      <c r="C1269" t="str">
        <f t="shared" si="423"/>
        <v>Standard Class</v>
      </c>
      <c r="D1269" t="str">
        <f t="shared" si="424"/>
        <v>Consumer</v>
      </c>
      <c r="E1269" t="s">
        <v>20</v>
      </c>
      <c r="F1269">
        <v>7</v>
      </c>
      <c r="G1269">
        <v>0.7</v>
      </c>
      <c r="H1269" s="2">
        <v>-4.7480999999999973</v>
      </c>
      <c r="I1269" s="2">
        <v>6.7830000000000004</v>
      </c>
    </row>
    <row r="1270" spans="1:9" x14ac:dyDescent="0.3">
      <c r="A1270" t="str">
        <f t="shared" si="405"/>
        <v>United States</v>
      </c>
      <c r="B1270" t="str">
        <f t="shared" si="417"/>
        <v>Denver</v>
      </c>
      <c r="C1270" t="str">
        <f t="shared" si="423"/>
        <v>Standard Class</v>
      </c>
      <c r="D1270" t="str">
        <f t="shared" si="424"/>
        <v>Consumer</v>
      </c>
      <c r="E1270" t="s">
        <v>21</v>
      </c>
      <c r="F1270">
        <v>3</v>
      </c>
      <c r="G1270">
        <v>0.2</v>
      </c>
      <c r="H1270" s="2">
        <v>1.2672000000000003</v>
      </c>
      <c r="I1270" s="2">
        <v>4.2240000000000002</v>
      </c>
    </row>
    <row r="1271" spans="1:9" x14ac:dyDescent="0.3">
      <c r="A1271" t="str">
        <f t="shared" si="405"/>
        <v>United States</v>
      </c>
      <c r="B1271" t="str">
        <f t="shared" si="417"/>
        <v>Denver</v>
      </c>
      <c r="C1271" t="str">
        <f t="shared" si="423"/>
        <v>Standard Class</v>
      </c>
      <c r="D1271" t="str">
        <f t="shared" si="424"/>
        <v>Consumer</v>
      </c>
      <c r="E1271" t="s">
        <v>16</v>
      </c>
      <c r="F1271">
        <v>18</v>
      </c>
      <c r="G1271">
        <v>0.60000000000000009</v>
      </c>
      <c r="H1271" s="2">
        <v>86.034599999999983</v>
      </c>
      <c r="I1271" s="2">
        <v>269.71199999999999</v>
      </c>
    </row>
    <row r="1272" spans="1:9" x14ac:dyDescent="0.3">
      <c r="A1272" t="str">
        <f t="shared" si="405"/>
        <v>United States</v>
      </c>
      <c r="B1272" t="str">
        <f t="shared" si="417"/>
        <v>Denver</v>
      </c>
      <c r="C1272" t="str">
        <f t="shared" si="423"/>
        <v>Standard Class</v>
      </c>
      <c r="D1272" t="str">
        <f t="shared" si="424"/>
        <v>Consumer</v>
      </c>
      <c r="E1272" t="s">
        <v>24</v>
      </c>
      <c r="F1272">
        <v>22</v>
      </c>
      <c r="G1272">
        <v>1</v>
      </c>
      <c r="H1272" s="2">
        <v>351.40249999999975</v>
      </c>
      <c r="I1272" s="2">
        <v>3109.9360000000001</v>
      </c>
    </row>
    <row r="1273" spans="1:9" x14ac:dyDescent="0.3">
      <c r="A1273" t="str">
        <f t="shared" si="405"/>
        <v>United States</v>
      </c>
      <c r="B1273" t="str">
        <f t="shared" si="417"/>
        <v>Denver</v>
      </c>
      <c r="C1273" t="str">
        <f t="shared" si="423"/>
        <v>Standard Class</v>
      </c>
      <c r="D1273" t="str">
        <f t="shared" si="424"/>
        <v>Consumer</v>
      </c>
      <c r="E1273" t="s">
        <v>14</v>
      </c>
      <c r="F1273">
        <v>3</v>
      </c>
      <c r="G1273">
        <v>0.2</v>
      </c>
      <c r="H1273" s="2">
        <v>-15.910200000000088</v>
      </c>
      <c r="I1273" s="2">
        <v>636.40800000000013</v>
      </c>
    </row>
    <row r="1274" spans="1:9" x14ac:dyDescent="0.3">
      <c r="A1274" t="str">
        <f t="shared" si="405"/>
        <v>United States</v>
      </c>
      <c r="B1274" t="str">
        <f t="shared" si="417"/>
        <v>Denver</v>
      </c>
      <c r="C1274" t="str">
        <f t="shared" si="423"/>
        <v>Standard Class</v>
      </c>
      <c r="D1274" t="str">
        <f t="shared" si="424"/>
        <v>Consumer</v>
      </c>
      <c r="E1274" t="s">
        <v>9</v>
      </c>
      <c r="F1274">
        <v>3</v>
      </c>
      <c r="G1274">
        <v>0.4</v>
      </c>
      <c r="H1274" s="2">
        <v>-299.30160000000001</v>
      </c>
      <c r="I1274" s="2">
        <v>1339.296</v>
      </c>
    </row>
    <row r="1275" spans="1:9" x14ac:dyDescent="0.3">
      <c r="A1275" t="str">
        <f t="shared" si="405"/>
        <v>United States</v>
      </c>
      <c r="B1275" t="str">
        <f t="shared" si="417"/>
        <v>Denver</v>
      </c>
      <c r="C1275" t="str">
        <f t="shared" si="423"/>
        <v>Standard Class</v>
      </c>
      <c r="D1275" t="s">
        <v>15</v>
      </c>
      <c r="E1275" t="s">
        <v>12</v>
      </c>
      <c r="F1275">
        <v>2</v>
      </c>
      <c r="G1275">
        <v>0.2</v>
      </c>
      <c r="H1275" s="2">
        <v>3.51</v>
      </c>
      <c r="I1275" s="2">
        <v>18.72</v>
      </c>
    </row>
    <row r="1276" spans="1:9" x14ac:dyDescent="0.3">
      <c r="A1276" t="str">
        <f t="shared" si="405"/>
        <v>United States</v>
      </c>
      <c r="B1276" t="str">
        <f t="shared" si="417"/>
        <v>Denver</v>
      </c>
      <c r="C1276" t="str">
        <f t="shared" si="423"/>
        <v>Standard Class</v>
      </c>
      <c r="D1276" t="str">
        <f t="shared" ref="D1276:D1281" si="425">D1275</f>
        <v>Corporate</v>
      </c>
      <c r="E1276" t="s">
        <v>20</v>
      </c>
      <c r="F1276">
        <v>11</v>
      </c>
      <c r="G1276">
        <v>1.4</v>
      </c>
      <c r="H1276" s="2">
        <v>-25.851199999999992</v>
      </c>
      <c r="I1276" s="2">
        <v>38.496000000000002</v>
      </c>
    </row>
    <row r="1277" spans="1:9" x14ac:dyDescent="0.3">
      <c r="A1277" t="str">
        <f t="shared" si="405"/>
        <v>United States</v>
      </c>
      <c r="B1277" t="str">
        <f t="shared" si="417"/>
        <v>Denver</v>
      </c>
      <c r="C1277" t="str">
        <f t="shared" si="423"/>
        <v>Standard Class</v>
      </c>
      <c r="D1277" t="str">
        <f t="shared" si="425"/>
        <v>Corporate</v>
      </c>
      <c r="E1277" t="s">
        <v>34</v>
      </c>
      <c r="F1277">
        <v>8</v>
      </c>
      <c r="G1277">
        <v>0.7</v>
      </c>
      <c r="H1277" s="2">
        <v>-363.52799999999991</v>
      </c>
      <c r="I1277" s="2">
        <v>242.35200000000003</v>
      </c>
    </row>
    <row r="1278" spans="1:9" x14ac:dyDescent="0.3">
      <c r="A1278" t="str">
        <f t="shared" si="405"/>
        <v>United States</v>
      </c>
      <c r="B1278" t="str">
        <f t="shared" si="417"/>
        <v>Denver</v>
      </c>
      <c r="C1278" t="str">
        <f t="shared" si="423"/>
        <v>Standard Class</v>
      </c>
      <c r="D1278" t="str">
        <f t="shared" si="425"/>
        <v>Corporate</v>
      </c>
      <c r="E1278" t="s">
        <v>33</v>
      </c>
      <c r="F1278">
        <v>11</v>
      </c>
      <c r="G1278">
        <v>0.60000000000000009</v>
      </c>
      <c r="H1278" s="2">
        <v>119.48099999999991</v>
      </c>
      <c r="I1278" s="2">
        <v>2305.04</v>
      </c>
    </row>
    <row r="1279" spans="1:9" x14ac:dyDescent="0.3">
      <c r="A1279" t="str">
        <f t="shared" si="405"/>
        <v>United States</v>
      </c>
      <c r="B1279" t="str">
        <f t="shared" si="417"/>
        <v>Denver</v>
      </c>
      <c r="C1279" t="str">
        <f t="shared" si="423"/>
        <v>Standard Class</v>
      </c>
      <c r="D1279" t="str">
        <f t="shared" si="425"/>
        <v>Corporate</v>
      </c>
      <c r="E1279" t="s">
        <v>21</v>
      </c>
      <c r="F1279">
        <v>6</v>
      </c>
      <c r="G1279">
        <v>0.2</v>
      </c>
      <c r="H1279" s="2">
        <v>0</v>
      </c>
      <c r="I1279" s="2">
        <v>508.70400000000006</v>
      </c>
    </row>
    <row r="1280" spans="1:9" x14ac:dyDescent="0.3">
      <c r="A1280" t="str">
        <f t="shared" si="405"/>
        <v>United States</v>
      </c>
      <c r="B1280" t="str">
        <f t="shared" si="417"/>
        <v>Denver</v>
      </c>
      <c r="C1280" t="str">
        <f t="shared" si="423"/>
        <v>Standard Class</v>
      </c>
      <c r="D1280" t="str">
        <f t="shared" si="425"/>
        <v>Corporate</v>
      </c>
      <c r="E1280" t="s">
        <v>24</v>
      </c>
      <c r="F1280">
        <v>10</v>
      </c>
      <c r="G1280">
        <v>0.60000000000000009</v>
      </c>
      <c r="H1280" s="2">
        <v>4.6201999999999863</v>
      </c>
      <c r="I1280" s="2">
        <v>266.96000000000004</v>
      </c>
    </row>
    <row r="1281" spans="1:9" x14ac:dyDescent="0.3">
      <c r="A1281" t="str">
        <f t="shared" si="405"/>
        <v>United States</v>
      </c>
      <c r="B1281" t="str">
        <f t="shared" si="417"/>
        <v>Denver</v>
      </c>
      <c r="C1281" t="str">
        <f t="shared" si="423"/>
        <v>Standard Class</v>
      </c>
      <c r="D1281" t="str">
        <f t="shared" si="425"/>
        <v>Corporate</v>
      </c>
      <c r="E1281" t="s">
        <v>14</v>
      </c>
      <c r="F1281">
        <v>6</v>
      </c>
      <c r="G1281">
        <v>0.60000000000000009</v>
      </c>
      <c r="H1281" s="2">
        <v>-20.946600000000018</v>
      </c>
      <c r="I1281" s="2">
        <v>1045.8960000000002</v>
      </c>
    </row>
    <row r="1282" spans="1:9" x14ac:dyDescent="0.3">
      <c r="A1282" t="str">
        <f t="shared" si="405"/>
        <v>United States</v>
      </c>
      <c r="B1282" t="str">
        <f t="shared" si="417"/>
        <v>Denver</v>
      </c>
      <c r="C1282" t="str">
        <f t="shared" si="423"/>
        <v>Standard Class</v>
      </c>
      <c r="D1282" t="s">
        <v>17</v>
      </c>
      <c r="E1282" t="s">
        <v>16</v>
      </c>
      <c r="F1282">
        <v>3</v>
      </c>
      <c r="G1282">
        <v>0.2</v>
      </c>
      <c r="H1282" s="2">
        <v>9.9467999999999979</v>
      </c>
      <c r="I1282" s="2">
        <v>29.472000000000001</v>
      </c>
    </row>
    <row r="1283" spans="1:9" x14ac:dyDescent="0.3">
      <c r="A1283" t="str">
        <f t="shared" si="405"/>
        <v>United States</v>
      </c>
      <c r="B1283" t="s">
        <v>151</v>
      </c>
      <c r="C1283" t="s">
        <v>27</v>
      </c>
      <c r="D1283" t="s">
        <v>8</v>
      </c>
      <c r="E1283" t="s">
        <v>16</v>
      </c>
      <c r="F1283">
        <v>1</v>
      </c>
      <c r="G1283">
        <v>0</v>
      </c>
      <c r="H1283" s="2">
        <v>3.1104000000000003</v>
      </c>
      <c r="I1283" s="2">
        <v>6.48</v>
      </c>
    </row>
    <row r="1284" spans="1:9" x14ac:dyDescent="0.3">
      <c r="A1284" t="str">
        <f t="shared" ref="A1284:A1347" si="426">A1283</f>
        <v>United States</v>
      </c>
      <c r="B1284" t="str">
        <f t="shared" ref="B1284:B1298" si="427">B1283</f>
        <v>Des Moines</v>
      </c>
      <c r="C1284" t="s">
        <v>7</v>
      </c>
      <c r="D1284" t="s">
        <v>8</v>
      </c>
      <c r="E1284" t="s">
        <v>33</v>
      </c>
      <c r="F1284">
        <v>3</v>
      </c>
      <c r="G1284">
        <v>0.2</v>
      </c>
      <c r="H1284" s="2">
        <v>-2.6997000000000355</v>
      </c>
      <c r="I1284" s="2">
        <v>215.976</v>
      </c>
    </row>
    <row r="1285" spans="1:9" x14ac:dyDescent="0.3">
      <c r="A1285" t="str">
        <f t="shared" si="426"/>
        <v>United States</v>
      </c>
      <c r="B1285" t="str">
        <f t="shared" si="427"/>
        <v>Des Moines</v>
      </c>
      <c r="C1285" t="str">
        <f t="shared" ref="C1285:C1290" si="428">C1284</f>
        <v>Second Class</v>
      </c>
      <c r="D1285" t="str">
        <f t="shared" ref="D1285:D1287" si="429">D1284</f>
        <v>Consumer</v>
      </c>
      <c r="E1285" t="s">
        <v>45</v>
      </c>
      <c r="F1285">
        <v>3</v>
      </c>
      <c r="G1285">
        <v>0</v>
      </c>
      <c r="H1285" s="2">
        <v>701.98829999999998</v>
      </c>
      <c r="I1285" s="2">
        <v>1799.97</v>
      </c>
    </row>
    <row r="1286" spans="1:9" x14ac:dyDescent="0.3">
      <c r="A1286" t="str">
        <f t="shared" si="426"/>
        <v>United States</v>
      </c>
      <c r="B1286" t="str">
        <f t="shared" si="427"/>
        <v>Des Moines</v>
      </c>
      <c r="C1286" t="str">
        <f t="shared" si="428"/>
        <v>Second Class</v>
      </c>
      <c r="D1286" t="str">
        <f t="shared" si="429"/>
        <v>Consumer</v>
      </c>
      <c r="E1286" t="s">
        <v>38</v>
      </c>
      <c r="F1286">
        <v>3</v>
      </c>
      <c r="G1286">
        <v>0</v>
      </c>
      <c r="H1286" s="2">
        <v>30.991800000000001</v>
      </c>
      <c r="I1286" s="2">
        <v>65.94</v>
      </c>
    </row>
    <row r="1287" spans="1:9" x14ac:dyDescent="0.3">
      <c r="A1287" t="str">
        <f t="shared" si="426"/>
        <v>United States</v>
      </c>
      <c r="B1287" t="str">
        <f t="shared" si="427"/>
        <v>Des Moines</v>
      </c>
      <c r="C1287" t="str">
        <f t="shared" si="428"/>
        <v>Second Class</v>
      </c>
      <c r="D1287" t="str">
        <f t="shared" si="429"/>
        <v>Consumer</v>
      </c>
      <c r="E1287" t="s">
        <v>24</v>
      </c>
      <c r="F1287">
        <v>2</v>
      </c>
      <c r="G1287">
        <v>0.2</v>
      </c>
      <c r="H1287" s="2">
        <v>27.718199999999968</v>
      </c>
      <c r="I1287" s="2">
        <v>246.38400000000001</v>
      </c>
    </row>
    <row r="1288" spans="1:9" x14ac:dyDescent="0.3">
      <c r="A1288" t="str">
        <f t="shared" si="426"/>
        <v>United States</v>
      </c>
      <c r="B1288" t="str">
        <f t="shared" si="427"/>
        <v>Des Moines</v>
      </c>
      <c r="C1288" t="str">
        <f t="shared" si="428"/>
        <v>Second Class</v>
      </c>
      <c r="D1288" t="s">
        <v>15</v>
      </c>
      <c r="E1288" t="s">
        <v>16</v>
      </c>
      <c r="F1288">
        <v>7</v>
      </c>
      <c r="G1288">
        <v>0</v>
      </c>
      <c r="H1288" s="2">
        <v>19.825400000000002</v>
      </c>
      <c r="I1288" s="2">
        <v>40.46</v>
      </c>
    </row>
    <row r="1289" spans="1:9" x14ac:dyDescent="0.3">
      <c r="A1289" t="str">
        <f t="shared" si="426"/>
        <v>United States</v>
      </c>
      <c r="B1289" t="str">
        <f t="shared" si="427"/>
        <v>Des Moines</v>
      </c>
      <c r="C1289" t="str">
        <f t="shared" si="428"/>
        <v>Second Class</v>
      </c>
      <c r="D1289" t="str">
        <f>D1288</f>
        <v>Corporate</v>
      </c>
      <c r="E1289" t="s">
        <v>24</v>
      </c>
      <c r="F1289">
        <v>3</v>
      </c>
      <c r="G1289">
        <v>0</v>
      </c>
      <c r="H1289" s="2">
        <v>109.33379999999998</v>
      </c>
      <c r="I1289" s="2">
        <v>404.93999999999994</v>
      </c>
    </row>
    <row r="1290" spans="1:9" x14ac:dyDescent="0.3">
      <c r="A1290" t="str">
        <f t="shared" si="426"/>
        <v>United States</v>
      </c>
      <c r="B1290" t="str">
        <f t="shared" si="427"/>
        <v>Des Moines</v>
      </c>
      <c r="C1290" t="str">
        <f t="shared" si="428"/>
        <v>Second Class</v>
      </c>
      <c r="D1290" t="s">
        <v>17</v>
      </c>
      <c r="E1290" t="s">
        <v>20</v>
      </c>
      <c r="F1290">
        <v>7</v>
      </c>
      <c r="G1290">
        <v>0.2</v>
      </c>
      <c r="H1290" s="2">
        <v>46.330999999999989</v>
      </c>
      <c r="I1290" s="2">
        <v>133.548</v>
      </c>
    </row>
    <row r="1291" spans="1:9" x14ac:dyDescent="0.3">
      <c r="A1291" t="str">
        <f t="shared" si="426"/>
        <v>United States</v>
      </c>
      <c r="B1291" t="str">
        <f t="shared" si="427"/>
        <v>Des Moines</v>
      </c>
      <c r="C1291" t="s">
        <v>22</v>
      </c>
      <c r="D1291" t="s">
        <v>8</v>
      </c>
      <c r="E1291" t="s">
        <v>45</v>
      </c>
      <c r="F1291">
        <v>2</v>
      </c>
      <c r="G1291">
        <v>0</v>
      </c>
      <c r="H1291" s="2">
        <v>449.99099999999999</v>
      </c>
      <c r="I1291" s="2">
        <v>999.98</v>
      </c>
    </row>
    <row r="1292" spans="1:9" x14ac:dyDescent="0.3">
      <c r="A1292" t="str">
        <f t="shared" si="426"/>
        <v>United States</v>
      </c>
      <c r="B1292" t="str">
        <f t="shared" si="427"/>
        <v>Des Moines</v>
      </c>
      <c r="C1292" t="str">
        <f t="shared" ref="C1292:C1298" si="430">C1291</f>
        <v>Standard Class</v>
      </c>
      <c r="D1292" t="str">
        <f t="shared" ref="D1292:D1293" si="431">D1291</f>
        <v>Consumer</v>
      </c>
      <c r="E1292" t="s">
        <v>38</v>
      </c>
      <c r="F1292">
        <v>3</v>
      </c>
      <c r="G1292">
        <v>0</v>
      </c>
      <c r="H1292" s="2">
        <v>2.8763999999999994</v>
      </c>
      <c r="I1292" s="2">
        <v>6.12</v>
      </c>
    </row>
    <row r="1293" spans="1:9" x14ac:dyDescent="0.3">
      <c r="A1293" t="str">
        <f t="shared" si="426"/>
        <v>United States</v>
      </c>
      <c r="B1293" t="str">
        <f t="shared" si="427"/>
        <v>Des Moines</v>
      </c>
      <c r="C1293" t="str">
        <f t="shared" si="430"/>
        <v>Standard Class</v>
      </c>
      <c r="D1293" t="str">
        <f t="shared" si="431"/>
        <v>Consumer</v>
      </c>
      <c r="E1293" t="s">
        <v>25</v>
      </c>
      <c r="F1293">
        <v>4</v>
      </c>
      <c r="G1293">
        <v>0</v>
      </c>
      <c r="H1293" s="2">
        <v>106.62480000000005</v>
      </c>
      <c r="I1293" s="2">
        <v>1184.72</v>
      </c>
    </row>
    <row r="1294" spans="1:9" x14ac:dyDescent="0.3">
      <c r="A1294" t="str">
        <f t="shared" si="426"/>
        <v>United States</v>
      </c>
      <c r="B1294" t="str">
        <f t="shared" si="427"/>
        <v>Des Moines</v>
      </c>
      <c r="C1294" t="str">
        <f t="shared" si="430"/>
        <v>Standard Class</v>
      </c>
      <c r="D1294" t="s">
        <v>15</v>
      </c>
      <c r="E1294" t="s">
        <v>19</v>
      </c>
      <c r="F1294">
        <v>2</v>
      </c>
      <c r="G1294">
        <v>0</v>
      </c>
      <c r="H1294" s="2">
        <v>10.881</v>
      </c>
      <c r="I1294" s="2">
        <v>40.299999999999997</v>
      </c>
    </row>
    <row r="1295" spans="1:9" x14ac:dyDescent="0.3">
      <c r="A1295" t="str">
        <f t="shared" si="426"/>
        <v>United States</v>
      </c>
      <c r="B1295" t="str">
        <f t="shared" si="427"/>
        <v>Des Moines</v>
      </c>
      <c r="C1295" t="str">
        <f t="shared" si="430"/>
        <v>Standard Class</v>
      </c>
      <c r="D1295" t="str">
        <f t="shared" ref="D1295:D1297" si="432">D1294</f>
        <v>Corporate</v>
      </c>
      <c r="E1295" t="s">
        <v>20</v>
      </c>
      <c r="F1295">
        <v>8</v>
      </c>
      <c r="G1295">
        <v>0</v>
      </c>
      <c r="H1295" s="2">
        <v>28.784500000000001</v>
      </c>
      <c r="I1295" s="2">
        <v>58.34</v>
      </c>
    </row>
    <row r="1296" spans="1:9" x14ac:dyDescent="0.3">
      <c r="A1296" t="str">
        <f t="shared" si="426"/>
        <v>United States</v>
      </c>
      <c r="B1296" t="str">
        <f t="shared" si="427"/>
        <v>Des Moines</v>
      </c>
      <c r="C1296" t="str">
        <f t="shared" si="430"/>
        <v>Standard Class</v>
      </c>
      <c r="D1296" t="str">
        <f t="shared" si="432"/>
        <v>Corporate</v>
      </c>
      <c r="E1296" t="s">
        <v>21</v>
      </c>
      <c r="F1296">
        <v>7</v>
      </c>
      <c r="G1296">
        <v>0</v>
      </c>
      <c r="H1296" s="2">
        <v>14.523600000000002</v>
      </c>
      <c r="I1296" s="2">
        <v>34.580000000000005</v>
      </c>
    </row>
    <row r="1297" spans="1:9" x14ac:dyDescent="0.3">
      <c r="A1297" t="str">
        <f t="shared" si="426"/>
        <v>United States</v>
      </c>
      <c r="B1297" t="str">
        <f t="shared" si="427"/>
        <v>Des Moines</v>
      </c>
      <c r="C1297" t="str">
        <f t="shared" si="430"/>
        <v>Standard Class</v>
      </c>
      <c r="D1297" t="str">
        <f t="shared" si="432"/>
        <v>Corporate</v>
      </c>
      <c r="E1297" t="s">
        <v>24</v>
      </c>
      <c r="F1297">
        <v>3</v>
      </c>
      <c r="G1297">
        <v>0</v>
      </c>
      <c r="H1297" s="2">
        <v>51.75</v>
      </c>
      <c r="I1297" s="2">
        <v>207</v>
      </c>
    </row>
    <row r="1298" spans="1:9" x14ac:dyDescent="0.3">
      <c r="A1298" t="str">
        <f t="shared" si="426"/>
        <v>United States</v>
      </c>
      <c r="B1298" t="str">
        <f t="shared" si="427"/>
        <v>Des Moines</v>
      </c>
      <c r="C1298" t="str">
        <f t="shared" si="430"/>
        <v>Standard Class</v>
      </c>
      <c r="D1298" t="s">
        <v>17</v>
      </c>
      <c r="E1298" t="s">
        <v>16</v>
      </c>
      <c r="F1298">
        <v>2</v>
      </c>
      <c r="G1298">
        <v>0</v>
      </c>
      <c r="H1298" s="2">
        <v>8.7137999999999991</v>
      </c>
      <c r="I1298" s="2">
        <v>18.54</v>
      </c>
    </row>
    <row r="1299" spans="1:9" x14ac:dyDescent="0.3">
      <c r="A1299" t="str">
        <f t="shared" si="426"/>
        <v>United States</v>
      </c>
      <c r="B1299" t="s">
        <v>152</v>
      </c>
      <c r="C1299" t="s">
        <v>11</v>
      </c>
      <c r="D1299" t="s">
        <v>8</v>
      </c>
      <c r="E1299" t="s">
        <v>20</v>
      </c>
      <c r="F1299">
        <v>3</v>
      </c>
      <c r="G1299">
        <v>0.8</v>
      </c>
      <c r="H1299" s="2">
        <v>-4.9164000000000012</v>
      </c>
      <c r="I1299" s="2">
        <v>2.8919999999999995</v>
      </c>
    </row>
    <row r="1300" spans="1:9" x14ac:dyDescent="0.3">
      <c r="A1300" t="str">
        <f t="shared" si="426"/>
        <v>United States</v>
      </c>
      <c r="B1300" t="str">
        <f t="shared" ref="B1300:B1304" si="433">B1299</f>
        <v>Des Plaines</v>
      </c>
      <c r="C1300" t="str">
        <f t="shared" ref="C1300:C1303" si="434">C1299</f>
        <v>First Class</v>
      </c>
      <c r="D1300" t="str">
        <f t="shared" ref="D1300:D1303" si="435">D1299</f>
        <v>Consumer</v>
      </c>
      <c r="E1300" t="s">
        <v>34</v>
      </c>
      <c r="F1300">
        <v>6</v>
      </c>
      <c r="G1300">
        <v>0.3</v>
      </c>
      <c r="H1300" s="2">
        <v>-30.293999999999983</v>
      </c>
      <c r="I1300" s="2">
        <v>424.11599999999999</v>
      </c>
    </row>
    <row r="1301" spans="1:9" x14ac:dyDescent="0.3">
      <c r="A1301" t="str">
        <f t="shared" si="426"/>
        <v>United States</v>
      </c>
      <c r="B1301" t="str">
        <f t="shared" si="433"/>
        <v>Des Plaines</v>
      </c>
      <c r="C1301" t="str">
        <f t="shared" si="434"/>
        <v>First Class</v>
      </c>
      <c r="D1301" t="str">
        <f t="shared" si="435"/>
        <v>Consumer</v>
      </c>
      <c r="E1301" t="s">
        <v>21</v>
      </c>
      <c r="F1301">
        <v>2</v>
      </c>
      <c r="G1301">
        <v>0.6</v>
      </c>
      <c r="H1301" s="2">
        <v>-7.4759999999999991</v>
      </c>
      <c r="I1301" s="2">
        <v>8.5440000000000005</v>
      </c>
    </row>
    <row r="1302" spans="1:9" x14ac:dyDescent="0.3">
      <c r="A1302" t="str">
        <f t="shared" si="426"/>
        <v>United States</v>
      </c>
      <c r="B1302" t="str">
        <f t="shared" si="433"/>
        <v>Des Plaines</v>
      </c>
      <c r="C1302" t="str">
        <f t="shared" si="434"/>
        <v>First Class</v>
      </c>
      <c r="D1302" t="str">
        <f t="shared" si="435"/>
        <v>Consumer</v>
      </c>
      <c r="E1302" t="s">
        <v>14</v>
      </c>
      <c r="F1302">
        <v>5</v>
      </c>
      <c r="G1302">
        <v>0.2</v>
      </c>
      <c r="H1302" s="2">
        <v>-66.801000000000045</v>
      </c>
      <c r="I1302" s="2">
        <v>381.72</v>
      </c>
    </row>
    <row r="1303" spans="1:9" x14ac:dyDescent="0.3">
      <c r="A1303" t="str">
        <f t="shared" si="426"/>
        <v>United States</v>
      </c>
      <c r="B1303" t="str">
        <f t="shared" si="433"/>
        <v>Des Plaines</v>
      </c>
      <c r="C1303" t="str">
        <f t="shared" si="434"/>
        <v>First Class</v>
      </c>
      <c r="D1303" t="str">
        <f t="shared" si="435"/>
        <v>Consumer</v>
      </c>
      <c r="E1303" t="s">
        <v>25</v>
      </c>
      <c r="F1303">
        <v>4</v>
      </c>
      <c r="G1303">
        <v>0.5</v>
      </c>
      <c r="H1303" s="2">
        <v>-175.26000000000005</v>
      </c>
      <c r="I1303" s="2">
        <v>292.10000000000002</v>
      </c>
    </row>
    <row r="1304" spans="1:9" x14ac:dyDescent="0.3">
      <c r="A1304" t="str">
        <f t="shared" si="426"/>
        <v>United States</v>
      </c>
      <c r="B1304" t="str">
        <f t="shared" si="433"/>
        <v>Des Plaines</v>
      </c>
      <c r="C1304" t="s">
        <v>22</v>
      </c>
      <c r="D1304" t="s">
        <v>8</v>
      </c>
      <c r="E1304" t="s">
        <v>24</v>
      </c>
      <c r="F1304">
        <v>4</v>
      </c>
      <c r="G1304">
        <v>0.2</v>
      </c>
      <c r="H1304" s="2">
        <v>47.97999999999999</v>
      </c>
      <c r="I1304" s="2">
        <v>383.84000000000003</v>
      </c>
    </row>
    <row r="1305" spans="1:9" x14ac:dyDescent="0.3">
      <c r="A1305" t="str">
        <f t="shared" si="426"/>
        <v>United States</v>
      </c>
      <c r="B1305" t="s">
        <v>153</v>
      </c>
      <c r="C1305" t="s">
        <v>11</v>
      </c>
      <c r="D1305" t="s">
        <v>8</v>
      </c>
      <c r="E1305" t="s">
        <v>23</v>
      </c>
      <c r="F1305">
        <v>17</v>
      </c>
      <c r="G1305">
        <v>0</v>
      </c>
      <c r="H1305" s="2">
        <v>155.91089999999997</v>
      </c>
      <c r="I1305" s="2">
        <v>460.16999999999996</v>
      </c>
    </row>
    <row r="1306" spans="1:9" x14ac:dyDescent="0.3">
      <c r="A1306" t="str">
        <f t="shared" si="426"/>
        <v>United States</v>
      </c>
      <c r="B1306" t="str">
        <f t="shared" ref="B1306:B1337" si="436">B1305</f>
        <v>Detroit</v>
      </c>
      <c r="C1306" t="str">
        <f t="shared" ref="C1306:C1316" si="437">C1305</f>
        <v>First Class</v>
      </c>
      <c r="D1306" t="str">
        <f t="shared" ref="D1306:D1309" si="438">D1305</f>
        <v>Consumer</v>
      </c>
      <c r="E1306" t="s">
        <v>20</v>
      </c>
      <c r="F1306">
        <v>2</v>
      </c>
      <c r="G1306">
        <v>0</v>
      </c>
      <c r="H1306" s="2">
        <v>10.35</v>
      </c>
      <c r="I1306" s="2">
        <v>23</v>
      </c>
    </row>
    <row r="1307" spans="1:9" x14ac:dyDescent="0.3">
      <c r="A1307" t="str">
        <f t="shared" si="426"/>
        <v>United States</v>
      </c>
      <c r="B1307" t="str">
        <f t="shared" si="436"/>
        <v>Detroit</v>
      </c>
      <c r="C1307" t="str">
        <f t="shared" si="437"/>
        <v>First Class</v>
      </c>
      <c r="D1307" t="str">
        <f t="shared" si="438"/>
        <v>Consumer</v>
      </c>
      <c r="E1307" t="s">
        <v>33</v>
      </c>
      <c r="F1307">
        <v>7</v>
      </c>
      <c r="G1307">
        <v>0</v>
      </c>
      <c r="H1307" s="2">
        <v>412.5394</v>
      </c>
      <c r="I1307" s="2">
        <v>1586.6899999999998</v>
      </c>
    </row>
    <row r="1308" spans="1:9" x14ac:dyDescent="0.3">
      <c r="A1308" t="str">
        <f t="shared" si="426"/>
        <v>United States</v>
      </c>
      <c r="B1308" t="str">
        <f t="shared" si="436"/>
        <v>Detroit</v>
      </c>
      <c r="C1308" t="str">
        <f t="shared" si="437"/>
        <v>First Class</v>
      </c>
      <c r="D1308" t="str">
        <f t="shared" si="438"/>
        <v>Consumer</v>
      </c>
      <c r="E1308" t="s">
        <v>24</v>
      </c>
      <c r="F1308">
        <v>1</v>
      </c>
      <c r="G1308">
        <v>0</v>
      </c>
      <c r="H1308" s="2">
        <v>31.497500000000002</v>
      </c>
      <c r="I1308" s="2">
        <v>125.99</v>
      </c>
    </row>
    <row r="1309" spans="1:9" x14ac:dyDescent="0.3">
      <c r="A1309" t="str">
        <f t="shared" si="426"/>
        <v>United States</v>
      </c>
      <c r="B1309" t="str">
        <f t="shared" si="436"/>
        <v>Detroit</v>
      </c>
      <c r="C1309" t="str">
        <f t="shared" si="437"/>
        <v>First Class</v>
      </c>
      <c r="D1309" t="str">
        <f t="shared" si="438"/>
        <v>Consumer</v>
      </c>
      <c r="E1309" t="s">
        <v>25</v>
      </c>
      <c r="F1309">
        <v>2</v>
      </c>
      <c r="G1309">
        <v>0</v>
      </c>
      <c r="H1309" s="2">
        <v>70.005999999999972</v>
      </c>
      <c r="I1309" s="2">
        <v>411.8</v>
      </c>
    </row>
    <row r="1310" spans="1:9" x14ac:dyDescent="0.3">
      <c r="A1310" t="str">
        <f t="shared" si="426"/>
        <v>United States</v>
      </c>
      <c r="B1310" t="str">
        <f t="shared" si="436"/>
        <v>Detroit</v>
      </c>
      <c r="C1310" t="str">
        <f t="shared" si="437"/>
        <v>First Class</v>
      </c>
      <c r="D1310" t="s">
        <v>15</v>
      </c>
      <c r="E1310" t="s">
        <v>46</v>
      </c>
      <c r="F1310">
        <v>2</v>
      </c>
      <c r="G1310">
        <v>0.1</v>
      </c>
      <c r="H1310" s="2">
        <v>679.99599999999964</v>
      </c>
      <c r="I1310" s="2">
        <v>3059.982</v>
      </c>
    </row>
    <row r="1311" spans="1:9" x14ac:dyDescent="0.3">
      <c r="A1311" t="str">
        <f t="shared" si="426"/>
        <v>United States</v>
      </c>
      <c r="B1311" t="str">
        <f t="shared" si="436"/>
        <v>Detroit</v>
      </c>
      <c r="C1311" t="str">
        <f t="shared" si="437"/>
        <v>First Class</v>
      </c>
      <c r="D1311" t="str">
        <f>D1310</f>
        <v>Corporate</v>
      </c>
      <c r="E1311" t="s">
        <v>25</v>
      </c>
      <c r="F1311">
        <v>2</v>
      </c>
      <c r="G1311">
        <v>0</v>
      </c>
      <c r="H1311" s="2">
        <v>21.097999999999985</v>
      </c>
      <c r="I1311" s="2">
        <v>210.98</v>
      </c>
    </row>
    <row r="1312" spans="1:9" x14ac:dyDescent="0.3">
      <c r="A1312" t="str">
        <f t="shared" si="426"/>
        <v>United States</v>
      </c>
      <c r="B1312" t="str">
        <f t="shared" si="436"/>
        <v>Detroit</v>
      </c>
      <c r="C1312" t="str">
        <f t="shared" si="437"/>
        <v>First Class</v>
      </c>
      <c r="D1312" t="s">
        <v>17</v>
      </c>
      <c r="E1312" t="s">
        <v>19</v>
      </c>
      <c r="F1312">
        <v>4</v>
      </c>
      <c r="G1312">
        <v>0</v>
      </c>
      <c r="H1312" s="2">
        <v>5.4127999999999989</v>
      </c>
      <c r="I1312" s="2">
        <v>15.92</v>
      </c>
    </row>
    <row r="1313" spans="1:9" x14ac:dyDescent="0.3">
      <c r="A1313" t="str">
        <f t="shared" si="426"/>
        <v>United States</v>
      </c>
      <c r="B1313" t="str">
        <f t="shared" si="436"/>
        <v>Detroit</v>
      </c>
      <c r="C1313" t="str">
        <f t="shared" si="437"/>
        <v>First Class</v>
      </c>
      <c r="D1313" t="str">
        <f t="shared" ref="D1313:D1316" si="439">D1312</f>
        <v>Home Office</v>
      </c>
      <c r="E1313" t="s">
        <v>21</v>
      </c>
      <c r="F1313">
        <v>5</v>
      </c>
      <c r="G1313">
        <v>0</v>
      </c>
      <c r="H1313" s="2">
        <v>10.047999999999998</v>
      </c>
      <c r="I1313" s="2">
        <v>31.400000000000002</v>
      </c>
    </row>
    <row r="1314" spans="1:9" x14ac:dyDescent="0.3">
      <c r="A1314" t="str">
        <f t="shared" si="426"/>
        <v>United States</v>
      </c>
      <c r="B1314" t="str">
        <f t="shared" si="436"/>
        <v>Detroit</v>
      </c>
      <c r="C1314" t="str">
        <f t="shared" si="437"/>
        <v>First Class</v>
      </c>
      <c r="D1314" t="str">
        <f t="shared" si="439"/>
        <v>Home Office</v>
      </c>
      <c r="E1314" t="s">
        <v>16</v>
      </c>
      <c r="F1314">
        <v>1</v>
      </c>
      <c r="G1314">
        <v>0</v>
      </c>
      <c r="H1314" s="2">
        <v>2.0429999999999997</v>
      </c>
      <c r="I1314" s="2">
        <v>4.54</v>
      </c>
    </row>
    <row r="1315" spans="1:9" x14ac:dyDescent="0.3">
      <c r="A1315" t="str">
        <f t="shared" si="426"/>
        <v>United States</v>
      </c>
      <c r="B1315" t="str">
        <f t="shared" si="436"/>
        <v>Detroit</v>
      </c>
      <c r="C1315" t="str">
        <f t="shared" si="437"/>
        <v>First Class</v>
      </c>
      <c r="D1315" t="str">
        <f t="shared" si="439"/>
        <v>Home Office</v>
      </c>
      <c r="E1315" t="s">
        <v>24</v>
      </c>
      <c r="F1315">
        <v>10</v>
      </c>
      <c r="G1315">
        <v>0</v>
      </c>
      <c r="H1315" s="2">
        <v>139.97060000000002</v>
      </c>
      <c r="I1315" s="2">
        <v>558.69999999999993</v>
      </c>
    </row>
    <row r="1316" spans="1:9" x14ac:dyDescent="0.3">
      <c r="A1316" t="str">
        <f t="shared" si="426"/>
        <v>United States</v>
      </c>
      <c r="B1316" t="str">
        <f t="shared" si="436"/>
        <v>Detroit</v>
      </c>
      <c r="C1316" t="str">
        <f t="shared" si="437"/>
        <v>First Class</v>
      </c>
      <c r="D1316" t="str">
        <f t="shared" si="439"/>
        <v>Home Office</v>
      </c>
      <c r="E1316" t="s">
        <v>14</v>
      </c>
      <c r="F1316">
        <v>4</v>
      </c>
      <c r="G1316">
        <v>0</v>
      </c>
      <c r="H1316" s="2">
        <v>13.967199999999998</v>
      </c>
      <c r="I1316" s="2">
        <v>53.72</v>
      </c>
    </row>
    <row r="1317" spans="1:9" x14ac:dyDescent="0.3">
      <c r="A1317" t="str">
        <f t="shared" si="426"/>
        <v>United States</v>
      </c>
      <c r="B1317" t="str">
        <f t="shared" si="436"/>
        <v>Detroit</v>
      </c>
      <c r="C1317" t="s">
        <v>27</v>
      </c>
      <c r="D1317" t="s">
        <v>8</v>
      </c>
      <c r="E1317" t="s">
        <v>20</v>
      </c>
      <c r="F1317">
        <v>4</v>
      </c>
      <c r="G1317">
        <v>0</v>
      </c>
      <c r="H1317" s="2">
        <v>14.4648</v>
      </c>
      <c r="I1317" s="2">
        <v>29.52</v>
      </c>
    </row>
    <row r="1318" spans="1:9" x14ac:dyDescent="0.3">
      <c r="A1318" t="str">
        <f t="shared" si="426"/>
        <v>United States</v>
      </c>
      <c r="B1318" t="str">
        <f t="shared" si="436"/>
        <v>Detroit</v>
      </c>
      <c r="C1318" t="str">
        <f t="shared" ref="C1318:C1321" si="440">C1317</f>
        <v>Same Day</v>
      </c>
      <c r="D1318" t="str">
        <f t="shared" ref="D1318:D1319" si="441">D1317</f>
        <v>Consumer</v>
      </c>
      <c r="E1318" t="s">
        <v>33</v>
      </c>
      <c r="F1318">
        <v>21</v>
      </c>
      <c r="G1318">
        <v>0</v>
      </c>
      <c r="H1318" s="2">
        <v>358.1028</v>
      </c>
      <c r="I1318" s="2">
        <v>1490.22</v>
      </c>
    </row>
    <row r="1319" spans="1:9" x14ac:dyDescent="0.3">
      <c r="A1319" t="str">
        <f t="shared" si="426"/>
        <v>United States</v>
      </c>
      <c r="B1319" t="str">
        <f t="shared" si="436"/>
        <v>Detroit</v>
      </c>
      <c r="C1319" t="str">
        <f t="shared" si="440"/>
        <v>Same Day</v>
      </c>
      <c r="D1319" t="str">
        <f t="shared" si="441"/>
        <v>Consumer</v>
      </c>
      <c r="E1319" t="s">
        <v>21</v>
      </c>
      <c r="F1319">
        <v>3</v>
      </c>
      <c r="G1319">
        <v>0</v>
      </c>
      <c r="H1319" s="2">
        <v>14.849099999999979</v>
      </c>
      <c r="I1319" s="2">
        <v>212.13</v>
      </c>
    </row>
    <row r="1320" spans="1:9" x14ac:dyDescent="0.3">
      <c r="A1320" t="str">
        <f t="shared" si="426"/>
        <v>United States</v>
      </c>
      <c r="B1320" t="str">
        <f t="shared" si="436"/>
        <v>Detroit</v>
      </c>
      <c r="C1320" t="str">
        <f t="shared" si="440"/>
        <v>Same Day</v>
      </c>
      <c r="D1320" t="s">
        <v>15</v>
      </c>
      <c r="E1320" t="s">
        <v>12</v>
      </c>
      <c r="F1320">
        <v>2</v>
      </c>
      <c r="G1320">
        <v>0.1</v>
      </c>
      <c r="H1320" s="2">
        <v>46.790800000000004</v>
      </c>
      <c r="I1320" s="2">
        <v>123.858</v>
      </c>
    </row>
    <row r="1321" spans="1:9" x14ac:dyDescent="0.3">
      <c r="A1321" t="str">
        <f t="shared" si="426"/>
        <v>United States</v>
      </c>
      <c r="B1321" t="str">
        <f t="shared" si="436"/>
        <v>Detroit</v>
      </c>
      <c r="C1321" t="str">
        <f t="shared" si="440"/>
        <v>Same Day</v>
      </c>
      <c r="D1321" t="str">
        <f>D1320</f>
        <v>Corporate</v>
      </c>
      <c r="E1321" t="s">
        <v>14</v>
      </c>
      <c r="F1321">
        <v>7</v>
      </c>
      <c r="G1321">
        <v>0</v>
      </c>
      <c r="H1321" s="2">
        <v>117.12960000000004</v>
      </c>
      <c r="I1321" s="2">
        <v>418.32</v>
      </c>
    </row>
    <row r="1322" spans="1:9" x14ac:dyDescent="0.3">
      <c r="A1322" t="str">
        <f t="shared" si="426"/>
        <v>United States</v>
      </c>
      <c r="B1322" t="str">
        <f t="shared" si="436"/>
        <v>Detroit</v>
      </c>
      <c r="C1322" t="s">
        <v>7</v>
      </c>
      <c r="D1322" t="s">
        <v>8</v>
      </c>
      <c r="E1322" t="s">
        <v>23</v>
      </c>
      <c r="F1322">
        <v>6</v>
      </c>
      <c r="G1322">
        <v>0</v>
      </c>
      <c r="H1322" s="2">
        <v>41.952000000000005</v>
      </c>
      <c r="I1322" s="2">
        <v>104.88</v>
      </c>
    </row>
    <row r="1323" spans="1:9" x14ac:dyDescent="0.3">
      <c r="A1323" t="str">
        <f t="shared" si="426"/>
        <v>United States</v>
      </c>
      <c r="B1323" t="str">
        <f t="shared" si="436"/>
        <v>Detroit</v>
      </c>
      <c r="C1323" t="str">
        <f t="shared" ref="C1323:C1338" si="442">C1322</f>
        <v>Second Class</v>
      </c>
      <c r="D1323" t="str">
        <f t="shared" ref="D1323:D1329" si="443">D1322</f>
        <v>Consumer</v>
      </c>
      <c r="E1323" t="s">
        <v>19</v>
      </c>
      <c r="F1323">
        <v>5</v>
      </c>
      <c r="G1323">
        <v>0</v>
      </c>
      <c r="H1323" s="2">
        <v>12.492000000000001</v>
      </c>
      <c r="I1323" s="2">
        <v>34.700000000000003</v>
      </c>
    </row>
    <row r="1324" spans="1:9" x14ac:dyDescent="0.3">
      <c r="A1324" t="str">
        <f t="shared" si="426"/>
        <v>United States</v>
      </c>
      <c r="B1324" t="str">
        <f t="shared" si="436"/>
        <v>Detroit</v>
      </c>
      <c r="C1324" t="str">
        <f t="shared" si="442"/>
        <v>Second Class</v>
      </c>
      <c r="D1324" t="str">
        <f t="shared" si="443"/>
        <v>Consumer</v>
      </c>
      <c r="E1324" t="s">
        <v>20</v>
      </c>
      <c r="F1324">
        <v>12</v>
      </c>
      <c r="G1324">
        <v>0</v>
      </c>
      <c r="H1324" s="2">
        <v>235.50159999999997</v>
      </c>
      <c r="I1324" s="2">
        <v>511.96000000000004</v>
      </c>
    </row>
    <row r="1325" spans="1:9" x14ac:dyDescent="0.3">
      <c r="A1325" t="str">
        <f t="shared" si="426"/>
        <v>United States</v>
      </c>
      <c r="B1325" t="str">
        <f t="shared" si="436"/>
        <v>Detroit</v>
      </c>
      <c r="C1325" t="str">
        <f t="shared" si="442"/>
        <v>Second Class</v>
      </c>
      <c r="D1325" t="str">
        <f t="shared" si="443"/>
        <v>Consumer</v>
      </c>
      <c r="E1325" t="s">
        <v>33</v>
      </c>
      <c r="F1325">
        <v>3</v>
      </c>
      <c r="G1325">
        <v>0</v>
      </c>
      <c r="H1325" s="2">
        <v>29.152800000000013</v>
      </c>
      <c r="I1325" s="2">
        <v>242.94</v>
      </c>
    </row>
    <row r="1326" spans="1:9" x14ac:dyDescent="0.3">
      <c r="A1326" t="str">
        <f t="shared" si="426"/>
        <v>United States</v>
      </c>
      <c r="B1326" t="str">
        <f t="shared" si="436"/>
        <v>Detroit</v>
      </c>
      <c r="C1326" t="str">
        <f t="shared" si="442"/>
        <v>Second Class</v>
      </c>
      <c r="D1326" t="str">
        <f t="shared" si="443"/>
        <v>Consumer</v>
      </c>
      <c r="E1326" t="s">
        <v>21</v>
      </c>
      <c r="F1326">
        <v>1</v>
      </c>
      <c r="G1326">
        <v>0</v>
      </c>
      <c r="H1326" s="2">
        <v>3.6659999999999986</v>
      </c>
      <c r="I1326" s="2">
        <v>12.22</v>
      </c>
    </row>
    <row r="1327" spans="1:9" x14ac:dyDescent="0.3">
      <c r="A1327" t="str">
        <f t="shared" si="426"/>
        <v>United States</v>
      </c>
      <c r="B1327" t="str">
        <f t="shared" si="436"/>
        <v>Detroit</v>
      </c>
      <c r="C1327" t="str">
        <f t="shared" si="442"/>
        <v>Second Class</v>
      </c>
      <c r="D1327" t="str">
        <f t="shared" si="443"/>
        <v>Consumer</v>
      </c>
      <c r="E1327" t="s">
        <v>43</v>
      </c>
      <c r="F1327">
        <v>7</v>
      </c>
      <c r="G1327">
        <v>0</v>
      </c>
      <c r="H1327" s="2">
        <v>10.584</v>
      </c>
      <c r="I1327" s="2">
        <v>22.05</v>
      </c>
    </row>
    <row r="1328" spans="1:9" x14ac:dyDescent="0.3">
      <c r="A1328" t="str">
        <f t="shared" si="426"/>
        <v>United States</v>
      </c>
      <c r="B1328" t="str">
        <f t="shared" si="436"/>
        <v>Detroit</v>
      </c>
      <c r="C1328" t="str">
        <f t="shared" si="442"/>
        <v>Second Class</v>
      </c>
      <c r="D1328" t="str">
        <f t="shared" si="443"/>
        <v>Consumer</v>
      </c>
      <c r="E1328" t="s">
        <v>16</v>
      </c>
      <c r="F1328">
        <v>7</v>
      </c>
      <c r="G1328">
        <v>0</v>
      </c>
      <c r="H1328" s="2">
        <v>49.047399999999996</v>
      </c>
      <c r="I1328" s="2">
        <v>106.3</v>
      </c>
    </row>
    <row r="1329" spans="1:9" x14ac:dyDescent="0.3">
      <c r="A1329" t="str">
        <f t="shared" si="426"/>
        <v>United States</v>
      </c>
      <c r="B1329" t="str">
        <f t="shared" si="436"/>
        <v>Detroit</v>
      </c>
      <c r="C1329" t="str">
        <f t="shared" si="442"/>
        <v>Second Class</v>
      </c>
      <c r="D1329" t="str">
        <f t="shared" si="443"/>
        <v>Consumer</v>
      </c>
      <c r="E1329" t="s">
        <v>14</v>
      </c>
      <c r="F1329">
        <v>6</v>
      </c>
      <c r="G1329">
        <v>0</v>
      </c>
      <c r="H1329" s="2">
        <v>43.968300000000006</v>
      </c>
      <c r="I1329" s="2">
        <v>265.89</v>
      </c>
    </row>
    <row r="1330" spans="1:9" x14ac:dyDescent="0.3">
      <c r="A1330" t="str">
        <f t="shared" si="426"/>
        <v>United States</v>
      </c>
      <c r="B1330" t="str">
        <f t="shared" si="436"/>
        <v>Detroit</v>
      </c>
      <c r="C1330" t="str">
        <f t="shared" si="442"/>
        <v>Second Class</v>
      </c>
      <c r="D1330" t="s">
        <v>15</v>
      </c>
      <c r="E1330" t="s">
        <v>19</v>
      </c>
      <c r="F1330">
        <v>5</v>
      </c>
      <c r="G1330">
        <v>0</v>
      </c>
      <c r="H1330" s="2">
        <v>4.7559999999999985</v>
      </c>
      <c r="I1330" s="2">
        <v>16.399999999999999</v>
      </c>
    </row>
    <row r="1331" spans="1:9" x14ac:dyDescent="0.3">
      <c r="A1331" t="str">
        <f t="shared" si="426"/>
        <v>United States</v>
      </c>
      <c r="B1331" t="str">
        <f t="shared" si="436"/>
        <v>Detroit</v>
      </c>
      <c r="C1331" t="str">
        <f t="shared" si="442"/>
        <v>Second Class</v>
      </c>
      <c r="D1331" t="str">
        <f t="shared" ref="D1331:D1334" si="444">D1330</f>
        <v>Corporate</v>
      </c>
      <c r="E1331" t="s">
        <v>20</v>
      </c>
      <c r="F1331">
        <v>8</v>
      </c>
      <c r="G1331">
        <v>0</v>
      </c>
      <c r="H1331" s="2">
        <v>52.379999999999995</v>
      </c>
      <c r="I1331" s="2">
        <v>116.4</v>
      </c>
    </row>
    <row r="1332" spans="1:9" x14ac:dyDescent="0.3">
      <c r="A1332" t="str">
        <f t="shared" si="426"/>
        <v>United States</v>
      </c>
      <c r="B1332" t="str">
        <f t="shared" si="436"/>
        <v>Detroit</v>
      </c>
      <c r="C1332" t="str">
        <f t="shared" si="442"/>
        <v>Second Class</v>
      </c>
      <c r="D1332" t="str">
        <f t="shared" si="444"/>
        <v>Corporate</v>
      </c>
      <c r="E1332" t="s">
        <v>33</v>
      </c>
      <c r="F1332">
        <v>5</v>
      </c>
      <c r="G1332">
        <v>0</v>
      </c>
      <c r="H1332" s="2">
        <v>700.98000000000013</v>
      </c>
      <c r="I1332" s="2">
        <v>3504.9</v>
      </c>
    </row>
    <row r="1333" spans="1:9" x14ac:dyDescent="0.3">
      <c r="A1333" t="str">
        <f t="shared" si="426"/>
        <v>United States</v>
      </c>
      <c r="B1333" t="str">
        <f t="shared" si="436"/>
        <v>Detroit</v>
      </c>
      <c r="C1333" t="str">
        <f t="shared" si="442"/>
        <v>Second Class</v>
      </c>
      <c r="D1333" t="str">
        <f t="shared" si="444"/>
        <v>Corporate</v>
      </c>
      <c r="E1333" t="s">
        <v>43</v>
      </c>
      <c r="F1333">
        <v>5</v>
      </c>
      <c r="G1333">
        <v>0</v>
      </c>
      <c r="H1333" s="2">
        <v>240.8595</v>
      </c>
      <c r="I1333" s="2">
        <v>491.55</v>
      </c>
    </row>
    <row r="1334" spans="1:9" x14ac:dyDescent="0.3">
      <c r="A1334" t="str">
        <f t="shared" si="426"/>
        <v>United States</v>
      </c>
      <c r="B1334" t="str">
        <f t="shared" si="436"/>
        <v>Detroit</v>
      </c>
      <c r="C1334" t="str">
        <f t="shared" si="442"/>
        <v>Second Class</v>
      </c>
      <c r="D1334" t="str">
        <f t="shared" si="444"/>
        <v>Corporate</v>
      </c>
      <c r="E1334" t="s">
        <v>16</v>
      </c>
      <c r="F1334">
        <v>10</v>
      </c>
      <c r="G1334">
        <v>0</v>
      </c>
      <c r="H1334" s="2">
        <v>232.60319999999996</v>
      </c>
      <c r="I1334" s="2">
        <v>484.59</v>
      </c>
    </row>
    <row r="1335" spans="1:9" x14ac:dyDescent="0.3">
      <c r="A1335" t="str">
        <f t="shared" si="426"/>
        <v>United States</v>
      </c>
      <c r="B1335" t="str">
        <f t="shared" si="436"/>
        <v>Detroit</v>
      </c>
      <c r="C1335" t="str">
        <f t="shared" si="442"/>
        <v>Second Class</v>
      </c>
      <c r="D1335" t="s">
        <v>17</v>
      </c>
      <c r="E1335" t="s">
        <v>12</v>
      </c>
      <c r="F1335">
        <v>5</v>
      </c>
      <c r="G1335">
        <v>0.1</v>
      </c>
      <c r="H1335" s="2">
        <v>245.69999999999993</v>
      </c>
      <c r="I1335" s="2">
        <v>850.5</v>
      </c>
    </row>
    <row r="1336" spans="1:9" x14ac:dyDescent="0.3">
      <c r="A1336" t="str">
        <f t="shared" si="426"/>
        <v>United States</v>
      </c>
      <c r="B1336" t="str">
        <f t="shared" si="436"/>
        <v>Detroit</v>
      </c>
      <c r="C1336" t="str">
        <f t="shared" si="442"/>
        <v>Second Class</v>
      </c>
      <c r="D1336" t="str">
        <f t="shared" ref="D1336:D1338" si="445">D1335</f>
        <v>Home Office</v>
      </c>
      <c r="E1336" t="s">
        <v>20</v>
      </c>
      <c r="F1336">
        <v>2</v>
      </c>
      <c r="G1336">
        <v>0</v>
      </c>
      <c r="H1336" s="2">
        <v>2.4287999999999998</v>
      </c>
      <c r="I1336" s="2">
        <v>5.28</v>
      </c>
    </row>
    <row r="1337" spans="1:9" x14ac:dyDescent="0.3">
      <c r="A1337" t="str">
        <f t="shared" si="426"/>
        <v>United States</v>
      </c>
      <c r="B1337" t="str">
        <f t="shared" si="436"/>
        <v>Detroit</v>
      </c>
      <c r="C1337" t="str">
        <f t="shared" si="442"/>
        <v>Second Class</v>
      </c>
      <c r="D1337" t="str">
        <f t="shared" si="445"/>
        <v>Home Office</v>
      </c>
      <c r="E1337" t="s">
        <v>21</v>
      </c>
      <c r="F1337">
        <v>9</v>
      </c>
      <c r="G1337">
        <v>0</v>
      </c>
      <c r="H1337" s="2">
        <v>19.585799999999999</v>
      </c>
      <c r="I1337" s="2">
        <v>75.33</v>
      </c>
    </row>
    <row r="1338" spans="1:9" x14ac:dyDescent="0.3">
      <c r="A1338" t="str">
        <f t="shared" si="426"/>
        <v>United States</v>
      </c>
      <c r="B1338" t="str">
        <f t="shared" ref="B1338:B1364" si="446">B1337</f>
        <v>Detroit</v>
      </c>
      <c r="C1338" t="str">
        <f t="shared" si="442"/>
        <v>Second Class</v>
      </c>
      <c r="D1338" t="str">
        <f t="shared" si="445"/>
        <v>Home Office</v>
      </c>
      <c r="E1338" t="s">
        <v>24</v>
      </c>
      <c r="F1338">
        <v>4</v>
      </c>
      <c r="G1338">
        <v>0</v>
      </c>
      <c r="H1338" s="2">
        <v>209.62899999999999</v>
      </c>
      <c r="I1338" s="2">
        <v>817.8</v>
      </c>
    </row>
    <row r="1339" spans="1:9" x14ac:dyDescent="0.3">
      <c r="A1339" t="str">
        <f t="shared" si="426"/>
        <v>United States</v>
      </c>
      <c r="B1339" t="str">
        <f t="shared" si="446"/>
        <v>Detroit</v>
      </c>
      <c r="C1339" t="s">
        <v>22</v>
      </c>
      <c r="D1339" t="s">
        <v>8</v>
      </c>
      <c r="E1339" t="s">
        <v>23</v>
      </c>
      <c r="F1339">
        <v>3</v>
      </c>
      <c r="G1339">
        <v>0</v>
      </c>
      <c r="H1339" s="2">
        <v>163.18979999999999</v>
      </c>
      <c r="I1339" s="2">
        <v>479.97</v>
      </c>
    </row>
    <row r="1340" spans="1:9" x14ac:dyDescent="0.3">
      <c r="A1340" t="str">
        <f t="shared" si="426"/>
        <v>United States</v>
      </c>
      <c r="B1340" t="str">
        <f t="shared" si="446"/>
        <v>Detroit</v>
      </c>
      <c r="C1340" t="str">
        <f t="shared" ref="C1340:C1364" si="447">C1339</f>
        <v>Standard Class</v>
      </c>
      <c r="D1340" t="str">
        <f t="shared" ref="D1340:D1350" si="448">D1339</f>
        <v>Consumer</v>
      </c>
      <c r="E1340" t="s">
        <v>12</v>
      </c>
      <c r="F1340">
        <v>13</v>
      </c>
      <c r="G1340">
        <v>0.30000000000000004</v>
      </c>
      <c r="H1340" s="2">
        <v>197.50199999999995</v>
      </c>
      <c r="I1340" s="2">
        <v>929.79000000000008</v>
      </c>
    </row>
    <row r="1341" spans="1:9" x14ac:dyDescent="0.3">
      <c r="A1341" t="str">
        <f t="shared" si="426"/>
        <v>United States</v>
      </c>
      <c r="B1341" t="str">
        <f t="shared" si="446"/>
        <v>Detroit</v>
      </c>
      <c r="C1341" t="str">
        <f t="shared" si="447"/>
        <v>Standard Class</v>
      </c>
      <c r="D1341" t="str">
        <f t="shared" si="448"/>
        <v>Consumer</v>
      </c>
      <c r="E1341" t="s">
        <v>19</v>
      </c>
      <c r="F1341">
        <v>16</v>
      </c>
      <c r="G1341">
        <v>0</v>
      </c>
      <c r="H1341" s="2">
        <v>80.224399999999989</v>
      </c>
      <c r="I1341" s="2">
        <v>281.82</v>
      </c>
    </row>
    <row r="1342" spans="1:9" x14ac:dyDescent="0.3">
      <c r="A1342" t="str">
        <f t="shared" si="426"/>
        <v>United States</v>
      </c>
      <c r="B1342" t="str">
        <f t="shared" si="446"/>
        <v>Detroit</v>
      </c>
      <c r="C1342" t="str">
        <f t="shared" si="447"/>
        <v>Standard Class</v>
      </c>
      <c r="D1342" t="str">
        <f t="shared" si="448"/>
        <v>Consumer</v>
      </c>
      <c r="E1342" t="s">
        <v>20</v>
      </c>
      <c r="F1342">
        <v>59</v>
      </c>
      <c r="G1342">
        <v>0</v>
      </c>
      <c r="H1342" s="2">
        <v>5736.2152999999998</v>
      </c>
      <c r="I1342" s="2">
        <v>11584.64</v>
      </c>
    </row>
    <row r="1343" spans="1:9" x14ac:dyDescent="0.3">
      <c r="A1343" t="str">
        <f t="shared" si="426"/>
        <v>United States</v>
      </c>
      <c r="B1343" t="str">
        <f t="shared" si="446"/>
        <v>Detroit</v>
      </c>
      <c r="C1343" t="str">
        <f t="shared" si="447"/>
        <v>Standard Class</v>
      </c>
      <c r="D1343" t="str">
        <f t="shared" si="448"/>
        <v>Consumer</v>
      </c>
      <c r="E1343" t="s">
        <v>33</v>
      </c>
      <c r="F1343">
        <v>6</v>
      </c>
      <c r="G1343">
        <v>0</v>
      </c>
      <c r="H1343" s="2">
        <v>70.194600000000008</v>
      </c>
      <c r="I1343" s="2">
        <v>779.94</v>
      </c>
    </row>
    <row r="1344" spans="1:9" x14ac:dyDescent="0.3">
      <c r="A1344" t="str">
        <f t="shared" si="426"/>
        <v>United States</v>
      </c>
      <c r="B1344" t="str">
        <f t="shared" si="446"/>
        <v>Detroit</v>
      </c>
      <c r="C1344" t="str">
        <f t="shared" si="447"/>
        <v>Standard Class</v>
      </c>
      <c r="D1344" t="str">
        <f t="shared" si="448"/>
        <v>Consumer</v>
      </c>
      <c r="E1344" t="s">
        <v>38</v>
      </c>
      <c r="F1344">
        <v>2</v>
      </c>
      <c r="G1344">
        <v>0</v>
      </c>
      <c r="H1344" s="2">
        <v>81.432000000000002</v>
      </c>
      <c r="I1344" s="2">
        <v>180.96</v>
      </c>
    </row>
    <row r="1345" spans="1:9" x14ac:dyDescent="0.3">
      <c r="A1345" t="str">
        <f t="shared" si="426"/>
        <v>United States</v>
      </c>
      <c r="B1345" t="str">
        <f t="shared" si="446"/>
        <v>Detroit</v>
      </c>
      <c r="C1345" t="str">
        <f t="shared" si="447"/>
        <v>Standard Class</v>
      </c>
      <c r="D1345" t="str">
        <f t="shared" si="448"/>
        <v>Consumer</v>
      </c>
      <c r="E1345" t="s">
        <v>21</v>
      </c>
      <c r="F1345">
        <v>4</v>
      </c>
      <c r="G1345">
        <v>0</v>
      </c>
      <c r="H1345" s="2">
        <v>32.375500000000009</v>
      </c>
      <c r="I1345" s="2">
        <v>278.41000000000003</v>
      </c>
    </row>
    <row r="1346" spans="1:9" x14ac:dyDescent="0.3">
      <c r="A1346" t="str">
        <f t="shared" si="426"/>
        <v>United States</v>
      </c>
      <c r="B1346" t="str">
        <f t="shared" si="446"/>
        <v>Detroit</v>
      </c>
      <c r="C1346" t="str">
        <f t="shared" si="447"/>
        <v>Standard Class</v>
      </c>
      <c r="D1346" t="str">
        <f t="shared" si="448"/>
        <v>Consumer</v>
      </c>
      <c r="E1346" t="s">
        <v>43</v>
      </c>
      <c r="F1346">
        <v>14</v>
      </c>
      <c r="G1346">
        <v>0</v>
      </c>
      <c r="H1346" s="2">
        <v>65.098600000000005</v>
      </c>
      <c r="I1346" s="2">
        <v>132.51000000000002</v>
      </c>
    </row>
    <row r="1347" spans="1:9" x14ac:dyDescent="0.3">
      <c r="A1347" t="str">
        <f t="shared" si="426"/>
        <v>United States</v>
      </c>
      <c r="B1347" t="str">
        <f t="shared" si="446"/>
        <v>Detroit</v>
      </c>
      <c r="C1347" t="str">
        <f t="shared" si="447"/>
        <v>Standard Class</v>
      </c>
      <c r="D1347" t="str">
        <f t="shared" si="448"/>
        <v>Consumer</v>
      </c>
      <c r="E1347" t="s">
        <v>16</v>
      </c>
      <c r="F1347">
        <v>10</v>
      </c>
      <c r="G1347">
        <v>0</v>
      </c>
      <c r="H1347" s="2">
        <v>33.426000000000002</v>
      </c>
      <c r="I1347" s="2">
        <v>69.240000000000009</v>
      </c>
    </row>
    <row r="1348" spans="1:9" x14ac:dyDescent="0.3">
      <c r="A1348" t="str">
        <f t="shared" ref="A1348:A1411" si="449">A1347</f>
        <v>United States</v>
      </c>
      <c r="B1348" t="str">
        <f t="shared" si="446"/>
        <v>Detroit</v>
      </c>
      <c r="C1348" t="str">
        <f t="shared" si="447"/>
        <v>Standard Class</v>
      </c>
      <c r="D1348" t="str">
        <f t="shared" si="448"/>
        <v>Consumer</v>
      </c>
      <c r="E1348" t="s">
        <v>24</v>
      </c>
      <c r="F1348">
        <v>15</v>
      </c>
      <c r="G1348">
        <v>0</v>
      </c>
      <c r="H1348" s="2">
        <v>430.28179999999998</v>
      </c>
      <c r="I1348" s="2">
        <v>1573.5600000000002</v>
      </c>
    </row>
    <row r="1349" spans="1:9" x14ac:dyDescent="0.3">
      <c r="A1349" t="str">
        <f t="shared" si="449"/>
        <v>United States</v>
      </c>
      <c r="B1349" t="str">
        <f t="shared" si="446"/>
        <v>Detroit</v>
      </c>
      <c r="C1349" t="str">
        <f t="shared" si="447"/>
        <v>Standard Class</v>
      </c>
      <c r="D1349" t="str">
        <f t="shared" si="448"/>
        <v>Consumer</v>
      </c>
      <c r="E1349" t="s">
        <v>14</v>
      </c>
      <c r="F1349">
        <v>11</v>
      </c>
      <c r="G1349">
        <v>0</v>
      </c>
      <c r="H1349" s="2">
        <v>53.976399999999948</v>
      </c>
      <c r="I1349" s="2">
        <v>812.31999999999994</v>
      </c>
    </row>
    <row r="1350" spans="1:9" x14ac:dyDescent="0.3">
      <c r="A1350" t="str">
        <f t="shared" si="449"/>
        <v>United States</v>
      </c>
      <c r="B1350" t="str">
        <f t="shared" si="446"/>
        <v>Detroit</v>
      </c>
      <c r="C1350" t="str">
        <f t="shared" si="447"/>
        <v>Standard Class</v>
      </c>
      <c r="D1350" t="str">
        <f t="shared" si="448"/>
        <v>Consumer</v>
      </c>
      <c r="E1350" t="s">
        <v>25</v>
      </c>
      <c r="F1350">
        <v>4</v>
      </c>
      <c r="G1350">
        <v>0</v>
      </c>
      <c r="H1350" s="2">
        <v>98.524799999999971</v>
      </c>
      <c r="I1350" s="2">
        <v>447.84</v>
      </c>
    </row>
    <row r="1351" spans="1:9" x14ac:dyDescent="0.3">
      <c r="A1351" t="str">
        <f t="shared" si="449"/>
        <v>United States</v>
      </c>
      <c r="B1351" t="str">
        <f t="shared" si="446"/>
        <v>Detroit</v>
      </c>
      <c r="C1351" t="str">
        <f t="shared" si="447"/>
        <v>Standard Class</v>
      </c>
      <c r="D1351" t="s">
        <v>15</v>
      </c>
      <c r="E1351" t="s">
        <v>12</v>
      </c>
      <c r="F1351">
        <v>7</v>
      </c>
      <c r="G1351">
        <v>0.2</v>
      </c>
      <c r="H1351" s="2">
        <v>30.836399999999987</v>
      </c>
      <c r="I1351" s="2">
        <v>152.964</v>
      </c>
    </row>
    <row r="1352" spans="1:9" x14ac:dyDescent="0.3">
      <c r="A1352" t="str">
        <f t="shared" si="449"/>
        <v>United States</v>
      </c>
      <c r="B1352" t="str">
        <f t="shared" si="446"/>
        <v>Detroit</v>
      </c>
      <c r="C1352" t="str">
        <f t="shared" si="447"/>
        <v>Standard Class</v>
      </c>
      <c r="D1352" t="str">
        <f t="shared" ref="D1352:D1360" si="450">D1351</f>
        <v>Corporate</v>
      </c>
      <c r="E1352" t="s">
        <v>19</v>
      </c>
      <c r="F1352">
        <v>2</v>
      </c>
      <c r="G1352">
        <v>0</v>
      </c>
      <c r="H1352" s="2">
        <v>1.9191999999999998</v>
      </c>
      <c r="I1352" s="2">
        <v>5.48</v>
      </c>
    </row>
    <row r="1353" spans="1:9" x14ac:dyDescent="0.3">
      <c r="A1353" t="str">
        <f t="shared" si="449"/>
        <v>United States</v>
      </c>
      <c r="B1353" t="str">
        <f t="shared" si="446"/>
        <v>Detroit</v>
      </c>
      <c r="C1353" t="str">
        <f t="shared" si="447"/>
        <v>Standard Class</v>
      </c>
      <c r="D1353" t="str">
        <f t="shared" si="450"/>
        <v>Corporate</v>
      </c>
      <c r="E1353" t="s">
        <v>20</v>
      </c>
      <c r="F1353">
        <v>12</v>
      </c>
      <c r="G1353">
        <v>0</v>
      </c>
      <c r="H1353" s="2">
        <v>103.64139999999999</v>
      </c>
      <c r="I1353" s="2">
        <v>218.38</v>
      </c>
    </row>
    <row r="1354" spans="1:9" x14ac:dyDescent="0.3">
      <c r="A1354" t="str">
        <f t="shared" si="449"/>
        <v>United States</v>
      </c>
      <c r="B1354" t="str">
        <f t="shared" si="446"/>
        <v>Detroit</v>
      </c>
      <c r="C1354" t="str">
        <f t="shared" si="447"/>
        <v>Standard Class</v>
      </c>
      <c r="D1354" t="str">
        <f t="shared" si="450"/>
        <v>Corporate</v>
      </c>
      <c r="E1354" t="s">
        <v>34</v>
      </c>
      <c r="F1354">
        <v>1</v>
      </c>
      <c r="G1354">
        <v>0</v>
      </c>
      <c r="H1354" s="2">
        <v>20.927400000000006</v>
      </c>
      <c r="I1354" s="2">
        <v>160.97999999999999</v>
      </c>
    </row>
    <row r="1355" spans="1:9" x14ac:dyDescent="0.3">
      <c r="A1355" t="str">
        <f t="shared" si="449"/>
        <v>United States</v>
      </c>
      <c r="B1355" t="str">
        <f t="shared" si="446"/>
        <v>Detroit</v>
      </c>
      <c r="C1355" t="str">
        <f t="shared" si="447"/>
        <v>Standard Class</v>
      </c>
      <c r="D1355" t="str">
        <f t="shared" si="450"/>
        <v>Corporate</v>
      </c>
      <c r="E1355" t="s">
        <v>33</v>
      </c>
      <c r="F1355">
        <v>20</v>
      </c>
      <c r="G1355">
        <v>0</v>
      </c>
      <c r="H1355" s="2">
        <v>898.3922</v>
      </c>
      <c r="I1355" s="2">
        <v>3941.94</v>
      </c>
    </row>
    <row r="1356" spans="1:9" x14ac:dyDescent="0.3">
      <c r="A1356" t="str">
        <f t="shared" si="449"/>
        <v>United States</v>
      </c>
      <c r="B1356" t="str">
        <f t="shared" si="446"/>
        <v>Detroit</v>
      </c>
      <c r="C1356" t="str">
        <f t="shared" si="447"/>
        <v>Standard Class</v>
      </c>
      <c r="D1356" t="str">
        <f t="shared" si="450"/>
        <v>Corporate</v>
      </c>
      <c r="E1356" t="s">
        <v>18</v>
      </c>
      <c r="F1356">
        <v>1</v>
      </c>
      <c r="G1356">
        <v>0</v>
      </c>
      <c r="H1356" s="2">
        <v>3.04</v>
      </c>
      <c r="I1356" s="2">
        <v>6.08</v>
      </c>
    </row>
    <row r="1357" spans="1:9" x14ac:dyDescent="0.3">
      <c r="A1357" t="str">
        <f t="shared" si="449"/>
        <v>United States</v>
      </c>
      <c r="B1357" t="str">
        <f t="shared" si="446"/>
        <v>Detroit</v>
      </c>
      <c r="C1357" t="str">
        <f t="shared" si="447"/>
        <v>Standard Class</v>
      </c>
      <c r="D1357" t="str">
        <f t="shared" si="450"/>
        <v>Corporate</v>
      </c>
      <c r="E1357" t="s">
        <v>16</v>
      </c>
      <c r="F1357">
        <v>14</v>
      </c>
      <c r="G1357">
        <v>0</v>
      </c>
      <c r="H1357" s="2">
        <v>76.611800000000002</v>
      </c>
      <c r="I1357" s="2">
        <v>164.42000000000002</v>
      </c>
    </row>
    <row r="1358" spans="1:9" x14ac:dyDescent="0.3">
      <c r="A1358" t="str">
        <f t="shared" si="449"/>
        <v>United States</v>
      </c>
      <c r="B1358" t="str">
        <f t="shared" si="446"/>
        <v>Detroit</v>
      </c>
      <c r="C1358" t="str">
        <f t="shared" si="447"/>
        <v>Standard Class</v>
      </c>
      <c r="D1358" t="str">
        <f t="shared" si="450"/>
        <v>Corporate</v>
      </c>
      <c r="E1358" t="s">
        <v>24</v>
      </c>
      <c r="F1358">
        <v>7</v>
      </c>
      <c r="G1358">
        <v>0</v>
      </c>
      <c r="H1358" s="2">
        <v>64.959599999999995</v>
      </c>
      <c r="I1358" s="2">
        <v>223.93</v>
      </c>
    </row>
    <row r="1359" spans="1:9" x14ac:dyDescent="0.3">
      <c r="A1359" t="str">
        <f t="shared" si="449"/>
        <v>United States</v>
      </c>
      <c r="B1359" t="str">
        <f t="shared" si="446"/>
        <v>Detroit</v>
      </c>
      <c r="C1359" t="str">
        <f t="shared" si="447"/>
        <v>Standard Class</v>
      </c>
      <c r="D1359" t="str">
        <f t="shared" si="450"/>
        <v>Corporate</v>
      </c>
      <c r="E1359" t="s">
        <v>14</v>
      </c>
      <c r="F1359">
        <v>4</v>
      </c>
      <c r="G1359">
        <v>0</v>
      </c>
      <c r="H1359" s="2">
        <v>80.239699999999999</v>
      </c>
      <c r="I1359" s="2">
        <v>318.35000000000002</v>
      </c>
    </row>
    <row r="1360" spans="1:9" x14ac:dyDescent="0.3">
      <c r="A1360" t="str">
        <f t="shared" si="449"/>
        <v>United States</v>
      </c>
      <c r="B1360" t="str">
        <f t="shared" si="446"/>
        <v>Detroit</v>
      </c>
      <c r="C1360" t="str">
        <f t="shared" si="447"/>
        <v>Standard Class</v>
      </c>
      <c r="D1360" t="str">
        <f t="shared" si="450"/>
        <v>Corporate</v>
      </c>
      <c r="E1360" t="s">
        <v>25</v>
      </c>
      <c r="F1360">
        <v>8</v>
      </c>
      <c r="G1360">
        <v>0</v>
      </c>
      <c r="H1360" s="2">
        <v>368.35059999999999</v>
      </c>
      <c r="I1360" s="2">
        <v>2275.39</v>
      </c>
    </row>
    <row r="1361" spans="1:9" x14ac:dyDescent="0.3">
      <c r="A1361" t="str">
        <f t="shared" si="449"/>
        <v>United States</v>
      </c>
      <c r="B1361" t="str">
        <f t="shared" si="446"/>
        <v>Detroit</v>
      </c>
      <c r="C1361" t="str">
        <f t="shared" si="447"/>
        <v>Standard Class</v>
      </c>
      <c r="D1361" t="s">
        <v>17</v>
      </c>
      <c r="E1361" t="s">
        <v>23</v>
      </c>
      <c r="F1361">
        <v>7</v>
      </c>
      <c r="G1361">
        <v>0</v>
      </c>
      <c r="H1361" s="2">
        <v>11.451999999999995</v>
      </c>
      <c r="I1361" s="2">
        <v>114.52</v>
      </c>
    </row>
    <row r="1362" spans="1:9" x14ac:dyDescent="0.3">
      <c r="A1362" t="str">
        <f t="shared" si="449"/>
        <v>United States</v>
      </c>
      <c r="B1362" t="str">
        <f t="shared" si="446"/>
        <v>Detroit</v>
      </c>
      <c r="C1362" t="str">
        <f t="shared" si="447"/>
        <v>Standard Class</v>
      </c>
      <c r="D1362" t="str">
        <f t="shared" ref="D1362:D1364" si="451">D1361</f>
        <v>Home Office</v>
      </c>
      <c r="E1362" t="s">
        <v>34</v>
      </c>
      <c r="F1362">
        <v>3</v>
      </c>
      <c r="G1362">
        <v>0</v>
      </c>
      <c r="H1362" s="2">
        <v>57.4938</v>
      </c>
      <c r="I1362" s="2">
        <v>212.94</v>
      </c>
    </row>
    <row r="1363" spans="1:9" x14ac:dyDescent="0.3">
      <c r="A1363" t="str">
        <f t="shared" si="449"/>
        <v>United States</v>
      </c>
      <c r="B1363" t="str">
        <f t="shared" si="446"/>
        <v>Detroit</v>
      </c>
      <c r="C1363" t="str">
        <f t="shared" si="447"/>
        <v>Standard Class</v>
      </c>
      <c r="D1363" t="str">
        <f t="shared" si="451"/>
        <v>Home Office</v>
      </c>
      <c r="E1363" t="s">
        <v>33</v>
      </c>
      <c r="F1363">
        <v>2</v>
      </c>
      <c r="G1363">
        <v>0</v>
      </c>
      <c r="H1363" s="2">
        <v>146.38799999999998</v>
      </c>
      <c r="I1363" s="2">
        <v>487.96</v>
      </c>
    </row>
    <row r="1364" spans="1:9" x14ac:dyDescent="0.3">
      <c r="A1364" t="str">
        <f t="shared" si="449"/>
        <v>United States</v>
      </c>
      <c r="B1364" t="str">
        <f t="shared" si="446"/>
        <v>Detroit</v>
      </c>
      <c r="C1364" t="str">
        <f t="shared" si="447"/>
        <v>Standard Class</v>
      </c>
      <c r="D1364" t="str">
        <f t="shared" si="451"/>
        <v>Home Office</v>
      </c>
      <c r="E1364" t="s">
        <v>24</v>
      </c>
      <c r="F1364">
        <v>2</v>
      </c>
      <c r="G1364">
        <v>0</v>
      </c>
      <c r="H1364" s="2">
        <v>35.634600000000006</v>
      </c>
      <c r="I1364" s="2">
        <v>131.97999999999999</v>
      </c>
    </row>
    <row r="1365" spans="1:9" x14ac:dyDescent="0.3">
      <c r="A1365" t="str">
        <f t="shared" si="449"/>
        <v>United States</v>
      </c>
      <c r="B1365" t="s">
        <v>154</v>
      </c>
      <c r="C1365" t="s">
        <v>11</v>
      </c>
      <c r="D1365" t="s">
        <v>8</v>
      </c>
      <c r="E1365" t="s">
        <v>19</v>
      </c>
      <c r="F1365">
        <v>3</v>
      </c>
      <c r="G1365">
        <v>0</v>
      </c>
      <c r="H1365" s="2">
        <v>2.8535999999999988</v>
      </c>
      <c r="I1365" s="2">
        <v>9.84</v>
      </c>
    </row>
    <row r="1366" spans="1:9" x14ac:dyDescent="0.3">
      <c r="A1366" t="str">
        <f t="shared" si="449"/>
        <v>United States</v>
      </c>
      <c r="B1366" t="str">
        <f t="shared" ref="B1366:B1380" si="452">B1365</f>
        <v>Dover</v>
      </c>
      <c r="C1366" t="str">
        <f t="shared" ref="C1366:C1367" si="453">C1365</f>
        <v>First Class</v>
      </c>
      <c r="D1366" t="str">
        <f t="shared" ref="D1366:D1367" si="454">D1365</f>
        <v>Consumer</v>
      </c>
      <c r="E1366" t="s">
        <v>20</v>
      </c>
      <c r="F1366">
        <v>3</v>
      </c>
      <c r="G1366">
        <v>0</v>
      </c>
      <c r="H1366" s="2">
        <v>15.524999999999999</v>
      </c>
      <c r="I1366" s="2">
        <v>34.5</v>
      </c>
    </row>
    <row r="1367" spans="1:9" x14ac:dyDescent="0.3">
      <c r="A1367" t="str">
        <f t="shared" si="449"/>
        <v>United States</v>
      </c>
      <c r="B1367" t="str">
        <f t="shared" si="452"/>
        <v>Dover</v>
      </c>
      <c r="C1367" t="str">
        <f t="shared" si="453"/>
        <v>First Class</v>
      </c>
      <c r="D1367" t="str">
        <f t="shared" si="454"/>
        <v>Consumer</v>
      </c>
      <c r="E1367" t="s">
        <v>21</v>
      </c>
      <c r="F1367">
        <v>2</v>
      </c>
      <c r="G1367">
        <v>0</v>
      </c>
      <c r="H1367" s="2">
        <v>3.0813999999999995</v>
      </c>
      <c r="I1367" s="2">
        <v>9.94</v>
      </c>
    </row>
    <row r="1368" spans="1:9" x14ac:dyDescent="0.3">
      <c r="A1368" t="str">
        <f t="shared" si="449"/>
        <v>United States</v>
      </c>
      <c r="B1368" t="str">
        <f t="shared" si="452"/>
        <v>Dover</v>
      </c>
      <c r="C1368" t="s">
        <v>7</v>
      </c>
      <c r="D1368" t="s">
        <v>15</v>
      </c>
      <c r="E1368" t="s">
        <v>12</v>
      </c>
      <c r="F1368">
        <v>4</v>
      </c>
      <c r="G1368">
        <v>0</v>
      </c>
      <c r="H1368" s="2">
        <v>9.3184000000000005</v>
      </c>
      <c r="I1368" s="2">
        <v>33.28</v>
      </c>
    </row>
    <row r="1369" spans="1:9" x14ac:dyDescent="0.3">
      <c r="A1369" t="str">
        <f t="shared" si="449"/>
        <v>United States</v>
      </c>
      <c r="B1369" t="str">
        <f t="shared" si="452"/>
        <v>Dover</v>
      </c>
      <c r="C1369" t="str">
        <f t="shared" ref="C1369:C1373" si="455">C1368</f>
        <v>Second Class</v>
      </c>
      <c r="D1369" t="str">
        <f t="shared" ref="D1369:D1370" si="456">D1368</f>
        <v>Corporate</v>
      </c>
      <c r="E1369" t="s">
        <v>19</v>
      </c>
      <c r="F1369">
        <v>9</v>
      </c>
      <c r="G1369">
        <v>0</v>
      </c>
      <c r="H1369" s="2">
        <v>11.9412</v>
      </c>
      <c r="I1369" s="2">
        <v>38.520000000000003</v>
      </c>
    </row>
    <row r="1370" spans="1:9" x14ac:dyDescent="0.3">
      <c r="A1370" t="str">
        <f t="shared" si="449"/>
        <v>United States</v>
      </c>
      <c r="B1370" t="str">
        <f t="shared" si="452"/>
        <v>Dover</v>
      </c>
      <c r="C1370" t="str">
        <f t="shared" si="455"/>
        <v>Second Class</v>
      </c>
      <c r="D1370" t="str">
        <f t="shared" si="456"/>
        <v>Corporate</v>
      </c>
      <c r="E1370" t="s">
        <v>21</v>
      </c>
      <c r="F1370">
        <v>9</v>
      </c>
      <c r="G1370">
        <v>0</v>
      </c>
      <c r="H1370" s="2">
        <v>102.5318</v>
      </c>
      <c r="I1370" s="2">
        <v>351.82000000000005</v>
      </c>
    </row>
    <row r="1371" spans="1:9" x14ac:dyDescent="0.3">
      <c r="A1371" t="str">
        <f t="shared" si="449"/>
        <v>United States</v>
      </c>
      <c r="B1371" t="str">
        <f t="shared" si="452"/>
        <v>Dover</v>
      </c>
      <c r="C1371" t="str">
        <f t="shared" si="455"/>
        <v>Second Class</v>
      </c>
      <c r="D1371" t="s">
        <v>17</v>
      </c>
      <c r="E1371" t="s">
        <v>23</v>
      </c>
      <c r="F1371">
        <v>9</v>
      </c>
      <c r="G1371">
        <v>0</v>
      </c>
      <c r="H1371" s="2">
        <v>517.47930000000008</v>
      </c>
      <c r="I1371" s="2">
        <v>2249.91</v>
      </c>
    </row>
    <row r="1372" spans="1:9" x14ac:dyDescent="0.3">
      <c r="A1372" t="str">
        <f t="shared" si="449"/>
        <v>United States</v>
      </c>
      <c r="B1372" t="str">
        <f t="shared" si="452"/>
        <v>Dover</v>
      </c>
      <c r="C1372" t="str">
        <f t="shared" si="455"/>
        <v>Second Class</v>
      </c>
      <c r="D1372" t="str">
        <f t="shared" ref="D1372:D1373" si="457">D1371</f>
        <v>Home Office</v>
      </c>
      <c r="E1372" t="s">
        <v>16</v>
      </c>
      <c r="F1372">
        <v>5</v>
      </c>
      <c r="G1372">
        <v>0</v>
      </c>
      <c r="H1372" s="2">
        <v>14.651</v>
      </c>
      <c r="I1372" s="2">
        <v>29.900000000000002</v>
      </c>
    </row>
    <row r="1373" spans="1:9" x14ac:dyDescent="0.3">
      <c r="A1373" t="str">
        <f t="shared" si="449"/>
        <v>United States</v>
      </c>
      <c r="B1373" t="str">
        <f t="shared" si="452"/>
        <v>Dover</v>
      </c>
      <c r="C1373" t="str">
        <f t="shared" si="455"/>
        <v>Second Class</v>
      </c>
      <c r="D1373" t="str">
        <f t="shared" si="457"/>
        <v>Home Office</v>
      </c>
      <c r="E1373" t="s">
        <v>25</v>
      </c>
      <c r="F1373">
        <v>4</v>
      </c>
      <c r="G1373">
        <v>0.3</v>
      </c>
      <c r="H1373" s="2">
        <v>-105.31639999999993</v>
      </c>
      <c r="I1373" s="2">
        <v>1053.164</v>
      </c>
    </row>
    <row r="1374" spans="1:9" x14ac:dyDescent="0.3">
      <c r="A1374" t="str">
        <f t="shared" si="449"/>
        <v>United States</v>
      </c>
      <c r="B1374" t="str">
        <f t="shared" si="452"/>
        <v>Dover</v>
      </c>
      <c r="C1374" t="s">
        <v>22</v>
      </c>
      <c r="D1374" t="s">
        <v>8</v>
      </c>
      <c r="E1374" t="s">
        <v>23</v>
      </c>
      <c r="F1374">
        <v>3</v>
      </c>
      <c r="G1374">
        <v>0</v>
      </c>
      <c r="H1374" s="2">
        <v>4.9500000000000011</v>
      </c>
      <c r="I1374" s="2">
        <v>45</v>
      </c>
    </row>
    <row r="1375" spans="1:9" x14ac:dyDescent="0.3">
      <c r="A1375" t="str">
        <f t="shared" si="449"/>
        <v>United States</v>
      </c>
      <c r="B1375" t="str">
        <f t="shared" si="452"/>
        <v>Dover</v>
      </c>
      <c r="C1375" t="str">
        <f t="shared" ref="C1375:C1380" si="458">C1374</f>
        <v>Standard Class</v>
      </c>
      <c r="D1375" t="str">
        <f t="shared" ref="D1375:D1378" si="459">D1374</f>
        <v>Consumer</v>
      </c>
      <c r="E1375" t="s">
        <v>20</v>
      </c>
      <c r="F1375">
        <v>5</v>
      </c>
      <c r="G1375">
        <v>0</v>
      </c>
      <c r="H1375" s="2">
        <v>325.19299999999993</v>
      </c>
      <c r="I1375" s="2">
        <v>691.9</v>
      </c>
    </row>
    <row r="1376" spans="1:9" x14ac:dyDescent="0.3">
      <c r="A1376" t="str">
        <f t="shared" si="449"/>
        <v>United States</v>
      </c>
      <c r="B1376" t="str">
        <f t="shared" si="452"/>
        <v>Dover</v>
      </c>
      <c r="C1376" t="str">
        <f t="shared" si="458"/>
        <v>Standard Class</v>
      </c>
      <c r="D1376" t="str">
        <f t="shared" si="459"/>
        <v>Consumer</v>
      </c>
      <c r="E1376" t="s">
        <v>21</v>
      </c>
      <c r="F1376">
        <v>3</v>
      </c>
      <c r="G1376">
        <v>0</v>
      </c>
      <c r="H1376" s="2">
        <v>26.648999999999997</v>
      </c>
      <c r="I1376" s="2">
        <v>76.14</v>
      </c>
    </row>
    <row r="1377" spans="1:9" x14ac:dyDescent="0.3">
      <c r="A1377" t="str">
        <f t="shared" si="449"/>
        <v>United States</v>
      </c>
      <c r="B1377" t="str">
        <f t="shared" si="452"/>
        <v>Dover</v>
      </c>
      <c r="C1377" t="str">
        <f t="shared" si="458"/>
        <v>Standard Class</v>
      </c>
      <c r="D1377" t="str">
        <f t="shared" si="459"/>
        <v>Consumer</v>
      </c>
      <c r="E1377" t="s">
        <v>43</v>
      </c>
      <c r="F1377">
        <v>4</v>
      </c>
      <c r="G1377">
        <v>0</v>
      </c>
      <c r="H1377" s="2">
        <v>7.5991999999999997</v>
      </c>
      <c r="I1377" s="2">
        <v>16.52</v>
      </c>
    </row>
    <row r="1378" spans="1:9" x14ac:dyDescent="0.3">
      <c r="A1378" t="str">
        <f t="shared" si="449"/>
        <v>United States</v>
      </c>
      <c r="B1378" t="str">
        <f t="shared" si="452"/>
        <v>Dover</v>
      </c>
      <c r="C1378" t="str">
        <f t="shared" si="458"/>
        <v>Standard Class</v>
      </c>
      <c r="D1378" t="str">
        <f t="shared" si="459"/>
        <v>Consumer</v>
      </c>
      <c r="E1378" t="s">
        <v>24</v>
      </c>
      <c r="F1378">
        <v>4</v>
      </c>
      <c r="G1378">
        <v>0</v>
      </c>
      <c r="H1378" s="2">
        <v>11.298800000000002</v>
      </c>
      <c r="I1378" s="2">
        <v>41.78</v>
      </c>
    </row>
    <row r="1379" spans="1:9" x14ac:dyDescent="0.3">
      <c r="A1379" t="str">
        <f t="shared" si="449"/>
        <v>United States</v>
      </c>
      <c r="B1379" t="str">
        <f t="shared" si="452"/>
        <v>Dover</v>
      </c>
      <c r="C1379" t="str">
        <f t="shared" si="458"/>
        <v>Standard Class</v>
      </c>
      <c r="D1379" t="s">
        <v>15</v>
      </c>
      <c r="E1379" t="s">
        <v>23</v>
      </c>
      <c r="F1379">
        <v>2</v>
      </c>
      <c r="G1379">
        <v>0</v>
      </c>
      <c r="H1379" s="2">
        <v>57.592799999999997</v>
      </c>
      <c r="I1379" s="2">
        <v>159.97999999999999</v>
      </c>
    </row>
    <row r="1380" spans="1:9" x14ac:dyDescent="0.3">
      <c r="A1380" t="str">
        <f t="shared" si="449"/>
        <v>United States</v>
      </c>
      <c r="B1380" t="str">
        <f t="shared" si="452"/>
        <v>Dover</v>
      </c>
      <c r="C1380" t="str">
        <f t="shared" si="458"/>
        <v>Standard Class</v>
      </c>
      <c r="D1380" t="str">
        <f>D1379</f>
        <v>Corporate</v>
      </c>
      <c r="E1380" t="s">
        <v>16</v>
      </c>
      <c r="F1380">
        <v>6</v>
      </c>
      <c r="G1380">
        <v>0</v>
      </c>
      <c r="H1380" s="2">
        <v>16.146000000000001</v>
      </c>
      <c r="I1380" s="2">
        <v>35.880000000000003</v>
      </c>
    </row>
    <row r="1381" spans="1:9" x14ac:dyDescent="0.3">
      <c r="A1381" t="str">
        <f t="shared" si="449"/>
        <v>United States</v>
      </c>
      <c r="B1381" t="s">
        <v>155</v>
      </c>
      <c r="C1381" t="s">
        <v>11</v>
      </c>
      <c r="D1381" t="s">
        <v>8</v>
      </c>
      <c r="E1381" t="s">
        <v>21</v>
      </c>
      <c r="F1381">
        <v>2</v>
      </c>
      <c r="G1381">
        <v>0</v>
      </c>
      <c r="H1381" s="2">
        <v>10.567200000000001</v>
      </c>
      <c r="I1381" s="2">
        <v>25.16</v>
      </c>
    </row>
    <row r="1382" spans="1:9" x14ac:dyDescent="0.3">
      <c r="A1382" t="str">
        <f t="shared" si="449"/>
        <v>United States</v>
      </c>
      <c r="B1382" t="str">
        <f t="shared" ref="B1382:B1383" si="460">B1381</f>
        <v>Draper</v>
      </c>
      <c r="C1382" t="str">
        <f>C1381</f>
        <v>First Class</v>
      </c>
      <c r="D1382" t="str">
        <f>D1381</f>
        <v>Consumer</v>
      </c>
      <c r="E1382" t="s">
        <v>24</v>
      </c>
      <c r="F1382">
        <v>4</v>
      </c>
      <c r="G1382">
        <v>0.2</v>
      </c>
      <c r="H1382" s="2">
        <v>47.459999999999994</v>
      </c>
      <c r="I1382" s="2">
        <v>126.56</v>
      </c>
    </row>
    <row r="1383" spans="1:9" x14ac:dyDescent="0.3">
      <c r="A1383" t="str">
        <f t="shared" si="449"/>
        <v>United States</v>
      </c>
      <c r="B1383" t="str">
        <f t="shared" si="460"/>
        <v>Draper</v>
      </c>
      <c r="C1383" t="s">
        <v>22</v>
      </c>
      <c r="D1383" t="s">
        <v>15</v>
      </c>
      <c r="E1383" t="s">
        <v>23</v>
      </c>
      <c r="F1383">
        <v>7</v>
      </c>
      <c r="G1383">
        <v>0</v>
      </c>
      <c r="H1383" s="2">
        <v>34.698299999999996</v>
      </c>
      <c r="I1383" s="2">
        <v>111.93</v>
      </c>
    </row>
    <row r="1384" spans="1:9" x14ac:dyDescent="0.3">
      <c r="A1384" t="str">
        <f t="shared" si="449"/>
        <v>United States</v>
      </c>
      <c r="B1384" t="s">
        <v>156</v>
      </c>
      <c r="C1384" t="s">
        <v>11</v>
      </c>
      <c r="D1384" t="s">
        <v>8</v>
      </c>
      <c r="E1384" t="s">
        <v>19</v>
      </c>
      <c r="F1384">
        <v>2</v>
      </c>
      <c r="G1384">
        <v>0.2</v>
      </c>
      <c r="H1384" s="2">
        <v>2.7168000000000001</v>
      </c>
      <c r="I1384" s="2">
        <v>27.168000000000003</v>
      </c>
    </row>
    <row r="1385" spans="1:9" x14ac:dyDescent="0.3">
      <c r="A1385" t="str">
        <f t="shared" si="449"/>
        <v>United States</v>
      </c>
      <c r="B1385" t="str">
        <f t="shared" ref="B1385:B1395" si="461">B1384</f>
        <v>Dublin</v>
      </c>
      <c r="C1385" t="str">
        <f t="shared" ref="C1385:C1390" si="462">C1384</f>
        <v>First Class</v>
      </c>
      <c r="D1385" t="str">
        <f t="shared" ref="D1385:D1390" si="463">D1384</f>
        <v>Consumer</v>
      </c>
      <c r="E1385" t="s">
        <v>20</v>
      </c>
      <c r="F1385">
        <v>6</v>
      </c>
      <c r="G1385">
        <v>1.4</v>
      </c>
      <c r="H1385" s="2">
        <v>-16.501799999999996</v>
      </c>
      <c r="I1385" s="2">
        <v>23.574000000000005</v>
      </c>
    </row>
    <row r="1386" spans="1:9" x14ac:dyDescent="0.3">
      <c r="A1386" t="str">
        <f t="shared" si="449"/>
        <v>United States</v>
      </c>
      <c r="B1386" t="str">
        <f t="shared" si="461"/>
        <v>Dublin</v>
      </c>
      <c r="C1386" t="str">
        <f t="shared" si="462"/>
        <v>First Class</v>
      </c>
      <c r="D1386" t="str">
        <f t="shared" si="463"/>
        <v>Consumer</v>
      </c>
      <c r="E1386" t="s">
        <v>18</v>
      </c>
      <c r="F1386">
        <v>2</v>
      </c>
      <c r="G1386">
        <v>0.2</v>
      </c>
      <c r="H1386" s="2">
        <v>1.8147999999999997</v>
      </c>
      <c r="I1386" s="2">
        <v>5.5840000000000005</v>
      </c>
    </row>
    <row r="1387" spans="1:9" x14ac:dyDescent="0.3">
      <c r="A1387" t="str">
        <f t="shared" si="449"/>
        <v>United States</v>
      </c>
      <c r="B1387" t="str">
        <f t="shared" si="461"/>
        <v>Dublin</v>
      </c>
      <c r="C1387" t="str">
        <f t="shared" si="462"/>
        <v>First Class</v>
      </c>
      <c r="D1387" t="str">
        <f t="shared" si="463"/>
        <v>Consumer</v>
      </c>
      <c r="E1387" t="s">
        <v>21</v>
      </c>
      <c r="F1387">
        <v>4</v>
      </c>
      <c r="G1387">
        <v>0.2</v>
      </c>
      <c r="H1387" s="2">
        <v>19.084800000000005</v>
      </c>
      <c r="I1387" s="2">
        <v>72.703999999999994</v>
      </c>
    </row>
    <row r="1388" spans="1:9" x14ac:dyDescent="0.3">
      <c r="A1388" t="str">
        <f t="shared" si="449"/>
        <v>United States</v>
      </c>
      <c r="B1388" t="str">
        <f t="shared" si="461"/>
        <v>Dublin</v>
      </c>
      <c r="C1388" t="str">
        <f t="shared" si="462"/>
        <v>First Class</v>
      </c>
      <c r="D1388" t="str">
        <f t="shared" si="463"/>
        <v>Consumer</v>
      </c>
      <c r="E1388" t="s">
        <v>46</v>
      </c>
      <c r="F1388">
        <v>4</v>
      </c>
      <c r="G1388">
        <v>0.7</v>
      </c>
      <c r="H1388" s="2">
        <v>-383.99040000000002</v>
      </c>
      <c r="I1388" s="2">
        <v>479.98800000000006</v>
      </c>
    </row>
    <row r="1389" spans="1:9" x14ac:dyDescent="0.3">
      <c r="A1389" t="str">
        <f t="shared" si="449"/>
        <v>United States</v>
      </c>
      <c r="B1389" t="str">
        <f t="shared" si="461"/>
        <v>Dublin</v>
      </c>
      <c r="C1389" t="str">
        <f t="shared" si="462"/>
        <v>First Class</v>
      </c>
      <c r="D1389" t="str">
        <f t="shared" si="463"/>
        <v>Consumer</v>
      </c>
      <c r="E1389" t="s">
        <v>16</v>
      </c>
      <c r="F1389">
        <v>12</v>
      </c>
      <c r="G1389">
        <v>0.4</v>
      </c>
      <c r="H1389" s="2">
        <v>18.287400000000002</v>
      </c>
      <c r="I1389" s="2">
        <v>50.448000000000008</v>
      </c>
    </row>
    <row r="1390" spans="1:9" x14ac:dyDescent="0.3">
      <c r="A1390" t="str">
        <f t="shared" si="449"/>
        <v>United States</v>
      </c>
      <c r="B1390" t="str">
        <f t="shared" si="461"/>
        <v>Dublin</v>
      </c>
      <c r="C1390" t="str">
        <f t="shared" si="462"/>
        <v>First Class</v>
      </c>
      <c r="D1390" t="str">
        <f t="shared" si="463"/>
        <v>Consumer</v>
      </c>
      <c r="E1390" t="s">
        <v>24</v>
      </c>
      <c r="F1390">
        <v>4</v>
      </c>
      <c r="G1390">
        <v>0.4</v>
      </c>
      <c r="H1390" s="2">
        <v>-34.314799999999991</v>
      </c>
      <c r="I1390" s="2">
        <v>158.37599999999998</v>
      </c>
    </row>
    <row r="1391" spans="1:9" x14ac:dyDescent="0.3">
      <c r="A1391" t="str">
        <f t="shared" si="449"/>
        <v>United States</v>
      </c>
      <c r="B1391" t="str">
        <f t="shared" si="461"/>
        <v>Dublin</v>
      </c>
      <c r="C1391" t="s">
        <v>7</v>
      </c>
      <c r="D1391" t="s">
        <v>8</v>
      </c>
      <c r="E1391" t="s">
        <v>23</v>
      </c>
      <c r="F1391">
        <v>6</v>
      </c>
      <c r="G1391">
        <v>0.2</v>
      </c>
      <c r="H1391" s="2">
        <v>107.98920000000001</v>
      </c>
      <c r="I1391" s="2">
        <v>479.952</v>
      </c>
    </row>
    <row r="1392" spans="1:9" x14ac:dyDescent="0.3">
      <c r="A1392" t="str">
        <f t="shared" si="449"/>
        <v>United States</v>
      </c>
      <c r="B1392" t="str">
        <f t="shared" si="461"/>
        <v>Dublin</v>
      </c>
      <c r="C1392" t="str">
        <f t="shared" ref="C1392:C1393" si="464">C1391</f>
        <v>Second Class</v>
      </c>
      <c r="D1392" t="str">
        <f>D1391</f>
        <v>Consumer</v>
      </c>
      <c r="E1392" t="s">
        <v>19</v>
      </c>
      <c r="F1392">
        <v>5</v>
      </c>
      <c r="G1392">
        <v>0.2</v>
      </c>
      <c r="H1392" s="2">
        <v>1.7940000000000005</v>
      </c>
      <c r="I1392" s="2">
        <v>23.92</v>
      </c>
    </row>
    <row r="1393" spans="1:9" x14ac:dyDescent="0.3">
      <c r="A1393" t="str">
        <f t="shared" si="449"/>
        <v>United States</v>
      </c>
      <c r="B1393" t="str">
        <f t="shared" si="461"/>
        <v>Dublin</v>
      </c>
      <c r="C1393" t="str">
        <f t="shared" si="464"/>
        <v>Second Class</v>
      </c>
      <c r="D1393" t="s">
        <v>15</v>
      </c>
      <c r="E1393" t="s">
        <v>25</v>
      </c>
      <c r="F1393">
        <v>5</v>
      </c>
      <c r="G1393">
        <v>0.4</v>
      </c>
      <c r="H1393" s="2">
        <v>-69.889999999999986</v>
      </c>
      <c r="I1393" s="2">
        <v>1048.3499999999999</v>
      </c>
    </row>
    <row r="1394" spans="1:9" x14ac:dyDescent="0.3">
      <c r="A1394" t="str">
        <f t="shared" si="449"/>
        <v>United States</v>
      </c>
      <c r="B1394" t="str">
        <f t="shared" si="461"/>
        <v>Dublin</v>
      </c>
      <c r="C1394" t="s">
        <v>22</v>
      </c>
      <c r="D1394" t="s">
        <v>8</v>
      </c>
      <c r="E1394" t="s">
        <v>24</v>
      </c>
      <c r="F1394">
        <v>5</v>
      </c>
      <c r="G1394">
        <v>0.2</v>
      </c>
      <c r="H1394" s="2">
        <v>1.375</v>
      </c>
      <c r="I1394" s="2">
        <v>22</v>
      </c>
    </row>
    <row r="1395" spans="1:9" x14ac:dyDescent="0.3">
      <c r="A1395" t="str">
        <f t="shared" si="449"/>
        <v>United States</v>
      </c>
      <c r="B1395" t="str">
        <f t="shared" si="461"/>
        <v>Dublin</v>
      </c>
      <c r="C1395" t="str">
        <f>C1394</f>
        <v>Standard Class</v>
      </c>
      <c r="D1395" t="s">
        <v>15</v>
      </c>
      <c r="E1395" t="s">
        <v>23</v>
      </c>
      <c r="F1395">
        <v>1</v>
      </c>
      <c r="G1395">
        <v>0.2</v>
      </c>
      <c r="H1395" s="2">
        <v>1.7054999999999998</v>
      </c>
      <c r="I1395" s="2">
        <v>9.0960000000000001</v>
      </c>
    </row>
    <row r="1396" spans="1:9" x14ac:dyDescent="0.3">
      <c r="A1396" t="str">
        <f t="shared" si="449"/>
        <v>United States</v>
      </c>
      <c r="B1396" t="s">
        <v>157</v>
      </c>
      <c r="C1396" t="s">
        <v>22</v>
      </c>
      <c r="D1396" t="s">
        <v>8</v>
      </c>
      <c r="E1396" t="s">
        <v>24</v>
      </c>
      <c r="F1396">
        <v>4</v>
      </c>
      <c r="G1396">
        <v>0</v>
      </c>
      <c r="H1396" s="2">
        <v>76.548399999999987</v>
      </c>
      <c r="I1396" s="2">
        <v>263.95999999999998</v>
      </c>
    </row>
    <row r="1397" spans="1:9" x14ac:dyDescent="0.3">
      <c r="A1397" t="str">
        <f t="shared" si="449"/>
        <v>United States</v>
      </c>
      <c r="B1397" t="str">
        <f t="shared" ref="B1397:B1398" si="465">B1396</f>
        <v>Dubuque</v>
      </c>
      <c r="C1397" t="str">
        <f t="shared" ref="C1397:C1398" si="466">C1396</f>
        <v>Standard Class</v>
      </c>
      <c r="D1397" t="s">
        <v>17</v>
      </c>
      <c r="E1397" t="s">
        <v>20</v>
      </c>
      <c r="F1397">
        <v>4</v>
      </c>
      <c r="G1397">
        <v>0</v>
      </c>
      <c r="H1397" s="2">
        <v>6.8579999999999988</v>
      </c>
      <c r="I1397" s="2">
        <v>15.24</v>
      </c>
    </row>
    <row r="1398" spans="1:9" x14ac:dyDescent="0.3">
      <c r="A1398" t="str">
        <f t="shared" si="449"/>
        <v>United States</v>
      </c>
      <c r="B1398" t="str">
        <f t="shared" si="465"/>
        <v>Dubuque</v>
      </c>
      <c r="C1398" t="str">
        <f t="shared" si="466"/>
        <v>Standard Class</v>
      </c>
      <c r="D1398" t="str">
        <f>D1397</f>
        <v>Home Office</v>
      </c>
      <c r="E1398" t="s">
        <v>33</v>
      </c>
      <c r="F1398">
        <v>10</v>
      </c>
      <c r="G1398">
        <v>0</v>
      </c>
      <c r="H1398" s="2">
        <v>394.26800000000003</v>
      </c>
      <c r="I1398" s="2">
        <v>1408.1</v>
      </c>
    </row>
    <row r="1399" spans="1:9" x14ac:dyDescent="0.3">
      <c r="A1399" t="str">
        <f t="shared" si="449"/>
        <v>United States</v>
      </c>
      <c r="B1399" t="s">
        <v>158</v>
      </c>
      <c r="C1399" t="s">
        <v>11</v>
      </c>
      <c r="D1399" t="s">
        <v>8</v>
      </c>
      <c r="E1399" t="s">
        <v>12</v>
      </c>
      <c r="F1399">
        <v>3</v>
      </c>
      <c r="G1399">
        <v>0.2</v>
      </c>
      <c r="H1399" s="2">
        <v>9.8351999999999933</v>
      </c>
      <c r="I1399" s="2">
        <v>98.352000000000004</v>
      </c>
    </row>
    <row r="1400" spans="1:9" x14ac:dyDescent="0.3">
      <c r="A1400" t="str">
        <f t="shared" si="449"/>
        <v>United States</v>
      </c>
      <c r="B1400" t="str">
        <f t="shared" ref="B1400:B1407" si="467">B1399</f>
        <v>Durham</v>
      </c>
      <c r="C1400" t="str">
        <f t="shared" ref="C1400:C1401" si="468">C1399</f>
        <v>First Class</v>
      </c>
      <c r="D1400" t="str">
        <f t="shared" ref="D1400:D1401" si="469">D1399</f>
        <v>Consumer</v>
      </c>
      <c r="E1400" t="s">
        <v>20</v>
      </c>
      <c r="F1400">
        <v>7</v>
      </c>
      <c r="G1400">
        <v>0.7</v>
      </c>
      <c r="H1400" s="2">
        <v>-4.2336000000000009</v>
      </c>
      <c r="I1400" s="2">
        <v>6.0480000000000009</v>
      </c>
    </row>
    <row r="1401" spans="1:9" x14ac:dyDescent="0.3">
      <c r="A1401" t="str">
        <f t="shared" si="449"/>
        <v>United States</v>
      </c>
      <c r="B1401" t="str">
        <f t="shared" si="467"/>
        <v>Durham</v>
      </c>
      <c r="C1401" t="str">
        <f t="shared" si="468"/>
        <v>First Class</v>
      </c>
      <c r="D1401" t="str">
        <f t="shared" si="469"/>
        <v>Consumer</v>
      </c>
      <c r="E1401" t="s">
        <v>21</v>
      </c>
      <c r="F1401">
        <v>2</v>
      </c>
      <c r="G1401">
        <v>0.2</v>
      </c>
      <c r="H1401" s="2">
        <v>25.180800000000005</v>
      </c>
      <c r="I1401" s="2">
        <v>335.74400000000003</v>
      </c>
    </row>
    <row r="1402" spans="1:9" x14ac:dyDescent="0.3">
      <c r="A1402" t="str">
        <f t="shared" si="449"/>
        <v>United States</v>
      </c>
      <c r="B1402" t="str">
        <f t="shared" si="467"/>
        <v>Durham</v>
      </c>
      <c r="C1402" t="s">
        <v>7</v>
      </c>
      <c r="D1402" t="s">
        <v>15</v>
      </c>
      <c r="E1402" t="s">
        <v>19</v>
      </c>
      <c r="F1402">
        <v>4</v>
      </c>
      <c r="G1402">
        <v>0.2</v>
      </c>
      <c r="H1402" s="2">
        <v>12.314400000000006</v>
      </c>
      <c r="I1402" s="2">
        <v>140.73599999999999</v>
      </c>
    </row>
    <row r="1403" spans="1:9" x14ac:dyDescent="0.3">
      <c r="A1403" t="str">
        <f t="shared" si="449"/>
        <v>United States</v>
      </c>
      <c r="B1403" t="str">
        <f t="shared" si="467"/>
        <v>Durham</v>
      </c>
      <c r="C1403" t="s">
        <v>22</v>
      </c>
      <c r="D1403" t="s">
        <v>15</v>
      </c>
      <c r="E1403" t="s">
        <v>38</v>
      </c>
      <c r="F1403">
        <v>7</v>
      </c>
      <c r="G1403">
        <v>0.2</v>
      </c>
      <c r="H1403" s="2">
        <v>62.807499999999976</v>
      </c>
      <c r="I1403" s="2">
        <v>200.98400000000004</v>
      </c>
    </row>
    <row r="1404" spans="1:9" x14ac:dyDescent="0.3">
      <c r="A1404" t="str">
        <f t="shared" si="449"/>
        <v>United States</v>
      </c>
      <c r="B1404" t="str">
        <f t="shared" si="467"/>
        <v>Durham</v>
      </c>
      <c r="C1404" t="str">
        <f t="shared" ref="C1404:C1407" si="470">C1403</f>
        <v>Standard Class</v>
      </c>
      <c r="D1404" t="str">
        <f t="shared" ref="D1404:D1405" si="471">D1403</f>
        <v>Corporate</v>
      </c>
      <c r="E1404" t="s">
        <v>16</v>
      </c>
      <c r="F1404">
        <v>3</v>
      </c>
      <c r="G1404">
        <v>0.2</v>
      </c>
      <c r="H1404" s="2">
        <v>4.4849999999999994</v>
      </c>
      <c r="I1404" s="2">
        <v>14.352000000000002</v>
      </c>
    </row>
    <row r="1405" spans="1:9" x14ac:dyDescent="0.3">
      <c r="A1405" t="str">
        <f t="shared" si="449"/>
        <v>United States</v>
      </c>
      <c r="B1405" t="str">
        <f t="shared" si="467"/>
        <v>Durham</v>
      </c>
      <c r="C1405" t="str">
        <f t="shared" si="470"/>
        <v>Standard Class</v>
      </c>
      <c r="D1405" t="str">
        <f t="shared" si="471"/>
        <v>Corporate</v>
      </c>
      <c r="E1405" t="s">
        <v>24</v>
      </c>
      <c r="F1405">
        <v>2</v>
      </c>
      <c r="G1405">
        <v>0.2</v>
      </c>
      <c r="H1405" s="2">
        <v>1.3986000000000001</v>
      </c>
      <c r="I1405" s="2">
        <v>15.984000000000002</v>
      </c>
    </row>
    <row r="1406" spans="1:9" x14ac:dyDescent="0.3">
      <c r="A1406" t="str">
        <f t="shared" si="449"/>
        <v>United States</v>
      </c>
      <c r="B1406" t="str">
        <f t="shared" si="467"/>
        <v>Durham</v>
      </c>
      <c r="C1406" t="str">
        <f t="shared" si="470"/>
        <v>Standard Class</v>
      </c>
      <c r="D1406" t="s">
        <v>17</v>
      </c>
      <c r="E1406" t="s">
        <v>19</v>
      </c>
      <c r="F1406">
        <v>3</v>
      </c>
      <c r="G1406">
        <v>0.2</v>
      </c>
      <c r="H1406" s="2">
        <v>0.46440000000000037</v>
      </c>
      <c r="I1406" s="2">
        <v>6.1920000000000002</v>
      </c>
    </row>
    <row r="1407" spans="1:9" x14ac:dyDescent="0.3">
      <c r="A1407" t="str">
        <f t="shared" si="449"/>
        <v>United States</v>
      </c>
      <c r="B1407" t="str">
        <f t="shared" si="467"/>
        <v>Durham</v>
      </c>
      <c r="C1407" t="str">
        <f t="shared" si="470"/>
        <v>Standard Class</v>
      </c>
      <c r="D1407" t="str">
        <f>D1406</f>
        <v>Home Office</v>
      </c>
      <c r="E1407" t="s">
        <v>14</v>
      </c>
      <c r="F1407">
        <v>2</v>
      </c>
      <c r="G1407">
        <v>0.2</v>
      </c>
      <c r="H1407" s="2">
        <v>4.6175999999999995</v>
      </c>
      <c r="I1407" s="2">
        <v>61.567999999999998</v>
      </c>
    </row>
    <row r="1408" spans="1:9" x14ac:dyDescent="0.3">
      <c r="A1408" t="str">
        <f t="shared" si="449"/>
        <v>United States</v>
      </c>
      <c r="B1408" t="s">
        <v>159</v>
      </c>
      <c r="C1408" t="s">
        <v>11</v>
      </c>
      <c r="D1408" t="s">
        <v>15</v>
      </c>
      <c r="E1408" t="s">
        <v>23</v>
      </c>
      <c r="F1408">
        <v>2</v>
      </c>
      <c r="G1408">
        <v>0</v>
      </c>
      <c r="H1408" s="2">
        <v>19.7714</v>
      </c>
      <c r="I1408" s="2">
        <v>45.98</v>
      </c>
    </row>
    <row r="1409" spans="1:9" x14ac:dyDescent="0.3">
      <c r="A1409" t="str">
        <f t="shared" si="449"/>
        <v>United States</v>
      </c>
      <c r="B1409" t="str">
        <f t="shared" ref="B1409:B1414" si="472">B1408</f>
        <v>Eagan</v>
      </c>
      <c r="C1409" t="str">
        <f>C1408</f>
        <v>First Class</v>
      </c>
      <c r="D1409" t="str">
        <f>D1408</f>
        <v>Corporate</v>
      </c>
      <c r="E1409" t="s">
        <v>20</v>
      </c>
      <c r="F1409">
        <v>2</v>
      </c>
      <c r="G1409">
        <v>0</v>
      </c>
      <c r="H1409" s="2">
        <v>8.2061999999999991</v>
      </c>
      <c r="I1409" s="2">
        <v>17.46</v>
      </c>
    </row>
    <row r="1410" spans="1:9" x14ac:dyDescent="0.3">
      <c r="A1410" t="str">
        <f t="shared" si="449"/>
        <v>United States</v>
      </c>
      <c r="B1410" t="str">
        <f t="shared" si="472"/>
        <v>Eagan</v>
      </c>
      <c r="C1410" t="s">
        <v>22</v>
      </c>
      <c r="D1410" t="s">
        <v>8</v>
      </c>
      <c r="E1410" t="s">
        <v>43</v>
      </c>
      <c r="F1410">
        <v>3</v>
      </c>
      <c r="G1410">
        <v>0</v>
      </c>
      <c r="H1410" s="2">
        <v>6.8723999999999998</v>
      </c>
      <c r="I1410" s="2">
        <v>14.940000000000001</v>
      </c>
    </row>
    <row r="1411" spans="1:9" x14ac:dyDescent="0.3">
      <c r="A1411" t="str">
        <f t="shared" si="449"/>
        <v>United States</v>
      </c>
      <c r="B1411" t="str">
        <f t="shared" si="472"/>
        <v>Eagan</v>
      </c>
      <c r="C1411" t="str">
        <f t="shared" ref="C1411:C1414" si="473">C1410</f>
        <v>Standard Class</v>
      </c>
      <c r="D1411" t="str">
        <f t="shared" ref="D1411:D1412" si="474">D1410</f>
        <v>Consumer</v>
      </c>
      <c r="E1411" t="s">
        <v>16</v>
      </c>
      <c r="F1411">
        <v>2</v>
      </c>
      <c r="G1411">
        <v>0</v>
      </c>
      <c r="H1411" s="2">
        <v>3.8519999999999994</v>
      </c>
      <c r="I1411" s="2">
        <v>8.56</v>
      </c>
    </row>
    <row r="1412" spans="1:9" x14ac:dyDescent="0.3">
      <c r="A1412" t="str">
        <f t="shared" ref="A1412:A1475" si="475">A1411</f>
        <v>United States</v>
      </c>
      <c r="B1412" t="str">
        <f t="shared" si="472"/>
        <v>Eagan</v>
      </c>
      <c r="C1412" t="str">
        <f t="shared" si="473"/>
        <v>Standard Class</v>
      </c>
      <c r="D1412" t="str">
        <f t="shared" si="474"/>
        <v>Consumer</v>
      </c>
      <c r="E1412" t="s">
        <v>14</v>
      </c>
      <c r="F1412">
        <v>5</v>
      </c>
      <c r="G1412">
        <v>0</v>
      </c>
      <c r="H1412" s="2">
        <v>14.148</v>
      </c>
      <c r="I1412" s="2">
        <v>52.400000000000006</v>
      </c>
    </row>
    <row r="1413" spans="1:9" x14ac:dyDescent="0.3">
      <c r="A1413" t="str">
        <f t="shared" si="475"/>
        <v>United States</v>
      </c>
      <c r="B1413" t="str">
        <f t="shared" si="472"/>
        <v>Eagan</v>
      </c>
      <c r="C1413" t="str">
        <f t="shared" si="473"/>
        <v>Standard Class</v>
      </c>
      <c r="D1413" t="s">
        <v>17</v>
      </c>
      <c r="E1413" t="s">
        <v>19</v>
      </c>
      <c r="F1413">
        <v>3</v>
      </c>
      <c r="G1413">
        <v>0</v>
      </c>
      <c r="H1413" s="2">
        <v>12.511800000000001</v>
      </c>
      <c r="I1413" s="2">
        <v>29.79</v>
      </c>
    </row>
    <row r="1414" spans="1:9" x14ac:dyDescent="0.3">
      <c r="A1414" t="str">
        <f t="shared" si="475"/>
        <v>United States</v>
      </c>
      <c r="B1414" t="str">
        <f t="shared" si="472"/>
        <v>Eagan</v>
      </c>
      <c r="C1414" t="str">
        <f t="shared" si="473"/>
        <v>Standard Class</v>
      </c>
      <c r="D1414" t="str">
        <f>D1413</f>
        <v>Home Office</v>
      </c>
      <c r="E1414" t="s">
        <v>43</v>
      </c>
      <c r="F1414">
        <v>5</v>
      </c>
      <c r="G1414">
        <v>0</v>
      </c>
      <c r="H1414" s="2">
        <v>21.672000000000001</v>
      </c>
      <c r="I1414" s="2">
        <v>45.15</v>
      </c>
    </row>
    <row r="1415" spans="1:9" x14ac:dyDescent="0.3">
      <c r="A1415" t="str">
        <f t="shared" si="475"/>
        <v>United States</v>
      </c>
      <c r="B1415" t="s">
        <v>160</v>
      </c>
      <c r="C1415" t="s">
        <v>11</v>
      </c>
      <c r="D1415" t="s">
        <v>8</v>
      </c>
      <c r="E1415" t="s">
        <v>19</v>
      </c>
      <c r="F1415">
        <v>3</v>
      </c>
      <c r="G1415">
        <v>0</v>
      </c>
      <c r="H1415" s="2">
        <v>9.702</v>
      </c>
      <c r="I1415" s="2">
        <v>34.650000000000006</v>
      </c>
    </row>
    <row r="1416" spans="1:9" x14ac:dyDescent="0.3">
      <c r="A1416" t="str">
        <f t="shared" si="475"/>
        <v>United States</v>
      </c>
      <c r="B1416" t="str">
        <f t="shared" ref="B1416:B1418" si="476">B1415</f>
        <v>East Orange</v>
      </c>
      <c r="C1416" t="str">
        <f t="shared" ref="C1416:C1417" si="477">C1415</f>
        <v>First Class</v>
      </c>
      <c r="D1416" t="str">
        <f t="shared" ref="D1416:D1417" si="478">D1415</f>
        <v>Consumer</v>
      </c>
      <c r="E1416" t="s">
        <v>20</v>
      </c>
      <c r="F1416">
        <v>5</v>
      </c>
      <c r="G1416">
        <v>0</v>
      </c>
      <c r="H1416" s="2">
        <v>38.376000000000005</v>
      </c>
      <c r="I1416" s="2">
        <v>79.95</v>
      </c>
    </row>
    <row r="1417" spans="1:9" x14ac:dyDescent="0.3">
      <c r="A1417" t="str">
        <f t="shared" si="475"/>
        <v>United States</v>
      </c>
      <c r="B1417" t="str">
        <f t="shared" si="476"/>
        <v>East Orange</v>
      </c>
      <c r="C1417" t="str">
        <f t="shared" si="477"/>
        <v>First Class</v>
      </c>
      <c r="D1417" t="str">
        <f t="shared" si="478"/>
        <v>Consumer</v>
      </c>
      <c r="E1417" t="s">
        <v>16</v>
      </c>
      <c r="F1417">
        <v>9</v>
      </c>
      <c r="G1417">
        <v>0</v>
      </c>
      <c r="H1417" s="2">
        <v>112.86709999999999</v>
      </c>
      <c r="I1417" s="2">
        <v>230.87</v>
      </c>
    </row>
    <row r="1418" spans="1:9" x14ac:dyDescent="0.3">
      <c r="A1418" t="str">
        <f t="shared" si="475"/>
        <v>United States</v>
      </c>
      <c r="B1418" t="str">
        <f t="shared" si="476"/>
        <v>East Orange</v>
      </c>
      <c r="C1418" t="s">
        <v>22</v>
      </c>
      <c r="D1418" t="s">
        <v>8</v>
      </c>
      <c r="E1418" t="s">
        <v>23</v>
      </c>
      <c r="F1418">
        <v>3</v>
      </c>
      <c r="G1418">
        <v>0</v>
      </c>
      <c r="H1418" s="2">
        <v>13.674000000000003</v>
      </c>
      <c r="I1418" s="2">
        <v>31.799999999999997</v>
      </c>
    </row>
    <row r="1419" spans="1:9" x14ac:dyDescent="0.3">
      <c r="A1419" t="str">
        <f t="shared" si="475"/>
        <v>United States</v>
      </c>
      <c r="B1419" t="s">
        <v>161</v>
      </c>
      <c r="C1419" t="s">
        <v>22</v>
      </c>
      <c r="D1419" t="s">
        <v>15</v>
      </c>
      <c r="E1419" t="s">
        <v>23</v>
      </c>
      <c r="F1419">
        <v>3</v>
      </c>
      <c r="G1419">
        <v>0</v>
      </c>
      <c r="H1419" s="2">
        <v>18</v>
      </c>
      <c r="I1419" s="2">
        <v>75</v>
      </c>
    </row>
    <row r="1420" spans="1:9" x14ac:dyDescent="0.3">
      <c r="A1420" t="str">
        <f t="shared" si="475"/>
        <v>United States</v>
      </c>
      <c r="B1420" t="str">
        <f t="shared" ref="B1420:B1421" si="479">B1419</f>
        <v>East Point</v>
      </c>
      <c r="C1420" t="str">
        <f t="shared" ref="C1420:C1421" si="480">C1419</f>
        <v>Standard Class</v>
      </c>
      <c r="D1420" t="str">
        <f t="shared" ref="D1420:D1421" si="481">D1419</f>
        <v>Corporate</v>
      </c>
      <c r="E1420" t="s">
        <v>20</v>
      </c>
      <c r="F1420">
        <v>1</v>
      </c>
      <c r="G1420">
        <v>0</v>
      </c>
      <c r="H1420" s="2">
        <v>74.690999999999988</v>
      </c>
      <c r="I1420" s="2">
        <v>165.98</v>
      </c>
    </row>
    <row r="1421" spans="1:9" x14ac:dyDescent="0.3">
      <c r="A1421" t="str">
        <f t="shared" si="475"/>
        <v>United States</v>
      </c>
      <c r="B1421" t="str">
        <f t="shared" si="479"/>
        <v>East Point</v>
      </c>
      <c r="C1421" t="str">
        <f t="shared" si="480"/>
        <v>Standard Class</v>
      </c>
      <c r="D1421" t="str">
        <f t="shared" si="481"/>
        <v>Corporate</v>
      </c>
      <c r="E1421" t="s">
        <v>21</v>
      </c>
      <c r="F1421">
        <v>3</v>
      </c>
      <c r="G1421">
        <v>0</v>
      </c>
      <c r="H1421" s="2">
        <v>9.3227999999999991</v>
      </c>
      <c r="I1421" s="2">
        <v>27.42</v>
      </c>
    </row>
    <row r="1422" spans="1:9" x14ac:dyDescent="0.3">
      <c r="A1422" t="str">
        <f t="shared" si="475"/>
        <v>United States</v>
      </c>
      <c r="B1422" t="s">
        <v>162</v>
      </c>
      <c r="C1422" t="s">
        <v>11</v>
      </c>
      <c r="D1422" t="s">
        <v>8</v>
      </c>
      <c r="E1422" t="s">
        <v>16</v>
      </c>
      <c r="F1422">
        <v>4</v>
      </c>
      <c r="G1422">
        <v>0</v>
      </c>
      <c r="H1422" s="2">
        <v>91.950799999999987</v>
      </c>
      <c r="I1422" s="2">
        <v>195.64</v>
      </c>
    </row>
    <row r="1423" spans="1:9" x14ac:dyDescent="0.3">
      <c r="A1423" t="str">
        <f t="shared" si="475"/>
        <v>United States</v>
      </c>
      <c r="B1423" t="str">
        <f t="shared" ref="B1423:B1427" si="482">B1422</f>
        <v>Eau Claire</v>
      </c>
      <c r="C1423" t="str">
        <f>C1422</f>
        <v>First Class</v>
      </c>
      <c r="D1423" t="str">
        <f>D1422</f>
        <v>Consumer</v>
      </c>
      <c r="E1423" t="s">
        <v>24</v>
      </c>
      <c r="F1423">
        <v>2</v>
      </c>
      <c r="G1423">
        <v>0</v>
      </c>
      <c r="H1423" s="2">
        <v>71.97</v>
      </c>
      <c r="I1423" s="2">
        <v>239.9</v>
      </c>
    </row>
    <row r="1424" spans="1:9" x14ac:dyDescent="0.3">
      <c r="A1424" t="str">
        <f t="shared" si="475"/>
        <v>United States</v>
      </c>
      <c r="B1424" t="str">
        <f t="shared" si="482"/>
        <v>Eau Claire</v>
      </c>
      <c r="C1424" t="s">
        <v>22</v>
      </c>
      <c r="D1424" t="s">
        <v>8</v>
      </c>
      <c r="E1424" t="s">
        <v>34</v>
      </c>
      <c r="F1424">
        <v>7</v>
      </c>
      <c r="G1424">
        <v>0</v>
      </c>
      <c r="H1424" s="2">
        <v>32.46879999999998</v>
      </c>
      <c r="I1424" s="2">
        <v>405.85999999999996</v>
      </c>
    </row>
    <row r="1425" spans="1:9" x14ac:dyDescent="0.3">
      <c r="A1425" t="str">
        <f t="shared" si="475"/>
        <v>United States</v>
      </c>
      <c r="B1425" t="str">
        <f t="shared" si="482"/>
        <v>Eau Claire</v>
      </c>
      <c r="C1425" t="str">
        <f t="shared" ref="C1425:C1427" si="483">C1424</f>
        <v>Standard Class</v>
      </c>
      <c r="D1425" t="str">
        <f>D1424</f>
        <v>Consumer</v>
      </c>
      <c r="E1425" t="s">
        <v>33</v>
      </c>
      <c r="F1425">
        <v>3</v>
      </c>
      <c r="G1425">
        <v>0</v>
      </c>
      <c r="H1425" s="2">
        <v>176.80260000000001</v>
      </c>
      <c r="I1425" s="2">
        <v>680.01</v>
      </c>
    </row>
    <row r="1426" spans="1:9" x14ac:dyDescent="0.3">
      <c r="A1426" t="str">
        <f t="shared" si="475"/>
        <v>United States</v>
      </c>
      <c r="B1426" t="str">
        <f t="shared" si="482"/>
        <v>Eau Claire</v>
      </c>
      <c r="C1426" t="str">
        <f t="shared" si="483"/>
        <v>Standard Class</v>
      </c>
      <c r="D1426" t="s">
        <v>15</v>
      </c>
      <c r="E1426" t="s">
        <v>14</v>
      </c>
      <c r="F1426">
        <v>2</v>
      </c>
      <c r="G1426">
        <v>0</v>
      </c>
      <c r="H1426" s="2">
        <v>8.465600000000002</v>
      </c>
      <c r="I1426" s="2">
        <v>32.56</v>
      </c>
    </row>
    <row r="1427" spans="1:9" x14ac:dyDescent="0.3">
      <c r="A1427" t="str">
        <f t="shared" si="475"/>
        <v>United States</v>
      </c>
      <c r="B1427" t="str">
        <f t="shared" si="482"/>
        <v>Eau Claire</v>
      </c>
      <c r="C1427" t="str">
        <f t="shared" si="483"/>
        <v>Standard Class</v>
      </c>
      <c r="D1427" t="s">
        <v>17</v>
      </c>
      <c r="E1427" t="s">
        <v>20</v>
      </c>
      <c r="F1427">
        <v>3</v>
      </c>
      <c r="G1427">
        <v>0</v>
      </c>
      <c r="H1427" s="2">
        <v>45.839999999999996</v>
      </c>
      <c r="I1427" s="2">
        <v>91.679999999999993</v>
      </c>
    </row>
    <row r="1428" spans="1:9" x14ac:dyDescent="0.3">
      <c r="A1428" t="str">
        <f t="shared" si="475"/>
        <v>United States</v>
      </c>
      <c r="B1428" t="s">
        <v>163</v>
      </c>
      <c r="C1428" t="s">
        <v>11</v>
      </c>
      <c r="D1428" t="s">
        <v>8</v>
      </c>
      <c r="E1428" t="s">
        <v>20</v>
      </c>
      <c r="F1428">
        <v>1</v>
      </c>
      <c r="G1428">
        <v>0.8</v>
      </c>
      <c r="H1428" s="2">
        <v>-3.4122000000000003</v>
      </c>
      <c r="I1428" s="2">
        <v>2.0679999999999996</v>
      </c>
    </row>
    <row r="1429" spans="1:9" x14ac:dyDescent="0.3">
      <c r="A1429" t="str">
        <f t="shared" si="475"/>
        <v>United States</v>
      </c>
      <c r="B1429" t="str">
        <f t="shared" ref="B1429:B1430" si="484">B1428</f>
        <v>Edinburg</v>
      </c>
      <c r="C1429" t="str">
        <f>C1428</f>
        <v>First Class</v>
      </c>
      <c r="D1429" t="str">
        <f>D1428</f>
        <v>Consumer</v>
      </c>
      <c r="E1429" t="s">
        <v>16</v>
      </c>
      <c r="F1429">
        <v>8</v>
      </c>
      <c r="G1429">
        <v>0.2</v>
      </c>
      <c r="H1429" s="2">
        <v>30.391999999999996</v>
      </c>
      <c r="I1429" s="2">
        <v>83.84</v>
      </c>
    </row>
    <row r="1430" spans="1:9" x14ac:dyDescent="0.3">
      <c r="A1430" t="str">
        <f t="shared" si="475"/>
        <v>United States</v>
      </c>
      <c r="B1430" t="str">
        <f t="shared" si="484"/>
        <v>Edinburg</v>
      </c>
      <c r="C1430" t="s">
        <v>22</v>
      </c>
      <c r="D1430" t="s">
        <v>8</v>
      </c>
      <c r="E1430" t="s">
        <v>18</v>
      </c>
      <c r="F1430">
        <v>2</v>
      </c>
      <c r="G1430">
        <v>0.2</v>
      </c>
      <c r="H1430" s="2">
        <v>0.82879999999999987</v>
      </c>
      <c r="I1430" s="2">
        <v>2.3679999999999999</v>
      </c>
    </row>
    <row r="1431" spans="1:9" x14ac:dyDescent="0.3">
      <c r="A1431" t="str">
        <f t="shared" si="475"/>
        <v>United States</v>
      </c>
      <c r="B1431" t="s">
        <v>164</v>
      </c>
      <c r="C1431" t="s">
        <v>22</v>
      </c>
      <c r="D1431" t="s">
        <v>8</v>
      </c>
      <c r="E1431" t="s">
        <v>43</v>
      </c>
      <c r="F1431">
        <v>2</v>
      </c>
      <c r="G1431">
        <v>0</v>
      </c>
      <c r="H1431" s="2">
        <v>6.8713999999999995</v>
      </c>
      <c r="I1431" s="2">
        <v>14.62</v>
      </c>
    </row>
    <row r="1432" spans="1:9" x14ac:dyDescent="0.3">
      <c r="A1432" t="str">
        <f t="shared" si="475"/>
        <v>United States</v>
      </c>
      <c r="B1432" t="str">
        <f>B1431</f>
        <v>Edmond</v>
      </c>
      <c r="C1432" t="str">
        <f>C1431</f>
        <v>Standard Class</v>
      </c>
      <c r="D1432" t="str">
        <f>D1431</f>
        <v>Consumer</v>
      </c>
      <c r="E1432" t="s">
        <v>24</v>
      </c>
      <c r="F1432">
        <v>7</v>
      </c>
      <c r="G1432">
        <v>0</v>
      </c>
      <c r="H1432" s="2">
        <v>236.23250000000002</v>
      </c>
      <c r="I1432" s="2">
        <v>944.93000000000006</v>
      </c>
    </row>
    <row r="1433" spans="1:9" x14ac:dyDescent="0.3">
      <c r="A1433" t="str">
        <f t="shared" si="475"/>
        <v>United States</v>
      </c>
      <c r="B1433" t="s">
        <v>165</v>
      </c>
      <c r="C1433" t="s">
        <v>11</v>
      </c>
      <c r="D1433" t="s">
        <v>8</v>
      </c>
      <c r="E1433" t="s">
        <v>23</v>
      </c>
      <c r="F1433">
        <v>2</v>
      </c>
      <c r="G1433">
        <v>0</v>
      </c>
      <c r="H1433" s="2">
        <v>2.5779999999999994</v>
      </c>
      <c r="I1433" s="2">
        <v>25.78</v>
      </c>
    </row>
    <row r="1434" spans="1:9" x14ac:dyDescent="0.3">
      <c r="A1434" t="str">
        <f t="shared" si="475"/>
        <v>United States</v>
      </c>
      <c r="B1434" t="str">
        <f t="shared" ref="B1434:B1444" si="485">B1433</f>
        <v>Edmonds</v>
      </c>
      <c r="C1434" t="str">
        <f t="shared" ref="C1434:C1438" si="486">C1433</f>
        <v>First Class</v>
      </c>
      <c r="D1434" t="str">
        <f t="shared" ref="D1434:D1438" si="487">D1433</f>
        <v>Consumer</v>
      </c>
      <c r="E1434" t="s">
        <v>12</v>
      </c>
      <c r="F1434">
        <v>4</v>
      </c>
      <c r="G1434">
        <v>0</v>
      </c>
      <c r="H1434" s="2">
        <v>62.036799999999971</v>
      </c>
      <c r="I1434" s="2">
        <v>213.92</v>
      </c>
    </row>
    <row r="1435" spans="1:9" x14ac:dyDescent="0.3">
      <c r="A1435" t="str">
        <f t="shared" si="475"/>
        <v>United States</v>
      </c>
      <c r="B1435" t="str">
        <f t="shared" si="485"/>
        <v>Edmonds</v>
      </c>
      <c r="C1435" t="str">
        <f t="shared" si="486"/>
        <v>First Class</v>
      </c>
      <c r="D1435" t="str">
        <f t="shared" si="487"/>
        <v>Consumer</v>
      </c>
      <c r="E1435" t="s">
        <v>19</v>
      </c>
      <c r="F1435">
        <v>5</v>
      </c>
      <c r="G1435">
        <v>0</v>
      </c>
      <c r="H1435" s="2">
        <v>10.5</v>
      </c>
      <c r="I1435" s="2">
        <v>37.5</v>
      </c>
    </row>
    <row r="1436" spans="1:9" x14ac:dyDescent="0.3">
      <c r="A1436" t="str">
        <f t="shared" si="475"/>
        <v>United States</v>
      </c>
      <c r="B1436" t="str">
        <f t="shared" si="485"/>
        <v>Edmonds</v>
      </c>
      <c r="C1436" t="str">
        <f t="shared" si="486"/>
        <v>First Class</v>
      </c>
      <c r="D1436" t="str">
        <f t="shared" si="487"/>
        <v>Consumer</v>
      </c>
      <c r="E1436" t="s">
        <v>21</v>
      </c>
      <c r="F1436">
        <v>4</v>
      </c>
      <c r="G1436">
        <v>0</v>
      </c>
      <c r="H1436" s="2">
        <v>34.812800000000003</v>
      </c>
      <c r="I1436" s="2">
        <v>80.959999999999994</v>
      </c>
    </row>
    <row r="1437" spans="1:9" x14ac:dyDescent="0.3">
      <c r="A1437" t="str">
        <f t="shared" si="475"/>
        <v>United States</v>
      </c>
      <c r="B1437" t="str">
        <f t="shared" si="485"/>
        <v>Edmonds</v>
      </c>
      <c r="C1437" t="str">
        <f t="shared" si="486"/>
        <v>First Class</v>
      </c>
      <c r="D1437" t="str">
        <f t="shared" si="487"/>
        <v>Consumer</v>
      </c>
      <c r="E1437" t="s">
        <v>24</v>
      </c>
      <c r="F1437">
        <v>2</v>
      </c>
      <c r="G1437">
        <v>0.2</v>
      </c>
      <c r="H1437" s="2">
        <v>34.178400000000011</v>
      </c>
      <c r="I1437" s="2">
        <v>455.71199999999999</v>
      </c>
    </row>
    <row r="1438" spans="1:9" x14ac:dyDescent="0.3">
      <c r="A1438" t="str">
        <f t="shared" si="475"/>
        <v>United States</v>
      </c>
      <c r="B1438" t="str">
        <f t="shared" si="485"/>
        <v>Edmonds</v>
      </c>
      <c r="C1438" t="str">
        <f t="shared" si="486"/>
        <v>First Class</v>
      </c>
      <c r="D1438" t="str">
        <f t="shared" si="487"/>
        <v>Consumer</v>
      </c>
      <c r="E1438" t="s">
        <v>25</v>
      </c>
      <c r="F1438">
        <v>5</v>
      </c>
      <c r="G1438">
        <v>0</v>
      </c>
      <c r="H1438" s="2">
        <v>311.65199999999999</v>
      </c>
      <c r="I1438" s="2">
        <v>1298.55</v>
      </c>
    </row>
    <row r="1439" spans="1:9" x14ac:dyDescent="0.3">
      <c r="A1439" t="str">
        <f t="shared" si="475"/>
        <v>United States</v>
      </c>
      <c r="B1439" t="str">
        <f t="shared" si="485"/>
        <v>Edmonds</v>
      </c>
      <c r="C1439" t="s">
        <v>22</v>
      </c>
      <c r="D1439" t="s">
        <v>8</v>
      </c>
      <c r="E1439" t="s">
        <v>20</v>
      </c>
      <c r="F1439">
        <v>6</v>
      </c>
      <c r="G1439">
        <v>0.4</v>
      </c>
      <c r="H1439" s="2">
        <v>18.323399999999999</v>
      </c>
      <c r="I1439" s="2">
        <v>53.88000000000001</v>
      </c>
    </row>
    <row r="1440" spans="1:9" x14ac:dyDescent="0.3">
      <c r="A1440" t="str">
        <f t="shared" si="475"/>
        <v>United States</v>
      </c>
      <c r="B1440" t="str">
        <f t="shared" si="485"/>
        <v>Edmonds</v>
      </c>
      <c r="C1440" t="str">
        <f t="shared" ref="C1440:C1444" si="488">C1439</f>
        <v>Standard Class</v>
      </c>
      <c r="D1440" t="str">
        <f t="shared" ref="D1440:D1443" si="489">D1439</f>
        <v>Consumer</v>
      </c>
      <c r="E1440" t="s">
        <v>18</v>
      </c>
      <c r="F1440">
        <v>5</v>
      </c>
      <c r="G1440">
        <v>0</v>
      </c>
      <c r="H1440" s="2">
        <v>9.6039999999999992</v>
      </c>
      <c r="I1440" s="2">
        <v>19.600000000000001</v>
      </c>
    </row>
    <row r="1441" spans="1:9" x14ac:dyDescent="0.3">
      <c r="A1441" t="str">
        <f t="shared" si="475"/>
        <v>United States</v>
      </c>
      <c r="B1441" t="str">
        <f t="shared" si="485"/>
        <v>Edmonds</v>
      </c>
      <c r="C1441" t="str">
        <f t="shared" si="488"/>
        <v>Standard Class</v>
      </c>
      <c r="D1441" t="str">
        <f t="shared" si="489"/>
        <v>Consumer</v>
      </c>
      <c r="E1441" t="s">
        <v>21</v>
      </c>
      <c r="F1441">
        <v>2</v>
      </c>
      <c r="G1441">
        <v>0</v>
      </c>
      <c r="H1441" s="2">
        <v>20.537999999999997</v>
      </c>
      <c r="I1441" s="2">
        <v>68.459999999999994</v>
      </c>
    </row>
    <row r="1442" spans="1:9" x14ac:dyDescent="0.3">
      <c r="A1442" t="str">
        <f t="shared" si="475"/>
        <v>United States</v>
      </c>
      <c r="B1442" t="str">
        <f t="shared" si="485"/>
        <v>Edmonds</v>
      </c>
      <c r="C1442" t="str">
        <f t="shared" si="488"/>
        <v>Standard Class</v>
      </c>
      <c r="D1442" t="str">
        <f t="shared" si="489"/>
        <v>Consumer</v>
      </c>
      <c r="E1442" t="s">
        <v>43</v>
      </c>
      <c r="F1442">
        <v>2</v>
      </c>
      <c r="G1442">
        <v>0</v>
      </c>
      <c r="H1442" s="2">
        <v>3.4685999999999999</v>
      </c>
      <c r="I1442" s="2">
        <v>7.38</v>
      </c>
    </row>
    <row r="1443" spans="1:9" x14ac:dyDescent="0.3">
      <c r="A1443" t="str">
        <f t="shared" si="475"/>
        <v>United States</v>
      </c>
      <c r="B1443" t="str">
        <f t="shared" si="485"/>
        <v>Edmonds</v>
      </c>
      <c r="C1443" t="str">
        <f t="shared" si="488"/>
        <v>Standard Class</v>
      </c>
      <c r="D1443" t="str">
        <f t="shared" si="489"/>
        <v>Consumer</v>
      </c>
      <c r="E1443" t="s">
        <v>16</v>
      </c>
      <c r="F1443">
        <v>2</v>
      </c>
      <c r="G1443">
        <v>0</v>
      </c>
      <c r="H1443" s="2">
        <v>40.170200000000001</v>
      </c>
      <c r="I1443" s="2">
        <v>81.98</v>
      </c>
    </row>
    <row r="1444" spans="1:9" x14ac:dyDescent="0.3">
      <c r="A1444" t="str">
        <f t="shared" si="475"/>
        <v>United States</v>
      </c>
      <c r="B1444" t="str">
        <f t="shared" si="485"/>
        <v>Edmonds</v>
      </c>
      <c r="C1444" t="str">
        <f t="shared" si="488"/>
        <v>Standard Class</v>
      </c>
      <c r="D1444" t="s">
        <v>15</v>
      </c>
      <c r="E1444" t="s">
        <v>23</v>
      </c>
      <c r="F1444">
        <v>3</v>
      </c>
      <c r="G1444">
        <v>0</v>
      </c>
      <c r="H1444" s="2">
        <v>86.385600000000011</v>
      </c>
      <c r="I1444" s="2">
        <v>179.97</v>
      </c>
    </row>
    <row r="1445" spans="1:9" x14ac:dyDescent="0.3">
      <c r="A1445" t="str">
        <f t="shared" si="475"/>
        <v>United States</v>
      </c>
      <c r="B1445" t="s">
        <v>166</v>
      </c>
      <c r="C1445" t="s">
        <v>22</v>
      </c>
      <c r="D1445" t="s">
        <v>15</v>
      </c>
      <c r="E1445" t="s">
        <v>33</v>
      </c>
      <c r="F1445">
        <v>4</v>
      </c>
      <c r="G1445">
        <v>0.2</v>
      </c>
      <c r="H1445" s="2">
        <v>4.8391999999999911</v>
      </c>
      <c r="I1445" s="2">
        <v>387.13600000000002</v>
      </c>
    </row>
    <row r="1446" spans="1:9" x14ac:dyDescent="0.3">
      <c r="A1446" t="str">
        <f t="shared" si="475"/>
        <v>United States</v>
      </c>
      <c r="B1446" t="str">
        <f>B1445</f>
        <v>El Cajon</v>
      </c>
      <c r="C1446" t="str">
        <f>C1445</f>
        <v>Standard Class</v>
      </c>
      <c r="D1446" t="s">
        <v>17</v>
      </c>
      <c r="E1446" t="s">
        <v>33</v>
      </c>
      <c r="F1446">
        <v>2</v>
      </c>
      <c r="G1446">
        <v>0.2</v>
      </c>
      <c r="H1446" s="2">
        <v>47.848000000000013</v>
      </c>
      <c r="I1446" s="2">
        <v>478.48</v>
      </c>
    </row>
    <row r="1447" spans="1:9" x14ac:dyDescent="0.3">
      <c r="A1447" t="str">
        <f t="shared" si="475"/>
        <v>United States</v>
      </c>
      <c r="B1447" t="s">
        <v>167</v>
      </c>
      <c r="C1447" t="s">
        <v>11</v>
      </c>
      <c r="D1447" t="s">
        <v>8</v>
      </c>
      <c r="E1447" t="s">
        <v>33</v>
      </c>
      <c r="F1447">
        <v>5</v>
      </c>
      <c r="G1447">
        <v>0.3</v>
      </c>
      <c r="H1447" s="2">
        <v>-21.807999999999993</v>
      </c>
      <c r="I1447" s="2">
        <v>763.28</v>
      </c>
    </row>
    <row r="1448" spans="1:9" x14ac:dyDescent="0.3">
      <c r="A1448" t="str">
        <f t="shared" si="475"/>
        <v>United States</v>
      </c>
      <c r="B1448" t="str">
        <f t="shared" ref="B1448:B1463" si="490">B1447</f>
        <v>El Paso</v>
      </c>
      <c r="C1448" t="str">
        <f t="shared" ref="C1448:C1449" si="491">C1447</f>
        <v>First Class</v>
      </c>
      <c r="D1448" t="str">
        <f t="shared" ref="D1448:D1449" si="492">D1447</f>
        <v>Consumer</v>
      </c>
      <c r="E1448" t="s">
        <v>16</v>
      </c>
      <c r="F1448">
        <v>2</v>
      </c>
      <c r="G1448">
        <v>0.2</v>
      </c>
      <c r="H1448" s="2">
        <v>3.6288</v>
      </c>
      <c r="I1448" s="2">
        <v>10.368000000000002</v>
      </c>
    </row>
    <row r="1449" spans="1:9" x14ac:dyDescent="0.3">
      <c r="A1449" t="str">
        <f t="shared" si="475"/>
        <v>United States</v>
      </c>
      <c r="B1449" t="str">
        <f t="shared" si="490"/>
        <v>El Paso</v>
      </c>
      <c r="C1449" t="str">
        <f t="shared" si="491"/>
        <v>First Class</v>
      </c>
      <c r="D1449" t="str">
        <f t="shared" si="492"/>
        <v>Consumer</v>
      </c>
      <c r="E1449" t="s">
        <v>24</v>
      </c>
      <c r="F1449">
        <v>7</v>
      </c>
      <c r="G1449">
        <v>0.4</v>
      </c>
      <c r="H1449" s="2">
        <v>34.044600000000017</v>
      </c>
      <c r="I1449" s="2">
        <v>616.64800000000002</v>
      </c>
    </row>
    <row r="1450" spans="1:9" x14ac:dyDescent="0.3">
      <c r="A1450" t="str">
        <f t="shared" si="475"/>
        <v>United States</v>
      </c>
      <c r="B1450" t="str">
        <f t="shared" si="490"/>
        <v>El Paso</v>
      </c>
      <c r="C1450" t="s">
        <v>27</v>
      </c>
      <c r="D1450" t="s">
        <v>8</v>
      </c>
      <c r="E1450" t="s">
        <v>16</v>
      </c>
      <c r="F1450">
        <v>2</v>
      </c>
      <c r="G1450">
        <v>0.2</v>
      </c>
      <c r="H1450" s="2">
        <v>11.876799999999998</v>
      </c>
      <c r="I1450" s="2">
        <v>36.544000000000004</v>
      </c>
    </row>
    <row r="1451" spans="1:9" x14ac:dyDescent="0.3">
      <c r="A1451" t="str">
        <f t="shared" si="475"/>
        <v>United States</v>
      </c>
      <c r="B1451" t="str">
        <f t="shared" si="490"/>
        <v>El Paso</v>
      </c>
      <c r="C1451" t="s">
        <v>7</v>
      </c>
      <c r="D1451" t="s">
        <v>8</v>
      </c>
      <c r="E1451" t="s">
        <v>12</v>
      </c>
      <c r="F1451">
        <v>2</v>
      </c>
      <c r="G1451">
        <v>0.8</v>
      </c>
      <c r="H1451" s="2">
        <v>-13.580000000000002</v>
      </c>
      <c r="I1451" s="2">
        <v>5.4319999999999986</v>
      </c>
    </row>
    <row r="1452" spans="1:9" x14ac:dyDescent="0.3">
      <c r="A1452" t="str">
        <f t="shared" si="475"/>
        <v>United States</v>
      </c>
      <c r="B1452" t="str">
        <f t="shared" si="490"/>
        <v>El Paso</v>
      </c>
      <c r="C1452" t="str">
        <f t="shared" ref="C1452:C1455" si="493">C1451</f>
        <v>Second Class</v>
      </c>
      <c r="D1452" t="str">
        <f t="shared" ref="D1452:D1454" si="494">D1451</f>
        <v>Consumer</v>
      </c>
      <c r="E1452" t="s">
        <v>19</v>
      </c>
      <c r="F1452">
        <v>2</v>
      </c>
      <c r="G1452">
        <v>0.2</v>
      </c>
      <c r="H1452" s="2">
        <v>3.9679999999999964</v>
      </c>
      <c r="I1452" s="2">
        <v>31.744</v>
      </c>
    </row>
    <row r="1453" spans="1:9" x14ac:dyDescent="0.3">
      <c r="A1453" t="str">
        <f t="shared" si="475"/>
        <v>United States</v>
      </c>
      <c r="B1453" t="str">
        <f t="shared" si="490"/>
        <v>El Paso</v>
      </c>
      <c r="C1453" t="str">
        <f t="shared" si="493"/>
        <v>Second Class</v>
      </c>
      <c r="D1453" t="str">
        <f t="shared" si="494"/>
        <v>Consumer</v>
      </c>
      <c r="E1453" t="s">
        <v>14</v>
      </c>
      <c r="F1453">
        <v>3</v>
      </c>
      <c r="G1453">
        <v>0.2</v>
      </c>
      <c r="H1453" s="2">
        <v>27.910800000000009</v>
      </c>
      <c r="I1453" s="2">
        <v>372.14400000000001</v>
      </c>
    </row>
    <row r="1454" spans="1:9" x14ac:dyDescent="0.3">
      <c r="A1454" t="str">
        <f t="shared" si="475"/>
        <v>United States</v>
      </c>
      <c r="B1454" t="str">
        <f t="shared" si="490"/>
        <v>El Paso</v>
      </c>
      <c r="C1454" t="str">
        <f t="shared" si="493"/>
        <v>Second Class</v>
      </c>
      <c r="D1454" t="str">
        <f t="shared" si="494"/>
        <v>Consumer</v>
      </c>
      <c r="E1454" t="s">
        <v>25</v>
      </c>
      <c r="F1454">
        <v>5</v>
      </c>
      <c r="G1454">
        <v>0.3</v>
      </c>
      <c r="H1454" s="2">
        <v>-169.63700000000009</v>
      </c>
      <c r="I1454" s="2">
        <v>913.43000000000006</v>
      </c>
    </row>
    <row r="1455" spans="1:9" x14ac:dyDescent="0.3">
      <c r="A1455" t="str">
        <f t="shared" si="475"/>
        <v>United States</v>
      </c>
      <c r="B1455" t="str">
        <f t="shared" si="490"/>
        <v>El Paso</v>
      </c>
      <c r="C1455" t="str">
        <f t="shared" si="493"/>
        <v>Second Class</v>
      </c>
      <c r="D1455" t="s">
        <v>15</v>
      </c>
      <c r="E1455" t="s">
        <v>23</v>
      </c>
      <c r="F1455">
        <v>3</v>
      </c>
      <c r="G1455">
        <v>0.2</v>
      </c>
      <c r="H1455" s="2">
        <v>-10.797300000000011</v>
      </c>
      <c r="I1455" s="2">
        <v>95.976000000000013</v>
      </c>
    </row>
    <row r="1456" spans="1:9" x14ac:dyDescent="0.3">
      <c r="A1456" t="str">
        <f t="shared" si="475"/>
        <v>United States</v>
      </c>
      <c r="B1456" t="str">
        <f t="shared" si="490"/>
        <v>El Paso</v>
      </c>
      <c r="C1456" t="s">
        <v>22</v>
      </c>
      <c r="D1456" t="s">
        <v>8</v>
      </c>
      <c r="E1456" t="s">
        <v>19</v>
      </c>
      <c r="F1456">
        <v>4</v>
      </c>
      <c r="G1456">
        <v>0.2</v>
      </c>
      <c r="H1456" s="2">
        <v>4.2408000000000001</v>
      </c>
      <c r="I1456" s="2">
        <v>17.856000000000002</v>
      </c>
    </row>
    <row r="1457" spans="1:9" x14ac:dyDescent="0.3">
      <c r="A1457" t="str">
        <f t="shared" si="475"/>
        <v>United States</v>
      </c>
      <c r="B1457" t="str">
        <f t="shared" si="490"/>
        <v>El Paso</v>
      </c>
      <c r="C1457" t="str">
        <f t="shared" ref="C1457:C1463" si="495">C1456</f>
        <v>Standard Class</v>
      </c>
      <c r="D1457" t="str">
        <f t="shared" ref="D1457:D1460" si="496">D1456</f>
        <v>Consumer</v>
      </c>
      <c r="E1457" t="s">
        <v>33</v>
      </c>
      <c r="F1457">
        <v>8</v>
      </c>
      <c r="G1457">
        <v>0.6</v>
      </c>
      <c r="H1457" s="2">
        <v>-2.0364000000000004</v>
      </c>
      <c r="I1457" s="2">
        <v>409.76599999999996</v>
      </c>
    </row>
    <row r="1458" spans="1:9" x14ac:dyDescent="0.3">
      <c r="A1458" t="str">
        <f t="shared" si="475"/>
        <v>United States</v>
      </c>
      <c r="B1458" t="str">
        <f t="shared" si="490"/>
        <v>El Paso</v>
      </c>
      <c r="C1458" t="str">
        <f t="shared" si="495"/>
        <v>Standard Class</v>
      </c>
      <c r="D1458" t="str">
        <f t="shared" si="496"/>
        <v>Consumer</v>
      </c>
      <c r="E1458" t="s">
        <v>18</v>
      </c>
      <c r="F1458">
        <v>5</v>
      </c>
      <c r="G1458">
        <v>0.2</v>
      </c>
      <c r="H1458" s="2">
        <v>-3.5324999999999998</v>
      </c>
      <c r="I1458" s="2">
        <v>18.84</v>
      </c>
    </row>
    <row r="1459" spans="1:9" x14ac:dyDescent="0.3">
      <c r="A1459" t="str">
        <f t="shared" si="475"/>
        <v>United States</v>
      </c>
      <c r="B1459" t="str">
        <f t="shared" si="490"/>
        <v>El Paso</v>
      </c>
      <c r="C1459" t="str">
        <f t="shared" si="495"/>
        <v>Standard Class</v>
      </c>
      <c r="D1459" t="str">
        <f t="shared" si="496"/>
        <v>Consumer</v>
      </c>
      <c r="E1459" t="s">
        <v>21</v>
      </c>
      <c r="F1459">
        <v>6</v>
      </c>
      <c r="G1459">
        <v>0.6</v>
      </c>
      <c r="H1459" s="2">
        <v>-34.953600000000002</v>
      </c>
      <c r="I1459" s="2">
        <v>63.552000000000007</v>
      </c>
    </row>
    <row r="1460" spans="1:9" x14ac:dyDescent="0.3">
      <c r="A1460" t="str">
        <f t="shared" si="475"/>
        <v>United States</v>
      </c>
      <c r="B1460" t="str">
        <f t="shared" si="490"/>
        <v>El Paso</v>
      </c>
      <c r="C1460" t="str">
        <f t="shared" si="495"/>
        <v>Standard Class</v>
      </c>
      <c r="D1460" t="str">
        <f t="shared" si="496"/>
        <v>Consumer</v>
      </c>
      <c r="E1460" t="s">
        <v>14</v>
      </c>
      <c r="F1460">
        <v>3</v>
      </c>
      <c r="G1460">
        <v>0.2</v>
      </c>
      <c r="H1460" s="2">
        <v>-22.671600000000005</v>
      </c>
      <c r="I1460" s="2">
        <v>129.55199999999999</v>
      </c>
    </row>
    <row r="1461" spans="1:9" x14ac:dyDescent="0.3">
      <c r="A1461" t="str">
        <f t="shared" si="475"/>
        <v>United States</v>
      </c>
      <c r="B1461" t="str">
        <f t="shared" si="490"/>
        <v>El Paso</v>
      </c>
      <c r="C1461" t="str">
        <f t="shared" si="495"/>
        <v>Standard Class</v>
      </c>
      <c r="D1461" t="s">
        <v>15</v>
      </c>
      <c r="E1461" t="s">
        <v>38</v>
      </c>
      <c r="F1461">
        <v>2</v>
      </c>
      <c r="G1461">
        <v>0.2</v>
      </c>
      <c r="H1461" s="2">
        <v>17.968399999999995</v>
      </c>
      <c r="I1461" s="2">
        <v>49.568000000000005</v>
      </c>
    </row>
    <row r="1462" spans="1:9" x14ac:dyDescent="0.3">
      <c r="A1462" t="str">
        <f t="shared" si="475"/>
        <v>United States</v>
      </c>
      <c r="B1462" t="str">
        <f t="shared" si="490"/>
        <v>El Paso</v>
      </c>
      <c r="C1462" t="str">
        <f t="shared" si="495"/>
        <v>Standard Class</v>
      </c>
      <c r="D1462" t="s">
        <v>17</v>
      </c>
      <c r="E1462" t="s">
        <v>20</v>
      </c>
      <c r="F1462">
        <v>3</v>
      </c>
      <c r="G1462">
        <v>0.8</v>
      </c>
      <c r="H1462" s="2">
        <v>-6.8633999999999986</v>
      </c>
      <c r="I1462" s="2">
        <v>4.427999999999999</v>
      </c>
    </row>
    <row r="1463" spans="1:9" x14ac:dyDescent="0.3">
      <c r="A1463" t="str">
        <f t="shared" si="475"/>
        <v>United States</v>
      </c>
      <c r="B1463" t="str">
        <f t="shared" si="490"/>
        <v>El Paso</v>
      </c>
      <c r="C1463" t="str">
        <f t="shared" si="495"/>
        <v>Standard Class</v>
      </c>
      <c r="D1463" t="str">
        <f>D1462</f>
        <v>Home Office</v>
      </c>
      <c r="E1463" t="s">
        <v>43</v>
      </c>
      <c r="F1463">
        <v>3</v>
      </c>
      <c r="G1463">
        <v>0.2</v>
      </c>
      <c r="H1463" s="2">
        <v>2.3409000000000004</v>
      </c>
      <c r="I1463" s="2">
        <v>6.9360000000000008</v>
      </c>
    </row>
    <row r="1464" spans="1:9" x14ac:dyDescent="0.3">
      <c r="A1464" t="str">
        <f t="shared" si="475"/>
        <v>United States</v>
      </c>
      <c r="B1464" t="s">
        <v>168</v>
      </c>
      <c r="C1464" t="s">
        <v>7</v>
      </c>
      <c r="D1464" t="s">
        <v>8</v>
      </c>
      <c r="E1464" t="s">
        <v>23</v>
      </c>
      <c r="F1464">
        <v>5</v>
      </c>
      <c r="G1464">
        <v>0</v>
      </c>
      <c r="H1464" s="2">
        <v>11.182499999999997</v>
      </c>
      <c r="I1464" s="2">
        <v>159.75</v>
      </c>
    </row>
    <row r="1465" spans="1:9" x14ac:dyDescent="0.3">
      <c r="A1465" t="str">
        <f t="shared" si="475"/>
        <v>United States</v>
      </c>
      <c r="B1465" t="str">
        <f>B1464</f>
        <v>Elkhart</v>
      </c>
      <c r="C1465" t="str">
        <f>C1464</f>
        <v>Second Class</v>
      </c>
      <c r="D1465" t="str">
        <f>D1464</f>
        <v>Consumer</v>
      </c>
      <c r="E1465" t="s">
        <v>19</v>
      </c>
      <c r="F1465">
        <v>2</v>
      </c>
      <c r="G1465">
        <v>0</v>
      </c>
      <c r="H1465" s="2">
        <v>5.4895999999999994</v>
      </c>
      <c r="I1465" s="2">
        <v>11.68</v>
      </c>
    </row>
    <row r="1466" spans="1:9" x14ac:dyDescent="0.3">
      <c r="A1466" t="str">
        <f t="shared" si="475"/>
        <v>United States</v>
      </c>
      <c r="B1466" t="s">
        <v>169</v>
      </c>
      <c r="C1466" t="s">
        <v>22</v>
      </c>
      <c r="D1466" t="s">
        <v>17</v>
      </c>
      <c r="E1466" t="s">
        <v>33</v>
      </c>
      <c r="F1466">
        <v>6</v>
      </c>
      <c r="G1466">
        <v>0.3</v>
      </c>
      <c r="H1466" s="2">
        <v>-172.11720000000003</v>
      </c>
      <c r="I1466" s="2">
        <v>634.11599999999999</v>
      </c>
    </row>
    <row r="1467" spans="1:9" x14ac:dyDescent="0.3">
      <c r="A1467" t="str">
        <f t="shared" si="475"/>
        <v>United States</v>
      </c>
      <c r="B1467" t="str">
        <f t="shared" ref="B1467:B1468" si="497">B1466</f>
        <v>Elmhurst</v>
      </c>
      <c r="C1467" t="str">
        <f t="shared" ref="C1467:C1468" si="498">C1466</f>
        <v>Standard Class</v>
      </c>
      <c r="D1467" t="str">
        <f t="shared" ref="D1467:D1468" si="499">D1466</f>
        <v>Home Office</v>
      </c>
      <c r="E1467" t="s">
        <v>16</v>
      </c>
      <c r="F1467">
        <v>5</v>
      </c>
      <c r="G1467">
        <v>0.4</v>
      </c>
      <c r="H1467" s="2">
        <v>8.9399999999999977</v>
      </c>
      <c r="I1467" s="2">
        <v>27.136000000000003</v>
      </c>
    </row>
    <row r="1468" spans="1:9" x14ac:dyDescent="0.3">
      <c r="A1468" t="str">
        <f t="shared" si="475"/>
        <v>United States</v>
      </c>
      <c r="B1468" t="str">
        <f t="shared" si="497"/>
        <v>Elmhurst</v>
      </c>
      <c r="C1468" t="str">
        <f t="shared" si="498"/>
        <v>Standard Class</v>
      </c>
      <c r="D1468" t="str">
        <f t="shared" si="499"/>
        <v>Home Office</v>
      </c>
      <c r="E1468" t="s">
        <v>14</v>
      </c>
      <c r="F1468">
        <v>3</v>
      </c>
      <c r="G1468">
        <v>0.2</v>
      </c>
      <c r="H1468" s="2">
        <v>-48.954900000000002</v>
      </c>
      <c r="I1468" s="2">
        <v>230.376</v>
      </c>
    </row>
    <row r="1469" spans="1:9" x14ac:dyDescent="0.3">
      <c r="A1469" t="str">
        <f t="shared" si="475"/>
        <v>United States</v>
      </c>
      <c r="B1469" t="s">
        <v>170</v>
      </c>
      <c r="C1469" t="s">
        <v>7</v>
      </c>
      <c r="D1469" t="s">
        <v>15</v>
      </c>
      <c r="E1469" t="s">
        <v>20</v>
      </c>
      <c r="F1469">
        <v>1</v>
      </c>
      <c r="G1469">
        <v>0.7</v>
      </c>
      <c r="H1469" s="2">
        <v>-1.3983999999999996</v>
      </c>
      <c r="I1469" s="2">
        <v>1.8240000000000003</v>
      </c>
    </row>
    <row r="1470" spans="1:9" x14ac:dyDescent="0.3">
      <c r="A1470" t="str">
        <f t="shared" si="475"/>
        <v>United States</v>
      </c>
      <c r="B1470" t="s">
        <v>171</v>
      </c>
      <c r="C1470" t="s">
        <v>11</v>
      </c>
      <c r="D1470" t="s">
        <v>8</v>
      </c>
      <c r="E1470" t="s">
        <v>20</v>
      </c>
      <c r="F1470">
        <v>5</v>
      </c>
      <c r="G1470">
        <v>0.2</v>
      </c>
      <c r="H1470" s="2">
        <v>2.351999999999999</v>
      </c>
      <c r="I1470" s="2">
        <v>6.7200000000000006</v>
      </c>
    </row>
    <row r="1471" spans="1:9" x14ac:dyDescent="0.3">
      <c r="A1471" t="str">
        <f t="shared" si="475"/>
        <v>United States</v>
      </c>
      <c r="B1471" t="str">
        <f t="shared" ref="B1471:B1474" si="500">B1470</f>
        <v>Encinitas</v>
      </c>
      <c r="C1471" t="str">
        <f>C1470</f>
        <v>First Class</v>
      </c>
      <c r="D1471" t="str">
        <f>D1470</f>
        <v>Consumer</v>
      </c>
      <c r="E1471" t="s">
        <v>25</v>
      </c>
      <c r="F1471">
        <v>3</v>
      </c>
      <c r="G1471">
        <v>0.2</v>
      </c>
      <c r="H1471" s="2">
        <v>7.4693999999999932</v>
      </c>
      <c r="I1471" s="2">
        <v>298.77600000000001</v>
      </c>
    </row>
    <row r="1472" spans="1:9" x14ac:dyDescent="0.3">
      <c r="A1472" t="str">
        <f t="shared" si="475"/>
        <v>United States</v>
      </c>
      <c r="B1472" t="str">
        <f t="shared" si="500"/>
        <v>Encinitas</v>
      </c>
      <c r="C1472" t="s">
        <v>7</v>
      </c>
      <c r="D1472" t="s">
        <v>8</v>
      </c>
      <c r="E1472" t="s">
        <v>23</v>
      </c>
      <c r="F1472">
        <v>2</v>
      </c>
      <c r="G1472">
        <v>0</v>
      </c>
      <c r="H1472" s="2">
        <v>57.590400000000002</v>
      </c>
      <c r="I1472" s="2">
        <v>119.98</v>
      </c>
    </row>
    <row r="1473" spans="1:9" x14ac:dyDescent="0.3">
      <c r="A1473" t="str">
        <f t="shared" si="475"/>
        <v>United States</v>
      </c>
      <c r="B1473" t="str">
        <f t="shared" si="500"/>
        <v>Encinitas</v>
      </c>
      <c r="C1473" t="str">
        <f t="shared" ref="C1473:C1474" si="501">C1472</f>
        <v>Second Class</v>
      </c>
      <c r="D1473" t="str">
        <f t="shared" ref="D1473:D1474" si="502">D1472</f>
        <v>Consumer</v>
      </c>
      <c r="E1473" t="s">
        <v>20</v>
      </c>
      <c r="F1473">
        <v>2</v>
      </c>
      <c r="G1473">
        <v>0.2</v>
      </c>
      <c r="H1473" s="2">
        <v>16.3352</v>
      </c>
      <c r="I1473" s="2">
        <v>46.672000000000004</v>
      </c>
    </row>
    <row r="1474" spans="1:9" x14ac:dyDescent="0.3">
      <c r="A1474" t="str">
        <f t="shared" si="475"/>
        <v>United States</v>
      </c>
      <c r="B1474" t="str">
        <f t="shared" si="500"/>
        <v>Encinitas</v>
      </c>
      <c r="C1474" t="str">
        <f t="shared" si="501"/>
        <v>Second Class</v>
      </c>
      <c r="D1474" t="str">
        <f t="shared" si="502"/>
        <v>Consumer</v>
      </c>
      <c r="E1474" t="s">
        <v>34</v>
      </c>
      <c r="F1474">
        <v>1</v>
      </c>
      <c r="G1474">
        <v>0.15</v>
      </c>
      <c r="H1474" s="2">
        <v>-12.688200000000002</v>
      </c>
      <c r="I1474" s="2">
        <v>119.83299999999998</v>
      </c>
    </row>
    <row r="1475" spans="1:9" x14ac:dyDescent="0.3">
      <c r="A1475" t="str">
        <f t="shared" si="475"/>
        <v>United States</v>
      </c>
      <c r="B1475" t="s">
        <v>172</v>
      </c>
      <c r="C1475" t="s">
        <v>22</v>
      </c>
      <c r="D1475" t="s">
        <v>8</v>
      </c>
      <c r="E1475" t="s">
        <v>16</v>
      </c>
      <c r="F1475">
        <v>3</v>
      </c>
      <c r="G1475">
        <v>0.2</v>
      </c>
      <c r="H1475" s="2">
        <v>5.6115000000000004</v>
      </c>
      <c r="I1475" s="2">
        <v>15.48</v>
      </c>
    </row>
    <row r="1476" spans="1:9" x14ac:dyDescent="0.3">
      <c r="A1476" t="str">
        <f t="shared" ref="A1476:A1539" si="503">A1475</f>
        <v>United States</v>
      </c>
      <c r="B1476" t="str">
        <f>B1475</f>
        <v>Englewood</v>
      </c>
      <c r="C1476" t="str">
        <f>C1475</f>
        <v>Standard Class</v>
      </c>
      <c r="D1476" t="str">
        <f>D1475</f>
        <v>Consumer</v>
      </c>
      <c r="E1476" t="s">
        <v>24</v>
      </c>
      <c r="F1476">
        <v>3</v>
      </c>
      <c r="G1476">
        <v>0.2</v>
      </c>
      <c r="H1476" s="2">
        <v>8.1432000000000002</v>
      </c>
      <c r="I1476" s="2">
        <v>108.57599999999999</v>
      </c>
    </row>
    <row r="1477" spans="1:9" x14ac:dyDescent="0.3">
      <c r="A1477" t="str">
        <f t="shared" si="503"/>
        <v>United States</v>
      </c>
      <c r="B1477" t="s">
        <v>173</v>
      </c>
      <c r="C1477" t="s">
        <v>7</v>
      </c>
      <c r="D1477" t="s">
        <v>8</v>
      </c>
      <c r="E1477" t="s">
        <v>19</v>
      </c>
      <c r="F1477">
        <v>3</v>
      </c>
      <c r="G1477">
        <v>0</v>
      </c>
      <c r="H1477" s="2">
        <v>15.642599999999995</v>
      </c>
      <c r="I1477" s="2">
        <v>53.94</v>
      </c>
    </row>
    <row r="1478" spans="1:9" x14ac:dyDescent="0.3">
      <c r="A1478" t="str">
        <f t="shared" si="503"/>
        <v>United States</v>
      </c>
      <c r="B1478" t="str">
        <f t="shared" ref="B1478:B1479" si="504">B1477</f>
        <v>Escondido</v>
      </c>
      <c r="C1478" t="str">
        <f>C1477</f>
        <v>Second Class</v>
      </c>
      <c r="D1478" t="s">
        <v>15</v>
      </c>
      <c r="E1478" t="s">
        <v>20</v>
      </c>
      <c r="F1478">
        <v>2</v>
      </c>
      <c r="G1478">
        <v>0.2</v>
      </c>
      <c r="H1478" s="2">
        <v>6.0367999999999986</v>
      </c>
      <c r="I1478" s="2">
        <v>17.248000000000001</v>
      </c>
    </row>
    <row r="1479" spans="1:9" x14ac:dyDescent="0.3">
      <c r="A1479" t="str">
        <f t="shared" si="503"/>
        <v>United States</v>
      </c>
      <c r="B1479" t="str">
        <f t="shared" si="504"/>
        <v>Escondido</v>
      </c>
      <c r="C1479" t="s">
        <v>22</v>
      </c>
      <c r="D1479" t="s">
        <v>17</v>
      </c>
      <c r="E1479" t="s">
        <v>19</v>
      </c>
      <c r="F1479">
        <v>4</v>
      </c>
      <c r="G1479">
        <v>0</v>
      </c>
      <c r="H1479" s="2">
        <v>6.073599999999999</v>
      </c>
      <c r="I1479" s="2">
        <v>23.36</v>
      </c>
    </row>
    <row r="1480" spans="1:9" x14ac:dyDescent="0.3">
      <c r="A1480" t="str">
        <f t="shared" si="503"/>
        <v>United States</v>
      </c>
      <c r="B1480" t="s">
        <v>174</v>
      </c>
      <c r="C1480" t="s">
        <v>7</v>
      </c>
      <c r="D1480" t="s">
        <v>15</v>
      </c>
      <c r="E1480" t="s">
        <v>33</v>
      </c>
      <c r="F1480">
        <v>4</v>
      </c>
      <c r="G1480">
        <v>0.4</v>
      </c>
      <c r="H1480" s="2">
        <v>-111.96060000000008</v>
      </c>
      <c r="I1480" s="2">
        <v>755.13600000000008</v>
      </c>
    </row>
    <row r="1481" spans="1:9" x14ac:dyDescent="0.3">
      <c r="A1481" t="str">
        <f t="shared" si="503"/>
        <v>United States</v>
      </c>
      <c r="B1481" t="str">
        <f t="shared" ref="B1481:B1483" si="505">B1480</f>
        <v>Eugene</v>
      </c>
      <c r="C1481" t="str">
        <f t="shared" ref="C1481:C1483" si="506">C1480</f>
        <v>Second Class</v>
      </c>
      <c r="D1481" t="str">
        <f t="shared" ref="D1481:D1483" si="507">D1480</f>
        <v>Corporate</v>
      </c>
      <c r="E1481" t="s">
        <v>43</v>
      </c>
      <c r="F1481">
        <v>8</v>
      </c>
      <c r="G1481">
        <v>0.2</v>
      </c>
      <c r="H1481" s="2">
        <v>228.07919999999999</v>
      </c>
      <c r="I1481" s="2">
        <v>629.18400000000008</v>
      </c>
    </row>
    <row r="1482" spans="1:9" x14ac:dyDescent="0.3">
      <c r="A1482" t="str">
        <f t="shared" si="503"/>
        <v>United States</v>
      </c>
      <c r="B1482" t="str">
        <f t="shared" si="505"/>
        <v>Eugene</v>
      </c>
      <c r="C1482" t="str">
        <f t="shared" si="506"/>
        <v>Second Class</v>
      </c>
      <c r="D1482" t="str">
        <f t="shared" si="507"/>
        <v>Corporate</v>
      </c>
      <c r="E1482" t="s">
        <v>16</v>
      </c>
      <c r="F1482">
        <v>4</v>
      </c>
      <c r="G1482">
        <v>0.4</v>
      </c>
      <c r="H1482" s="2">
        <v>22.094799999999999</v>
      </c>
      <c r="I1482" s="2">
        <v>63.128000000000007</v>
      </c>
    </row>
    <row r="1483" spans="1:9" x14ac:dyDescent="0.3">
      <c r="A1483" t="str">
        <f t="shared" si="503"/>
        <v>United States</v>
      </c>
      <c r="B1483" t="str">
        <f t="shared" si="505"/>
        <v>Eugene</v>
      </c>
      <c r="C1483" t="str">
        <f t="shared" si="506"/>
        <v>Second Class</v>
      </c>
      <c r="D1483" t="str">
        <f t="shared" si="507"/>
        <v>Corporate</v>
      </c>
      <c r="E1483" t="s">
        <v>9</v>
      </c>
      <c r="F1483">
        <v>7</v>
      </c>
      <c r="G1483">
        <v>0.2</v>
      </c>
      <c r="H1483" s="2">
        <v>-4.1761999999999997</v>
      </c>
      <c r="I1483" s="2">
        <v>17.584000000000003</v>
      </c>
    </row>
    <row r="1484" spans="1:9" x14ac:dyDescent="0.3">
      <c r="A1484" t="str">
        <f t="shared" si="503"/>
        <v>United States</v>
      </c>
      <c r="B1484" t="s">
        <v>175</v>
      </c>
      <c r="C1484" t="s">
        <v>7</v>
      </c>
      <c r="D1484" t="s">
        <v>8</v>
      </c>
      <c r="E1484" t="s">
        <v>33</v>
      </c>
      <c r="F1484">
        <v>3</v>
      </c>
      <c r="G1484">
        <v>0.3</v>
      </c>
      <c r="H1484" s="2">
        <v>-70.104300000000023</v>
      </c>
      <c r="I1484" s="2">
        <v>258.279</v>
      </c>
    </row>
    <row r="1485" spans="1:9" x14ac:dyDescent="0.3">
      <c r="A1485" t="str">
        <f t="shared" si="503"/>
        <v>United States</v>
      </c>
      <c r="B1485" t="str">
        <f t="shared" ref="B1485:B1487" si="508">B1484</f>
        <v>Evanston</v>
      </c>
      <c r="C1485" t="str">
        <f>C1484</f>
        <v>Second Class</v>
      </c>
      <c r="D1485" t="str">
        <f>D1484</f>
        <v>Consumer</v>
      </c>
      <c r="E1485" t="s">
        <v>24</v>
      </c>
      <c r="F1485">
        <v>1</v>
      </c>
      <c r="G1485">
        <v>0.2</v>
      </c>
      <c r="H1485" s="2">
        <v>0.89939999999999909</v>
      </c>
      <c r="I1485" s="2">
        <v>11.992000000000001</v>
      </c>
    </row>
    <row r="1486" spans="1:9" x14ac:dyDescent="0.3">
      <c r="A1486" t="str">
        <f t="shared" si="503"/>
        <v>United States</v>
      </c>
      <c r="B1486" t="str">
        <f t="shared" si="508"/>
        <v>Evanston</v>
      </c>
      <c r="C1486" t="s">
        <v>22</v>
      </c>
      <c r="D1486" t="s">
        <v>8</v>
      </c>
      <c r="E1486" t="s">
        <v>23</v>
      </c>
      <c r="F1486">
        <v>3</v>
      </c>
      <c r="G1486">
        <v>0.2</v>
      </c>
      <c r="H1486" s="2">
        <v>-4.9004999999999974</v>
      </c>
      <c r="I1486" s="2">
        <v>43.56</v>
      </c>
    </row>
    <row r="1487" spans="1:9" x14ac:dyDescent="0.3">
      <c r="A1487" t="str">
        <f t="shared" si="503"/>
        <v>United States</v>
      </c>
      <c r="B1487" t="str">
        <f t="shared" si="508"/>
        <v>Evanston</v>
      </c>
      <c r="C1487" t="str">
        <f>C1486</f>
        <v>Standard Class</v>
      </c>
      <c r="D1487" t="str">
        <f>D1486</f>
        <v>Consumer</v>
      </c>
      <c r="E1487" t="s">
        <v>45</v>
      </c>
      <c r="F1487">
        <v>4</v>
      </c>
      <c r="G1487">
        <v>0.2</v>
      </c>
      <c r="H1487" s="2">
        <v>485.98919999999993</v>
      </c>
      <c r="I1487" s="2">
        <v>1439.9680000000001</v>
      </c>
    </row>
    <row r="1488" spans="1:9" x14ac:dyDescent="0.3">
      <c r="A1488" t="str">
        <f t="shared" si="503"/>
        <v>United States</v>
      </c>
      <c r="B1488" t="s">
        <v>176</v>
      </c>
      <c r="C1488" t="s">
        <v>11</v>
      </c>
      <c r="D1488" t="s">
        <v>8</v>
      </c>
      <c r="E1488" t="s">
        <v>23</v>
      </c>
      <c r="F1488">
        <v>3</v>
      </c>
      <c r="G1488">
        <v>0</v>
      </c>
      <c r="H1488" s="2">
        <v>30.089999999999982</v>
      </c>
      <c r="I1488" s="2">
        <v>177</v>
      </c>
    </row>
    <row r="1489" spans="1:9" x14ac:dyDescent="0.3">
      <c r="A1489" t="str">
        <f t="shared" si="503"/>
        <v>United States</v>
      </c>
      <c r="B1489" t="str">
        <f t="shared" ref="B1489:B1506" si="509">B1488</f>
        <v>Everett</v>
      </c>
      <c r="C1489" t="str">
        <f t="shared" ref="C1489:C1491" si="510">C1488</f>
        <v>First Class</v>
      </c>
      <c r="D1489" t="str">
        <f t="shared" ref="D1489:D1491" si="511">D1488</f>
        <v>Consumer</v>
      </c>
      <c r="E1489" t="s">
        <v>19</v>
      </c>
      <c r="F1489">
        <v>3</v>
      </c>
      <c r="G1489">
        <v>0</v>
      </c>
      <c r="H1489" s="2">
        <v>14.263200000000001</v>
      </c>
      <c r="I1489" s="2">
        <v>50.94</v>
      </c>
    </row>
    <row r="1490" spans="1:9" x14ac:dyDescent="0.3">
      <c r="A1490" t="str">
        <f t="shared" si="503"/>
        <v>United States</v>
      </c>
      <c r="B1490" t="str">
        <f t="shared" si="509"/>
        <v>Everett</v>
      </c>
      <c r="C1490" t="str">
        <f t="shared" si="510"/>
        <v>First Class</v>
      </c>
      <c r="D1490" t="str">
        <f t="shared" si="511"/>
        <v>Consumer</v>
      </c>
      <c r="E1490" t="s">
        <v>33</v>
      </c>
      <c r="F1490">
        <v>9</v>
      </c>
      <c r="G1490">
        <v>0</v>
      </c>
      <c r="H1490" s="2">
        <v>260.61120000000017</v>
      </c>
      <c r="I1490" s="2">
        <v>1628.82</v>
      </c>
    </row>
    <row r="1491" spans="1:9" x14ac:dyDescent="0.3">
      <c r="A1491" t="str">
        <f t="shared" si="503"/>
        <v>United States</v>
      </c>
      <c r="B1491" t="str">
        <f t="shared" si="509"/>
        <v>Everett</v>
      </c>
      <c r="C1491" t="str">
        <f t="shared" si="510"/>
        <v>First Class</v>
      </c>
      <c r="D1491" t="str">
        <f t="shared" si="511"/>
        <v>Consumer</v>
      </c>
      <c r="E1491" t="s">
        <v>14</v>
      </c>
      <c r="F1491">
        <v>7</v>
      </c>
      <c r="G1491">
        <v>0</v>
      </c>
      <c r="H1491" s="2">
        <v>22.246000000000006</v>
      </c>
      <c r="I1491" s="2">
        <v>79.45</v>
      </c>
    </row>
    <row r="1492" spans="1:9" x14ac:dyDescent="0.3">
      <c r="A1492" t="str">
        <f t="shared" si="503"/>
        <v>United States</v>
      </c>
      <c r="B1492" t="str">
        <f t="shared" si="509"/>
        <v>Everett</v>
      </c>
      <c r="C1492" t="s">
        <v>7</v>
      </c>
      <c r="D1492" t="s">
        <v>8</v>
      </c>
      <c r="E1492" t="s">
        <v>19</v>
      </c>
      <c r="F1492">
        <v>2</v>
      </c>
      <c r="G1492">
        <v>0</v>
      </c>
      <c r="H1492" s="2">
        <v>6.5120000000000005</v>
      </c>
      <c r="I1492" s="2">
        <v>16.28</v>
      </c>
    </row>
    <row r="1493" spans="1:9" x14ac:dyDescent="0.3">
      <c r="A1493" t="str">
        <f t="shared" si="503"/>
        <v>United States</v>
      </c>
      <c r="B1493" t="str">
        <f t="shared" si="509"/>
        <v>Everett</v>
      </c>
      <c r="C1493" t="str">
        <f t="shared" ref="C1493:C1501" si="512">C1492</f>
        <v>Second Class</v>
      </c>
      <c r="D1493" t="str">
        <f t="shared" ref="D1493:D1496" si="513">D1492</f>
        <v>Consumer</v>
      </c>
      <c r="E1493" t="s">
        <v>20</v>
      </c>
      <c r="F1493">
        <v>7</v>
      </c>
      <c r="G1493">
        <v>0</v>
      </c>
      <c r="H1493" s="2">
        <v>116.39039999999999</v>
      </c>
      <c r="I1493" s="2">
        <v>242.48000000000002</v>
      </c>
    </row>
    <row r="1494" spans="1:9" x14ac:dyDescent="0.3">
      <c r="A1494" t="str">
        <f t="shared" si="503"/>
        <v>United States</v>
      </c>
      <c r="B1494" t="str">
        <f t="shared" si="509"/>
        <v>Everett</v>
      </c>
      <c r="C1494" t="str">
        <f t="shared" si="512"/>
        <v>Second Class</v>
      </c>
      <c r="D1494" t="str">
        <f t="shared" si="513"/>
        <v>Consumer</v>
      </c>
      <c r="E1494" t="s">
        <v>34</v>
      </c>
      <c r="F1494">
        <v>3</v>
      </c>
      <c r="G1494">
        <v>0</v>
      </c>
      <c r="H1494" s="2">
        <v>203.56440000000003</v>
      </c>
      <c r="I1494" s="2">
        <v>782.94</v>
      </c>
    </row>
    <row r="1495" spans="1:9" x14ac:dyDescent="0.3">
      <c r="A1495" t="str">
        <f t="shared" si="503"/>
        <v>United States</v>
      </c>
      <c r="B1495" t="str">
        <f t="shared" si="509"/>
        <v>Everett</v>
      </c>
      <c r="C1495" t="str">
        <f t="shared" si="512"/>
        <v>Second Class</v>
      </c>
      <c r="D1495" t="str">
        <f t="shared" si="513"/>
        <v>Consumer</v>
      </c>
      <c r="E1495" t="s">
        <v>16</v>
      </c>
      <c r="F1495">
        <v>11</v>
      </c>
      <c r="G1495">
        <v>0</v>
      </c>
      <c r="H1495" s="2">
        <v>111.14109999999998</v>
      </c>
      <c r="I1495" s="2">
        <v>230.69</v>
      </c>
    </row>
    <row r="1496" spans="1:9" x14ac:dyDescent="0.3">
      <c r="A1496" t="str">
        <f t="shared" si="503"/>
        <v>United States</v>
      </c>
      <c r="B1496" t="str">
        <f t="shared" si="509"/>
        <v>Everett</v>
      </c>
      <c r="C1496" t="str">
        <f t="shared" si="512"/>
        <v>Second Class</v>
      </c>
      <c r="D1496" t="str">
        <f t="shared" si="513"/>
        <v>Consumer</v>
      </c>
      <c r="E1496" t="s">
        <v>24</v>
      </c>
      <c r="F1496">
        <v>1</v>
      </c>
      <c r="G1496">
        <v>0</v>
      </c>
      <c r="H1496" s="2">
        <v>11.597099999999998</v>
      </c>
      <c r="I1496" s="2">
        <v>39.99</v>
      </c>
    </row>
    <row r="1497" spans="1:9" x14ac:dyDescent="0.3">
      <c r="A1497" t="str">
        <f t="shared" si="503"/>
        <v>United States</v>
      </c>
      <c r="B1497" t="str">
        <f t="shared" si="509"/>
        <v>Everett</v>
      </c>
      <c r="C1497" t="str">
        <f t="shared" si="512"/>
        <v>Second Class</v>
      </c>
      <c r="D1497" t="s">
        <v>17</v>
      </c>
      <c r="E1497" t="s">
        <v>23</v>
      </c>
      <c r="F1497">
        <v>2</v>
      </c>
      <c r="G1497">
        <v>0</v>
      </c>
      <c r="H1497" s="2">
        <v>88.393200000000007</v>
      </c>
      <c r="I1497" s="2">
        <v>259.98</v>
      </c>
    </row>
    <row r="1498" spans="1:9" x14ac:dyDescent="0.3">
      <c r="A1498" t="str">
        <f t="shared" si="503"/>
        <v>United States</v>
      </c>
      <c r="B1498" t="str">
        <f t="shared" si="509"/>
        <v>Everett</v>
      </c>
      <c r="C1498" t="str">
        <f t="shared" si="512"/>
        <v>Second Class</v>
      </c>
      <c r="D1498" t="str">
        <f t="shared" ref="D1498:D1501" si="514">D1497</f>
        <v>Home Office</v>
      </c>
      <c r="E1498" t="s">
        <v>34</v>
      </c>
      <c r="F1498">
        <v>1</v>
      </c>
      <c r="G1498">
        <v>0</v>
      </c>
      <c r="H1498" s="2">
        <v>32.486199999999997</v>
      </c>
      <c r="I1498" s="2">
        <v>170.98</v>
      </c>
    </row>
    <row r="1499" spans="1:9" x14ac:dyDescent="0.3">
      <c r="A1499" t="str">
        <f t="shared" si="503"/>
        <v>United States</v>
      </c>
      <c r="B1499" t="str">
        <f t="shared" si="509"/>
        <v>Everett</v>
      </c>
      <c r="C1499" t="str">
        <f t="shared" si="512"/>
        <v>Second Class</v>
      </c>
      <c r="D1499" t="str">
        <f t="shared" si="514"/>
        <v>Home Office</v>
      </c>
      <c r="E1499" t="s">
        <v>21</v>
      </c>
      <c r="F1499">
        <v>3</v>
      </c>
      <c r="G1499">
        <v>0</v>
      </c>
      <c r="H1499" s="2">
        <v>4.6763999999999992</v>
      </c>
      <c r="I1499" s="2">
        <v>38.97</v>
      </c>
    </row>
    <row r="1500" spans="1:9" x14ac:dyDescent="0.3">
      <c r="A1500" t="str">
        <f t="shared" si="503"/>
        <v>United States</v>
      </c>
      <c r="B1500" t="str">
        <f t="shared" si="509"/>
        <v>Everett</v>
      </c>
      <c r="C1500" t="str">
        <f t="shared" si="512"/>
        <v>Second Class</v>
      </c>
      <c r="D1500" t="str">
        <f t="shared" si="514"/>
        <v>Home Office</v>
      </c>
      <c r="E1500" t="s">
        <v>16</v>
      </c>
      <c r="F1500">
        <v>14</v>
      </c>
      <c r="G1500">
        <v>0</v>
      </c>
      <c r="H1500" s="2">
        <v>117.11519999999999</v>
      </c>
      <c r="I1500" s="2">
        <v>254.92000000000002</v>
      </c>
    </row>
    <row r="1501" spans="1:9" x14ac:dyDescent="0.3">
      <c r="A1501" t="str">
        <f t="shared" si="503"/>
        <v>United States</v>
      </c>
      <c r="B1501" t="str">
        <f t="shared" si="509"/>
        <v>Everett</v>
      </c>
      <c r="C1501" t="str">
        <f t="shared" si="512"/>
        <v>Second Class</v>
      </c>
      <c r="D1501" t="str">
        <f t="shared" si="514"/>
        <v>Home Office</v>
      </c>
      <c r="E1501" t="s">
        <v>25</v>
      </c>
      <c r="F1501">
        <v>4</v>
      </c>
      <c r="G1501">
        <v>0.3</v>
      </c>
      <c r="H1501" s="2">
        <v>0</v>
      </c>
      <c r="I1501" s="2">
        <v>446.06799999999998</v>
      </c>
    </row>
    <row r="1502" spans="1:9" x14ac:dyDescent="0.3">
      <c r="A1502" t="str">
        <f t="shared" si="503"/>
        <v>United States</v>
      </c>
      <c r="B1502" t="str">
        <f t="shared" si="509"/>
        <v>Everett</v>
      </c>
      <c r="C1502" t="s">
        <v>22</v>
      </c>
      <c r="D1502" t="s">
        <v>8</v>
      </c>
      <c r="E1502" t="s">
        <v>43</v>
      </c>
      <c r="F1502">
        <v>3</v>
      </c>
      <c r="G1502">
        <v>0</v>
      </c>
      <c r="H1502" s="2">
        <v>10.307099999999998</v>
      </c>
      <c r="I1502" s="2">
        <v>21.93</v>
      </c>
    </row>
    <row r="1503" spans="1:9" x14ac:dyDescent="0.3">
      <c r="A1503" t="str">
        <f t="shared" si="503"/>
        <v>United States</v>
      </c>
      <c r="B1503" t="str">
        <f t="shared" si="509"/>
        <v>Everett</v>
      </c>
      <c r="C1503" t="str">
        <f t="shared" ref="C1503:C1506" si="515">C1502</f>
        <v>Standard Class</v>
      </c>
      <c r="D1503" t="str">
        <f>D1502</f>
        <v>Consumer</v>
      </c>
      <c r="E1503" t="s">
        <v>16</v>
      </c>
      <c r="F1503">
        <v>5</v>
      </c>
      <c r="G1503">
        <v>0</v>
      </c>
      <c r="H1503" s="2">
        <v>42.047999999999995</v>
      </c>
      <c r="I1503" s="2">
        <v>87.6</v>
      </c>
    </row>
    <row r="1504" spans="1:9" x14ac:dyDescent="0.3">
      <c r="A1504" t="str">
        <f t="shared" si="503"/>
        <v>United States</v>
      </c>
      <c r="B1504" t="str">
        <f t="shared" si="509"/>
        <v>Everett</v>
      </c>
      <c r="C1504" t="str">
        <f t="shared" si="515"/>
        <v>Standard Class</v>
      </c>
      <c r="D1504" t="s">
        <v>15</v>
      </c>
      <c r="E1504" t="s">
        <v>20</v>
      </c>
      <c r="F1504">
        <v>1</v>
      </c>
      <c r="G1504">
        <v>0.2</v>
      </c>
      <c r="H1504" s="2">
        <v>1.3978000000000002</v>
      </c>
      <c r="I1504" s="2">
        <v>3.8560000000000003</v>
      </c>
    </row>
    <row r="1505" spans="1:9" x14ac:dyDescent="0.3">
      <c r="A1505" t="str">
        <f t="shared" si="503"/>
        <v>United States</v>
      </c>
      <c r="B1505" t="str">
        <f t="shared" si="509"/>
        <v>Everett</v>
      </c>
      <c r="C1505" t="str">
        <f t="shared" si="515"/>
        <v>Standard Class</v>
      </c>
      <c r="D1505" t="s">
        <v>17</v>
      </c>
      <c r="E1505" t="s">
        <v>33</v>
      </c>
      <c r="F1505">
        <v>3</v>
      </c>
      <c r="G1505">
        <v>0</v>
      </c>
      <c r="H1505" s="2">
        <v>141.1644</v>
      </c>
      <c r="I1505" s="2">
        <v>542.93999999999994</v>
      </c>
    </row>
    <row r="1506" spans="1:9" x14ac:dyDescent="0.3">
      <c r="A1506" t="str">
        <f t="shared" si="503"/>
        <v>United States</v>
      </c>
      <c r="B1506" t="str">
        <f t="shared" si="509"/>
        <v>Everett</v>
      </c>
      <c r="C1506" t="str">
        <f t="shared" si="515"/>
        <v>Standard Class</v>
      </c>
      <c r="D1506" t="str">
        <f>D1505</f>
        <v>Home Office</v>
      </c>
      <c r="E1506" t="s">
        <v>24</v>
      </c>
      <c r="F1506">
        <v>2</v>
      </c>
      <c r="G1506">
        <v>0</v>
      </c>
      <c r="H1506" s="2">
        <v>147.47500000000002</v>
      </c>
      <c r="I1506" s="2">
        <v>589.9</v>
      </c>
    </row>
    <row r="1507" spans="1:9" x14ac:dyDescent="0.3">
      <c r="A1507" t="str">
        <f t="shared" si="503"/>
        <v>United States</v>
      </c>
      <c r="B1507" t="s">
        <v>177</v>
      </c>
      <c r="C1507" t="s">
        <v>11</v>
      </c>
      <c r="D1507" t="s">
        <v>8</v>
      </c>
      <c r="E1507" t="s">
        <v>12</v>
      </c>
      <c r="F1507">
        <v>6</v>
      </c>
      <c r="G1507">
        <v>0.2</v>
      </c>
      <c r="H1507" s="2">
        <v>134.64319999999998</v>
      </c>
      <c r="I1507" s="2">
        <v>586.952</v>
      </c>
    </row>
    <row r="1508" spans="1:9" x14ac:dyDescent="0.3">
      <c r="A1508" t="str">
        <f t="shared" si="503"/>
        <v>United States</v>
      </c>
      <c r="B1508" t="str">
        <f t="shared" ref="B1508:B1538" si="516">B1507</f>
        <v>Fairfield</v>
      </c>
      <c r="C1508" t="str">
        <f t="shared" ref="C1508:C1515" si="517">C1507</f>
        <v>First Class</v>
      </c>
      <c r="D1508" t="str">
        <f t="shared" ref="D1508:D1511" si="518">D1507</f>
        <v>Consumer</v>
      </c>
      <c r="E1508" t="s">
        <v>20</v>
      </c>
      <c r="F1508">
        <v>5</v>
      </c>
      <c r="G1508">
        <v>0</v>
      </c>
      <c r="H1508" s="2">
        <v>45.651199999999996</v>
      </c>
      <c r="I1508" s="2">
        <v>93.82</v>
      </c>
    </row>
    <row r="1509" spans="1:9" x14ac:dyDescent="0.3">
      <c r="A1509" t="str">
        <f t="shared" si="503"/>
        <v>United States</v>
      </c>
      <c r="B1509" t="str">
        <f t="shared" si="516"/>
        <v>Fairfield</v>
      </c>
      <c r="C1509" t="str">
        <f t="shared" si="517"/>
        <v>First Class</v>
      </c>
      <c r="D1509" t="str">
        <f t="shared" si="518"/>
        <v>Consumer</v>
      </c>
      <c r="E1509" t="s">
        <v>43</v>
      </c>
      <c r="F1509">
        <v>5</v>
      </c>
      <c r="G1509">
        <v>0.2</v>
      </c>
      <c r="H1509" s="2">
        <v>5.368999999999998</v>
      </c>
      <c r="I1509" s="2">
        <v>16.520000000000003</v>
      </c>
    </row>
    <row r="1510" spans="1:9" x14ac:dyDescent="0.3">
      <c r="A1510" t="str">
        <f t="shared" si="503"/>
        <v>United States</v>
      </c>
      <c r="B1510" t="str">
        <f t="shared" si="516"/>
        <v>Fairfield</v>
      </c>
      <c r="C1510" t="str">
        <f t="shared" si="517"/>
        <v>First Class</v>
      </c>
      <c r="D1510" t="str">
        <f t="shared" si="518"/>
        <v>Consumer</v>
      </c>
      <c r="E1510" t="s">
        <v>16</v>
      </c>
      <c r="F1510">
        <v>4</v>
      </c>
      <c r="G1510">
        <v>0</v>
      </c>
      <c r="H1510" s="2">
        <v>12.475199999999999</v>
      </c>
      <c r="I1510" s="2">
        <v>27.12</v>
      </c>
    </row>
    <row r="1511" spans="1:9" x14ac:dyDescent="0.3">
      <c r="A1511" t="str">
        <f t="shared" si="503"/>
        <v>United States</v>
      </c>
      <c r="B1511" t="str">
        <f t="shared" si="516"/>
        <v>Fairfield</v>
      </c>
      <c r="C1511" t="str">
        <f t="shared" si="517"/>
        <v>First Class</v>
      </c>
      <c r="D1511" t="str">
        <f t="shared" si="518"/>
        <v>Consumer</v>
      </c>
      <c r="E1511" t="s">
        <v>25</v>
      </c>
      <c r="F1511">
        <v>3</v>
      </c>
      <c r="G1511">
        <v>0.4</v>
      </c>
      <c r="H1511" s="2">
        <v>-122.87700000000004</v>
      </c>
      <c r="I1511" s="2">
        <v>409.59000000000003</v>
      </c>
    </row>
    <row r="1512" spans="1:9" x14ac:dyDescent="0.3">
      <c r="A1512" t="str">
        <f t="shared" si="503"/>
        <v>United States</v>
      </c>
      <c r="B1512" t="str">
        <f t="shared" si="516"/>
        <v>Fairfield</v>
      </c>
      <c r="C1512" t="str">
        <f t="shared" si="517"/>
        <v>First Class</v>
      </c>
      <c r="D1512" t="s">
        <v>15</v>
      </c>
      <c r="E1512" t="s">
        <v>21</v>
      </c>
      <c r="F1512">
        <v>8</v>
      </c>
      <c r="G1512">
        <v>0</v>
      </c>
      <c r="H1512" s="2">
        <v>16.961599999999997</v>
      </c>
      <c r="I1512" s="2">
        <v>48.040000000000006</v>
      </c>
    </row>
    <row r="1513" spans="1:9" x14ac:dyDescent="0.3">
      <c r="A1513" t="str">
        <f t="shared" si="503"/>
        <v>United States</v>
      </c>
      <c r="B1513" t="str">
        <f t="shared" si="516"/>
        <v>Fairfield</v>
      </c>
      <c r="C1513" t="str">
        <f t="shared" si="517"/>
        <v>First Class</v>
      </c>
      <c r="D1513" t="str">
        <f t="shared" ref="D1513:D1515" si="519">D1512</f>
        <v>Corporate</v>
      </c>
      <c r="E1513" t="s">
        <v>46</v>
      </c>
      <c r="F1513">
        <v>2</v>
      </c>
      <c r="G1513">
        <v>0.2</v>
      </c>
      <c r="H1513" s="2">
        <v>53.271999999999991</v>
      </c>
      <c r="I1513" s="2">
        <v>532.72</v>
      </c>
    </row>
    <row r="1514" spans="1:9" x14ac:dyDescent="0.3">
      <c r="A1514" t="str">
        <f t="shared" si="503"/>
        <v>United States</v>
      </c>
      <c r="B1514" t="str">
        <f t="shared" si="516"/>
        <v>Fairfield</v>
      </c>
      <c r="C1514" t="str">
        <f t="shared" si="517"/>
        <v>First Class</v>
      </c>
      <c r="D1514" t="str">
        <f t="shared" si="519"/>
        <v>Corporate</v>
      </c>
      <c r="E1514" t="s">
        <v>16</v>
      </c>
      <c r="F1514">
        <v>9</v>
      </c>
      <c r="G1514">
        <v>0</v>
      </c>
      <c r="H1514" s="2">
        <v>28.795200000000001</v>
      </c>
      <c r="I1514" s="2">
        <v>59.72</v>
      </c>
    </row>
    <row r="1515" spans="1:9" x14ac:dyDescent="0.3">
      <c r="A1515" t="str">
        <f t="shared" si="503"/>
        <v>United States</v>
      </c>
      <c r="B1515" t="str">
        <f t="shared" si="516"/>
        <v>Fairfield</v>
      </c>
      <c r="C1515" t="str">
        <f t="shared" si="517"/>
        <v>First Class</v>
      </c>
      <c r="D1515" t="str">
        <f t="shared" si="519"/>
        <v>Corporate</v>
      </c>
      <c r="E1515" t="s">
        <v>14</v>
      </c>
      <c r="F1515">
        <v>7</v>
      </c>
      <c r="G1515">
        <v>0</v>
      </c>
      <c r="H1515" s="2">
        <v>7.9547999999999632</v>
      </c>
      <c r="I1515" s="2">
        <v>795.48</v>
      </c>
    </row>
    <row r="1516" spans="1:9" x14ac:dyDescent="0.3">
      <c r="A1516" t="str">
        <f t="shared" si="503"/>
        <v>United States</v>
      </c>
      <c r="B1516" t="str">
        <f t="shared" si="516"/>
        <v>Fairfield</v>
      </c>
      <c r="C1516" t="s">
        <v>27</v>
      </c>
      <c r="D1516" t="s">
        <v>8</v>
      </c>
      <c r="E1516" t="s">
        <v>12</v>
      </c>
      <c r="F1516">
        <v>7</v>
      </c>
      <c r="G1516">
        <v>0</v>
      </c>
      <c r="H1516" s="2">
        <v>123.76909999999995</v>
      </c>
      <c r="I1516" s="2">
        <v>426.78999999999996</v>
      </c>
    </row>
    <row r="1517" spans="1:9" x14ac:dyDescent="0.3">
      <c r="A1517" t="str">
        <f t="shared" si="503"/>
        <v>United States</v>
      </c>
      <c r="B1517" t="str">
        <f t="shared" si="516"/>
        <v>Fairfield</v>
      </c>
      <c r="C1517" t="str">
        <f t="shared" ref="C1517:C1519" si="520">C1516</f>
        <v>Same Day</v>
      </c>
      <c r="D1517" t="str">
        <f t="shared" ref="D1517:D1518" si="521">D1516</f>
        <v>Consumer</v>
      </c>
      <c r="E1517" t="s">
        <v>38</v>
      </c>
      <c r="F1517">
        <v>3</v>
      </c>
      <c r="G1517">
        <v>0</v>
      </c>
      <c r="H1517" s="2">
        <v>5.1042000000000005</v>
      </c>
      <c r="I1517" s="2">
        <v>10.86</v>
      </c>
    </row>
    <row r="1518" spans="1:9" x14ac:dyDescent="0.3">
      <c r="A1518" t="str">
        <f t="shared" si="503"/>
        <v>United States</v>
      </c>
      <c r="B1518" t="str">
        <f t="shared" si="516"/>
        <v>Fairfield</v>
      </c>
      <c r="C1518" t="str">
        <f t="shared" si="520"/>
        <v>Same Day</v>
      </c>
      <c r="D1518" t="str">
        <f t="shared" si="521"/>
        <v>Consumer</v>
      </c>
      <c r="E1518" t="s">
        <v>25</v>
      </c>
      <c r="F1518">
        <v>1</v>
      </c>
      <c r="G1518">
        <v>0.3</v>
      </c>
      <c r="H1518" s="2">
        <v>-15.582599999999999</v>
      </c>
      <c r="I1518" s="2">
        <v>181.79699999999997</v>
      </c>
    </row>
    <row r="1519" spans="1:9" x14ac:dyDescent="0.3">
      <c r="A1519" t="str">
        <f t="shared" si="503"/>
        <v>United States</v>
      </c>
      <c r="B1519" t="str">
        <f t="shared" si="516"/>
        <v>Fairfield</v>
      </c>
      <c r="C1519" t="str">
        <f t="shared" si="520"/>
        <v>Same Day</v>
      </c>
      <c r="D1519" t="s">
        <v>15</v>
      </c>
      <c r="E1519" t="s">
        <v>12</v>
      </c>
      <c r="F1519">
        <v>6</v>
      </c>
      <c r="G1519">
        <v>0.2</v>
      </c>
      <c r="H1519" s="2">
        <v>59.655599999999993</v>
      </c>
      <c r="I1519" s="2">
        <v>795.40800000000013</v>
      </c>
    </row>
    <row r="1520" spans="1:9" x14ac:dyDescent="0.3">
      <c r="A1520" t="str">
        <f t="shared" si="503"/>
        <v>United States</v>
      </c>
      <c r="B1520" t="str">
        <f t="shared" si="516"/>
        <v>Fairfield</v>
      </c>
      <c r="C1520" t="s">
        <v>7</v>
      </c>
      <c r="D1520" t="s">
        <v>8</v>
      </c>
      <c r="E1520" t="s">
        <v>20</v>
      </c>
      <c r="F1520">
        <v>24</v>
      </c>
      <c r="G1520">
        <v>0.7</v>
      </c>
      <c r="H1520" s="2">
        <v>52.881599999999992</v>
      </c>
      <c r="I1520" s="2">
        <v>143.68799999999999</v>
      </c>
    </row>
    <row r="1521" spans="1:9" x14ac:dyDescent="0.3">
      <c r="A1521" t="str">
        <f t="shared" si="503"/>
        <v>United States</v>
      </c>
      <c r="B1521" t="str">
        <f t="shared" si="516"/>
        <v>Fairfield</v>
      </c>
      <c r="C1521" t="str">
        <f t="shared" ref="C1521:C1524" si="522">C1520</f>
        <v>Second Class</v>
      </c>
      <c r="D1521" t="str">
        <f t="shared" ref="D1521:D1523" si="523">D1520</f>
        <v>Consumer</v>
      </c>
      <c r="E1521" t="s">
        <v>33</v>
      </c>
      <c r="F1521">
        <v>4</v>
      </c>
      <c r="G1521">
        <v>0</v>
      </c>
      <c r="H1521" s="2">
        <v>150.38400000000001</v>
      </c>
      <c r="I1521" s="2">
        <v>751.92</v>
      </c>
    </row>
    <row r="1522" spans="1:9" x14ac:dyDescent="0.3">
      <c r="A1522" t="str">
        <f t="shared" si="503"/>
        <v>United States</v>
      </c>
      <c r="B1522" t="str">
        <f t="shared" si="516"/>
        <v>Fairfield</v>
      </c>
      <c r="C1522" t="str">
        <f t="shared" si="522"/>
        <v>Second Class</v>
      </c>
      <c r="D1522" t="str">
        <f t="shared" si="523"/>
        <v>Consumer</v>
      </c>
      <c r="E1522" t="s">
        <v>16</v>
      </c>
      <c r="F1522">
        <v>3</v>
      </c>
      <c r="G1522">
        <v>0.2</v>
      </c>
      <c r="H1522" s="2">
        <v>23.234999999999992</v>
      </c>
      <c r="I1522" s="2">
        <v>74.352000000000004</v>
      </c>
    </row>
    <row r="1523" spans="1:9" x14ac:dyDescent="0.3">
      <c r="A1523" t="str">
        <f t="shared" si="503"/>
        <v>United States</v>
      </c>
      <c r="B1523" t="str">
        <f t="shared" si="516"/>
        <v>Fairfield</v>
      </c>
      <c r="C1523" t="str">
        <f t="shared" si="522"/>
        <v>Second Class</v>
      </c>
      <c r="D1523" t="str">
        <f t="shared" si="523"/>
        <v>Consumer</v>
      </c>
      <c r="E1523" t="s">
        <v>24</v>
      </c>
      <c r="F1523">
        <v>9</v>
      </c>
      <c r="G1523">
        <v>0.4</v>
      </c>
      <c r="H1523" s="2">
        <v>231.14299999999997</v>
      </c>
      <c r="I1523" s="2">
        <v>842.51799999999992</v>
      </c>
    </row>
    <row r="1524" spans="1:9" x14ac:dyDescent="0.3">
      <c r="A1524" t="str">
        <f t="shared" si="503"/>
        <v>United States</v>
      </c>
      <c r="B1524" t="str">
        <f t="shared" si="516"/>
        <v>Fairfield</v>
      </c>
      <c r="C1524" t="str">
        <f t="shared" si="522"/>
        <v>Second Class</v>
      </c>
      <c r="D1524" t="s">
        <v>15</v>
      </c>
      <c r="E1524" t="s">
        <v>43</v>
      </c>
      <c r="F1524">
        <v>5</v>
      </c>
      <c r="G1524">
        <v>0</v>
      </c>
      <c r="H1524" s="2">
        <v>6.0029999999999992</v>
      </c>
      <c r="I1524" s="2">
        <v>13.049999999999999</v>
      </c>
    </row>
    <row r="1525" spans="1:9" x14ac:dyDescent="0.3">
      <c r="A1525" t="str">
        <f t="shared" si="503"/>
        <v>United States</v>
      </c>
      <c r="B1525" t="str">
        <f t="shared" si="516"/>
        <v>Fairfield</v>
      </c>
      <c r="C1525" t="s">
        <v>22</v>
      </c>
      <c r="D1525" t="s">
        <v>8</v>
      </c>
      <c r="E1525" t="s">
        <v>23</v>
      </c>
      <c r="F1525">
        <v>7</v>
      </c>
      <c r="G1525">
        <v>0.2</v>
      </c>
      <c r="H1525" s="2">
        <v>41.718599999999995</v>
      </c>
      <c r="I1525" s="2">
        <v>158.928</v>
      </c>
    </row>
    <row r="1526" spans="1:9" x14ac:dyDescent="0.3">
      <c r="A1526" t="str">
        <f t="shared" si="503"/>
        <v>United States</v>
      </c>
      <c r="B1526" t="str">
        <f t="shared" si="516"/>
        <v>Fairfield</v>
      </c>
      <c r="C1526" t="str">
        <f t="shared" ref="C1526:C1538" si="524">C1525</f>
        <v>Standard Class</v>
      </c>
      <c r="D1526" t="str">
        <f t="shared" ref="D1526:D1531" si="525">D1525</f>
        <v>Consumer</v>
      </c>
      <c r="E1526" t="s">
        <v>20</v>
      </c>
      <c r="F1526">
        <v>10</v>
      </c>
      <c r="G1526">
        <v>1.4</v>
      </c>
      <c r="H1526" s="2">
        <v>-53.859200000000001</v>
      </c>
      <c r="I1526" s="2">
        <v>84.106999999999999</v>
      </c>
    </row>
    <row r="1527" spans="1:9" x14ac:dyDescent="0.3">
      <c r="A1527" t="str">
        <f t="shared" si="503"/>
        <v>United States</v>
      </c>
      <c r="B1527" t="str">
        <f t="shared" si="516"/>
        <v>Fairfield</v>
      </c>
      <c r="C1527" t="str">
        <f t="shared" si="524"/>
        <v>Standard Class</v>
      </c>
      <c r="D1527" t="str">
        <f t="shared" si="525"/>
        <v>Consumer</v>
      </c>
      <c r="E1527" t="s">
        <v>18</v>
      </c>
      <c r="F1527">
        <v>13</v>
      </c>
      <c r="G1527">
        <v>0.2</v>
      </c>
      <c r="H1527" s="2">
        <v>12.776399999999999</v>
      </c>
      <c r="I1527" s="2">
        <v>39.311999999999998</v>
      </c>
    </row>
    <row r="1528" spans="1:9" x14ac:dyDescent="0.3">
      <c r="A1528" t="str">
        <f t="shared" si="503"/>
        <v>United States</v>
      </c>
      <c r="B1528" t="str">
        <f t="shared" si="516"/>
        <v>Fairfield</v>
      </c>
      <c r="C1528" t="str">
        <f t="shared" si="524"/>
        <v>Standard Class</v>
      </c>
      <c r="D1528" t="str">
        <f t="shared" si="525"/>
        <v>Consumer</v>
      </c>
      <c r="E1528" t="s">
        <v>21</v>
      </c>
      <c r="F1528">
        <v>5</v>
      </c>
      <c r="G1528">
        <v>0.4</v>
      </c>
      <c r="H1528" s="2">
        <v>34.97399999999999</v>
      </c>
      <c r="I1528" s="2">
        <v>548.96</v>
      </c>
    </row>
    <row r="1529" spans="1:9" x14ac:dyDescent="0.3">
      <c r="A1529" t="str">
        <f t="shared" si="503"/>
        <v>United States</v>
      </c>
      <c r="B1529" t="str">
        <f t="shared" si="516"/>
        <v>Fairfield</v>
      </c>
      <c r="C1529" t="str">
        <f t="shared" si="524"/>
        <v>Standard Class</v>
      </c>
      <c r="D1529" t="str">
        <f t="shared" si="525"/>
        <v>Consumer</v>
      </c>
      <c r="E1529" t="s">
        <v>16</v>
      </c>
      <c r="F1529">
        <v>1</v>
      </c>
      <c r="G1529">
        <v>0.2</v>
      </c>
      <c r="H1529" s="2">
        <v>1.1924999999999997</v>
      </c>
      <c r="I1529" s="2">
        <v>3.8159999999999998</v>
      </c>
    </row>
    <row r="1530" spans="1:9" x14ac:dyDescent="0.3">
      <c r="A1530" t="str">
        <f t="shared" si="503"/>
        <v>United States</v>
      </c>
      <c r="B1530" t="str">
        <f t="shared" si="516"/>
        <v>Fairfield</v>
      </c>
      <c r="C1530" t="str">
        <f t="shared" si="524"/>
        <v>Standard Class</v>
      </c>
      <c r="D1530" t="str">
        <f t="shared" si="525"/>
        <v>Consumer</v>
      </c>
      <c r="E1530" t="s">
        <v>9</v>
      </c>
      <c r="F1530">
        <v>3</v>
      </c>
      <c r="G1530">
        <v>0</v>
      </c>
      <c r="H1530" s="2">
        <v>3.3755999999999986</v>
      </c>
      <c r="I1530" s="2">
        <v>11.64</v>
      </c>
    </row>
    <row r="1531" spans="1:9" x14ac:dyDescent="0.3">
      <c r="A1531" t="str">
        <f t="shared" si="503"/>
        <v>United States</v>
      </c>
      <c r="B1531" t="str">
        <f t="shared" si="516"/>
        <v>Fairfield</v>
      </c>
      <c r="C1531" t="str">
        <f t="shared" si="524"/>
        <v>Standard Class</v>
      </c>
      <c r="D1531" t="str">
        <f t="shared" si="525"/>
        <v>Consumer</v>
      </c>
      <c r="E1531" t="s">
        <v>25</v>
      </c>
      <c r="F1531">
        <v>2</v>
      </c>
      <c r="G1531">
        <v>0.4</v>
      </c>
      <c r="H1531" s="2">
        <v>-104.67300000000006</v>
      </c>
      <c r="I1531" s="2">
        <v>273.06</v>
      </c>
    </row>
    <row r="1532" spans="1:9" x14ac:dyDescent="0.3">
      <c r="A1532" t="str">
        <f t="shared" si="503"/>
        <v>United States</v>
      </c>
      <c r="B1532" t="str">
        <f t="shared" si="516"/>
        <v>Fairfield</v>
      </c>
      <c r="C1532" t="str">
        <f t="shared" si="524"/>
        <v>Standard Class</v>
      </c>
      <c r="D1532" t="s">
        <v>15</v>
      </c>
      <c r="E1532" t="s">
        <v>19</v>
      </c>
      <c r="F1532">
        <v>2</v>
      </c>
      <c r="G1532">
        <v>0.2</v>
      </c>
      <c r="H1532" s="2">
        <v>0.30700000000000016</v>
      </c>
      <c r="I1532" s="2">
        <v>4.9119999999999999</v>
      </c>
    </row>
    <row r="1533" spans="1:9" x14ac:dyDescent="0.3">
      <c r="A1533" t="str">
        <f t="shared" si="503"/>
        <v>United States</v>
      </c>
      <c r="B1533" t="str">
        <f t="shared" si="516"/>
        <v>Fairfield</v>
      </c>
      <c r="C1533" t="str">
        <f t="shared" si="524"/>
        <v>Standard Class</v>
      </c>
      <c r="D1533" t="str">
        <f t="shared" ref="D1533:D1536" si="526">D1532</f>
        <v>Corporate</v>
      </c>
      <c r="E1533" t="s">
        <v>20</v>
      </c>
      <c r="F1533">
        <v>4</v>
      </c>
      <c r="G1533">
        <v>0.4</v>
      </c>
      <c r="H1533" s="2">
        <v>10.993799999999997</v>
      </c>
      <c r="I1533" s="2">
        <v>34.623999999999995</v>
      </c>
    </row>
    <row r="1534" spans="1:9" x14ac:dyDescent="0.3">
      <c r="A1534" t="str">
        <f t="shared" si="503"/>
        <v>United States</v>
      </c>
      <c r="B1534" t="str">
        <f t="shared" si="516"/>
        <v>Fairfield</v>
      </c>
      <c r="C1534" t="str">
        <f t="shared" si="524"/>
        <v>Standard Class</v>
      </c>
      <c r="D1534" t="str">
        <f t="shared" si="526"/>
        <v>Corporate</v>
      </c>
      <c r="E1534" t="s">
        <v>21</v>
      </c>
      <c r="F1534">
        <v>6</v>
      </c>
      <c r="G1534">
        <v>0.2</v>
      </c>
      <c r="H1534" s="2">
        <v>-26.635200000000026</v>
      </c>
      <c r="I1534" s="2">
        <v>532.70400000000006</v>
      </c>
    </row>
    <row r="1535" spans="1:9" x14ac:dyDescent="0.3">
      <c r="A1535" t="str">
        <f t="shared" si="503"/>
        <v>United States</v>
      </c>
      <c r="B1535" t="str">
        <f t="shared" si="516"/>
        <v>Fairfield</v>
      </c>
      <c r="C1535" t="str">
        <f t="shared" si="524"/>
        <v>Standard Class</v>
      </c>
      <c r="D1535" t="str">
        <f t="shared" si="526"/>
        <v>Corporate</v>
      </c>
      <c r="E1535" t="s">
        <v>24</v>
      </c>
      <c r="F1535">
        <v>1</v>
      </c>
      <c r="G1535">
        <v>0</v>
      </c>
      <c r="H1535" s="2">
        <v>7.3451000000000004</v>
      </c>
      <c r="I1535" s="2">
        <v>14.99</v>
      </c>
    </row>
    <row r="1536" spans="1:9" x14ac:dyDescent="0.3">
      <c r="A1536" t="str">
        <f t="shared" si="503"/>
        <v>United States</v>
      </c>
      <c r="B1536" t="str">
        <f t="shared" si="516"/>
        <v>Fairfield</v>
      </c>
      <c r="C1536" t="str">
        <f t="shared" si="524"/>
        <v>Standard Class</v>
      </c>
      <c r="D1536" t="str">
        <f t="shared" si="526"/>
        <v>Corporate</v>
      </c>
      <c r="E1536" t="s">
        <v>14</v>
      </c>
      <c r="F1536">
        <v>14</v>
      </c>
      <c r="G1536">
        <v>0</v>
      </c>
      <c r="H1536" s="2">
        <v>203.42500000000001</v>
      </c>
      <c r="I1536" s="2">
        <v>1049.8699999999999</v>
      </c>
    </row>
    <row r="1537" spans="1:9" x14ac:dyDescent="0.3">
      <c r="A1537" t="str">
        <f t="shared" si="503"/>
        <v>United States</v>
      </c>
      <c r="B1537" t="str">
        <f t="shared" si="516"/>
        <v>Fairfield</v>
      </c>
      <c r="C1537" t="str">
        <f t="shared" si="524"/>
        <v>Standard Class</v>
      </c>
      <c r="D1537" t="s">
        <v>17</v>
      </c>
      <c r="E1537" t="s">
        <v>33</v>
      </c>
      <c r="F1537">
        <v>3</v>
      </c>
      <c r="G1537">
        <v>0</v>
      </c>
      <c r="H1537" s="2">
        <v>251.20200000000003</v>
      </c>
      <c r="I1537" s="2">
        <v>897.15000000000009</v>
      </c>
    </row>
    <row r="1538" spans="1:9" x14ac:dyDescent="0.3">
      <c r="A1538" t="str">
        <f t="shared" si="503"/>
        <v>United States</v>
      </c>
      <c r="B1538" t="str">
        <f t="shared" si="516"/>
        <v>Fairfield</v>
      </c>
      <c r="C1538" t="str">
        <f t="shared" si="524"/>
        <v>Standard Class</v>
      </c>
      <c r="D1538" t="str">
        <f>D1537</f>
        <v>Home Office</v>
      </c>
      <c r="E1538" t="s">
        <v>16</v>
      </c>
      <c r="F1538">
        <v>3</v>
      </c>
      <c r="G1538">
        <v>0</v>
      </c>
      <c r="H1538" s="2">
        <v>9.3312000000000008</v>
      </c>
      <c r="I1538" s="2">
        <v>19.440000000000001</v>
      </c>
    </row>
    <row r="1539" spans="1:9" x14ac:dyDescent="0.3">
      <c r="A1539" t="str">
        <f t="shared" si="503"/>
        <v>United States</v>
      </c>
      <c r="B1539" t="s">
        <v>178</v>
      </c>
      <c r="C1539" t="s">
        <v>7</v>
      </c>
      <c r="D1539" t="s">
        <v>8</v>
      </c>
      <c r="E1539" t="s">
        <v>19</v>
      </c>
      <c r="F1539">
        <v>17</v>
      </c>
      <c r="G1539">
        <v>0</v>
      </c>
      <c r="H1539" s="2">
        <v>51.013199999999998</v>
      </c>
      <c r="I1539" s="2">
        <v>179.36</v>
      </c>
    </row>
    <row r="1540" spans="1:9" x14ac:dyDescent="0.3">
      <c r="A1540" t="str">
        <f t="shared" ref="A1540:A1603" si="527">A1539</f>
        <v>United States</v>
      </c>
      <c r="B1540" t="str">
        <f t="shared" ref="B1540:B1543" si="528">B1539</f>
        <v>Fargo</v>
      </c>
      <c r="C1540" t="str">
        <f t="shared" ref="C1540:C1541" si="529">C1539</f>
        <v>Second Class</v>
      </c>
      <c r="D1540" t="str">
        <f t="shared" ref="D1540:D1541" si="530">D1539</f>
        <v>Consumer</v>
      </c>
      <c r="E1540" t="s">
        <v>18</v>
      </c>
      <c r="F1540">
        <v>3</v>
      </c>
      <c r="G1540">
        <v>0</v>
      </c>
      <c r="H1540" s="2">
        <v>3.4827000000000004</v>
      </c>
      <c r="I1540" s="2">
        <v>7.41</v>
      </c>
    </row>
    <row r="1541" spans="1:9" x14ac:dyDescent="0.3">
      <c r="A1541" t="str">
        <f t="shared" si="527"/>
        <v>United States</v>
      </c>
      <c r="B1541" t="str">
        <f t="shared" si="528"/>
        <v>Fargo</v>
      </c>
      <c r="C1541" t="str">
        <f t="shared" si="529"/>
        <v>Second Class</v>
      </c>
      <c r="D1541" t="str">
        <f t="shared" si="530"/>
        <v>Consumer</v>
      </c>
      <c r="E1541" t="s">
        <v>14</v>
      </c>
      <c r="F1541">
        <v>4</v>
      </c>
      <c r="G1541">
        <v>0</v>
      </c>
      <c r="H1541" s="2">
        <v>162.09479999999996</v>
      </c>
      <c r="I1541" s="2">
        <v>704.76</v>
      </c>
    </row>
    <row r="1542" spans="1:9" x14ac:dyDescent="0.3">
      <c r="A1542" t="str">
        <f t="shared" si="527"/>
        <v>United States</v>
      </c>
      <c r="B1542" t="str">
        <f t="shared" si="528"/>
        <v>Fargo</v>
      </c>
      <c r="C1542" t="s">
        <v>22</v>
      </c>
      <c r="D1542" t="s">
        <v>17</v>
      </c>
      <c r="E1542" t="s">
        <v>19</v>
      </c>
      <c r="F1542">
        <v>1</v>
      </c>
      <c r="G1542">
        <v>0</v>
      </c>
      <c r="H1542" s="2">
        <v>0.86799999999999988</v>
      </c>
      <c r="I1542" s="2">
        <v>2.48</v>
      </c>
    </row>
    <row r="1543" spans="1:9" x14ac:dyDescent="0.3">
      <c r="A1543" t="str">
        <f t="shared" si="527"/>
        <v>United States</v>
      </c>
      <c r="B1543" t="str">
        <f t="shared" si="528"/>
        <v>Fargo</v>
      </c>
      <c r="C1543" t="str">
        <f>C1542</f>
        <v>Standard Class</v>
      </c>
      <c r="D1543" t="str">
        <f>D1542</f>
        <v>Home Office</v>
      </c>
      <c r="E1543" t="s">
        <v>20</v>
      </c>
      <c r="F1543">
        <v>5</v>
      </c>
      <c r="G1543">
        <v>0</v>
      </c>
      <c r="H1543" s="2">
        <v>12.690999999999999</v>
      </c>
      <c r="I1543" s="2">
        <v>25.9</v>
      </c>
    </row>
    <row r="1544" spans="1:9" x14ac:dyDescent="0.3">
      <c r="A1544" t="str">
        <f t="shared" si="527"/>
        <v>United States</v>
      </c>
      <c r="B1544" t="s">
        <v>179</v>
      </c>
      <c r="C1544" t="s">
        <v>11</v>
      </c>
      <c r="D1544" t="s">
        <v>15</v>
      </c>
      <c r="E1544" t="s">
        <v>23</v>
      </c>
      <c r="F1544">
        <v>1</v>
      </c>
      <c r="G1544">
        <v>0</v>
      </c>
      <c r="H1544" s="2">
        <v>54.396599999999992</v>
      </c>
      <c r="I1544" s="2">
        <v>159.99</v>
      </c>
    </row>
    <row r="1545" spans="1:9" x14ac:dyDescent="0.3">
      <c r="A1545" t="str">
        <f t="shared" si="527"/>
        <v>United States</v>
      </c>
      <c r="B1545" t="str">
        <f t="shared" ref="B1545:B1546" si="531">B1544</f>
        <v>Farmington</v>
      </c>
      <c r="C1545" t="s">
        <v>7</v>
      </c>
      <c r="D1545" t="s">
        <v>8</v>
      </c>
      <c r="E1545" t="s">
        <v>9</v>
      </c>
      <c r="F1545">
        <v>1</v>
      </c>
      <c r="G1545">
        <v>0</v>
      </c>
      <c r="H1545" s="2">
        <v>0.38640000000000008</v>
      </c>
      <c r="I1545" s="2">
        <v>12.88</v>
      </c>
    </row>
    <row r="1546" spans="1:9" x14ac:dyDescent="0.3">
      <c r="A1546" t="str">
        <f t="shared" si="527"/>
        <v>United States</v>
      </c>
      <c r="B1546" t="str">
        <f t="shared" si="531"/>
        <v>Farmington</v>
      </c>
      <c r="C1546" t="s">
        <v>22</v>
      </c>
      <c r="D1546" t="s">
        <v>8</v>
      </c>
      <c r="E1546" t="s">
        <v>21</v>
      </c>
      <c r="F1546">
        <v>9</v>
      </c>
      <c r="G1546">
        <v>0</v>
      </c>
      <c r="H1546" s="2">
        <v>114.6285</v>
      </c>
      <c r="I1546" s="2">
        <v>545.85</v>
      </c>
    </row>
    <row r="1547" spans="1:9" x14ac:dyDescent="0.3">
      <c r="A1547" t="str">
        <f t="shared" si="527"/>
        <v>United States</v>
      </c>
      <c r="B1547" t="s">
        <v>180</v>
      </c>
      <c r="C1547" t="s">
        <v>11</v>
      </c>
      <c r="D1547" t="s">
        <v>8</v>
      </c>
      <c r="E1547" t="s">
        <v>23</v>
      </c>
      <c r="F1547">
        <v>5</v>
      </c>
      <c r="G1547">
        <v>0</v>
      </c>
      <c r="H1547" s="2">
        <v>15.378000000000004</v>
      </c>
      <c r="I1547" s="2">
        <v>34.950000000000003</v>
      </c>
    </row>
    <row r="1548" spans="1:9" x14ac:dyDescent="0.3">
      <c r="A1548" t="str">
        <f t="shared" si="527"/>
        <v>United States</v>
      </c>
      <c r="B1548" t="str">
        <f t="shared" ref="B1548:B1575" si="532">B1547</f>
        <v>Fayetteville</v>
      </c>
      <c r="C1548" t="str">
        <f t="shared" ref="C1548:C1551" si="533">C1547</f>
        <v>First Class</v>
      </c>
      <c r="D1548" t="str">
        <f t="shared" ref="D1548:D1551" si="534">D1547</f>
        <v>Consumer</v>
      </c>
      <c r="E1548" t="s">
        <v>12</v>
      </c>
      <c r="F1548">
        <v>4</v>
      </c>
      <c r="G1548">
        <v>0.2</v>
      </c>
      <c r="H1548" s="2">
        <v>64.072799999999944</v>
      </c>
      <c r="I1548" s="2">
        <v>569.53599999999994</v>
      </c>
    </row>
    <row r="1549" spans="1:9" x14ac:dyDescent="0.3">
      <c r="A1549" t="str">
        <f t="shared" si="527"/>
        <v>United States</v>
      </c>
      <c r="B1549" t="str">
        <f t="shared" si="532"/>
        <v>Fayetteville</v>
      </c>
      <c r="C1549" t="str">
        <f t="shared" si="533"/>
        <v>First Class</v>
      </c>
      <c r="D1549" t="str">
        <f t="shared" si="534"/>
        <v>Consumer</v>
      </c>
      <c r="E1549" t="s">
        <v>20</v>
      </c>
      <c r="F1549">
        <v>4</v>
      </c>
      <c r="G1549">
        <v>0</v>
      </c>
      <c r="H1549" s="2">
        <v>318.30160000000001</v>
      </c>
      <c r="I1549" s="2">
        <v>691.96</v>
      </c>
    </row>
    <row r="1550" spans="1:9" x14ac:dyDescent="0.3">
      <c r="A1550" t="str">
        <f t="shared" si="527"/>
        <v>United States</v>
      </c>
      <c r="B1550" t="str">
        <f t="shared" si="532"/>
        <v>Fayetteville</v>
      </c>
      <c r="C1550" t="str">
        <f t="shared" si="533"/>
        <v>First Class</v>
      </c>
      <c r="D1550" t="str">
        <f t="shared" si="534"/>
        <v>Consumer</v>
      </c>
      <c r="E1550" t="s">
        <v>16</v>
      </c>
      <c r="F1550">
        <v>9</v>
      </c>
      <c r="G1550">
        <v>0.2</v>
      </c>
      <c r="H1550" s="2">
        <v>9.6299999999999955</v>
      </c>
      <c r="I1550" s="2">
        <v>30.816000000000003</v>
      </c>
    </row>
    <row r="1551" spans="1:9" x14ac:dyDescent="0.3">
      <c r="A1551" t="str">
        <f t="shared" si="527"/>
        <v>United States</v>
      </c>
      <c r="B1551" t="str">
        <f t="shared" si="532"/>
        <v>Fayetteville</v>
      </c>
      <c r="C1551" t="str">
        <f t="shared" si="533"/>
        <v>First Class</v>
      </c>
      <c r="D1551" t="str">
        <f t="shared" si="534"/>
        <v>Consumer</v>
      </c>
      <c r="E1551" t="s">
        <v>24</v>
      </c>
      <c r="F1551">
        <v>2</v>
      </c>
      <c r="G1551">
        <v>0.2</v>
      </c>
      <c r="H1551" s="2">
        <v>4.4783999999999988</v>
      </c>
      <c r="I1551" s="2">
        <v>44.783999999999999</v>
      </c>
    </row>
    <row r="1552" spans="1:9" x14ac:dyDescent="0.3">
      <c r="A1552" t="str">
        <f t="shared" si="527"/>
        <v>United States</v>
      </c>
      <c r="B1552" t="str">
        <f t="shared" si="532"/>
        <v>Fayetteville</v>
      </c>
      <c r="C1552" t="s">
        <v>27</v>
      </c>
      <c r="D1552" t="s">
        <v>8</v>
      </c>
      <c r="E1552" t="s">
        <v>19</v>
      </c>
      <c r="F1552">
        <v>3</v>
      </c>
      <c r="G1552">
        <v>0.2</v>
      </c>
      <c r="H1552" s="2">
        <v>1.1555999999999984</v>
      </c>
      <c r="I1552" s="2">
        <v>10.272000000000002</v>
      </c>
    </row>
    <row r="1553" spans="1:9" x14ac:dyDescent="0.3">
      <c r="A1553" t="str">
        <f t="shared" si="527"/>
        <v>United States</v>
      </c>
      <c r="B1553" t="str">
        <f t="shared" si="532"/>
        <v>Fayetteville</v>
      </c>
      <c r="C1553" t="s">
        <v>7</v>
      </c>
      <c r="D1553" t="s">
        <v>8</v>
      </c>
      <c r="E1553" t="s">
        <v>12</v>
      </c>
      <c r="F1553">
        <v>3</v>
      </c>
      <c r="G1553">
        <v>0.2</v>
      </c>
      <c r="H1553" s="2">
        <v>43.713600000000014</v>
      </c>
      <c r="I1553" s="2">
        <v>499.58400000000006</v>
      </c>
    </row>
    <row r="1554" spans="1:9" x14ac:dyDescent="0.3">
      <c r="A1554" t="str">
        <f t="shared" si="527"/>
        <v>United States</v>
      </c>
      <c r="B1554" t="str">
        <f t="shared" si="532"/>
        <v>Fayetteville</v>
      </c>
      <c r="C1554" t="str">
        <f t="shared" ref="C1554:C1560" si="535">C1553</f>
        <v>Second Class</v>
      </c>
      <c r="D1554" t="str">
        <f t="shared" ref="D1554:D1558" si="536">D1553</f>
        <v>Consumer</v>
      </c>
      <c r="E1554" t="s">
        <v>20</v>
      </c>
      <c r="F1554">
        <v>8</v>
      </c>
      <c r="G1554">
        <v>0.7</v>
      </c>
      <c r="H1554" s="2">
        <v>-10.617599999999999</v>
      </c>
      <c r="I1554" s="2">
        <v>13.272000000000002</v>
      </c>
    </row>
    <row r="1555" spans="1:9" x14ac:dyDescent="0.3">
      <c r="A1555" t="str">
        <f t="shared" si="527"/>
        <v>United States</v>
      </c>
      <c r="B1555" t="str">
        <f t="shared" si="532"/>
        <v>Fayetteville</v>
      </c>
      <c r="C1555" t="str">
        <f t="shared" si="535"/>
        <v>Second Class</v>
      </c>
      <c r="D1555" t="str">
        <f t="shared" si="536"/>
        <v>Consumer</v>
      </c>
      <c r="E1555" t="s">
        <v>33</v>
      </c>
      <c r="F1555">
        <v>2</v>
      </c>
      <c r="G1555">
        <v>0.2</v>
      </c>
      <c r="H1555" s="2">
        <v>22.529599999999995</v>
      </c>
      <c r="I1555" s="2">
        <v>225.29600000000002</v>
      </c>
    </row>
    <row r="1556" spans="1:9" x14ac:dyDescent="0.3">
      <c r="A1556" t="str">
        <f t="shared" si="527"/>
        <v>United States</v>
      </c>
      <c r="B1556" t="str">
        <f t="shared" si="532"/>
        <v>Fayetteville</v>
      </c>
      <c r="C1556" t="str">
        <f t="shared" si="535"/>
        <v>Second Class</v>
      </c>
      <c r="D1556" t="str">
        <f t="shared" si="536"/>
        <v>Consumer</v>
      </c>
      <c r="E1556" t="s">
        <v>21</v>
      </c>
      <c r="F1556">
        <v>5</v>
      </c>
      <c r="G1556">
        <v>0.4</v>
      </c>
      <c r="H1556" s="2">
        <v>21.951599999999996</v>
      </c>
      <c r="I1556" s="2">
        <v>106.224</v>
      </c>
    </row>
    <row r="1557" spans="1:9" x14ac:dyDescent="0.3">
      <c r="A1557" t="str">
        <f t="shared" si="527"/>
        <v>United States</v>
      </c>
      <c r="B1557" t="str">
        <f t="shared" si="532"/>
        <v>Fayetteville</v>
      </c>
      <c r="C1557" t="str">
        <f t="shared" si="535"/>
        <v>Second Class</v>
      </c>
      <c r="D1557" t="str">
        <f t="shared" si="536"/>
        <v>Consumer</v>
      </c>
      <c r="E1557" t="s">
        <v>16</v>
      </c>
      <c r="F1557">
        <v>16</v>
      </c>
      <c r="G1557">
        <v>0.60000000000000009</v>
      </c>
      <c r="H1557" s="2">
        <v>110.2799</v>
      </c>
      <c r="I1557" s="2">
        <v>308.60000000000002</v>
      </c>
    </row>
    <row r="1558" spans="1:9" x14ac:dyDescent="0.3">
      <c r="A1558" t="str">
        <f t="shared" si="527"/>
        <v>United States</v>
      </c>
      <c r="B1558" t="str">
        <f t="shared" si="532"/>
        <v>Fayetteville</v>
      </c>
      <c r="C1558" t="str">
        <f t="shared" si="535"/>
        <v>Second Class</v>
      </c>
      <c r="D1558" t="str">
        <f t="shared" si="536"/>
        <v>Consumer</v>
      </c>
      <c r="E1558" t="s">
        <v>14</v>
      </c>
      <c r="F1558">
        <v>6</v>
      </c>
      <c r="G1558">
        <v>0.4</v>
      </c>
      <c r="H1558" s="2">
        <v>-81.264000000000038</v>
      </c>
      <c r="I1558" s="2">
        <v>406.32000000000005</v>
      </c>
    </row>
    <row r="1559" spans="1:9" x14ac:dyDescent="0.3">
      <c r="A1559" t="str">
        <f t="shared" si="527"/>
        <v>United States</v>
      </c>
      <c r="B1559" t="str">
        <f t="shared" si="532"/>
        <v>Fayetteville</v>
      </c>
      <c r="C1559" t="str">
        <f t="shared" si="535"/>
        <v>Second Class</v>
      </c>
      <c r="D1559" t="s">
        <v>15</v>
      </c>
      <c r="E1559" t="s">
        <v>20</v>
      </c>
      <c r="F1559">
        <v>5</v>
      </c>
      <c r="G1559">
        <v>0.7</v>
      </c>
      <c r="H1559" s="2">
        <v>-5.7840000000000007</v>
      </c>
      <c r="I1559" s="2">
        <v>7.2300000000000022</v>
      </c>
    </row>
    <row r="1560" spans="1:9" x14ac:dyDescent="0.3">
      <c r="A1560" t="str">
        <f t="shared" si="527"/>
        <v>United States</v>
      </c>
      <c r="B1560" t="str">
        <f t="shared" si="532"/>
        <v>Fayetteville</v>
      </c>
      <c r="C1560" t="str">
        <f t="shared" si="535"/>
        <v>Second Class</v>
      </c>
      <c r="D1560" t="str">
        <f>D1559</f>
        <v>Corporate</v>
      </c>
      <c r="E1560" t="s">
        <v>21</v>
      </c>
      <c r="F1560">
        <v>2</v>
      </c>
      <c r="G1560">
        <v>0.2</v>
      </c>
      <c r="H1560" s="2">
        <v>0.73919999999999941</v>
      </c>
      <c r="I1560" s="2">
        <v>4.9280000000000008</v>
      </c>
    </row>
    <row r="1561" spans="1:9" x14ac:dyDescent="0.3">
      <c r="A1561" t="str">
        <f t="shared" si="527"/>
        <v>United States</v>
      </c>
      <c r="B1561" t="str">
        <f t="shared" si="532"/>
        <v>Fayetteville</v>
      </c>
      <c r="C1561" t="s">
        <v>22</v>
      </c>
      <c r="D1561" t="s">
        <v>8</v>
      </c>
      <c r="E1561" t="s">
        <v>23</v>
      </c>
      <c r="F1561">
        <v>2</v>
      </c>
      <c r="G1561">
        <v>0</v>
      </c>
      <c r="H1561" s="2">
        <v>171.99140000000003</v>
      </c>
      <c r="I1561" s="2">
        <v>399.98</v>
      </c>
    </row>
    <row r="1562" spans="1:9" x14ac:dyDescent="0.3">
      <c r="A1562" t="str">
        <f t="shared" si="527"/>
        <v>United States</v>
      </c>
      <c r="B1562" t="str">
        <f t="shared" si="532"/>
        <v>Fayetteville</v>
      </c>
      <c r="C1562" t="str">
        <f t="shared" ref="C1562:C1575" si="537">C1561</f>
        <v>Standard Class</v>
      </c>
      <c r="D1562" t="str">
        <f t="shared" ref="D1562:D1568" si="538">D1561</f>
        <v>Consumer</v>
      </c>
      <c r="E1562" t="s">
        <v>12</v>
      </c>
      <c r="F1562">
        <v>7</v>
      </c>
      <c r="G1562">
        <v>0.4</v>
      </c>
      <c r="H1562" s="2">
        <v>11.008000000000003</v>
      </c>
      <c r="I1562" s="2">
        <v>110.08000000000001</v>
      </c>
    </row>
    <row r="1563" spans="1:9" x14ac:dyDescent="0.3">
      <c r="A1563" t="str">
        <f t="shared" si="527"/>
        <v>United States</v>
      </c>
      <c r="B1563" t="str">
        <f t="shared" si="532"/>
        <v>Fayetteville</v>
      </c>
      <c r="C1563" t="str">
        <f t="shared" si="537"/>
        <v>Standard Class</v>
      </c>
      <c r="D1563" t="str">
        <f t="shared" si="538"/>
        <v>Consumer</v>
      </c>
      <c r="E1563" t="s">
        <v>19</v>
      </c>
      <c r="F1563">
        <v>9</v>
      </c>
      <c r="G1563">
        <v>0</v>
      </c>
      <c r="H1563" s="2">
        <v>5.3703000000000003</v>
      </c>
      <c r="I1563" s="2">
        <v>19.89</v>
      </c>
    </row>
    <row r="1564" spans="1:9" x14ac:dyDescent="0.3">
      <c r="A1564" t="str">
        <f t="shared" si="527"/>
        <v>United States</v>
      </c>
      <c r="B1564" t="str">
        <f t="shared" si="532"/>
        <v>Fayetteville</v>
      </c>
      <c r="C1564" t="str">
        <f t="shared" si="537"/>
        <v>Standard Class</v>
      </c>
      <c r="D1564" t="str">
        <f t="shared" si="538"/>
        <v>Consumer</v>
      </c>
      <c r="E1564" t="s">
        <v>20</v>
      </c>
      <c r="F1564">
        <v>8</v>
      </c>
      <c r="G1564">
        <v>0.7</v>
      </c>
      <c r="H1564" s="2">
        <v>822.0637999999999</v>
      </c>
      <c r="I1564" s="2">
        <v>1822.7619999999999</v>
      </c>
    </row>
    <row r="1565" spans="1:9" x14ac:dyDescent="0.3">
      <c r="A1565" t="str">
        <f t="shared" si="527"/>
        <v>United States</v>
      </c>
      <c r="B1565" t="str">
        <f t="shared" si="532"/>
        <v>Fayetteville</v>
      </c>
      <c r="C1565" t="str">
        <f t="shared" si="537"/>
        <v>Standard Class</v>
      </c>
      <c r="D1565" t="str">
        <f t="shared" si="538"/>
        <v>Consumer</v>
      </c>
      <c r="E1565" t="s">
        <v>34</v>
      </c>
      <c r="F1565">
        <v>4</v>
      </c>
      <c r="G1565">
        <v>0.2</v>
      </c>
      <c r="H1565" s="2">
        <v>-67.670399999999972</v>
      </c>
      <c r="I1565" s="2">
        <v>451.13599999999997</v>
      </c>
    </row>
    <row r="1566" spans="1:9" x14ac:dyDescent="0.3">
      <c r="A1566" t="str">
        <f t="shared" si="527"/>
        <v>United States</v>
      </c>
      <c r="B1566" t="str">
        <f t="shared" si="532"/>
        <v>Fayetteville</v>
      </c>
      <c r="C1566" t="str">
        <f t="shared" si="537"/>
        <v>Standard Class</v>
      </c>
      <c r="D1566" t="str">
        <f t="shared" si="538"/>
        <v>Consumer</v>
      </c>
      <c r="E1566" t="s">
        <v>38</v>
      </c>
      <c r="F1566">
        <v>2</v>
      </c>
      <c r="G1566">
        <v>0</v>
      </c>
      <c r="H1566" s="2">
        <v>51.655799999999999</v>
      </c>
      <c r="I1566" s="2">
        <v>105.42</v>
      </c>
    </row>
    <row r="1567" spans="1:9" x14ac:dyDescent="0.3">
      <c r="A1567" t="str">
        <f t="shared" si="527"/>
        <v>United States</v>
      </c>
      <c r="B1567" t="str">
        <f t="shared" si="532"/>
        <v>Fayetteville</v>
      </c>
      <c r="C1567" t="str">
        <f t="shared" si="537"/>
        <v>Standard Class</v>
      </c>
      <c r="D1567" t="str">
        <f t="shared" si="538"/>
        <v>Consumer</v>
      </c>
      <c r="E1567" t="s">
        <v>21</v>
      </c>
      <c r="F1567">
        <v>13</v>
      </c>
      <c r="G1567">
        <v>0.2</v>
      </c>
      <c r="H1567" s="2">
        <v>141.82160000000002</v>
      </c>
      <c r="I1567" s="2">
        <v>358.12199999999996</v>
      </c>
    </row>
    <row r="1568" spans="1:9" x14ac:dyDescent="0.3">
      <c r="A1568" t="str">
        <f t="shared" si="527"/>
        <v>United States</v>
      </c>
      <c r="B1568" t="str">
        <f t="shared" si="532"/>
        <v>Fayetteville</v>
      </c>
      <c r="C1568" t="str">
        <f t="shared" si="537"/>
        <v>Standard Class</v>
      </c>
      <c r="D1568" t="str">
        <f t="shared" si="538"/>
        <v>Consumer</v>
      </c>
      <c r="E1568" t="s">
        <v>16</v>
      </c>
      <c r="F1568">
        <v>7</v>
      </c>
      <c r="G1568">
        <v>0.2</v>
      </c>
      <c r="H1568" s="2">
        <v>58.832799999999992</v>
      </c>
      <c r="I1568" s="2">
        <v>130.768</v>
      </c>
    </row>
    <row r="1569" spans="1:9" x14ac:dyDescent="0.3">
      <c r="A1569" t="str">
        <f t="shared" si="527"/>
        <v>United States</v>
      </c>
      <c r="B1569" t="str">
        <f t="shared" si="532"/>
        <v>Fayetteville</v>
      </c>
      <c r="C1569" t="str">
        <f t="shared" si="537"/>
        <v>Standard Class</v>
      </c>
      <c r="D1569" t="s">
        <v>15</v>
      </c>
      <c r="E1569" t="s">
        <v>23</v>
      </c>
      <c r="F1569">
        <v>9</v>
      </c>
      <c r="G1569">
        <v>0</v>
      </c>
      <c r="H1569" s="2">
        <v>78.81450000000001</v>
      </c>
      <c r="I1569" s="2">
        <v>204.55</v>
      </c>
    </row>
    <row r="1570" spans="1:9" x14ac:dyDescent="0.3">
      <c r="A1570" t="str">
        <f t="shared" si="527"/>
        <v>United States</v>
      </c>
      <c r="B1570" t="str">
        <f t="shared" si="532"/>
        <v>Fayetteville</v>
      </c>
      <c r="C1570" t="str">
        <f t="shared" si="537"/>
        <v>Standard Class</v>
      </c>
      <c r="D1570" t="str">
        <f t="shared" ref="D1570:D1573" si="539">D1569</f>
        <v>Corporate</v>
      </c>
      <c r="E1570" t="s">
        <v>34</v>
      </c>
      <c r="F1570">
        <v>8</v>
      </c>
      <c r="G1570">
        <v>0.2</v>
      </c>
      <c r="H1570" s="2">
        <v>-32.219200000000022</v>
      </c>
      <c r="I1570" s="2">
        <v>198.27200000000002</v>
      </c>
    </row>
    <row r="1571" spans="1:9" x14ac:dyDescent="0.3">
      <c r="A1571" t="str">
        <f t="shared" si="527"/>
        <v>United States</v>
      </c>
      <c r="B1571" t="str">
        <f t="shared" si="532"/>
        <v>Fayetteville</v>
      </c>
      <c r="C1571" t="str">
        <f t="shared" si="537"/>
        <v>Standard Class</v>
      </c>
      <c r="D1571" t="str">
        <f t="shared" si="539"/>
        <v>Corporate</v>
      </c>
      <c r="E1571" t="s">
        <v>21</v>
      </c>
      <c r="F1571">
        <v>4</v>
      </c>
      <c r="G1571">
        <v>0</v>
      </c>
      <c r="H1571" s="2">
        <v>3.9248000000000003</v>
      </c>
      <c r="I1571" s="2">
        <v>8.92</v>
      </c>
    </row>
    <row r="1572" spans="1:9" x14ac:dyDescent="0.3">
      <c r="A1572" t="str">
        <f t="shared" si="527"/>
        <v>United States</v>
      </c>
      <c r="B1572" t="str">
        <f t="shared" si="532"/>
        <v>Fayetteville</v>
      </c>
      <c r="C1572" t="str">
        <f t="shared" si="537"/>
        <v>Standard Class</v>
      </c>
      <c r="D1572" t="str">
        <f t="shared" si="539"/>
        <v>Corporate</v>
      </c>
      <c r="E1572" t="s">
        <v>43</v>
      </c>
      <c r="F1572">
        <v>1</v>
      </c>
      <c r="G1572">
        <v>0</v>
      </c>
      <c r="H1572" s="2">
        <v>3.4356999999999998</v>
      </c>
      <c r="I1572" s="2">
        <v>7.31</v>
      </c>
    </row>
    <row r="1573" spans="1:9" x14ac:dyDescent="0.3">
      <c r="A1573" t="str">
        <f t="shared" si="527"/>
        <v>United States</v>
      </c>
      <c r="B1573" t="str">
        <f t="shared" si="532"/>
        <v>Fayetteville</v>
      </c>
      <c r="C1573" t="str">
        <f t="shared" si="537"/>
        <v>Standard Class</v>
      </c>
      <c r="D1573" t="str">
        <f t="shared" si="539"/>
        <v>Corporate</v>
      </c>
      <c r="E1573" t="s">
        <v>16</v>
      </c>
      <c r="F1573">
        <v>10</v>
      </c>
      <c r="G1573">
        <v>0.4</v>
      </c>
      <c r="H1573" s="2">
        <v>35.023999999999987</v>
      </c>
      <c r="I1573" s="2">
        <v>106.944</v>
      </c>
    </row>
    <row r="1574" spans="1:9" x14ac:dyDescent="0.3">
      <c r="A1574" t="str">
        <f t="shared" si="527"/>
        <v>United States</v>
      </c>
      <c r="B1574" t="str">
        <f t="shared" si="532"/>
        <v>Fayetteville</v>
      </c>
      <c r="C1574" t="str">
        <f t="shared" si="537"/>
        <v>Standard Class</v>
      </c>
      <c r="D1574" t="s">
        <v>17</v>
      </c>
      <c r="E1574" t="s">
        <v>20</v>
      </c>
      <c r="F1574">
        <v>2</v>
      </c>
      <c r="G1574">
        <v>0</v>
      </c>
      <c r="H1574" s="2">
        <v>3.0575999999999999</v>
      </c>
      <c r="I1574" s="2">
        <v>6.24</v>
      </c>
    </row>
    <row r="1575" spans="1:9" x14ac:dyDescent="0.3">
      <c r="A1575" t="str">
        <f t="shared" si="527"/>
        <v>United States</v>
      </c>
      <c r="B1575" t="str">
        <f t="shared" si="532"/>
        <v>Fayetteville</v>
      </c>
      <c r="C1575" t="str">
        <f t="shared" si="537"/>
        <v>Standard Class</v>
      </c>
      <c r="D1575" t="str">
        <f>D1574</f>
        <v>Home Office</v>
      </c>
      <c r="E1575" t="s">
        <v>16</v>
      </c>
      <c r="F1575">
        <v>8</v>
      </c>
      <c r="G1575">
        <v>0.4</v>
      </c>
      <c r="H1575" s="2">
        <v>16.9938</v>
      </c>
      <c r="I1575" s="2">
        <v>41.760000000000005</v>
      </c>
    </row>
    <row r="1576" spans="1:9" x14ac:dyDescent="0.3">
      <c r="A1576" t="str">
        <f t="shared" si="527"/>
        <v>United States</v>
      </c>
      <c r="B1576" t="s">
        <v>181</v>
      </c>
      <c r="C1576" t="s">
        <v>11</v>
      </c>
      <c r="D1576" t="s">
        <v>8</v>
      </c>
      <c r="E1576" t="s">
        <v>18</v>
      </c>
      <c r="F1576">
        <v>4</v>
      </c>
      <c r="G1576">
        <v>0</v>
      </c>
      <c r="H1576" s="2">
        <v>14.201999999999998</v>
      </c>
      <c r="I1576" s="2">
        <v>31.56</v>
      </c>
    </row>
    <row r="1577" spans="1:9" x14ac:dyDescent="0.3">
      <c r="A1577" t="str">
        <f t="shared" si="527"/>
        <v>United States</v>
      </c>
      <c r="B1577" t="str">
        <f t="shared" ref="B1577:B1592" si="540">B1576</f>
        <v>Florence</v>
      </c>
      <c r="C1577" t="str">
        <f t="shared" ref="C1577:C1578" si="541">C1576</f>
        <v>First Class</v>
      </c>
      <c r="D1577" t="str">
        <f>D1576</f>
        <v>Consumer</v>
      </c>
      <c r="E1577" t="s">
        <v>14</v>
      </c>
      <c r="F1577">
        <v>4</v>
      </c>
      <c r="G1577">
        <v>0</v>
      </c>
      <c r="H1577" s="2">
        <v>0.5583999999999989</v>
      </c>
      <c r="I1577" s="2">
        <v>27.92</v>
      </c>
    </row>
    <row r="1578" spans="1:9" x14ac:dyDescent="0.3">
      <c r="A1578" t="str">
        <f t="shared" si="527"/>
        <v>United States</v>
      </c>
      <c r="B1578" t="str">
        <f t="shared" si="540"/>
        <v>Florence</v>
      </c>
      <c r="C1578" t="str">
        <f t="shared" si="541"/>
        <v>First Class</v>
      </c>
      <c r="D1578" t="s">
        <v>15</v>
      </c>
      <c r="E1578" t="s">
        <v>21</v>
      </c>
      <c r="F1578">
        <v>3</v>
      </c>
      <c r="G1578">
        <v>0</v>
      </c>
      <c r="H1578" s="2">
        <v>21.751499999999986</v>
      </c>
      <c r="I1578" s="2">
        <v>127.94999999999999</v>
      </c>
    </row>
    <row r="1579" spans="1:9" x14ac:dyDescent="0.3">
      <c r="A1579" t="str">
        <f t="shared" si="527"/>
        <v>United States</v>
      </c>
      <c r="B1579" t="str">
        <f t="shared" si="540"/>
        <v>Florence</v>
      </c>
      <c r="C1579" t="s">
        <v>7</v>
      </c>
      <c r="D1579" t="s">
        <v>8</v>
      </c>
      <c r="E1579" t="s">
        <v>12</v>
      </c>
      <c r="F1579">
        <v>3</v>
      </c>
      <c r="G1579">
        <v>0</v>
      </c>
      <c r="H1579" s="2">
        <v>50.584800000000008</v>
      </c>
      <c r="I1579" s="2">
        <v>180.66</v>
      </c>
    </row>
    <row r="1580" spans="1:9" x14ac:dyDescent="0.3">
      <c r="A1580" t="str">
        <f t="shared" si="527"/>
        <v>United States</v>
      </c>
      <c r="B1580" t="str">
        <f t="shared" si="540"/>
        <v>Florence</v>
      </c>
      <c r="C1580" t="str">
        <f t="shared" ref="C1580:C1585" si="542">C1579</f>
        <v>Second Class</v>
      </c>
      <c r="D1580" t="str">
        <f t="shared" ref="D1580:D1584" si="543">D1579</f>
        <v>Consumer</v>
      </c>
      <c r="E1580" t="s">
        <v>20</v>
      </c>
      <c r="F1580">
        <v>6</v>
      </c>
      <c r="G1580">
        <v>0</v>
      </c>
      <c r="H1580" s="2">
        <v>74.852400000000003</v>
      </c>
      <c r="I1580" s="2">
        <v>152.76</v>
      </c>
    </row>
    <row r="1581" spans="1:9" x14ac:dyDescent="0.3">
      <c r="A1581" t="str">
        <f t="shared" si="527"/>
        <v>United States</v>
      </c>
      <c r="B1581" t="str">
        <f t="shared" si="540"/>
        <v>Florence</v>
      </c>
      <c r="C1581" t="str">
        <f t="shared" si="542"/>
        <v>Second Class</v>
      </c>
      <c r="D1581" t="str">
        <f t="shared" si="543"/>
        <v>Consumer</v>
      </c>
      <c r="E1581" t="s">
        <v>33</v>
      </c>
      <c r="F1581">
        <v>16</v>
      </c>
      <c r="G1581">
        <v>0</v>
      </c>
      <c r="H1581" s="2">
        <v>254.37539999999998</v>
      </c>
      <c r="I1581" s="2">
        <v>2121.8200000000002</v>
      </c>
    </row>
    <row r="1582" spans="1:9" x14ac:dyDescent="0.3">
      <c r="A1582" t="str">
        <f t="shared" si="527"/>
        <v>United States</v>
      </c>
      <c r="B1582" t="str">
        <f t="shared" si="540"/>
        <v>Florence</v>
      </c>
      <c r="C1582" t="str">
        <f t="shared" si="542"/>
        <v>Second Class</v>
      </c>
      <c r="D1582" t="str">
        <f t="shared" si="543"/>
        <v>Consumer</v>
      </c>
      <c r="E1582" t="s">
        <v>24</v>
      </c>
      <c r="F1582">
        <v>3</v>
      </c>
      <c r="G1582">
        <v>0</v>
      </c>
      <c r="H1582" s="2">
        <v>68.99199999999999</v>
      </c>
      <c r="I1582" s="2">
        <v>257.96999999999997</v>
      </c>
    </row>
    <row r="1583" spans="1:9" x14ac:dyDescent="0.3">
      <c r="A1583" t="str">
        <f t="shared" si="527"/>
        <v>United States</v>
      </c>
      <c r="B1583" t="str">
        <f t="shared" si="540"/>
        <v>Florence</v>
      </c>
      <c r="C1583" t="str">
        <f t="shared" si="542"/>
        <v>Second Class</v>
      </c>
      <c r="D1583" t="str">
        <f t="shared" si="543"/>
        <v>Consumer</v>
      </c>
      <c r="E1583" t="s">
        <v>14</v>
      </c>
      <c r="F1583">
        <v>6</v>
      </c>
      <c r="G1583">
        <v>0</v>
      </c>
      <c r="H1583" s="2">
        <v>19.188000000000002</v>
      </c>
      <c r="I1583" s="2">
        <v>191.88</v>
      </c>
    </row>
    <row r="1584" spans="1:9" x14ac:dyDescent="0.3">
      <c r="A1584" t="str">
        <f t="shared" si="527"/>
        <v>United States</v>
      </c>
      <c r="B1584" t="str">
        <f t="shared" si="540"/>
        <v>Florence</v>
      </c>
      <c r="C1584" t="str">
        <f t="shared" si="542"/>
        <v>Second Class</v>
      </c>
      <c r="D1584" t="str">
        <f t="shared" si="543"/>
        <v>Consumer</v>
      </c>
      <c r="E1584" t="s">
        <v>9</v>
      </c>
      <c r="F1584">
        <v>1</v>
      </c>
      <c r="G1584">
        <v>0</v>
      </c>
      <c r="H1584" s="2">
        <v>1.9629000000000003</v>
      </c>
      <c r="I1584" s="2">
        <v>7.27</v>
      </c>
    </row>
    <row r="1585" spans="1:9" x14ac:dyDescent="0.3">
      <c r="A1585" t="str">
        <f t="shared" si="527"/>
        <v>United States</v>
      </c>
      <c r="B1585" t="str">
        <f t="shared" si="540"/>
        <v>Florence</v>
      </c>
      <c r="C1585" t="str">
        <f t="shared" si="542"/>
        <v>Second Class</v>
      </c>
      <c r="D1585" t="s">
        <v>17</v>
      </c>
      <c r="E1585" t="s">
        <v>23</v>
      </c>
      <c r="F1585">
        <v>1</v>
      </c>
      <c r="G1585">
        <v>0</v>
      </c>
      <c r="H1585" s="2">
        <v>3.2399999999999984</v>
      </c>
      <c r="I1585" s="2">
        <v>18</v>
      </c>
    </row>
    <row r="1586" spans="1:9" x14ac:dyDescent="0.3">
      <c r="A1586" t="str">
        <f t="shared" si="527"/>
        <v>United States</v>
      </c>
      <c r="B1586" t="str">
        <f t="shared" si="540"/>
        <v>Florence</v>
      </c>
      <c r="C1586" t="s">
        <v>22</v>
      </c>
      <c r="D1586" t="s">
        <v>8</v>
      </c>
      <c r="E1586" t="s">
        <v>23</v>
      </c>
      <c r="F1586">
        <v>4</v>
      </c>
      <c r="G1586">
        <v>0</v>
      </c>
      <c r="H1586" s="2">
        <v>18.390799999999999</v>
      </c>
      <c r="I1586" s="2">
        <v>79.959999999999994</v>
      </c>
    </row>
    <row r="1587" spans="1:9" x14ac:dyDescent="0.3">
      <c r="A1587" t="str">
        <f t="shared" si="527"/>
        <v>United States</v>
      </c>
      <c r="B1587" t="str">
        <f t="shared" si="540"/>
        <v>Florence</v>
      </c>
      <c r="C1587" t="str">
        <f t="shared" ref="C1587:C1592" si="544">C1586</f>
        <v>Standard Class</v>
      </c>
      <c r="D1587" t="str">
        <f t="shared" ref="D1587:D1589" si="545">D1586</f>
        <v>Consumer</v>
      </c>
      <c r="E1587" t="s">
        <v>46</v>
      </c>
      <c r="F1587">
        <v>7</v>
      </c>
      <c r="G1587">
        <v>0</v>
      </c>
      <c r="H1587" s="2">
        <v>1416.7999999999997</v>
      </c>
      <c r="I1587" s="2">
        <v>3080</v>
      </c>
    </row>
    <row r="1588" spans="1:9" x14ac:dyDescent="0.3">
      <c r="A1588" t="str">
        <f t="shared" si="527"/>
        <v>United States</v>
      </c>
      <c r="B1588" t="str">
        <f t="shared" si="540"/>
        <v>Florence</v>
      </c>
      <c r="C1588" t="str">
        <f t="shared" si="544"/>
        <v>Standard Class</v>
      </c>
      <c r="D1588" t="str">
        <f t="shared" si="545"/>
        <v>Consumer</v>
      </c>
      <c r="E1588" t="s">
        <v>16</v>
      </c>
      <c r="F1588">
        <v>2</v>
      </c>
      <c r="G1588">
        <v>0</v>
      </c>
      <c r="H1588" s="2">
        <v>5.6159999999999997</v>
      </c>
      <c r="I1588" s="2">
        <v>12.48</v>
      </c>
    </row>
    <row r="1589" spans="1:9" x14ac:dyDescent="0.3">
      <c r="A1589" t="str">
        <f t="shared" si="527"/>
        <v>United States</v>
      </c>
      <c r="B1589" t="str">
        <f t="shared" si="540"/>
        <v>Florence</v>
      </c>
      <c r="C1589" t="str">
        <f t="shared" si="544"/>
        <v>Standard Class</v>
      </c>
      <c r="D1589" t="str">
        <f t="shared" si="545"/>
        <v>Consumer</v>
      </c>
      <c r="E1589" t="s">
        <v>24</v>
      </c>
      <c r="F1589">
        <v>3</v>
      </c>
      <c r="G1589">
        <v>0</v>
      </c>
      <c r="H1589" s="2">
        <v>170.51129999999998</v>
      </c>
      <c r="I1589" s="2">
        <v>587.97</v>
      </c>
    </row>
    <row r="1590" spans="1:9" x14ac:dyDescent="0.3">
      <c r="A1590" t="str">
        <f t="shared" si="527"/>
        <v>United States</v>
      </c>
      <c r="B1590" t="str">
        <f t="shared" si="540"/>
        <v>Florence</v>
      </c>
      <c r="C1590" t="str">
        <f t="shared" si="544"/>
        <v>Standard Class</v>
      </c>
      <c r="D1590" t="s">
        <v>15</v>
      </c>
      <c r="E1590" t="s">
        <v>19</v>
      </c>
      <c r="F1590">
        <v>15</v>
      </c>
      <c r="G1590">
        <v>0</v>
      </c>
      <c r="H1590" s="2">
        <v>18.247199999999999</v>
      </c>
      <c r="I1590" s="2">
        <v>53.28</v>
      </c>
    </row>
    <row r="1591" spans="1:9" x14ac:dyDescent="0.3">
      <c r="A1591" t="str">
        <f t="shared" si="527"/>
        <v>United States</v>
      </c>
      <c r="B1591" t="str">
        <f t="shared" si="540"/>
        <v>Florence</v>
      </c>
      <c r="C1591" t="str">
        <f t="shared" si="544"/>
        <v>Standard Class</v>
      </c>
      <c r="D1591" t="str">
        <f>D1590</f>
        <v>Corporate</v>
      </c>
      <c r="E1591" t="s">
        <v>14</v>
      </c>
      <c r="F1591">
        <v>12</v>
      </c>
      <c r="G1591">
        <v>0</v>
      </c>
      <c r="H1591" s="2">
        <v>27.253199999999985</v>
      </c>
      <c r="I1591" s="2">
        <v>685.26</v>
      </c>
    </row>
    <row r="1592" spans="1:9" x14ac:dyDescent="0.3">
      <c r="A1592" t="str">
        <f t="shared" si="527"/>
        <v>United States</v>
      </c>
      <c r="B1592" t="str">
        <f t="shared" si="540"/>
        <v>Florence</v>
      </c>
      <c r="C1592" t="str">
        <f t="shared" si="544"/>
        <v>Standard Class</v>
      </c>
      <c r="D1592" t="s">
        <v>17</v>
      </c>
      <c r="E1592" t="s">
        <v>16</v>
      </c>
      <c r="F1592">
        <v>1</v>
      </c>
      <c r="G1592">
        <v>0</v>
      </c>
      <c r="H1592" s="2">
        <v>2.4402000000000004</v>
      </c>
      <c r="I1592" s="2">
        <v>4.9800000000000004</v>
      </c>
    </row>
    <row r="1593" spans="1:9" x14ac:dyDescent="0.3">
      <c r="A1593" t="str">
        <f t="shared" si="527"/>
        <v>United States</v>
      </c>
      <c r="B1593" t="s">
        <v>182</v>
      </c>
      <c r="C1593" t="s">
        <v>11</v>
      </c>
      <c r="D1593" t="s">
        <v>17</v>
      </c>
      <c r="E1593" t="s">
        <v>38</v>
      </c>
      <c r="F1593">
        <v>3</v>
      </c>
      <c r="G1593">
        <v>0.2</v>
      </c>
      <c r="H1593" s="2">
        <v>5.2026000000000003</v>
      </c>
      <c r="I1593" s="2">
        <v>14.352000000000002</v>
      </c>
    </row>
    <row r="1594" spans="1:9" x14ac:dyDescent="0.3">
      <c r="A1594" t="str">
        <f t="shared" si="527"/>
        <v>United States</v>
      </c>
      <c r="B1594" t="str">
        <f t="shared" ref="B1594:B1599" si="546">B1593</f>
        <v>Fort Collins</v>
      </c>
      <c r="C1594" t="str">
        <f>C1593</f>
        <v>First Class</v>
      </c>
      <c r="D1594" t="str">
        <f>D1593</f>
        <v>Home Office</v>
      </c>
      <c r="E1594" t="s">
        <v>21</v>
      </c>
      <c r="F1594">
        <v>3</v>
      </c>
      <c r="G1594">
        <v>0.2</v>
      </c>
      <c r="H1594" s="2">
        <v>9.832800000000006</v>
      </c>
      <c r="I1594" s="2">
        <v>98.328000000000003</v>
      </c>
    </row>
    <row r="1595" spans="1:9" x14ac:dyDescent="0.3">
      <c r="A1595" t="str">
        <f t="shared" si="527"/>
        <v>United States</v>
      </c>
      <c r="B1595" t="str">
        <f t="shared" si="546"/>
        <v>Fort Collins</v>
      </c>
      <c r="C1595" t="s">
        <v>7</v>
      </c>
      <c r="D1595" t="s">
        <v>8</v>
      </c>
      <c r="E1595" t="s">
        <v>20</v>
      </c>
      <c r="F1595">
        <v>4</v>
      </c>
      <c r="G1595">
        <v>0.7</v>
      </c>
      <c r="H1595" s="2">
        <v>-2.5343999999999998</v>
      </c>
      <c r="I1595" s="2">
        <v>3.1680000000000006</v>
      </c>
    </row>
    <row r="1596" spans="1:9" x14ac:dyDescent="0.3">
      <c r="A1596" t="str">
        <f t="shared" si="527"/>
        <v>United States</v>
      </c>
      <c r="B1596" t="str">
        <f t="shared" si="546"/>
        <v>Fort Collins</v>
      </c>
      <c r="C1596" t="str">
        <f t="shared" ref="C1596:C1597" si="547">C1595</f>
        <v>Second Class</v>
      </c>
      <c r="D1596" t="str">
        <f t="shared" ref="D1596:D1597" si="548">D1595</f>
        <v>Consumer</v>
      </c>
      <c r="E1596" t="s">
        <v>33</v>
      </c>
      <c r="F1596">
        <v>4</v>
      </c>
      <c r="G1596">
        <v>0.2</v>
      </c>
      <c r="H1596" s="2">
        <v>-28.95679999999993</v>
      </c>
      <c r="I1596" s="2">
        <v>579.13599999999997</v>
      </c>
    </row>
    <row r="1597" spans="1:9" x14ac:dyDescent="0.3">
      <c r="A1597" t="str">
        <f t="shared" si="527"/>
        <v>United States</v>
      </c>
      <c r="B1597" t="str">
        <f t="shared" si="546"/>
        <v>Fort Collins</v>
      </c>
      <c r="C1597" t="str">
        <f t="shared" si="547"/>
        <v>Second Class</v>
      </c>
      <c r="D1597" t="str">
        <f t="shared" si="548"/>
        <v>Consumer</v>
      </c>
      <c r="E1597" t="s">
        <v>43</v>
      </c>
      <c r="F1597">
        <v>2</v>
      </c>
      <c r="G1597">
        <v>0.2</v>
      </c>
      <c r="H1597" s="2">
        <v>3.9473999999999996</v>
      </c>
      <c r="I1597" s="2">
        <v>11.696</v>
      </c>
    </row>
    <row r="1598" spans="1:9" x14ac:dyDescent="0.3">
      <c r="A1598" t="str">
        <f t="shared" si="527"/>
        <v>United States</v>
      </c>
      <c r="B1598" t="str">
        <f t="shared" si="546"/>
        <v>Fort Collins</v>
      </c>
      <c r="C1598" t="s">
        <v>22</v>
      </c>
      <c r="D1598" t="s">
        <v>8</v>
      </c>
      <c r="E1598" t="s">
        <v>23</v>
      </c>
      <c r="F1598">
        <v>2</v>
      </c>
      <c r="G1598">
        <v>0.2</v>
      </c>
      <c r="H1598" s="2">
        <v>0.59979999999999656</v>
      </c>
      <c r="I1598" s="2">
        <v>47.984000000000002</v>
      </c>
    </row>
    <row r="1599" spans="1:9" x14ac:dyDescent="0.3">
      <c r="A1599" t="str">
        <f t="shared" si="527"/>
        <v>United States</v>
      </c>
      <c r="B1599" t="str">
        <f t="shared" si="546"/>
        <v>Fort Collins</v>
      </c>
      <c r="C1599" t="str">
        <f>C1598</f>
        <v>Standard Class</v>
      </c>
      <c r="D1599" t="str">
        <f>D1598</f>
        <v>Consumer</v>
      </c>
      <c r="E1599" t="s">
        <v>34</v>
      </c>
      <c r="F1599">
        <v>2</v>
      </c>
      <c r="G1599">
        <v>0.7</v>
      </c>
      <c r="H1599" s="2">
        <v>-240.78400000000005</v>
      </c>
      <c r="I1599" s="2">
        <v>180.58800000000005</v>
      </c>
    </row>
    <row r="1600" spans="1:9" x14ac:dyDescent="0.3">
      <c r="A1600" t="str">
        <f t="shared" si="527"/>
        <v>United States</v>
      </c>
      <c r="B1600" t="s">
        <v>183</v>
      </c>
      <c r="C1600" t="s">
        <v>11</v>
      </c>
      <c r="D1600" t="s">
        <v>8</v>
      </c>
      <c r="E1600" t="s">
        <v>21</v>
      </c>
      <c r="F1600">
        <v>3</v>
      </c>
      <c r="G1600">
        <v>0.2</v>
      </c>
      <c r="H1600" s="2">
        <v>5.7312000000000012</v>
      </c>
      <c r="I1600" s="2">
        <v>19.103999999999999</v>
      </c>
    </row>
    <row r="1601" spans="1:9" x14ac:dyDescent="0.3">
      <c r="A1601" t="str">
        <f t="shared" si="527"/>
        <v>United States</v>
      </c>
      <c r="B1601" t="str">
        <f t="shared" ref="B1601:B1612" si="549">B1600</f>
        <v>Fort Lauderdale</v>
      </c>
      <c r="C1601" t="s">
        <v>7</v>
      </c>
      <c r="D1601" t="s">
        <v>8</v>
      </c>
      <c r="E1601" t="s">
        <v>20</v>
      </c>
      <c r="F1601">
        <v>4</v>
      </c>
      <c r="G1601">
        <v>0.7</v>
      </c>
      <c r="H1601" s="2">
        <v>-5.1760000000000002</v>
      </c>
      <c r="I1601" s="2">
        <v>7.7640000000000011</v>
      </c>
    </row>
    <row r="1602" spans="1:9" x14ac:dyDescent="0.3">
      <c r="A1602" t="str">
        <f t="shared" si="527"/>
        <v>United States</v>
      </c>
      <c r="B1602" t="str">
        <f t="shared" si="549"/>
        <v>Fort Lauderdale</v>
      </c>
      <c r="C1602" t="str">
        <f>C1601</f>
        <v>Second Class</v>
      </c>
      <c r="D1602" t="s">
        <v>15</v>
      </c>
      <c r="E1602" t="s">
        <v>12</v>
      </c>
      <c r="F1602">
        <v>5</v>
      </c>
      <c r="G1602">
        <v>0.2</v>
      </c>
      <c r="H1602" s="2">
        <v>130.28849999999983</v>
      </c>
      <c r="I1602" s="2">
        <v>1158.1199999999999</v>
      </c>
    </row>
    <row r="1603" spans="1:9" x14ac:dyDescent="0.3">
      <c r="A1603" t="str">
        <f t="shared" si="527"/>
        <v>United States</v>
      </c>
      <c r="B1603" t="str">
        <f t="shared" si="549"/>
        <v>Fort Lauderdale</v>
      </c>
      <c r="C1603" t="s">
        <v>22</v>
      </c>
      <c r="D1603" t="s">
        <v>8</v>
      </c>
      <c r="E1603" t="s">
        <v>34</v>
      </c>
      <c r="F1603">
        <v>5</v>
      </c>
      <c r="G1603">
        <v>0.2</v>
      </c>
      <c r="H1603" s="2">
        <v>-81.440999999999946</v>
      </c>
      <c r="I1603" s="2">
        <v>723.92</v>
      </c>
    </row>
    <row r="1604" spans="1:9" x14ac:dyDescent="0.3">
      <c r="A1604" t="str">
        <f t="shared" ref="A1604:A1667" si="550">A1603</f>
        <v>United States</v>
      </c>
      <c r="B1604" t="str">
        <f t="shared" si="549"/>
        <v>Fort Lauderdale</v>
      </c>
      <c r="C1604" t="str">
        <f t="shared" ref="C1604:C1612" si="551">C1603</f>
        <v>Standard Class</v>
      </c>
      <c r="D1604" t="str">
        <f t="shared" ref="D1604:D1606" si="552">D1603</f>
        <v>Consumer</v>
      </c>
      <c r="E1604" t="s">
        <v>24</v>
      </c>
      <c r="F1604">
        <v>1</v>
      </c>
      <c r="G1604">
        <v>0.2</v>
      </c>
      <c r="H1604" s="2">
        <v>14.594999999999985</v>
      </c>
      <c r="I1604" s="2">
        <v>116.75999999999999</v>
      </c>
    </row>
    <row r="1605" spans="1:9" x14ac:dyDescent="0.3">
      <c r="A1605" t="str">
        <f t="shared" si="550"/>
        <v>United States</v>
      </c>
      <c r="B1605" t="str">
        <f t="shared" si="549"/>
        <v>Fort Lauderdale</v>
      </c>
      <c r="C1605" t="str">
        <f t="shared" si="551"/>
        <v>Standard Class</v>
      </c>
      <c r="D1605" t="str">
        <f t="shared" si="552"/>
        <v>Consumer</v>
      </c>
      <c r="E1605" t="s">
        <v>14</v>
      </c>
      <c r="F1605">
        <v>2</v>
      </c>
      <c r="G1605">
        <v>0.2</v>
      </c>
      <c r="H1605" s="2">
        <v>2.5163999999999991</v>
      </c>
      <c r="I1605" s="2">
        <v>22.368000000000002</v>
      </c>
    </row>
    <row r="1606" spans="1:9" x14ac:dyDescent="0.3">
      <c r="A1606" t="str">
        <f t="shared" si="550"/>
        <v>United States</v>
      </c>
      <c r="B1606" t="str">
        <f t="shared" si="549"/>
        <v>Fort Lauderdale</v>
      </c>
      <c r="C1606" t="str">
        <f t="shared" si="551"/>
        <v>Standard Class</v>
      </c>
      <c r="D1606" t="str">
        <f t="shared" si="552"/>
        <v>Consumer</v>
      </c>
      <c r="E1606" t="s">
        <v>25</v>
      </c>
      <c r="F1606">
        <v>12</v>
      </c>
      <c r="G1606">
        <v>0.9</v>
      </c>
      <c r="H1606" s="2">
        <v>-497.38440000000003</v>
      </c>
      <c r="I1606" s="2">
        <v>1288.6005</v>
      </c>
    </row>
    <row r="1607" spans="1:9" x14ac:dyDescent="0.3">
      <c r="A1607" t="str">
        <f t="shared" si="550"/>
        <v>United States</v>
      </c>
      <c r="B1607" t="str">
        <f t="shared" si="549"/>
        <v>Fort Lauderdale</v>
      </c>
      <c r="C1607" t="str">
        <f t="shared" si="551"/>
        <v>Standard Class</v>
      </c>
      <c r="D1607" t="s">
        <v>15</v>
      </c>
      <c r="E1607" t="s">
        <v>24</v>
      </c>
      <c r="F1607">
        <v>7</v>
      </c>
      <c r="G1607">
        <v>0.2</v>
      </c>
      <c r="H1607" s="2">
        <v>58.46399999999997</v>
      </c>
      <c r="I1607" s="2">
        <v>519.67999999999995</v>
      </c>
    </row>
    <row r="1608" spans="1:9" x14ac:dyDescent="0.3">
      <c r="A1608" t="str">
        <f t="shared" si="550"/>
        <v>United States</v>
      </c>
      <c r="B1608" t="str">
        <f t="shared" si="549"/>
        <v>Fort Lauderdale</v>
      </c>
      <c r="C1608" t="str">
        <f t="shared" si="551"/>
        <v>Standard Class</v>
      </c>
      <c r="D1608" t="s">
        <v>17</v>
      </c>
      <c r="E1608" t="s">
        <v>23</v>
      </c>
      <c r="F1608">
        <v>12</v>
      </c>
      <c r="G1608">
        <v>0.4</v>
      </c>
      <c r="H1608" s="2">
        <v>248.26079999999999</v>
      </c>
      <c r="I1608" s="2">
        <v>841.34400000000005</v>
      </c>
    </row>
    <row r="1609" spans="1:9" x14ac:dyDescent="0.3">
      <c r="A1609" t="str">
        <f t="shared" si="550"/>
        <v>United States</v>
      </c>
      <c r="B1609" t="str">
        <f t="shared" si="549"/>
        <v>Fort Lauderdale</v>
      </c>
      <c r="C1609" t="str">
        <f t="shared" si="551"/>
        <v>Standard Class</v>
      </c>
      <c r="D1609" t="str">
        <f t="shared" ref="D1609:D1612" si="553">D1608</f>
        <v>Home Office</v>
      </c>
      <c r="E1609" t="s">
        <v>20</v>
      </c>
      <c r="F1609">
        <v>8</v>
      </c>
      <c r="G1609">
        <v>0.7</v>
      </c>
      <c r="H1609" s="2">
        <v>-21.084799999999994</v>
      </c>
      <c r="I1609" s="2">
        <v>28.752000000000006</v>
      </c>
    </row>
    <row r="1610" spans="1:9" x14ac:dyDescent="0.3">
      <c r="A1610" t="str">
        <f t="shared" si="550"/>
        <v>United States</v>
      </c>
      <c r="B1610" t="str">
        <f t="shared" si="549"/>
        <v>Fort Lauderdale</v>
      </c>
      <c r="C1610" t="str">
        <f t="shared" si="551"/>
        <v>Standard Class</v>
      </c>
      <c r="D1610" t="str">
        <f t="shared" si="553"/>
        <v>Home Office</v>
      </c>
      <c r="E1610" t="s">
        <v>21</v>
      </c>
      <c r="F1610">
        <v>2</v>
      </c>
      <c r="G1610">
        <v>0.2</v>
      </c>
      <c r="H1610" s="2">
        <v>9.6832000000000011</v>
      </c>
      <c r="I1610" s="2">
        <v>45.568000000000005</v>
      </c>
    </row>
    <row r="1611" spans="1:9" x14ac:dyDescent="0.3">
      <c r="A1611" t="str">
        <f t="shared" si="550"/>
        <v>United States</v>
      </c>
      <c r="B1611" t="str">
        <f t="shared" si="549"/>
        <v>Fort Lauderdale</v>
      </c>
      <c r="C1611" t="str">
        <f t="shared" si="551"/>
        <v>Standard Class</v>
      </c>
      <c r="D1611" t="str">
        <f t="shared" si="553"/>
        <v>Home Office</v>
      </c>
      <c r="E1611" t="s">
        <v>16</v>
      </c>
      <c r="F1611">
        <v>2</v>
      </c>
      <c r="G1611">
        <v>0.2</v>
      </c>
      <c r="H1611" s="2">
        <v>3.6288</v>
      </c>
      <c r="I1611" s="2">
        <v>10.368000000000002</v>
      </c>
    </row>
    <row r="1612" spans="1:9" x14ac:dyDescent="0.3">
      <c r="A1612" t="str">
        <f t="shared" si="550"/>
        <v>United States</v>
      </c>
      <c r="B1612" t="str">
        <f t="shared" si="549"/>
        <v>Fort Lauderdale</v>
      </c>
      <c r="C1612" t="str">
        <f t="shared" si="551"/>
        <v>Standard Class</v>
      </c>
      <c r="D1612" t="str">
        <f t="shared" si="553"/>
        <v>Home Office</v>
      </c>
      <c r="E1612" t="s">
        <v>14</v>
      </c>
      <c r="F1612">
        <v>2</v>
      </c>
      <c r="G1612">
        <v>0.2</v>
      </c>
      <c r="H1612" s="2">
        <v>-29.436800000000012</v>
      </c>
      <c r="I1612" s="2">
        <v>147.184</v>
      </c>
    </row>
    <row r="1613" spans="1:9" x14ac:dyDescent="0.3">
      <c r="A1613" t="str">
        <f t="shared" si="550"/>
        <v>United States</v>
      </c>
      <c r="B1613" t="s">
        <v>184</v>
      </c>
      <c r="C1613" t="s">
        <v>11</v>
      </c>
      <c r="D1613" t="s">
        <v>8</v>
      </c>
      <c r="E1613" t="s">
        <v>20</v>
      </c>
      <c r="F1613">
        <v>1</v>
      </c>
      <c r="G1613">
        <v>0.8</v>
      </c>
      <c r="H1613" s="2">
        <v>-8.472800000000003</v>
      </c>
      <c r="I1613" s="2">
        <v>4.9839999999999991</v>
      </c>
    </row>
    <row r="1614" spans="1:9" x14ac:dyDescent="0.3">
      <c r="A1614" t="str">
        <f t="shared" si="550"/>
        <v>United States</v>
      </c>
      <c r="B1614" t="str">
        <f t="shared" ref="B1614:B1634" si="554">B1613</f>
        <v>Fort Worth</v>
      </c>
      <c r="C1614" t="str">
        <f>C1613</f>
        <v>First Class</v>
      </c>
      <c r="D1614" t="str">
        <f>D1613</f>
        <v>Consumer</v>
      </c>
      <c r="E1614" t="s">
        <v>21</v>
      </c>
      <c r="F1614">
        <v>1</v>
      </c>
      <c r="G1614">
        <v>0.6</v>
      </c>
      <c r="H1614" s="2">
        <v>-1.4413</v>
      </c>
      <c r="I1614" s="2">
        <v>1.988</v>
      </c>
    </row>
    <row r="1615" spans="1:9" x14ac:dyDescent="0.3">
      <c r="A1615" t="str">
        <f t="shared" si="550"/>
        <v>United States</v>
      </c>
      <c r="B1615" t="str">
        <f t="shared" si="554"/>
        <v>Fort Worth</v>
      </c>
      <c r="C1615" t="s">
        <v>27</v>
      </c>
      <c r="D1615" t="s">
        <v>8</v>
      </c>
      <c r="E1615" t="s">
        <v>23</v>
      </c>
      <c r="F1615">
        <v>1</v>
      </c>
      <c r="G1615">
        <v>0.2</v>
      </c>
      <c r="H1615" s="2">
        <v>-7.1990999999999961</v>
      </c>
      <c r="I1615" s="2">
        <v>63.991999999999997</v>
      </c>
    </row>
    <row r="1616" spans="1:9" x14ac:dyDescent="0.3">
      <c r="A1616" t="str">
        <f t="shared" si="550"/>
        <v>United States</v>
      </c>
      <c r="B1616" t="str">
        <f t="shared" si="554"/>
        <v>Fort Worth</v>
      </c>
      <c r="C1616" t="str">
        <f t="shared" ref="C1616:C1617" si="555">C1615</f>
        <v>Same Day</v>
      </c>
      <c r="D1616" t="str">
        <f t="shared" ref="D1616:D1617" si="556">D1615</f>
        <v>Consumer</v>
      </c>
      <c r="E1616" t="s">
        <v>33</v>
      </c>
      <c r="F1616">
        <v>5</v>
      </c>
      <c r="G1616">
        <v>0.3</v>
      </c>
      <c r="H1616" s="2">
        <v>-88.783999999999978</v>
      </c>
      <c r="I1616" s="2">
        <v>388.42999999999995</v>
      </c>
    </row>
    <row r="1617" spans="1:9" x14ac:dyDescent="0.3">
      <c r="A1617" t="str">
        <f t="shared" si="550"/>
        <v>United States</v>
      </c>
      <c r="B1617" t="str">
        <f t="shared" si="554"/>
        <v>Fort Worth</v>
      </c>
      <c r="C1617" t="str">
        <f t="shared" si="555"/>
        <v>Same Day</v>
      </c>
      <c r="D1617" t="str">
        <f t="shared" si="556"/>
        <v>Consumer</v>
      </c>
      <c r="E1617" t="s">
        <v>16</v>
      </c>
      <c r="F1617">
        <v>5</v>
      </c>
      <c r="G1617">
        <v>0.4</v>
      </c>
      <c r="H1617" s="2">
        <v>8.8314000000000004</v>
      </c>
      <c r="I1617" s="2">
        <v>24.720000000000006</v>
      </c>
    </row>
    <row r="1618" spans="1:9" x14ac:dyDescent="0.3">
      <c r="A1618" t="str">
        <f t="shared" si="550"/>
        <v>United States</v>
      </c>
      <c r="B1618" t="str">
        <f t="shared" si="554"/>
        <v>Fort Worth</v>
      </c>
      <c r="C1618" t="s">
        <v>7</v>
      </c>
      <c r="D1618" t="s">
        <v>17</v>
      </c>
      <c r="E1618" t="s">
        <v>16</v>
      </c>
      <c r="F1618">
        <v>11</v>
      </c>
      <c r="G1618">
        <v>0.2</v>
      </c>
      <c r="H1618" s="2">
        <v>130.75810000000001</v>
      </c>
      <c r="I1618" s="2">
        <v>360.71199999999999</v>
      </c>
    </row>
    <row r="1619" spans="1:9" x14ac:dyDescent="0.3">
      <c r="A1619" t="str">
        <f t="shared" si="550"/>
        <v>United States</v>
      </c>
      <c r="B1619" t="str">
        <f t="shared" si="554"/>
        <v>Fort Worth</v>
      </c>
      <c r="C1619" t="str">
        <f>C1618</f>
        <v>Second Class</v>
      </c>
      <c r="D1619" t="str">
        <f>D1618</f>
        <v>Home Office</v>
      </c>
      <c r="E1619" t="s">
        <v>24</v>
      </c>
      <c r="F1619">
        <v>6</v>
      </c>
      <c r="G1619">
        <v>0.2</v>
      </c>
      <c r="H1619" s="2">
        <v>150.36000000000013</v>
      </c>
      <c r="I1619" s="2">
        <v>1718.4</v>
      </c>
    </row>
    <row r="1620" spans="1:9" x14ac:dyDescent="0.3">
      <c r="A1620" t="str">
        <f t="shared" si="550"/>
        <v>United States</v>
      </c>
      <c r="B1620" t="str">
        <f t="shared" si="554"/>
        <v>Fort Worth</v>
      </c>
      <c r="C1620" t="s">
        <v>22</v>
      </c>
      <c r="D1620" t="s">
        <v>8</v>
      </c>
      <c r="E1620" t="s">
        <v>23</v>
      </c>
      <c r="F1620">
        <v>2</v>
      </c>
      <c r="G1620">
        <v>0.2</v>
      </c>
      <c r="H1620" s="2">
        <v>7.263999999999994</v>
      </c>
      <c r="I1620" s="2">
        <v>58.112000000000002</v>
      </c>
    </row>
    <row r="1621" spans="1:9" x14ac:dyDescent="0.3">
      <c r="A1621" t="str">
        <f t="shared" si="550"/>
        <v>United States</v>
      </c>
      <c r="B1621" t="str">
        <f t="shared" si="554"/>
        <v>Fort Worth</v>
      </c>
      <c r="C1621" t="str">
        <f t="shared" ref="C1621:C1634" si="557">C1620</f>
        <v>Standard Class</v>
      </c>
      <c r="D1621" t="str">
        <f t="shared" ref="D1621:D1624" si="558">D1620</f>
        <v>Consumer</v>
      </c>
      <c r="E1621" t="s">
        <v>12</v>
      </c>
      <c r="F1621">
        <v>4</v>
      </c>
      <c r="G1621">
        <v>0.8</v>
      </c>
      <c r="H1621" s="2">
        <v>-8.532</v>
      </c>
      <c r="I1621" s="2">
        <v>3.1599999999999993</v>
      </c>
    </row>
    <row r="1622" spans="1:9" x14ac:dyDescent="0.3">
      <c r="A1622" t="str">
        <f t="shared" si="550"/>
        <v>United States</v>
      </c>
      <c r="B1622" t="str">
        <f t="shared" si="554"/>
        <v>Fort Worth</v>
      </c>
      <c r="C1622" t="str">
        <f t="shared" si="557"/>
        <v>Standard Class</v>
      </c>
      <c r="D1622" t="str">
        <f t="shared" si="558"/>
        <v>Consumer</v>
      </c>
      <c r="E1622" t="s">
        <v>45</v>
      </c>
      <c r="F1622">
        <v>5</v>
      </c>
      <c r="G1622">
        <v>0.2</v>
      </c>
      <c r="H1622" s="2">
        <v>624.98749999999995</v>
      </c>
      <c r="I1622" s="2">
        <v>1999.96</v>
      </c>
    </row>
    <row r="1623" spans="1:9" x14ac:dyDescent="0.3">
      <c r="A1623" t="str">
        <f t="shared" si="550"/>
        <v>United States</v>
      </c>
      <c r="B1623" t="str">
        <f t="shared" si="554"/>
        <v>Fort Worth</v>
      </c>
      <c r="C1623" t="str">
        <f t="shared" si="557"/>
        <v>Standard Class</v>
      </c>
      <c r="D1623" t="str">
        <f t="shared" si="558"/>
        <v>Consumer</v>
      </c>
      <c r="E1623" t="s">
        <v>21</v>
      </c>
      <c r="F1623">
        <v>4</v>
      </c>
      <c r="G1623">
        <v>0.6</v>
      </c>
      <c r="H1623" s="2">
        <v>-84.292799999999986</v>
      </c>
      <c r="I1623" s="2">
        <v>66.112000000000009</v>
      </c>
    </row>
    <row r="1624" spans="1:9" x14ac:dyDescent="0.3">
      <c r="A1624" t="str">
        <f t="shared" si="550"/>
        <v>United States</v>
      </c>
      <c r="B1624" t="str">
        <f t="shared" si="554"/>
        <v>Fort Worth</v>
      </c>
      <c r="C1624" t="str">
        <f t="shared" si="557"/>
        <v>Standard Class</v>
      </c>
      <c r="D1624" t="str">
        <f t="shared" si="558"/>
        <v>Consumer</v>
      </c>
      <c r="E1624" t="s">
        <v>24</v>
      </c>
      <c r="F1624">
        <v>1</v>
      </c>
      <c r="G1624">
        <v>0.2</v>
      </c>
      <c r="H1624" s="2">
        <v>6.2995000000000019</v>
      </c>
      <c r="I1624" s="2">
        <v>100.792</v>
      </c>
    </row>
    <row r="1625" spans="1:9" x14ac:dyDescent="0.3">
      <c r="A1625" t="str">
        <f t="shared" si="550"/>
        <v>United States</v>
      </c>
      <c r="B1625" t="str">
        <f t="shared" si="554"/>
        <v>Fort Worth</v>
      </c>
      <c r="C1625" t="str">
        <f t="shared" si="557"/>
        <v>Standard Class</v>
      </c>
      <c r="D1625" t="s">
        <v>15</v>
      </c>
      <c r="E1625" t="s">
        <v>12</v>
      </c>
      <c r="F1625">
        <v>3</v>
      </c>
      <c r="G1625">
        <v>0.8</v>
      </c>
      <c r="H1625" s="2">
        <v>-67.617000000000019</v>
      </c>
      <c r="I1625" s="2">
        <v>24.587999999999994</v>
      </c>
    </row>
    <row r="1626" spans="1:9" x14ac:dyDescent="0.3">
      <c r="A1626" t="str">
        <f t="shared" si="550"/>
        <v>United States</v>
      </c>
      <c r="B1626" t="str">
        <f t="shared" si="554"/>
        <v>Fort Worth</v>
      </c>
      <c r="C1626" t="str">
        <f t="shared" si="557"/>
        <v>Standard Class</v>
      </c>
      <c r="D1626" t="str">
        <f t="shared" ref="D1626:D1632" si="559">D1625</f>
        <v>Corporate</v>
      </c>
      <c r="E1626" t="s">
        <v>19</v>
      </c>
      <c r="F1626">
        <v>3</v>
      </c>
      <c r="G1626">
        <v>0.4</v>
      </c>
      <c r="H1626" s="2">
        <v>1.5509999999999999</v>
      </c>
      <c r="I1626" s="2">
        <v>14.672000000000001</v>
      </c>
    </row>
    <row r="1627" spans="1:9" x14ac:dyDescent="0.3">
      <c r="A1627" t="str">
        <f t="shared" si="550"/>
        <v>United States</v>
      </c>
      <c r="B1627" t="str">
        <f t="shared" si="554"/>
        <v>Fort Worth</v>
      </c>
      <c r="C1627" t="str">
        <f t="shared" si="557"/>
        <v>Standard Class</v>
      </c>
      <c r="D1627" t="str">
        <f t="shared" si="559"/>
        <v>Corporate</v>
      </c>
      <c r="E1627" t="s">
        <v>20</v>
      </c>
      <c r="F1627">
        <v>17</v>
      </c>
      <c r="G1627">
        <v>2.4000000000000004</v>
      </c>
      <c r="H1627" s="2">
        <v>-34.513000000000005</v>
      </c>
      <c r="I1627" s="2">
        <v>20.735999999999997</v>
      </c>
    </row>
    <row r="1628" spans="1:9" x14ac:dyDescent="0.3">
      <c r="A1628" t="str">
        <f t="shared" si="550"/>
        <v>United States</v>
      </c>
      <c r="B1628" t="str">
        <f t="shared" si="554"/>
        <v>Fort Worth</v>
      </c>
      <c r="C1628" t="str">
        <f t="shared" si="557"/>
        <v>Standard Class</v>
      </c>
      <c r="D1628" t="str">
        <f t="shared" si="559"/>
        <v>Corporate</v>
      </c>
      <c r="E1628" t="s">
        <v>34</v>
      </c>
      <c r="F1628">
        <v>11</v>
      </c>
      <c r="G1628">
        <v>0.64</v>
      </c>
      <c r="H1628" s="2">
        <v>-161.30140000000006</v>
      </c>
      <c r="I1628" s="2">
        <v>843.73039999999992</v>
      </c>
    </row>
    <row r="1629" spans="1:9" x14ac:dyDescent="0.3">
      <c r="A1629" t="str">
        <f t="shared" si="550"/>
        <v>United States</v>
      </c>
      <c r="B1629" t="str">
        <f t="shared" si="554"/>
        <v>Fort Worth</v>
      </c>
      <c r="C1629" t="str">
        <f t="shared" si="557"/>
        <v>Standard Class</v>
      </c>
      <c r="D1629" t="str">
        <f t="shared" si="559"/>
        <v>Corporate</v>
      </c>
      <c r="E1629" t="s">
        <v>43</v>
      </c>
      <c r="F1629">
        <v>4</v>
      </c>
      <c r="G1629">
        <v>0.2</v>
      </c>
      <c r="H1629" s="2">
        <v>11.592000000000001</v>
      </c>
      <c r="I1629" s="2">
        <v>33.119999999999997</v>
      </c>
    </row>
    <row r="1630" spans="1:9" x14ac:dyDescent="0.3">
      <c r="A1630" t="str">
        <f t="shared" si="550"/>
        <v>United States</v>
      </c>
      <c r="B1630" t="str">
        <f t="shared" si="554"/>
        <v>Fort Worth</v>
      </c>
      <c r="C1630" t="str">
        <f t="shared" si="557"/>
        <v>Standard Class</v>
      </c>
      <c r="D1630" t="str">
        <f t="shared" si="559"/>
        <v>Corporate</v>
      </c>
      <c r="E1630" t="s">
        <v>16</v>
      </c>
      <c r="F1630">
        <v>2</v>
      </c>
      <c r="G1630">
        <v>0.2</v>
      </c>
      <c r="H1630" s="2">
        <v>3.2871999999999999</v>
      </c>
      <c r="I1630" s="2">
        <v>9.3920000000000012</v>
      </c>
    </row>
    <row r="1631" spans="1:9" x14ac:dyDescent="0.3">
      <c r="A1631" t="str">
        <f t="shared" si="550"/>
        <v>United States</v>
      </c>
      <c r="B1631" t="str">
        <f t="shared" si="554"/>
        <v>Fort Worth</v>
      </c>
      <c r="C1631" t="str">
        <f t="shared" si="557"/>
        <v>Standard Class</v>
      </c>
      <c r="D1631" t="str">
        <f t="shared" si="559"/>
        <v>Corporate</v>
      </c>
      <c r="E1631" t="s">
        <v>24</v>
      </c>
      <c r="F1631">
        <v>3</v>
      </c>
      <c r="G1631">
        <v>0.2</v>
      </c>
      <c r="H1631" s="2">
        <v>1.5804</v>
      </c>
      <c r="I1631" s="2">
        <v>21.071999999999999</v>
      </c>
    </row>
    <row r="1632" spans="1:9" x14ac:dyDescent="0.3">
      <c r="A1632" t="str">
        <f t="shared" si="550"/>
        <v>United States</v>
      </c>
      <c r="B1632" t="str">
        <f t="shared" si="554"/>
        <v>Fort Worth</v>
      </c>
      <c r="C1632" t="str">
        <f t="shared" si="557"/>
        <v>Standard Class</v>
      </c>
      <c r="D1632" t="str">
        <f t="shared" si="559"/>
        <v>Corporate</v>
      </c>
      <c r="E1632" t="s">
        <v>14</v>
      </c>
      <c r="F1632">
        <v>5</v>
      </c>
      <c r="G1632">
        <v>0.2</v>
      </c>
      <c r="H1632" s="2">
        <v>-57.950999999999993</v>
      </c>
      <c r="I1632" s="2">
        <v>772.68000000000006</v>
      </c>
    </row>
    <row r="1633" spans="1:9" x14ac:dyDescent="0.3">
      <c r="A1633" t="str">
        <f t="shared" si="550"/>
        <v>United States</v>
      </c>
      <c r="B1633" t="str">
        <f t="shared" si="554"/>
        <v>Fort Worth</v>
      </c>
      <c r="C1633" t="str">
        <f t="shared" si="557"/>
        <v>Standard Class</v>
      </c>
      <c r="D1633" t="s">
        <v>17</v>
      </c>
      <c r="E1633" t="s">
        <v>12</v>
      </c>
      <c r="F1633">
        <v>5</v>
      </c>
      <c r="G1633">
        <v>0.8</v>
      </c>
      <c r="H1633" s="2">
        <v>-123.858</v>
      </c>
      <c r="I1633" s="2">
        <v>68.809999999999988</v>
      </c>
    </row>
    <row r="1634" spans="1:9" x14ac:dyDescent="0.3">
      <c r="A1634" t="str">
        <f t="shared" si="550"/>
        <v>United States</v>
      </c>
      <c r="B1634" t="str">
        <f t="shared" si="554"/>
        <v>Fort Worth</v>
      </c>
      <c r="C1634" t="str">
        <f t="shared" si="557"/>
        <v>Standard Class</v>
      </c>
      <c r="D1634" t="str">
        <f>D1633</f>
        <v>Home Office</v>
      </c>
      <c r="E1634" t="s">
        <v>20</v>
      </c>
      <c r="F1634">
        <v>3</v>
      </c>
      <c r="G1634">
        <v>0.8</v>
      </c>
      <c r="H1634" s="2">
        <v>-3.8160000000000016</v>
      </c>
      <c r="I1634" s="2">
        <v>2.5439999999999996</v>
      </c>
    </row>
    <row r="1635" spans="1:9" x14ac:dyDescent="0.3">
      <c r="A1635" t="str">
        <f t="shared" si="550"/>
        <v>United States</v>
      </c>
      <c r="B1635" t="s">
        <v>185</v>
      </c>
      <c r="C1635" t="s">
        <v>11</v>
      </c>
      <c r="D1635" t="s">
        <v>8</v>
      </c>
      <c r="E1635" t="s">
        <v>16</v>
      </c>
      <c r="F1635">
        <v>2</v>
      </c>
      <c r="G1635">
        <v>0.2</v>
      </c>
      <c r="H1635" s="2">
        <v>26.902399999999993</v>
      </c>
      <c r="I1635" s="2">
        <v>76.864000000000004</v>
      </c>
    </row>
    <row r="1636" spans="1:9" x14ac:dyDescent="0.3">
      <c r="A1636" t="str">
        <f t="shared" si="550"/>
        <v>United States</v>
      </c>
      <c r="B1636" t="str">
        <f>B1635</f>
        <v>Frankfort</v>
      </c>
      <c r="C1636" t="s">
        <v>22</v>
      </c>
      <c r="D1636" t="s">
        <v>8</v>
      </c>
      <c r="E1636" t="s">
        <v>12</v>
      </c>
      <c r="F1636">
        <v>8</v>
      </c>
      <c r="G1636">
        <v>0.8</v>
      </c>
      <c r="H1636" s="2">
        <v>-52.958400000000012</v>
      </c>
      <c r="I1636" s="2">
        <v>20.767999999999997</v>
      </c>
    </row>
    <row r="1637" spans="1:9" x14ac:dyDescent="0.3">
      <c r="A1637" t="str">
        <f t="shared" si="550"/>
        <v>United States</v>
      </c>
      <c r="B1637" t="s">
        <v>186</v>
      </c>
      <c r="C1637" t="s">
        <v>11</v>
      </c>
      <c r="D1637" t="s">
        <v>15</v>
      </c>
      <c r="E1637" t="s">
        <v>34</v>
      </c>
      <c r="F1637">
        <v>1</v>
      </c>
      <c r="G1637">
        <v>0</v>
      </c>
      <c r="H1637" s="2">
        <v>20.484999999999999</v>
      </c>
      <c r="I1637" s="2">
        <v>81.94</v>
      </c>
    </row>
    <row r="1638" spans="1:9" x14ac:dyDescent="0.3">
      <c r="A1638" t="str">
        <f t="shared" si="550"/>
        <v>United States</v>
      </c>
      <c r="B1638" t="str">
        <f t="shared" ref="B1638:B1666" si="560">B1637</f>
        <v>Franklin</v>
      </c>
      <c r="C1638" t="str">
        <f t="shared" ref="C1638:C1640" si="561">C1637</f>
        <v>First Class</v>
      </c>
      <c r="D1638" t="s">
        <v>17</v>
      </c>
      <c r="E1638" t="s">
        <v>23</v>
      </c>
      <c r="F1638">
        <v>3</v>
      </c>
      <c r="G1638">
        <v>0</v>
      </c>
      <c r="H1638" s="2">
        <v>27.352799999999998</v>
      </c>
      <c r="I1638" s="2">
        <v>113.97</v>
      </c>
    </row>
    <row r="1639" spans="1:9" x14ac:dyDescent="0.3">
      <c r="A1639" t="str">
        <f t="shared" si="550"/>
        <v>United States</v>
      </c>
      <c r="B1639" t="str">
        <f t="shared" si="560"/>
        <v>Franklin</v>
      </c>
      <c r="C1639" t="str">
        <f t="shared" si="561"/>
        <v>First Class</v>
      </c>
      <c r="D1639" t="str">
        <f t="shared" ref="D1639:D1640" si="562">D1638</f>
        <v>Home Office</v>
      </c>
      <c r="E1639" t="s">
        <v>20</v>
      </c>
      <c r="F1639">
        <v>2</v>
      </c>
      <c r="G1639">
        <v>0</v>
      </c>
      <c r="H1639" s="2">
        <v>1.728</v>
      </c>
      <c r="I1639" s="2">
        <v>3.6</v>
      </c>
    </row>
    <row r="1640" spans="1:9" x14ac:dyDescent="0.3">
      <c r="A1640" t="str">
        <f t="shared" si="550"/>
        <v>United States</v>
      </c>
      <c r="B1640" t="str">
        <f t="shared" si="560"/>
        <v>Franklin</v>
      </c>
      <c r="C1640" t="str">
        <f t="shared" si="561"/>
        <v>First Class</v>
      </c>
      <c r="D1640" t="str">
        <f t="shared" si="562"/>
        <v>Home Office</v>
      </c>
      <c r="E1640" t="s">
        <v>21</v>
      </c>
      <c r="F1640">
        <v>5</v>
      </c>
      <c r="G1640">
        <v>0</v>
      </c>
      <c r="H1640" s="2">
        <v>23.384</v>
      </c>
      <c r="I1640" s="2">
        <v>63.2</v>
      </c>
    </row>
    <row r="1641" spans="1:9" x14ac:dyDescent="0.3">
      <c r="A1641" t="str">
        <f t="shared" si="550"/>
        <v>United States</v>
      </c>
      <c r="B1641" t="str">
        <f t="shared" si="560"/>
        <v>Franklin</v>
      </c>
      <c r="C1641" t="s">
        <v>27</v>
      </c>
      <c r="D1641" t="s">
        <v>15</v>
      </c>
      <c r="E1641" t="s">
        <v>14</v>
      </c>
      <c r="F1641">
        <v>3</v>
      </c>
      <c r="G1641">
        <v>0</v>
      </c>
      <c r="H1641" s="2">
        <v>10.475399999999999</v>
      </c>
      <c r="I1641" s="2">
        <v>40.29</v>
      </c>
    </row>
    <row r="1642" spans="1:9" x14ac:dyDescent="0.3">
      <c r="A1642" t="str">
        <f t="shared" si="550"/>
        <v>United States</v>
      </c>
      <c r="B1642" t="str">
        <f t="shared" si="560"/>
        <v>Franklin</v>
      </c>
      <c r="C1642" t="s">
        <v>7</v>
      </c>
      <c r="D1642" t="s">
        <v>8</v>
      </c>
      <c r="E1642" t="s">
        <v>12</v>
      </c>
      <c r="F1642">
        <v>3</v>
      </c>
      <c r="G1642">
        <v>0</v>
      </c>
      <c r="H1642" s="2">
        <v>297.64349999999996</v>
      </c>
      <c r="I1642" s="2">
        <v>901.94999999999993</v>
      </c>
    </row>
    <row r="1643" spans="1:9" x14ac:dyDescent="0.3">
      <c r="A1643" t="str">
        <f t="shared" si="550"/>
        <v>United States</v>
      </c>
      <c r="B1643" t="str">
        <f t="shared" si="560"/>
        <v>Franklin</v>
      </c>
      <c r="C1643" t="str">
        <f t="shared" ref="C1643:C1647" si="563">C1642</f>
        <v>Second Class</v>
      </c>
      <c r="D1643" t="str">
        <f t="shared" ref="D1643:D1645" si="564">D1642</f>
        <v>Consumer</v>
      </c>
      <c r="E1643" t="s">
        <v>21</v>
      </c>
      <c r="F1643">
        <v>5</v>
      </c>
      <c r="G1643">
        <v>0</v>
      </c>
      <c r="H1643" s="2">
        <v>48.906000000000006</v>
      </c>
      <c r="I1643" s="2">
        <v>111.15</v>
      </c>
    </row>
    <row r="1644" spans="1:9" x14ac:dyDescent="0.3">
      <c r="A1644" t="str">
        <f t="shared" si="550"/>
        <v>United States</v>
      </c>
      <c r="B1644" t="str">
        <f t="shared" si="560"/>
        <v>Franklin</v>
      </c>
      <c r="C1644" t="str">
        <f t="shared" si="563"/>
        <v>Second Class</v>
      </c>
      <c r="D1644" t="str">
        <f t="shared" si="564"/>
        <v>Consumer</v>
      </c>
      <c r="E1644" t="s">
        <v>24</v>
      </c>
      <c r="F1644">
        <v>3</v>
      </c>
      <c r="G1644">
        <v>0</v>
      </c>
      <c r="H1644" s="2">
        <v>35.864399999999996</v>
      </c>
      <c r="I1644" s="2">
        <v>137.94</v>
      </c>
    </row>
    <row r="1645" spans="1:9" x14ac:dyDescent="0.3">
      <c r="A1645" t="str">
        <f t="shared" si="550"/>
        <v>United States</v>
      </c>
      <c r="B1645" t="str">
        <f t="shared" si="560"/>
        <v>Franklin</v>
      </c>
      <c r="C1645" t="str">
        <f t="shared" si="563"/>
        <v>Second Class</v>
      </c>
      <c r="D1645" t="str">
        <f t="shared" si="564"/>
        <v>Consumer</v>
      </c>
      <c r="E1645" t="s">
        <v>25</v>
      </c>
      <c r="F1645">
        <v>3</v>
      </c>
      <c r="G1645">
        <v>0.3</v>
      </c>
      <c r="H1645" s="2">
        <v>-47.058300000000003</v>
      </c>
      <c r="I1645" s="2">
        <v>366.00899999999996</v>
      </c>
    </row>
    <row r="1646" spans="1:9" x14ac:dyDescent="0.3">
      <c r="A1646" t="str">
        <f t="shared" si="550"/>
        <v>United States</v>
      </c>
      <c r="B1646" t="str">
        <f t="shared" si="560"/>
        <v>Franklin</v>
      </c>
      <c r="C1646" t="str">
        <f t="shared" si="563"/>
        <v>Second Class</v>
      </c>
      <c r="D1646" t="s">
        <v>15</v>
      </c>
      <c r="E1646" t="s">
        <v>20</v>
      </c>
      <c r="F1646">
        <v>2</v>
      </c>
      <c r="G1646">
        <v>0.7</v>
      </c>
      <c r="H1646" s="2">
        <v>-2.0621999999999998</v>
      </c>
      <c r="I1646" s="2">
        <v>2.9460000000000006</v>
      </c>
    </row>
    <row r="1647" spans="1:9" x14ac:dyDescent="0.3">
      <c r="A1647" t="str">
        <f t="shared" si="550"/>
        <v>United States</v>
      </c>
      <c r="B1647" t="str">
        <f t="shared" si="560"/>
        <v>Franklin</v>
      </c>
      <c r="C1647" t="str">
        <f t="shared" si="563"/>
        <v>Second Class</v>
      </c>
      <c r="D1647" t="str">
        <f>D1646</f>
        <v>Corporate</v>
      </c>
      <c r="E1647" t="s">
        <v>25</v>
      </c>
      <c r="F1647">
        <v>3</v>
      </c>
      <c r="G1647">
        <v>0.4</v>
      </c>
      <c r="H1647" s="2">
        <v>-29.323800000000006</v>
      </c>
      <c r="I1647" s="2">
        <v>79.97399999999999</v>
      </c>
    </row>
    <row r="1648" spans="1:9" x14ac:dyDescent="0.3">
      <c r="A1648" t="str">
        <f t="shared" si="550"/>
        <v>United States</v>
      </c>
      <c r="B1648" t="str">
        <f t="shared" si="560"/>
        <v>Franklin</v>
      </c>
      <c r="C1648" t="s">
        <v>22</v>
      </c>
      <c r="D1648" t="s">
        <v>8</v>
      </c>
      <c r="E1648" t="s">
        <v>19</v>
      </c>
      <c r="F1648">
        <v>5</v>
      </c>
      <c r="G1648">
        <v>0</v>
      </c>
      <c r="H1648" s="2">
        <v>3.3784999999999989</v>
      </c>
      <c r="I1648" s="2">
        <v>11.65</v>
      </c>
    </row>
    <row r="1649" spans="1:9" x14ac:dyDescent="0.3">
      <c r="A1649" t="str">
        <f t="shared" si="550"/>
        <v>United States</v>
      </c>
      <c r="B1649" t="str">
        <f t="shared" si="560"/>
        <v>Franklin</v>
      </c>
      <c r="C1649" t="str">
        <f t="shared" ref="C1649:C1666" si="565">C1648</f>
        <v>Standard Class</v>
      </c>
      <c r="D1649" t="str">
        <f t="shared" ref="D1649:D1651" si="566">D1648</f>
        <v>Consumer</v>
      </c>
      <c r="E1649" t="s">
        <v>16</v>
      </c>
      <c r="F1649">
        <v>1</v>
      </c>
      <c r="G1649">
        <v>0.2</v>
      </c>
      <c r="H1649" s="2">
        <v>1.8144</v>
      </c>
      <c r="I1649" s="2">
        <v>5.1840000000000011</v>
      </c>
    </row>
    <row r="1650" spans="1:9" x14ac:dyDescent="0.3">
      <c r="A1650" t="str">
        <f t="shared" si="550"/>
        <v>United States</v>
      </c>
      <c r="B1650" t="str">
        <f t="shared" si="560"/>
        <v>Franklin</v>
      </c>
      <c r="C1650" t="str">
        <f t="shared" si="565"/>
        <v>Standard Class</v>
      </c>
      <c r="D1650" t="str">
        <f t="shared" si="566"/>
        <v>Consumer</v>
      </c>
      <c r="E1650" t="s">
        <v>24</v>
      </c>
      <c r="F1650">
        <v>3</v>
      </c>
      <c r="G1650">
        <v>0.2</v>
      </c>
      <c r="H1650" s="2">
        <v>-9.153000000000004</v>
      </c>
      <c r="I1650" s="2">
        <v>40.68</v>
      </c>
    </row>
    <row r="1651" spans="1:9" x14ac:dyDescent="0.3">
      <c r="A1651" t="str">
        <f t="shared" si="550"/>
        <v>United States</v>
      </c>
      <c r="B1651" t="str">
        <f t="shared" si="560"/>
        <v>Franklin</v>
      </c>
      <c r="C1651" t="str">
        <f t="shared" si="565"/>
        <v>Standard Class</v>
      </c>
      <c r="D1651" t="str">
        <f t="shared" si="566"/>
        <v>Consumer</v>
      </c>
      <c r="E1651" t="s">
        <v>25</v>
      </c>
      <c r="F1651">
        <v>3</v>
      </c>
      <c r="G1651">
        <v>0.3</v>
      </c>
      <c r="H1651" s="2">
        <v>-130.0104</v>
      </c>
      <c r="I1651" s="2">
        <v>700.05600000000004</v>
      </c>
    </row>
    <row r="1652" spans="1:9" x14ac:dyDescent="0.3">
      <c r="A1652" t="str">
        <f t="shared" si="550"/>
        <v>United States</v>
      </c>
      <c r="B1652" t="str">
        <f t="shared" si="560"/>
        <v>Franklin</v>
      </c>
      <c r="C1652" t="str">
        <f t="shared" si="565"/>
        <v>Standard Class</v>
      </c>
      <c r="D1652" t="s">
        <v>15</v>
      </c>
      <c r="E1652" t="s">
        <v>12</v>
      </c>
      <c r="F1652">
        <v>2</v>
      </c>
      <c r="G1652">
        <v>0.2</v>
      </c>
      <c r="H1652" s="2">
        <v>2.3363999999999976</v>
      </c>
      <c r="I1652" s="2">
        <v>20.768000000000001</v>
      </c>
    </row>
    <row r="1653" spans="1:9" x14ac:dyDescent="0.3">
      <c r="A1653" t="str">
        <f t="shared" si="550"/>
        <v>United States</v>
      </c>
      <c r="B1653" t="str">
        <f t="shared" si="560"/>
        <v>Franklin</v>
      </c>
      <c r="C1653" t="str">
        <f t="shared" si="565"/>
        <v>Standard Class</v>
      </c>
      <c r="D1653" t="str">
        <f t="shared" ref="D1653:D1659" si="567">D1652</f>
        <v>Corporate</v>
      </c>
      <c r="E1653" t="s">
        <v>20</v>
      </c>
      <c r="F1653">
        <v>15</v>
      </c>
      <c r="G1653">
        <v>0</v>
      </c>
      <c r="H1653" s="2">
        <v>189.48320000000001</v>
      </c>
      <c r="I1653" s="2">
        <v>400.54</v>
      </c>
    </row>
    <row r="1654" spans="1:9" x14ac:dyDescent="0.3">
      <c r="A1654" t="str">
        <f t="shared" si="550"/>
        <v>United States</v>
      </c>
      <c r="B1654" t="str">
        <f t="shared" si="560"/>
        <v>Franklin</v>
      </c>
      <c r="C1654" t="str">
        <f t="shared" si="565"/>
        <v>Standard Class</v>
      </c>
      <c r="D1654" t="str">
        <f t="shared" si="567"/>
        <v>Corporate</v>
      </c>
      <c r="E1654" t="s">
        <v>34</v>
      </c>
      <c r="F1654">
        <v>6</v>
      </c>
      <c r="G1654">
        <v>0</v>
      </c>
      <c r="H1654" s="2">
        <v>407.12880000000007</v>
      </c>
      <c r="I1654" s="2">
        <v>1565.88</v>
      </c>
    </row>
    <row r="1655" spans="1:9" x14ac:dyDescent="0.3">
      <c r="A1655" t="str">
        <f t="shared" si="550"/>
        <v>United States</v>
      </c>
      <c r="B1655" t="str">
        <f t="shared" si="560"/>
        <v>Franklin</v>
      </c>
      <c r="C1655" t="str">
        <f t="shared" si="565"/>
        <v>Standard Class</v>
      </c>
      <c r="D1655" t="str">
        <f t="shared" si="567"/>
        <v>Corporate</v>
      </c>
      <c r="E1655" t="s">
        <v>33</v>
      </c>
      <c r="F1655">
        <v>11</v>
      </c>
      <c r="G1655">
        <v>0</v>
      </c>
      <c r="H1655" s="2">
        <v>628.77539999999988</v>
      </c>
      <c r="I1655" s="2">
        <v>2344.7799999999997</v>
      </c>
    </row>
    <row r="1656" spans="1:9" x14ac:dyDescent="0.3">
      <c r="A1656" t="str">
        <f t="shared" si="550"/>
        <v>United States</v>
      </c>
      <c r="B1656" t="str">
        <f t="shared" si="560"/>
        <v>Franklin</v>
      </c>
      <c r="C1656" t="str">
        <f t="shared" si="565"/>
        <v>Standard Class</v>
      </c>
      <c r="D1656" t="str">
        <f t="shared" si="567"/>
        <v>Corporate</v>
      </c>
      <c r="E1656" t="s">
        <v>21</v>
      </c>
      <c r="F1656">
        <v>7</v>
      </c>
      <c r="G1656">
        <v>0.2</v>
      </c>
      <c r="H1656" s="2">
        <v>9.6712000000000025</v>
      </c>
      <c r="I1656" s="2">
        <v>35.168000000000006</v>
      </c>
    </row>
    <row r="1657" spans="1:9" x14ac:dyDescent="0.3">
      <c r="A1657" t="str">
        <f t="shared" si="550"/>
        <v>United States</v>
      </c>
      <c r="B1657" t="str">
        <f t="shared" si="560"/>
        <v>Franklin</v>
      </c>
      <c r="C1657" t="str">
        <f t="shared" si="565"/>
        <v>Standard Class</v>
      </c>
      <c r="D1657" t="str">
        <f t="shared" si="567"/>
        <v>Corporate</v>
      </c>
      <c r="E1657" t="s">
        <v>16</v>
      </c>
      <c r="F1657">
        <v>2</v>
      </c>
      <c r="G1657">
        <v>0</v>
      </c>
      <c r="H1657" s="2">
        <v>3.0267999999999997</v>
      </c>
      <c r="I1657" s="2">
        <v>6.58</v>
      </c>
    </row>
    <row r="1658" spans="1:9" x14ac:dyDescent="0.3">
      <c r="A1658" t="str">
        <f t="shared" si="550"/>
        <v>United States</v>
      </c>
      <c r="B1658" t="str">
        <f t="shared" si="560"/>
        <v>Franklin</v>
      </c>
      <c r="C1658" t="str">
        <f t="shared" si="565"/>
        <v>Standard Class</v>
      </c>
      <c r="D1658" t="str">
        <f t="shared" si="567"/>
        <v>Corporate</v>
      </c>
      <c r="E1658" t="s">
        <v>24</v>
      </c>
      <c r="F1658">
        <v>14</v>
      </c>
      <c r="G1658">
        <v>0</v>
      </c>
      <c r="H1658" s="2">
        <v>109.80030000000002</v>
      </c>
      <c r="I1658" s="2">
        <v>534.42000000000007</v>
      </c>
    </row>
    <row r="1659" spans="1:9" x14ac:dyDescent="0.3">
      <c r="A1659" t="str">
        <f t="shared" si="550"/>
        <v>United States</v>
      </c>
      <c r="B1659" t="str">
        <f t="shared" si="560"/>
        <v>Franklin</v>
      </c>
      <c r="C1659" t="str">
        <f t="shared" si="565"/>
        <v>Standard Class</v>
      </c>
      <c r="D1659" t="str">
        <f t="shared" si="567"/>
        <v>Corporate</v>
      </c>
      <c r="E1659" t="s">
        <v>25</v>
      </c>
      <c r="F1659">
        <v>7</v>
      </c>
      <c r="G1659">
        <v>0.3</v>
      </c>
      <c r="H1659" s="2">
        <v>-297.68479999999983</v>
      </c>
      <c r="I1659" s="2">
        <v>1488.4239999999998</v>
      </c>
    </row>
    <row r="1660" spans="1:9" x14ac:dyDescent="0.3">
      <c r="A1660" t="str">
        <f t="shared" si="550"/>
        <v>United States</v>
      </c>
      <c r="B1660" t="str">
        <f t="shared" si="560"/>
        <v>Franklin</v>
      </c>
      <c r="C1660" t="str">
        <f t="shared" si="565"/>
        <v>Standard Class</v>
      </c>
      <c r="D1660" t="s">
        <v>17</v>
      </c>
      <c r="E1660" t="s">
        <v>23</v>
      </c>
      <c r="F1660">
        <v>3</v>
      </c>
      <c r="G1660">
        <v>0</v>
      </c>
      <c r="H1660" s="2">
        <v>14.870699999999998</v>
      </c>
      <c r="I1660" s="2">
        <v>47.97</v>
      </c>
    </row>
    <row r="1661" spans="1:9" x14ac:dyDescent="0.3">
      <c r="A1661" t="str">
        <f t="shared" si="550"/>
        <v>United States</v>
      </c>
      <c r="B1661" t="str">
        <f t="shared" si="560"/>
        <v>Franklin</v>
      </c>
      <c r="C1661" t="str">
        <f t="shared" si="565"/>
        <v>Standard Class</v>
      </c>
      <c r="D1661" t="str">
        <f t="shared" ref="D1661:D1666" si="568">D1660</f>
        <v>Home Office</v>
      </c>
      <c r="E1661" t="s">
        <v>19</v>
      </c>
      <c r="F1661">
        <v>2</v>
      </c>
      <c r="G1661">
        <v>0.2</v>
      </c>
      <c r="H1661" s="2">
        <v>0.31679999999999986</v>
      </c>
      <c r="I1661" s="2">
        <v>2.8160000000000003</v>
      </c>
    </row>
    <row r="1662" spans="1:9" x14ac:dyDescent="0.3">
      <c r="A1662" t="str">
        <f t="shared" si="550"/>
        <v>United States</v>
      </c>
      <c r="B1662" t="str">
        <f t="shared" si="560"/>
        <v>Franklin</v>
      </c>
      <c r="C1662" t="str">
        <f t="shared" si="565"/>
        <v>Standard Class</v>
      </c>
      <c r="D1662" t="str">
        <f t="shared" si="568"/>
        <v>Home Office</v>
      </c>
      <c r="E1662" t="s">
        <v>20</v>
      </c>
      <c r="F1662">
        <v>7</v>
      </c>
      <c r="G1662">
        <v>0.7</v>
      </c>
      <c r="H1662" s="2">
        <v>49.006799999999998</v>
      </c>
      <c r="I1662" s="2">
        <v>117.804</v>
      </c>
    </row>
    <row r="1663" spans="1:9" x14ac:dyDescent="0.3">
      <c r="A1663" t="str">
        <f t="shared" si="550"/>
        <v>United States</v>
      </c>
      <c r="B1663" t="str">
        <f t="shared" si="560"/>
        <v>Franklin</v>
      </c>
      <c r="C1663" t="str">
        <f t="shared" si="565"/>
        <v>Standard Class</v>
      </c>
      <c r="D1663" t="str">
        <f t="shared" si="568"/>
        <v>Home Office</v>
      </c>
      <c r="E1663" t="s">
        <v>33</v>
      </c>
      <c r="F1663">
        <v>1</v>
      </c>
      <c r="G1663">
        <v>0</v>
      </c>
      <c r="H1663" s="2">
        <v>15.185000000000002</v>
      </c>
      <c r="I1663" s="2">
        <v>60.74</v>
      </c>
    </row>
    <row r="1664" spans="1:9" x14ac:dyDescent="0.3">
      <c r="A1664" t="str">
        <f t="shared" si="550"/>
        <v>United States</v>
      </c>
      <c r="B1664" t="str">
        <f t="shared" si="560"/>
        <v>Franklin</v>
      </c>
      <c r="C1664" t="str">
        <f t="shared" si="565"/>
        <v>Standard Class</v>
      </c>
      <c r="D1664" t="str">
        <f t="shared" si="568"/>
        <v>Home Office</v>
      </c>
      <c r="E1664" t="s">
        <v>21</v>
      </c>
      <c r="F1664">
        <v>2</v>
      </c>
      <c r="G1664">
        <v>0</v>
      </c>
      <c r="H1664" s="2">
        <v>27.359200000000001</v>
      </c>
      <c r="I1664" s="2">
        <v>124.36</v>
      </c>
    </row>
    <row r="1665" spans="1:9" x14ac:dyDescent="0.3">
      <c r="A1665" t="str">
        <f t="shared" si="550"/>
        <v>United States</v>
      </c>
      <c r="B1665" t="str">
        <f t="shared" si="560"/>
        <v>Franklin</v>
      </c>
      <c r="C1665" t="str">
        <f t="shared" si="565"/>
        <v>Standard Class</v>
      </c>
      <c r="D1665" t="str">
        <f t="shared" si="568"/>
        <v>Home Office</v>
      </c>
      <c r="E1665" t="s">
        <v>43</v>
      </c>
      <c r="F1665">
        <v>4</v>
      </c>
      <c r="G1665">
        <v>0.2</v>
      </c>
      <c r="H1665" s="2">
        <v>4.1999999999999993</v>
      </c>
      <c r="I1665" s="2">
        <v>12</v>
      </c>
    </row>
    <row r="1666" spans="1:9" x14ac:dyDescent="0.3">
      <c r="A1666" t="str">
        <f t="shared" si="550"/>
        <v>United States</v>
      </c>
      <c r="B1666" t="str">
        <f t="shared" si="560"/>
        <v>Franklin</v>
      </c>
      <c r="C1666" t="str">
        <f t="shared" si="565"/>
        <v>Standard Class</v>
      </c>
      <c r="D1666" t="str">
        <f t="shared" si="568"/>
        <v>Home Office</v>
      </c>
      <c r="E1666" t="s">
        <v>14</v>
      </c>
      <c r="F1666">
        <v>11</v>
      </c>
      <c r="G1666">
        <v>0.4</v>
      </c>
      <c r="H1666" s="2">
        <v>247.96779999999984</v>
      </c>
      <c r="I1666" s="2">
        <v>1834.248</v>
      </c>
    </row>
    <row r="1667" spans="1:9" x14ac:dyDescent="0.3">
      <c r="A1667" t="str">
        <f t="shared" si="550"/>
        <v>United States</v>
      </c>
      <c r="B1667" t="s">
        <v>187</v>
      </c>
      <c r="C1667" t="s">
        <v>11</v>
      </c>
      <c r="D1667" t="s">
        <v>8</v>
      </c>
      <c r="E1667" t="s">
        <v>20</v>
      </c>
      <c r="F1667">
        <v>4</v>
      </c>
      <c r="G1667">
        <v>0.8</v>
      </c>
      <c r="H1667" s="2">
        <v>-145.17600000000002</v>
      </c>
      <c r="I1667" s="2">
        <v>96.783999999999978</v>
      </c>
    </row>
    <row r="1668" spans="1:9" x14ac:dyDescent="0.3">
      <c r="A1668" t="str">
        <f t="shared" ref="A1668:A1731" si="569">A1667</f>
        <v>United States</v>
      </c>
      <c r="B1668" t="str">
        <f t="shared" ref="B1668:B1676" si="570">B1667</f>
        <v>Freeport</v>
      </c>
      <c r="C1668" t="str">
        <f t="shared" ref="C1668:C1669" si="571">C1667</f>
        <v>First Class</v>
      </c>
      <c r="D1668" t="str">
        <f t="shared" ref="D1668:D1669" si="572">D1667</f>
        <v>Consumer</v>
      </c>
      <c r="E1668" t="s">
        <v>21</v>
      </c>
      <c r="F1668">
        <v>3</v>
      </c>
      <c r="G1668">
        <v>0.6</v>
      </c>
      <c r="H1668" s="2">
        <v>-6.8094000000000037</v>
      </c>
      <c r="I1668" s="2">
        <v>10.476000000000001</v>
      </c>
    </row>
    <row r="1669" spans="1:9" x14ac:dyDescent="0.3">
      <c r="A1669" t="str">
        <f t="shared" si="569"/>
        <v>United States</v>
      </c>
      <c r="B1669" t="str">
        <f t="shared" si="570"/>
        <v>Freeport</v>
      </c>
      <c r="C1669" t="str">
        <f t="shared" si="571"/>
        <v>First Class</v>
      </c>
      <c r="D1669" t="str">
        <f t="shared" si="572"/>
        <v>Consumer</v>
      </c>
      <c r="E1669" t="s">
        <v>16</v>
      </c>
      <c r="F1669">
        <v>3</v>
      </c>
      <c r="G1669">
        <v>0.2</v>
      </c>
      <c r="H1669" s="2">
        <v>20.576399999999996</v>
      </c>
      <c r="I1669" s="2">
        <v>63.311999999999998</v>
      </c>
    </row>
    <row r="1670" spans="1:9" x14ac:dyDescent="0.3">
      <c r="A1670" t="str">
        <f t="shared" si="569"/>
        <v>United States</v>
      </c>
      <c r="B1670" t="str">
        <f t="shared" si="570"/>
        <v>Freeport</v>
      </c>
      <c r="C1670" t="s">
        <v>27</v>
      </c>
      <c r="D1670" t="s">
        <v>8</v>
      </c>
      <c r="E1670" t="s">
        <v>33</v>
      </c>
      <c r="F1670">
        <v>1</v>
      </c>
      <c r="G1670">
        <v>0.1</v>
      </c>
      <c r="H1670" s="2">
        <v>6.8388000000000009</v>
      </c>
      <c r="I1670" s="2">
        <v>102.58200000000001</v>
      </c>
    </row>
    <row r="1671" spans="1:9" x14ac:dyDescent="0.3">
      <c r="A1671" t="str">
        <f t="shared" si="569"/>
        <v>United States</v>
      </c>
      <c r="B1671" t="str">
        <f t="shared" si="570"/>
        <v>Freeport</v>
      </c>
      <c r="C1671" t="str">
        <f>C1670</f>
        <v>Same Day</v>
      </c>
      <c r="D1671" t="str">
        <f>D1670</f>
        <v>Consumer</v>
      </c>
      <c r="E1671" t="s">
        <v>16</v>
      </c>
      <c r="F1671">
        <v>3</v>
      </c>
      <c r="G1671">
        <v>0</v>
      </c>
      <c r="H1671" s="2">
        <v>9.6191999999999993</v>
      </c>
      <c r="I1671" s="2">
        <v>20.04</v>
      </c>
    </row>
    <row r="1672" spans="1:9" x14ac:dyDescent="0.3">
      <c r="A1672" t="str">
        <f t="shared" si="569"/>
        <v>United States</v>
      </c>
      <c r="B1672" t="str">
        <f t="shared" si="570"/>
        <v>Freeport</v>
      </c>
      <c r="C1672" t="s">
        <v>7</v>
      </c>
      <c r="D1672" t="s">
        <v>8</v>
      </c>
      <c r="E1672" t="s">
        <v>20</v>
      </c>
      <c r="F1672">
        <v>2</v>
      </c>
      <c r="G1672">
        <v>0.2</v>
      </c>
      <c r="H1672" s="2">
        <v>6.0367999999999986</v>
      </c>
      <c r="I1672" s="2">
        <v>17.248000000000001</v>
      </c>
    </row>
    <row r="1673" spans="1:9" x14ac:dyDescent="0.3">
      <c r="A1673" t="str">
        <f t="shared" si="569"/>
        <v>United States</v>
      </c>
      <c r="B1673" t="str">
        <f t="shared" si="570"/>
        <v>Freeport</v>
      </c>
      <c r="C1673" t="s">
        <v>22</v>
      </c>
      <c r="D1673" t="s">
        <v>8</v>
      </c>
      <c r="E1673" t="s">
        <v>19</v>
      </c>
      <c r="F1673">
        <v>3</v>
      </c>
      <c r="G1673">
        <v>0</v>
      </c>
      <c r="H1673" s="2">
        <v>14.345999999999995</v>
      </c>
      <c r="I1673" s="2">
        <v>47.82</v>
      </c>
    </row>
    <row r="1674" spans="1:9" x14ac:dyDescent="0.3">
      <c r="A1674" t="str">
        <f t="shared" si="569"/>
        <v>United States</v>
      </c>
      <c r="B1674" t="str">
        <f t="shared" si="570"/>
        <v>Freeport</v>
      </c>
      <c r="C1674" t="str">
        <f t="shared" ref="C1674:C1676" si="573">C1673</f>
        <v>Standard Class</v>
      </c>
      <c r="D1674" t="str">
        <f t="shared" ref="D1674:D1675" si="574">D1673</f>
        <v>Consumer</v>
      </c>
      <c r="E1674" t="s">
        <v>21</v>
      </c>
      <c r="F1674">
        <v>3</v>
      </c>
      <c r="G1674">
        <v>0</v>
      </c>
      <c r="H1674" s="2">
        <v>64.518000000000001</v>
      </c>
      <c r="I1674" s="2">
        <v>322.59000000000003</v>
      </c>
    </row>
    <row r="1675" spans="1:9" x14ac:dyDescent="0.3">
      <c r="A1675" t="str">
        <f t="shared" si="569"/>
        <v>United States</v>
      </c>
      <c r="B1675" t="str">
        <f t="shared" si="570"/>
        <v>Freeport</v>
      </c>
      <c r="C1675" t="str">
        <f t="shared" si="573"/>
        <v>Standard Class</v>
      </c>
      <c r="D1675" t="str">
        <f t="shared" si="574"/>
        <v>Consumer</v>
      </c>
      <c r="E1675" t="s">
        <v>43</v>
      </c>
      <c r="F1675">
        <v>5</v>
      </c>
      <c r="G1675">
        <v>0</v>
      </c>
      <c r="H1675" s="2">
        <v>6.0029999999999992</v>
      </c>
      <c r="I1675" s="2">
        <v>13.049999999999999</v>
      </c>
    </row>
    <row r="1676" spans="1:9" x14ac:dyDescent="0.3">
      <c r="A1676" t="str">
        <f t="shared" si="569"/>
        <v>United States</v>
      </c>
      <c r="B1676" t="str">
        <f t="shared" si="570"/>
        <v>Freeport</v>
      </c>
      <c r="C1676" t="str">
        <f t="shared" si="573"/>
        <v>Standard Class</v>
      </c>
      <c r="D1676" t="s">
        <v>15</v>
      </c>
      <c r="E1676" t="s">
        <v>14</v>
      </c>
      <c r="F1676">
        <v>2</v>
      </c>
      <c r="G1676">
        <v>0.2</v>
      </c>
      <c r="H1676" s="2">
        <v>3.9591999999999992</v>
      </c>
      <c r="I1676" s="2">
        <v>45.248000000000005</v>
      </c>
    </row>
    <row r="1677" spans="1:9" x14ac:dyDescent="0.3">
      <c r="A1677" t="str">
        <f t="shared" si="569"/>
        <v>United States</v>
      </c>
      <c r="B1677" t="s">
        <v>188</v>
      </c>
      <c r="C1677" t="s">
        <v>11</v>
      </c>
      <c r="D1677" t="s">
        <v>15</v>
      </c>
      <c r="E1677" t="s">
        <v>24</v>
      </c>
      <c r="F1677">
        <v>4</v>
      </c>
      <c r="G1677">
        <v>0</v>
      </c>
      <c r="H1677" s="2">
        <v>22.388800000000003</v>
      </c>
      <c r="I1677" s="2">
        <v>79.959999999999994</v>
      </c>
    </row>
    <row r="1678" spans="1:9" x14ac:dyDescent="0.3">
      <c r="A1678" t="str">
        <f t="shared" si="569"/>
        <v>United States</v>
      </c>
      <c r="B1678" t="str">
        <f t="shared" ref="B1678:B1684" si="575">B1677</f>
        <v>Fremont</v>
      </c>
      <c r="C1678" t="s">
        <v>27</v>
      </c>
      <c r="D1678" t="s">
        <v>15</v>
      </c>
      <c r="E1678" t="s">
        <v>14</v>
      </c>
      <c r="F1678">
        <v>2</v>
      </c>
      <c r="G1678">
        <v>0</v>
      </c>
      <c r="H1678" s="2">
        <v>37.533999999999992</v>
      </c>
      <c r="I1678" s="2">
        <v>750.68</v>
      </c>
    </row>
    <row r="1679" spans="1:9" x14ac:dyDescent="0.3">
      <c r="A1679" t="str">
        <f t="shared" si="569"/>
        <v>United States</v>
      </c>
      <c r="B1679" t="str">
        <f t="shared" si="575"/>
        <v>Fremont</v>
      </c>
      <c r="C1679" t="str">
        <f>C1678</f>
        <v>Same Day</v>
      </c>
      <c r="D1679" t="s">
        <v>17</v>
      </c>
      <c r="E1679" t="s">
        <v>21</v>
      </c>
      <c r="F1679">
        <v>2</v>
      </c>
      <c r="G1679">
        <v>0</v>
      </c>
      <c r="H1679" s="2">
        <v>7.0048000000000012</v>
      </c>
      <c r="I1679" s="2">
        <v>15.92</v>
      </c>
    </row>
    <row r="1680" spans="1:9" x14ac:dyDescent="0.3">
      <c r="A1680" t="str">
        <f t="shared" si="569"/>
        <v>United States</v>
      </c>
      <c r="B1680" t="str">
        <f t="shared" si="575"/>
        <v>Fremont</v>
      </c>
      <c r="C1680" t="s">
        <v>7</v>
      </c>
      <c r="D1680" t="s">
        <v>8</v>
      </c>
      <c r="E1680" t="s">
        <v>16</v>
      </c>
      <c r="F1680">
        <v>5</v>
      </c>
      <c r="G1680">
        <v>0</v>
      </c>
      <c r="H1680" s="2">
        <v>15.593999999999999</v>
      </c>
      <c r="I1680" s="2">
        <v>33.9</v>
      </c>
    </row>
    <row r="1681" spans="1:9" x14ac:dyDescent="0.3">
      <c r="A1681" t="str">
        <f t="shared" si="569"/>
        <v>United States</v>
      </c>
      <c r="B1681" t="str">
        <f t="shared" si="575"/>
        <v>Fremont</v>
      </c>
      <c r="C1681" t="s">
        <v>22</v>
      </c>
      <c r="D1681" t="s">
        <v>8</v>
      </c>
      <c r="E1681" t="s">
        <v>16</v>
      </c>
      <c r="F1681">
        <v>1</v>
      </c>
      <c r="G1681">
        <v>0</v>
      </c>
      <c r="H1681" s="2">
        <v>50.327999999999996</v>
      </c>
      <c r="I1681" s="2">
        <v>104.85</v>
      </c>
    </row>
    <row r="1682" spans="1:9" x14ac:dyDescent="0.3">
      <c r="A1682" t="str">
        <f t="shared" si="569"/>
        <v>United States</v>
      </c>
      <c r="B1682" t="str">
        <f t="shared" si="575"/>
        <v>Fremont</v>
      </c>
      <c r="C1682" t="str">
        <f t="shared" ref="C1682:C1684" si="576">C1681</f>
        <v>Standard Class</v>
      </c>
      <c r="D1682" t="s">
        <v>15</v>
      </c>
      <c r="E1682" t="s">
        <v>12</v>
      </c>
      <c r="F1682">
        <v>7</v>
      </c>
      <c r="G1682">
        <v>0</v>
      </c>
      <c r="H1682" s="2">
        <v>15.688400000000001</v>
      </c>
      <c r="I1682" s="2">
        <v>60.339999999999996</v>
      </c>
    </row>
    <row r="1683" spans="1:9" x14ac:dyDescent="0.3">
      <c r="A1683" t="str">
        <f t="shared" si="569"/>
        <v>United States</v>
      </c>
      <c r="B1683" t="str">
        <f t="shared" si="575"/>
        <v>Fremont</v>
      </c>
      <c r="C1683" t="str">
        <f t="shared" si="576"/>
        <v>Standard Class</v>
      </c>
      <c r="D1683" t="str">
        <f t="shared" ref="D1683:D1684" si="577">D1682</f>
        <v>Corporate</v>
      </c>
      <c r="E1683" t="s">
        <v>19</v>
      </c>
      <c r="F1683">
        <v>7</v>
      </c>
      <c r="G1683">
        <v>0</v>
      </c>
      <c r="H1683" s="2">
        <v>5.0595999999999997</v>
      </c>
      <c r="I1683" s="2">
        <v>19.459999999999997</v>
      </c>
    </row>
    <row r="1684" spans="1:9" x14ac:dyDescent="0.3">
      <c r="A1684" t="str">
        <f t="shared" si="569"/>
        <v>United States</v>
      </c>
      <c r="B1684" t="str">
        <f t="shared" si="575"/>
        <v>Fremont</v>
      </c>
      <c r="C1684" t="str">
        <f t="shared" si="576"/>
        <v>Standard Class</v>
      </c>
      <c r="D1684" t="str">
        <f t="shared" si="577"/>
        <v>Corporate</v>
      </c>
      <c r="E1684" t="s">
        <v>20</v>
      </c>
      <c r="F1684">
        <v>5</v>
      </c>
      <c r="G1684">
        <v>0</v>
      </c>
      <c r="H1684" s="2">
        <v>25.871999999999996</v>
      </c>
      <c r="I1684" s="2">
        <v>53.9</v>
      </c>
    </row>
    <row r="1685" spans="1:9" x14ac:dyDescent="0.3">
      <c r="A1685" t="str">
        <f t="shared" si="569"/>
        <v>United States</v>
      </c>
      <c r="B1685" t="s">
        <v>189</v>
      </c>
      <c r="C1685" t="s">
        <v>11</v>
      </c>
      <c r="D1685" t="s">
        <v>8</v>
      </c>
      <c r="E1685" t="s">
        <v>12</v>
      </c>
      <c r="F1685">
        <v>4</v>
      </c>
      <c r="G1685">
        <v>0</v>
      </c>
      <c r="H1685" s="2">
        <v>45.770399999999995</v>
      </c>
      <c r="I1685" s="2">
        <v>176.04</v>
      </c>
    </row>
    <row r="1686" spans="1:9" x14ac:dyDescent="0.3">
      <c r="A1686" t="str">
        <f t="shared" si="569"/>
        <v>United States</v>
      </c>
      <c r="B1686" t="str">
        <f t="shared" ref="B1686:B1702" si="578">B1685</f>
        <v>Fresno</v>
      </c>
      <c r="C1686" t="str">
        <f t="shared" ref="C1686:C1689" si="579">C1685</f>
        <v>First Class</v>
      </c>
      <c r="D1686" t="str">
        <f t="shared" ref="D1686:D1689" si="580">D1685</f>
        <v>Consumer</v>
      </c>
      <c r="E1686" t="s">
        <v>19</v>
      </c>
      <c r="F1686">
        <v>9</v>
      </c>
      <c r="G1686">
        <v>0</v>
      </c>
      <c r="H1686" s="2">
        <v>4.4855999999999998</v>
      </c>
      <c r="I1686" s="2">
        <v>16.02</v>
      </c>
    </row>
    <row r="1687" spans="1:9" x14ac:dyDescent="0.3">
      <c r="A1687" t="str">
        <f t="shared" si="569"/>
        <v>United States</v>
      </c>
      <c r="B1687" t="str">
        <f t="shared" si="578"/>
        <v>Fresno</v>
      </c>
      <c r="C1687" t="str">
        <f t="shared" si="579"/>
        <v>First Class</v>
      </c>
      <c r="D1687" t="str">
        <f t="shared" si="580"/>
        <v>Consumer</v>
      </c>
      <c r="E1687" t="s">
        <v>20</v>
      </c>
      <c r="F1687">
        <v>4</v>
      </c>
      <c r="G1687">
        <v>0.2</v>
      </c>
      <c r="H1687" s="2">
        <v>62.74799999999999</v>
      </c>
      <c r="I1687" s="2">
        <v>185.92000000000002</v>
      </c>
    </row>
    <row r="1688" spans="1:9" x14ac:dyDescent="0.3">
      <c r="A1688" t="str">
        <f t="shared" si="569"/>
        <v>United States</v>
      </c>
      <c r="B1688" t="str">
        <f t="shared" si="578"/>
        <v>Fresno</v>
      </c>
      <c r="C1688" t="str">
        <f t="shared" si="579"/>
        <v>First Class</v>
      </c>
      <c r="D1688" t="str">
        <f t="shared" si="580"/>
        <v>Consumer</v>
      </c>
      <c r="E1688" t="s">
        <v>45</v>
      </c>
      <c r="F1688">
        <v>2</v>
      </c>
      <c r="G1688">
        <v>0.2</v>
      </c>
      <c r="H1688" s="2">
        <v>59.997999999999962</v>
      </c>
      <c r="I1688" s="2">
        <v>479.98400000000004</v>
      </c>
    </row>
    <row r="1689" spans="1:9" x14ac:dyDescent="0.3">
      <c r="A1689" t="str">
        <f t="shared" si="569"/>
        <v>United States</v>
      </c>
      <c r="B1689" t="str">
        <f t="shared" si="578"/>
        <v>Fresno</v>
      </c>
      <c r="C1689" t="str">
        <f t="shared" si="579"/>
        <v>First Class</v>
      </c>
      <c r="D1689" t="str">
        <f t="shared" si="580"/>
        <v>Consumer</v>
      </c>
      <c r="E1689" t="s">
        <v>24</v>
      </c>
      <c r="F1689">
        <v>4</v>
      </c>
      <c r="G1689">
        <v>0.2</v>
      </c>
      <c r="H1689" s="2">
        <v>15.837600000000009</v>
      </c>
      <c r="I1689" s="2">
        <v>211.16800000000001</v>
      </c>
    </row>
    <row r="1690" spans="1:9" x14ac:dyDescent="0.3">
      <c r="A1690" t="str">
        <f t="shared" si="569"/>
        <v>United States</v>
      </c>
      <c r="B1690" t="str">
        <f t="shared" si="578"/>
        <v>Fresno</v>
      </c>
      <c r="C1690" t="s">
        <v>7</v>
      </c>
      <c r="D1690" t="s">
        <v>8</v>
      </c>
      <c r="E1690" t="s">
        <v>20</v>
      </c>
      <c r="F1690">
        <v>14</v>
      </c>
      <c r="G1690">
        <v>0.60000000000000009</v>
      </c>
      <c r="H1690" s="2">
        <v>92.112299999999962</v>
      </c>
      <c r="I1690" s="2">
        <v>281.24</v>
      </c>
    </row>
    <row r="1691" spans="1:9" x14ac:dyDescent="0.3">
      <c r="A1691" t="str">
        <f t="shared" si="569"/>
        <v>United States</v>
      </c>
      <c r="B1691" t="str">
        <f t="shared" si="578"/>
        <v>Fresno</v>
      </c>
      <c r="C1691" t="str">
        <f t="shared" ref="C1691:C1693" si="581">C1690</f>
        <v>Second Class</v>
      </c>
      <c r="D1691" t="str">
        <f t="shared" ref="D1691:D1693" si="582">D1690</f>
        <v>Consumer</v>
      </c>
      <c r="E1691" t="s">
        <v>34</v>
      </c>
      <c r="F1691">
        <v>3</v>
      </c>
      <c r="G1691">
        <v>0.15</v>
      </c>
      <c r="H1691" s="2">
        <v>11.998799999999989</v>
      </c>
      <c r="I1691" s="2">
        <v>254.97449999999998</v>
      </c>
    </row>
    <row r="1692" spans="1:9" x14ac:dyDescent="0.3">
      <c r="A1692" t="str">
        <f t="shared" si="569"/>
        <v>United States</v>
      </c>
      <c r="B1692" t="str">
        <f t="shared" si="578"/>
        <v>Fresno</v>
      </c>
      <c r="C1692" t="str">
        <f t="shared" si="581"/>
        <v>Second Class</v>
      </c>
      <c r="D1692" t="str">
        <f t="shared" si="582"/>
        <v>Consumer</v>
      </c>
      <c r="E1692" t="s">
        <v>21</v>
      </c>
      <c r="F1692">
        <v>3</v>
      </c>
      <c r="G1692">
        <v>0</v>
      </c>
      <c r="H1692" s="2">
        <v>27.254099999999998</v>
      </c>
      <c r="I1692" s="2">
        <v>71.41</v>
      </c>
    </row>
    <row r="1693" spans="1:9" x14ac:dyDescent="0.3">
      <c r="A1693" t="str">
        <f t="shared" si="569"/>
        <v>United States</v>
      </c>
      <c r="B1693" t="str">
        <f t="shared" si="578"/>
        <v>Fresno</v>
      </c>
      <c r="C1693" t="str">
        <f t="shared" si="581"/>
        <v>Second Class</v>
      </c>
      <c r="D1693" t="str">
        <f t="shared" si="582"/>
        <v>Consumer</v>
      </c>
      <c r="E1693" t="s">
        <v>25</v>
      </c>
      <c r="F1693">
        <v>23</v>
      </c>
      <c r="G1693">
        <v>0.60000000000000009</v>
      </c>
      <c r="H1693" s="2">
        <v>239.70730000000009</v>
      </c>
      <c r="I1693" s="2">
        <v>5072.6959999999999</v>
      </c>
    </row>
    <row r="1694" spans="1:9" x14ac:dyDescent="0.3">
      <c r="A1694" t="str">
        <f t="shared" si="569"/>
        <v>United States</v>
      </c>
      <c r="B1694" t="str">
        <f t="shared" si="578"/>
        <v>Fresno</v>
      </c>
      <c r="C1694" t="s">
        <v>22</v>
      </c>
      <c r="D1694" t="s">
        <v>8</v>
      </c>
      <c r="E1694" t="s">
        <v>16</v>
      </c>
      <c r="F1694">
        <v>1</v>
      </c>
      <c r="G1694">
        <v>0</v>
      </c>
      <c r="H1694" s="2">
        <v>2.6909999999999998</v>
      </c>
      <c r="I1694" s="2">
        <v>5.98</v>
      </c>
    </row>
    <row r="1695" spans="1:9" x14ac:dyDescent="0.3">
      <c r="A1695" t="str">
        <f t="shared" si="569"/>
        <v>United States</v>
      </c>
      <c r="B1695" t="str">
        <f t="shared" si="578"/>
        <v>Fresno</v>
      </c>
      <c r="C1695" t="str">
        <f t="shared" ref="C1695:C1702" si="583">C1694</f>
        <v>Standard Class</v>
      </c>
      <c r="D1695" t="str">
        <f>D1694</f>
        <v>Consumer</v>
      </c>
      <c r="E1695" t="s">
        <v>14</v>
      </c>
      <c r="F1695">
        <v>7</v>
      </c>
      <c r="G1695">
        <v>0</v>
      </c>
      <c r="H1695" s="2">
        <v>0.97719999999999807</v>
      </c>
      <c r="I1695" s="2">
        <v>48.86</v>
      </c>
    </row>
    <row r="1696" spans="1:9" x14ac:dyDescent="0.3">
      <c r="A1696" t="str">
        <f t="shared" si="569"/>
        <v>United States</v>
      </c>
      <c r="B1696" t="str">
        <f t="shared" si="578"/>
        <v>Fresno</v>
      </c>
      <c r="C1696" t="str">
        <f t="shared" si="583"/>
        <v>Standard Class</v>
      </c>
      <c r="D1696" t="s">
        <v>15</v>
      </c>
      <c r="E1696" t="s">
        <v>23</v>
      </c>
      <c r="F1696">
        <v>5</v>
      </c>
      <c r="G1696">
        <v>0</v>
      </c>
      <c r="H1696" s="2">
        <v>118.98299999999999</v>
      </c>
      <c r="I1696" s="2">
        <v>349.95</v>
      </c>
    </row>
    <row r="1697" spans="1:9" x14ac:dyDescent="0.3">
      <c r="A1697" t="str">
        <f t="shared" si="569"/>
        <v>United States</v>
      </c>
      <c r="B1697" t="str">
        <f t="shared" si="578"/>
        <v>Fresno</v>
      </c>
      <c r="C1697" t="str">
        <f t="shared" si="583"/>
        <v>Standard Class</v>
      </c>
      <c r="D1697" t="str">
        <f t="shared" ref="D1697:D1700" si="584">D1696</f>
        <v>Corporate</v>
      </c>
      <c r="E1697" t="s">
        <v>12</v>
      </c>
      <c r="F1697">
        <v>2</v>
      </c>
      <c r="G1697">
        <v>0</v>
      </c>
      <c r="H1697" s="2">
        <v>11.351200000000002</v>
      </c>
      <c r="I1697" s="2">
        <v>40.54</v>
      </c>
    </row>
    <row r="1698" spans="1:9" x14ac:dyDescent="0.3">
      <c r="A1698" t="str">
        <f t="shared" si="569"/>
        <v>United States</v>
      </c>
      <c r="B1698" t="str">
        <f t="shared" si="578"/>
        <v>Fresno</v>
      </c>
      <c r="C1698" t="str">
        <f t="shared" si="583"/>
        <v>Standard Class</v>
      </c>
      <c r="D1698" t="str">
        <f t="shared" si="584"/>
        <v>Corporate</v>
      </c>
      <c r="E1698" t="s">
        <v>20</v>
      </c>
      <c r="F1698">
        <v>4</v>
      </c>
      <c r="G1698">
        <v>0.4</v>
      </c>
      <c r="H1698" s="2">
        <v>4.0711999999999993</v>
      </c>
      <c r="I1698" s="2">
        <v>11.632000000000001</v>
      </c>
    </row>
    <row r="1699" spans="1:9" x14ac:dyDescent="0.3">
      <c r="A1699" t="str">
        <f t="shared" si="569"/>
        <v>United States</v>
      </c>
      <c r="B1699" t="str">
        <f t="shared" si="578"/>
        <v>Fresno</v>
      </c>
      <c r="C1699" t="str">
        <f t="shared" si="583"/>
        <v>Standard Class</v>
      </c>
      <c r="D1699" t="str">
        <f t="shared" si="584"/>
        <v>Corporate</v>
      </c>
      <c r="E1699" t="s">
        <v>16</v>
      </c>
      <c r="F1699">
        <v>3</v>
      </c>
      <c r="G1699">
        <v>0</v>
      </c>
      <c r="H1699" s="2">
        <v>7.0218000000000007</v>
      </c>
      <c r="I1699" s="2">
        <v>14.940000000000001</v>
      </c>
    </row>
    <row r="1700" spans="1:9" x14ac:dyDescent="0.3">
      <c r="A1700" t="str">
        <f t="shared" si="569"/>
        <v>United States</v>
      </c>
      <c r="B1700" t="str">
        <f t="shared" si="578"/>
        <v>Fresno</v>
      </c>
      <c r="C1700" t="str">
        <f t="shared" si="583"/>
        <v>Standard Class</v>
      </c>
      <c r="D1700" t="str">
        <f t="shared" si="584"/>
        <v>Corporate</v>
      </c>
      <c r="E1700" t="s">
        <v>24</v>
      </c>
      <c r="F1700">
        <v>9</v>
      </c>
      <c r="G1700">
        <v>0.2</v>
      </c>
      <c r="H1700" s="2">
        <v>141.72300000000001</v>
      </c>
      <c r="I1700" s="2">
        <v>377.92800000000005</v>
      </c>
    </row>
    <row r="1701" spans="1:9" x14ac:dyDescent="0.3">
      <c r="A1701" t="str">
        <f t="shared" si="569"/>
        <v>United States</v>
      </c>
      <c r="B1701" t="str">
        <f t="shared" si="578"/>
        <v>Fresno</v>
      </c>
      <c r="C1701" t="str">
        <f t="shared" si="583"/>
        <v>Standard Class</v>
      </c>
      <c r="D1701" t="s">
        <v>17</v>
      </c>
      <c r="E1701" t="s">
        <v>34</v>
      </c>
      <c r="F1701">
        <v>2</v>
      </c>
      <c r="G1701">
        <v>0.15</v>
      </c>
      <c r="H1701" s="2">
        <v>21.293999999999993</v>
      </c>
      <c r="I1701" s="2">
        <v>120.666</v>
      </c>
    </row>
    <row r="1702" spans="1:9" x14ac:dyDescent="0.3">
      <c r="A1702" t="str">
        <f t="shared" si="569"/>
        <v>United States</v>
      </c>
      <c r="B1702" t="str">
        <f t="shared" si="578"/>
        <v>Fresno</v>
      </c>
      <c r="C1702" t="str">
        <f t="shared" si="583"/>
        <v>Standard Class</v>
      </c>
      <c r="D1702" t="str">
        <f>D1701</f>
        <v>Home Office</v>
      </c>
      <c r="E1702" t="s">
        <v>16</v>
      </c>
      <c r="F1702">
        <v>7</v>
      </c>
      <c r="G1702">
        <v>0</v>
      </c>
      <c r="H1702" s="2">
        <v>80.243599999999986</v>
      </c>
      <c r="I1702" s="2">
        <v>168.57999999999998</v>
      </c>
    </row>
    <row r="1703" spans="1:9" x14ac:dyDescent="0.3">
      <c r="A1703" t="str">
        <f t="shared" si="569"/>
        <v>United States</v>
      </c>
      <c r="B1703" t="s">
        <v>190</v>
      </c>
      <c r="C1703" t="s">
        <v>7</v>
      </c>
      <c r="D1703" t="s">
        <v>8</v>
      </c>
      <c r="E1703" t="s">
        <v>21</v>
      </c>
      <c r="F1703">
        <v>6</v>
      </c>
      <c r="G1703">
        <v>0.6</v>
      </c>
      <c r="H1703" s="2">
        <v>-17.443199999999997</v>
      </c>
      <c r="I1703" s="2">
        <v>30.336000000000006</v>
      </c>
    </row>
    <row r="1704" spans="1:9" x14ac:dyDescent="0.3">
      <c r="A1704" t="str">
        <f t="shared" si="569"/>
        <v>United States</v>
      </c>
      <c r="B1704" t="str">
        <f>B1703</f>
        <v>Frisco</v>
      </c>
      <c r="C1704" t="s">
        <v>22</v>
      </c>
      <c r="D1704" t="s">
        <v>17</v>
      </c>
      <c r="E1704" t="s">
        <v>23</v>
      </c>
      <c r="F1704">
        <v>4</v>
      </c>
      <c r="G1704">
        <v>0.2</v>
      </c>
      <c r="H1704" s="2">
        <v>-1.3583999999999987</v>
      </c>
      <c r="I1704" s="2">
        <v>27.168000000000003</v>
      </c>
    </row>
    <row r="1705" spans="1:9" x14ac:dyDescent="0.3">
      <c r="A1705" t="str">
        <f t="shared" si="569"/>
        <v>United States</v>
      </c>
      <c r="B1705" t="s">
        <v>191</v>
      </c>
      <c r="C1705" t="s">
        <v>22</v>
      </c>
      <c r="D1705" t="s">
        <v>15</v>
      </c>
      <c r="E1705" t="s">
        <v>34</v>
      </c>
      <c r="F1705">
        <v>3</v>
      </c>
      <c r="G1705">
        <v>0</v>
      </c>
      <c r="H1705" s="2">
        <v>38.266800000000003</v>
      </c>
      <c r="I1705" s="2">
        <v>173.94</v>
      </c>
    </row>
    <row r="1706" spans="1:9" x14ac:dyDescent="0.3">
      <c r="A1706" t="str">
        <f t="shared" si="569"/>
        <v>United States</v>
      </c>
      <c r="B1706" t="str">
        <f>B1705</f>
        <v>Gaithersburg</v>
      </c>
      <c r="C1706" t="str">
        <f>C1705</f>
        <v>Standard Class</v>
      </c>
      <c r="D1706" t="str">
        <f>D1705</f>
        <v>Corporate</v>
      </c>
      <c r="E1706" t="s">
        <v>24</v>
      </c>
      <c r="F1706">
        <v>2</v>
      </c>
      <c r="G1706">
        <v>0</v>
      </c>
      <c r="H1706" s="2">
        <v>67.274199999999979</v>
      </c>
      <c r="I1706" s="2">
        <v>231.98</v>
      </c>
    </row>
    <row r="1707" spans="1:9" x14ac:dyDescent="0.3">
      <c r="A1707" t="str">
        <f t="shared" si="569"/>
        <v>United States</v>
      </c>
      <c r="B1707" t="s">
        <v>192</v>
      </c>
      <c r="C1707" t="s">
        <v>11</v>
      </c>
      <c r="D1707" t="s">
        <v>8</v>
      </c>
      <c r="E1707" t="s">
        <v>19</v>
      </c>
      <c r="F1707">
        <v>2</v>
      </c>
      <c r="G1707">
        <v>0</v>
      </c>
      <c r="H1707" s="2">
        <v>1.7279999999999998</v>
      </c>
      <c r="I1707" s="2">
        <v>5.76</v>
      </c>
    </row>
    <row r="1708" spans="1:9" x14ac:dyDescent="0.3">
      <c r="A1708" t="str">
        <f t="shared" si="569"/>
        <v>United States</v>
      </c>
      <c r="B1708" t="str">
        <f t="shared" ref="B1708:B1711" si="585">B1707</f>
        <v>Garden City</v>
      </c>
      <c r="C1708" t="str">
        <f t="shared" ref="C1708:C1709" si="586">C1707</f>
        <v>First Class</v>
      </c>
      <c r="D1708" t="str">
        <f t="shared" ref="D1708:D1709" si="587">D1707</f>
        <v>Consumer</v>
      </c>
      <c r="E1708" t="s">
        <v>18</v>
      </c>
      <c r="F1708">
        <v>1</v>
      </c>
      <c r="G1708">
        <v>0</v>
      </c>
      <c r="H1708" s="2">
        <v>1.8010999999999999</v>
      </c>
      <c r="I1708" s="2">
        <v>5.81</v>
      </c>
    </row>
    <row r="1709" spans="1:9" x14ac:dyDescent="0.3">
      <c r="A1709" t="str">
        <f t="shared" si="569"/>
        <v>United States</v>
      </c>
      <c r="B1709" t="str">
        <f t="shared" si="585"/>
        <v>Garden City</v>
      </c>
      <c r="C1709" t="str">
        <f t="shared" si="586"/>
        <v>First Class</v>
      </c>
      <c r="D1709" t="str">
        <f t="shared" si="587"/>
        <v>Consumer</v>
      </c>
      <c r="E1709" t="s">
        <v>16</v>
      </c>
      <c r="F1709">
        <v>2</v>
      </c>
      <c r="G1709">
        <v>0</v>
      </c>
      <c r="H1709" s="2">
        <v>4.2929999999999993</v>
      </c>
      <c r="I1709" s="2">
        <v>9.5399999999999991</v>
      </c>
    </row>
    <row r="1710" spans="1:9" x14ac:dyDescent="0.3">
      <c r="A1710" t="str">
        <f t="shared" si="569"/>
        <v>United States</v>
      </c>
      <c r="B1710" t="str">
        <f t="shared" si="585"/>
        <v>Garden City</v>
      </c>
      <c r="C1710" t="s">
        <v>27</v>
      </c>
      <c r="D1710" t="s">
        <v>15</v>
      </c>
      <c r="E1710" t="s">
        <v>14</v>
      </c>
      <c r="F1710">
        <v>1</v>
      </c>
      <c r="G1710">
        <v>0</v>
      </c>
      <c r="H1710" s="2">
        <v>7.9895999999999994</v>
      </c>
      <c r="I1710" s="2">
        <v>33.29</v>
      </c>
    </row>
    <row r="1711" spans="1:9" x14ac:dyDescent="0.3">
      <c r="A1711" t="str">
        <f t="shared" si="569"/>
        <v>United States</v>
      </c>
      <c r="B1711" t="str">
        <f t="shared" si="585"/>
        <v>Garden City</v>
      </c>
      <c r="C1711" t="s">
        <v>22</v>
      </c>
      <c r="D1711" t="s">
        <v>15</v>
      </c>
      <c r="E1711" t="s">
        <v>24</v>
      </c>
      <c r="F1711">
        <v>2</v>
      </c>
      <c r="G1711">
        <v>0</v>
      </c>
      <c r="H1711" s="2">
        <v>74.8142</v>
      </c>
      <c r="I1711" s="2">
        <v>257.98</v>
      </c>
    </row>
    <row r="1712" spans="1:9" x14ac:dyDescent="0.3">
      <c r="A1712" t="str">
        <f t="shared" si="569"/>
        <v>United States</v>
      </c>
      <c r="B1712" t="s">
        <v>193</v>
      </c>
      <c r="C1712" t="s">
        <v>11</v>
      </c>
      <c r="D1712" t="s">
        <v>8</v>
      </c>
      <c r="E1712" t="s">
        <v>20</v>
      </c>
      <c r="F1712">
        <v>4</v>
      </c>
      <c r="G1712">
        <v>0.8</v>
      </c>
      <c r="H1712" s="2">
        <v>-32.088000000000008</v>
      </c>
      <c r="I1712" s="2">
        <v>18.335999999999999</v>
      </c>
    </row>
    <row r="1713" spans="1:9" x14ac:dyDescent="0.3">
      <c r="A1713" t="str">
        <f t="shared" si="569"/>
        <v>United States</v>
      </c>
      <c r="B1713" t="str">
        <f t="shared" ref="B1713:B1715" si="588">B1712</f>
        <v>Garland</v>
      </c>
      <c r="C1713" t="str">
        <f t="shared" ref="C1713:C1714" si="589">C1712</f>
        <v>First Class</v>
      </c>
      <c r="D1713" t="str">
        <f>D1712</f>
        <v>Consumer</v>
      </c>
      <c r="E1713" t="s">
        <v>43</v>
      </c>
      <c r="F1713">
        <v>5</v>
      </c>
      <c r="G1713">
        <v>0.2</v>
      </c>
      <c r="H1713" s="2">
        <v>3.3929999999999989</v>
      </c>
      <c r="I1713" s="2">
        <v>10.440000000000001</v>
      </c>
    </row>
    <row r="1714" spans="1:9" x14ac:dyDescent="0.3">
      <c r="A1714" t="str">
        <f t="shared" si="569"/>
        <v>United States</v>
      </c>
      <c r="B1714" t="str">
        <f t="shared" si="588"/>
        <v>Garland</v>
      </c>
      <c r="C1714" t="str">
        <f t="shared" si="589"/>
        <v>First Class</v>
      </c>
      <c r="D1714" t="s">
        <v>17</v>
      </c>
      <c r="E1714" t="s">
        <v>21</v>
      </c>
      <c r="F1714">
        <v>2</v>
      </c>
      <c r="G1714">
        <v>0.6</v>
      </c>
      <c r="H1714" s="2">
        <v>-7.4759999999999991</v>
      </c>
      <c r="I1714" s="2">
        <v>8.5440000000000005</v>
      </c>
    </row>
    <row r="1715" spans="1:9" x14ac:dyDescent="0.3">
      <c r="A1715" t="str">
        <f t="shared" si="569"/>
        <v>United States</v>
      </c>
      <c r="B1715" t="str">
        <f t="shared" si="588"/>
        <v>Garland</v>
      </c>
      <c r="C1715" t="s">
        <v>7</v>
      </c>
      <c r="D1715" t="s">
        <v>17</v>
      </c>
      <c r="E1715" t="s">
        <v>19</v>
      </c>
      <c r="F1715">
        <v>1</v>
      </c>
      <c r="G1715">
        <v>0.2</v>
      </c>
      <c r="H1715" s="2">
        <v>3.7979999999999947</v>
      </c>
      <c r="I1715" s="2">
        <v>30.384</v>
      </c>
    </row>
    <row r="1716" spans="1:9" x14ac:dyDescent="0.3">
      <c r="A1716" t="str">
        <f t="shared" si="569"/>
        <v>United States</v>
      </c>
      <c r="B1716" t="s">
        <v>194</v>
      </c>
      <c r="C1716" t="s">
        <v>22</v>
      </c>
      <c r="D1716" t="s">
        <v>17</v>
      </c>
      <c r="E1716" t="s">
        <v>23</v>
      </c>
      <c r="F1716">
        <v>12</v>
      </c>
      <c r="G1716">
        <v>0.4</v>
      </c>
      <c r="H1716" s="2">
        <v>131.38199999999995</v>
      </c>
      <c r="I1716" s="2">
        <v>700.70399999999995</v>
      </c>
    </row>
    <row r="1717" spans="1:9" x14ac:dyDescent="0.3">
      <c r="A1717" t="str">
        <f t="shared" si="569"/>
        <v>United States</v>
      </c>
      <c r="B1717" t="str">
        <f t="shared" ref="B1717:B1718" si="590">B1716</f>
        <v>Gastonia</v>
      </c>
      <c r="C1717" t="str">
        <f t="shared" ref="C1717:C1718" si="591">C1716</f>
        <v>Standard Class</v>
      </c>
      <c r="D1717" t="str">
        <f t="shared" ref="D1717:D1718" si="592">D1716</f>
        <v>Home Office</v>
      </c>
      <c r="E1717" t="s">
        <v>20</v>
      </c>
      <c r="F1717">
        <v>2</v>
      </c>
      <c r="G1717">
        <v>0.7</v>
      </c>
      <c r="H1717" s="2">
        <v>-145.35079999999999</v>
      </c>
      <c r="I1717" s="2">
        <v>189.58800000000005</v>
      </c>
    </row>
    <row r="1718" spans="1:9" x14ac:dyDescent="0.3">
      <c r="A1718" t="str">
        <f t="shared" si="569"/>
        <v>United States</v>
      </c>
      <c r="B1718" t="str">
        <f t="shared" si="590"/>
        <v>Gastonia</v>
      </c>
      <c r="C1718" t="str">
        <f t="shared" si="591"/>
        <v>Standard Class</v>
      </c>
      <c r="D1718" t="str">
        <f t="shared" si="592"/>
        <v>Home Office</v>
      </c>
      <c r="E1718" t="s">
        <v>14</v>
      </c>
      <c r="F1718">
        <v>2</v>
      </c>
      <c r="G1718">
        <v>0.2</v>
      </c>
      <c r="H1718" s="2">
        <v>-0.7748000000000006</v>
      </c>
      <c r="I1718" s="2">
        <v>4.7679999999999998</v>
      </c>
    </row>
    <row r="1719" spans="1:9" x14ac:dyDescent="0.3">
      <c r="A1719" t="str">
        <f t="shared" si="569"/>
        <v>United States</v>
      </c>
      <c r="B1719" t="s">
        <v>195</v>
      </c>
      <c r="C1719" t="s">
        <v>7</v>
      </c>
      <c r="D1719" t="s">
        <v>8</v>
      </c>
      <c r="E1719" t="s">
        <v>12</v>
      </c>
      <c r="F1719">
        <v>4</v>
      </c>
      <c r="G1719">
        <v>0</v>
      </c>
      <c r="H1719" s="2">
        <v>50.876800000000003</v>
      </c>
      <c r="I1719" s="2">
        <v>195.68</v>
      </c>
    </row>
    <row r="1720" spans="1:9" x14ac:dyDescent="0.3">
      <c r="A1720" t="str">
        <f t="shared" si="569"/>
        <v>United States</v>
      </c>
      <c r="B1720" t="str">
        <f t="shared" ref="B1720:B1726" si="593">B1719</f>
        <v>Georgetown</v>
      </c>
      <c r="C1720" t="str">
        <f t="shared" ref="C1720:C1722" si="594">C1719</f>
        <v>Second Class</v>
      </c>
      <c r="D1720" t="str">
        <f t="shared" ref="D1720:D1722" si="595">D1719</f>
        <v>Consumer</v>
      </c>
      <c r="E1720" t="s">
        <v>18</v>
      </c>
      <c r="F1720">
        <v>4</v>
      </c>
      <c r="G1720">
        <v>0</v>
      </c>
      <c r="H1720" s="2">
        <v>6.6739999999999995</v>
      </c>
      <c r="I1720" s="2">
        <v>14.2</v>
      </c>
    </row>
    <row r="1721" spans="1:9" x14ac:dyDescent="0.3">
      <c r="A1721" t="str">
        <f t="shared" si="569"/>
        <v>United States</v>
      </c>
      <c r="B1721" t="str">
        <f t="shared" si="593"/>
        <v>Georgetown</v>
      </c>
      <c r="C1721" t="str">
        <f t="shared" si="594"/>
        <v>Second Class</v>
      </c>
      <c r="D1721" t="str">
        <f t="shared" si="595"/>
        <v>Consumer</v>
      </c>
      <c r="E1721" t="s">
        <v>24</v>
      </c>
      <c r="F1721">
        <v>2</v>
      </c>
      <c r="G1721">
        <v>0</v>
      </c>
      <c r="H1721" s="2">
        <v>195.99440000000004</v>
      </c>
      <c r="I1721" s="2">
        <v>699.98</v>
      </c>
    </row>
    <row r="1722" spans="1:9" x14ac:dyDescent="0.3">
      <c r="A1722" t="str">
        <f t="shared" si="569"/>
        <v>United States</v>
      </c>
      <c r="B1722" t="str">
        <f t="shared" si="593"/>
        <v>Georgetown</v>
      </c>
      <c r="C1722" t="str">
        <f t="shared" si="594"/>
        <v>Second Class</v>
      </c>
      <c r="D1722" t="str">
        <f t="shared" si="595"/>
        <v>Consumer</v>
      </c>
      <c r="E1722" t="s">
        <v>14</v>
      </c>
      <c r="F1722">
        <v>9</v>
      </c>
      <c r="G1722">
        <v>0</v>
      </c>
      <c r="H1722" s="2">
        <v>70.178400000000025</v>
      </c>
      <c r="I1722" s="2">
        <v>584.82000000000005</v>
      </c>
    </row>
    <row r="1723" spans="1:9" x14ac:dyDescent="0.3">
      <c r="A1723" t="str">
        <f t="shared" si="569"/>
        <v>United States</v>
      </c>
      <c r="B1723" t="str">
        <f t="shared" si="593"/>
        <v>Georgetown</v>
      </c>
      <c r="C1723" t="s">
        <v>22</v>
      </c>
      <c r="D1723" t="s">
        <v>8</v>
      </c>
      <c r="E1723" t="s">
        <v>19</v>
      </c>
      <c r="F1723">
        <v>3</v>
      </c>
      <c r="G1723">
        <v>0</v>
      </c>
      <c r="H1723" s="2">
        <v>2.5343999999999998</v>
      </c>
      <c r="I1723" s="2">
        <v>5.28</v>
      </c>
    </row>
    <row r="1724" spans="1:9" x14ac:dyDescent="0.3">
      <c r="A1724" t="str">
        <f t="shared" si="569"/>
        <v>United States</v>
      </c>
      <c r="B1724" t="str">
        <f t="shared" si="593"/>
        <v>Georgetown</v>
      </c>
      <c r="C1724" t="str">
        <f t="shared" ref="C1724:C1726" si="596">C1723</f>
        <v>Standard Class</v>
      </c>
      <c r="D1724" t="str">
        <f t="shared" ref="D1724:D1726" si="597">D1723</f>
        <v>Consumer</v>
      </c>
      <c r="E1724" t="s">
        <v>20</v>
      </c>
      <c r="F1724">
        <v>6</v>
      </c>
      <c r="G1724">
        <v>0</v>
      </c>
      <c r="H1724" s="2">
        <v>54.691199999999995</v>
      </c>
      <c r="I1724" s="2">
        <v>113.94</v>
      </c>
    </row>
    <row r="1725" spans="1:9" x14ac:dyDescent="0.3">
      <c r="A1725" t="str">
        <f t="shared" si="569"/>
        <v>United States</v>
      </c>
      <c r="B1725" t="str">
        <f t="shared" si="593"/>
        <v>Georgetown</v>
      </c>
      <c r="C1725" t="str">
        <f t="shared" si="596"/>
        <v>Standard Class</v>
      </c>
      <c r="D1725" t="str">
        <f t="shared" si="597"/>
        <v>Consumer</v>
      </c>
      <c r="E1725" t="s">
        <v>21</v>
      </c>
      <c r="F1725">
        <v>3</v>
      </c>
      <c r="G1725">
        <v>0</v>
      </c>
      <c r="H1725" s="2">
        <v>16.614000000000001</v>
      </c>
      <c r="I1725" s="2">
        <v>42.599999999999994</v>
      </c>
    </row>
    <row r="1726" spans="1:9" x14ac:dyDescent="0.3">
      <c r="A1726" t="str">
        <f t="shared" si="569"/>
        <v>United States</v>
      </c>
      <c r="B1726" t="str">
        <f t="shared" si="593"/>
        <v>Georgetown</v>
      </c>
      <c r="C1726" t="str">
        <f t="shared" si="596"/>
        <v>Standard Class</v>
      </c>
      <c r="D1726" t="str">
        <f t="shared" si="597"/>
        <v>Consumer</v>
      </c>
      <c r="E1726" t="s">
        <v>14</v>
      </c>
      <c r="F1726">
        <v>4</v>
      </c>
      <c r="G1726">
        <v>0</v>
      </c>
      <c r="H1726" s="2">
        <v>5.1967999999999961</v>
      </c>
      <c r="I1726" s="2">
        <v>129.91999999999999</v>
      </c>
    </row>
    <row r="1727" spans="1:9" x14ac:dyDescent="0.3">
      <c r="A1727" t="str">
        <f t="shared" si="569"/>
        <v>United States</v>
      </c>
      <c r="B1727" t="s">
        <v>196</v>
      </c>
      <c r="C1727" t="s">
        <v>22</v>
      </c>
      <c r="D1727" t="s">
        <v>8</v>
      </c>
      <c r="E1727" t="s">
        <v>21</v>
      </c>
      <c r="F1727">
        <v>10</v>
      </c>
      <c r="G1727">
        <v>0.4</v>
      </c>
      <c r="H1727" s="2">
        <v>-25.400000000000038</v>
      </c>
      <c r="I1727" s="2">
        <v>404.96000000000004</v>
      </c>
    </row>
    <row r="1728" spans="1:9" x14ac:dyDescent="0.3">
      <c r="A1728" t="str">
        <f t="shared" si="569"/>
        <v>United States</v>
      </c>
      <c r="B1728" t="str">
        <f t="shared" ref="B1728:B1740" si="598">B1727</f>
        <v>Gilbert</v>
      </c>
      <c r="C1728" t="str">
        <f t="shared" ref="C1728:C1740" si="599">C1727</f>
        <v>Standard Class</v>
      </c>
      <c r="D1728" t="str">
        <f t="shared" ref="D1728:D1729" si="600">D1727</f>
        <v>Consumer</v>
      </c>
      <c r="E1728" t="s">
        <v>16</v>
      </c>
      <c r="F1728">
        <v>2</v>
      </c>
      <c r="G1728">
        <v>0.2</v>
      </c>
      <c r="H1728" s="2">
        <v>2.9899999999999993</v>
      </c>
      <c r="I1728" s="2">
        <v>9.5680000000000014</v>
      </c>
    </row>
    <row r="1729" spans="1:9" x14ac:dyDescent="0.3">
      <c r="A1729" t="str">
        <f t="shared" si="569"/>
        <v>United States</v>
      </c>
      <c r="B1729" t="str">
        <f t="shared" si="598"/>
        <v>Gilbert</v>
      </c>
      <c r="C1729" t="str">
        <f t="shared" si="599"/>
        <v>Standard Class</v>
      </c>
      <c r="D1729" t="str">
        <f t="shared" si="600"/>
        <v>Consumer</v>
      </c>
      <c r="E1729" t="s">
        <v>14</v>
      </c>
      <c r="F1729">
        <v>2</v>
      </c>
      <c r="G1729">
        <v>0.2</v>
      </c>
      <c r="H1729" s="2">
        <v>-19.562399999999997</v>
      </c>
      <c r="I1729" s="2">
        <v>82.367999999999995</v>
      </c>
    </row>
    <row r="1730" spans="1:9" x14ac:dyDescent="0.3">
      <c r="A1730" t="str">
        <f t="shared" si="569"/>
        <v>United States</v>
      </c>
      <c r="B1730" t="str">
        <f t="shared" si="598"/>
        <v>Gilbert</v>
      </c>
      <c r="C1730" t="str">
        <f t="shared" si="599"/>
        <v>Standard Class</v>
      </c>
      <c r="D1730" t="s">
        <v>15</v>
      </c>
      <c r="E1730" t="s">
        <v>19</v>
      </c>
      <c r="F1730">
        <v>8</v>
      </c>
      <c r="G1730">
        <v>0.2</v>
      </c>
      <c r="H1730" s="2">
        <v>111.30239999999998</v>
      </c>
      <c r="I1730" s="2">
        <v>1113.0240000000001</v>
      </c>
    </row>
    <row r="1731" spans="1:9" x14ac:dyDescent="0.3">
      <c r="A1731" t="str">
        <f t="shared" si="569"/>
        <v>United States</v>
      </c>
      <c r="B1731" t="str">
        <f t="shared" si="598"/>
        <v>Gilbert</v>
      </c>
      <c r="C1731" t="str">
        <f t="shared" si="599"/>
        <v>Standard Class</v>
      </c>
      <c r="D1731" t="str">
        <f t="shared" ref="D1731:D1734" si="601">D1730</f>
        <v>Corporate</v>
      </c>
      <c r="E1731" t="s">
        <v>33</v>
      </c>
      <c r="F1731">
        <v>4</v>
      </c>
      <c r="G1731">
        <v>0.2</v>
      </c>
      <c r="H1731" s="2">
        <v>99.431999999999931</v>
      </c>
      <c r="I1731" s="2">
        <v>883.84</v>
      </c>
    </row>
    <row r="1732" spans="1:9" x14ac:dyDescent="0.3">
      <c r="A1732" t="str">
        <f t="shared" ref="A1732:A1795" si="602">A1731</f>
        <v>United States</v>
      </c>
      <c r="B1732" t="str">
        <f t="shared" si="598"/>
        <v>Gilbert</v>
      </c>
      <c r="C1732" t="str">
        <f t="shared" si="599"/>
        <v>Standard Class</v>
      </c>
      <c r="D1732" t="str">
        <f t="shared" si="601"/>
        <v>Corporate</v>
      </c>
      <c r="E1732" t="s">
        <v>21</v>
      </c>
      <c r="F1732">
        <v>4</v>
      </c>
      <c r="G1732">
        <v>0.2</v>
      </c>
      <c r="H1732" s="2">
        <v>46.631999999999977</v>
      </c>
      <c r="I1732" s="2">
        <v>621.7600000000001</v>
      </c>
    </row>
    <row r="1733" spans="1:9" x14ac:dyDescent="0.3">
      <c r="A1733" t="str">
        <f t="shared" si="602"/>
        <v>United States</v>
      </c>
      <c r="B1733" t="str">
        <f t="shared" si="598"/>
        <v>Gilbert</v>
      </c>
      <c r="C1733" t="str">
        <f t="shared" si="599"/>
        <v>Standard Class</v>
      </c>
      <c r="D1733" t="str">
        <f t="shared" si="601"/>
        <v>Corporate</v>
      </c>
      <c r="E1733" t="s">
        <v>43</v>
      </c>
      <c r="F1733">
        <v>2</v>
      </c>
      <c r="G1733">
        <v>0.2</v>
      </c>
      <c r="H1733" s="2">
        <v>1.9925999999999999</v>
      </c>
      <c r="I1733" s="2">
        <v>5.9039999999999999</v>
      </c>
    </row>
    <row r="1734" spans="1:9" x14ac:dyDescent="0.3">
      <c r="A1734" t="str">
        <f t="shared" si="602"/>
        <v>United States</v>
      </c>
      <c r="B1734" t="str">
        <f t="shared" si="598"/>
        <v>Gilbert</v>
      </c>
      <c r="C1734" t="str">
        <f t="shared" si="599"/>
        <v>Standard Class</v>
      </c>
      <c r="D1734" t="str">
        <f t="shared" si="601"/>
        <v>Corporate</v>
      </c>
      <c r="E1734" t="s">
        <v>24</v>
      </c>
      <c r="F1734">
        <v>4</v>
      </c>
      <c r="G1734">
        <v>0.2</v>
      </c>
      <c r="H1734" s="2">
        <v>62.988</v>
      </c>
      <c r="I1734" s="2">
        <v>167.96800000000002</v>
      </c>
    </row>
    <row r="1735" spans="1:9" x14ac:dyDescent="0.3">
      <c r="A1735" t="str">
        <f t="shared" si="602"/>
        <v>United States</v>
      </c>
      <c r="B1735" t="str">
        <f t="shared" si="598"/>
        <v>Gilbert</v>
      </c>
      <c r="C1735" t="str">
        <f t="shared" si="599"/>
        <v>Standard Class</v>
      </c>
      <c r="D1735" t="s">
        <v>17</v>
      </c>
      <c r="E1735" t="s">
        <v>23</v>
      </c>
      <c r="F1735">
        <v>1</v>
      </c>
      <c r="G1735">
        <v>0.2</v>
      </c>
      <c r="H1735" s="2">
        <v>4.7987999999999964</v>
      </c>
      <c r="I1735" s="2">
        <v>31.992000000000004</v>
      </c>
    </row>
    <row r="1736" spans="1:9" x14ac:dyDescent="0.3">
      <c r="A1736" t="str">
        <f t="shared" si="602"/>
        <v>United States</v>
      </c>
      <c r="B1736" t="str">
        <f t="shared" si="598"/>
        <v>Gilbert</v>
      </c>
      <c r="C1736" t="str">
        <f t="shared" si="599"/>
        <v>Standard Class</v>
      </c>
      <c r="D1736" t="str">
        <f t="shared" ref="D1736:D1740" si="603">D1735</f>
        <v>Home Office</v>
      </c>
      <c r="E1736" t="s">
        <v>38</v>
      </c>
      <c r="F1736">
        <v>5</v>
      </c>
      <c r="G1736">
        <v>0.2</v>
      </c>
      <c r="H1736" s="2">
        <v>3.8570000000000002</v>
      </c>
      <c r="I1736" s="2">
        <v>10.64</v>
      </c>
    </row>
    <row r="1737" spans="1:9" x14ac:dyDescent="0.3">
      <c r="A1737" t="str">
        <f t="shared" si="602"/>
        <v>United States</v>
      </c>
      <c r="B1737" t="str">
        <f t="shared" si="598"/>
        <v>Gilbert</v>
      </c>
      <c r="C1737" t="str">
        <f t="shared" si="599"/>
        <v>Standard Class</v>
      </c>
      <c r="D1737" t="str">
        <f t="shared" si="603"/>
        <v>Home Office</v>
      </c>
      <c r="E1737" t="s">
        <v>21</v>
      </c>
      <c r="F1737">
        <v>2</v>
      </c>
      <c r="G1737">
        <v>0.2</v>
      </c>
      <c r="H1737" s="2">
        <v>16.317200000000003</v>
      </c>
      <c r="I1737" s="2">
        <v>68.703999999999994</v>
      </c>
    </row>
    <row r="1738" spans="1:9" x14ac:dyDescent="0.3">
      <c r="A1738" t="str">
        <f t="shared" si="602"/>
        <v>United States</v>
      </c>
      <c r="B1738" t="str">
        <f t="shared" si="598"/>
        <v>Gilbert</v>
      </c>
      <c r="C1738" t="str">
        <f t="shared" si="599"/>
        <v>Standard Class</v>
      </c>
      <c r="D1738" t="str">
        <f t="shared" si="603"/>
        <v>Home Office</v>
      </c>
      <c r="E1738" t="s">
        <v>24</v>
      </c>
      <c r="F1738">
        <v>3</v>
      </c>
      <c r="G1738">
        <v>0.2</v>
      </c>
      <c r="H1738" s="2">
        <v>25.018199999999993</v>
      </c>
      <c r="I1738" s="2">
        <v>333.57600000000002</v>
      </c>
    </row>
    <row r="1739" spans="1:9" x14ac:dyDescent="0.3">
      <c r="A1739" t="str">
        <f t="shared" si="602"/>
        <v>United States</v>
      </c>
      <c r="B1739" t="str">
        <f t="shared" si="598"/>
        <v>Gilbert</v>
      </c>
      <c r="C1739" t="str">
        <f t="shared" si="599"/>
        <v>Standard Class</v>
      </c>
      <c r="D1739" t="str">
        <f t="shared" si="603"/>
        <v>Home Office</v>
      </c>
      <c r="E1739" t="s">
        <v>14</v>
      </c>
      <c r="F1739">
        <v>2</v>
      </c>
      <c r="G1739">
        <v>0.2</v>
      </c>
      <c r="H1739" s="2">
        <v>-6.3960000000000008</v>
      </c>
      <c r="I1739" s="2">
        <v>51.168000000000006</v>
      </c>
    </row>
    <row r="1740" spans="1:9" x14ac:dyDescent="0.3">
      <c r="A1740" t="str">
        <f t="shared" si="602"/>
        <v>United States</v>
      </c>
      <c r="B1740" t="str">
        <f t="shared" si="598"/>
        <v>Gilbert</v>
      </c>
      <c r="C1740" t="str">
        <f t="shared" si="599"/>
        <v>Standard Class</v>
      </c>
      <c r="D1740" t="str">
        <f t="shared" si="603"/>
        <v>Home Office</v>
      </c>
      <c r="E1740" t="s">
        <v>25</v>
      </c>
      <c r="F1740">
        <v>9</v>
      </c>
      <c r="G1740">
        <v>0.5</v>
      </c>
      <c r="H1740" s="2">
        <v>-185.71679999999998</v>
      </c>
      <c r="I1740" s="2">
        <v>386.91</v>
      </c>
    </row>
    <row r="1741" spans="1:9" x14ac:dyDescent="0.3">
      <c r="A1741" t="str">
        <f t="shared" si="602"/>
        <v>United States</v>
      </c>
      <c r="B1741" t="s">
        <v>197</v>
      </c>
      <c r="C1741" t="s">
        <v>11</v>
      </c>
      <c r="D1741" t="s">
        <v>8</v>
      </c>
      <c r="E1741" t="s">
        <v>23</v>
      </c>
      <c r="F1741">
        <v>2</v>
      </c>
      <c r="G1741">
        <v>0</v>
      </c>
      <c r="H1741" s="2">
        <v>12.172799999999999</v>
      </c>
      <c r="I1741" s="2">
        <v>38.04</v>
      </c>
    </row>
    <row r="1742" spans="1:9" x14ac:dyDescent="0.3">
      <c r="A1742" t="str">
        <f t="shared" si="602"/>
        <v>United States</v>
      </c>
      <c r="B1742" t="str">
        <f>B1741</f>
        <v>Gladstone</v>
      </c>
      <c r="C1742" t="str">
        <f>C1741</f>
        <v>First Class</v>
      </c>
      <c r="D1742" t="str">
        <f>D1741</f>
        <v>Consumer</v>
      </c>
      <c r="E1742" t="s">
        <v>21</v>
      </c>
      <c r="F1742">
        <v>3</v>
      </c>
      <c r="G1742">
        <v>0</v>
      </c>
      <c r="H1742" s="2">
        <v>40.415999999999997</v>
      </c>
      <c r="I1742" s="2">
        <v>126.30000000000001</v>
      </c>
    </row>
    <row r="1743" spans="1:9" x14ac:dyDescent="0.3">
      <c r="A1743" t="str">
        <f t="shared" si="602"/>
        <v>United States</v>
      </c>
      <c r="B1743" t="s">
        <v>198</v>
      </c>
      <c r="C1743" t="s">
        <v>27</v>
      </c>
      <c r="D1743" t="s">
        <v>8</v>
      </c>
      <c r="E1743" t="s">
        <v>20</v>
      </c>
      <c r="F1743">
        <v>3</v>
      </c>
      <c r="G1743">
        <v>0.7</v>
      </c>
      <c r="H1743" s="2">
        <v>-7.1147999999999989</v>
      </c>
      <c r="I1743" s="2">
        <v>9.7020000000000017</v>
      </c>
    </row>
    <row r="1744" spans="1:9" x14ac:dyDescent="0.3">
      <c r="A1744" t="str">
        <f t="shared" si="602"/>
        <v>United States</v>
      </c>
      <c r="B1744" t="str">
        <f t="shared" ref="B1744:B1761" si="604">B1743</f>
        <v>Glendale</v>
      </c>
      <c r="C1744" t="str">
        <f t="shared" ref="C1744:C1750" si="605">C1743</f>
        <v>Same Day</v>
      </c>
      <c r="D1744" t="str">
        <f t="shared" ref="D1744:D1745" si="606">D1743</f>
        <v>Consumer</v>
      </c>
      <c r="E1744" t="s">
        <v>33</v>
      </c>
      <c r="F1744">
        <v>4</v>
      </c>
      <c r="G1744">
        <v>0.2</v>
      </c>
      <c r="H1744" s="2">
        <v>105.02279999999996</v>
      </c>
      <c r="I1744" s="2">
        <v>933.53600000000006</v>
      </c>
    </row>
    <row r="1745" spans="1:9" x14ac:dyDescent="0.3">
      <c r="A1745" t="str">
        <f t="shared" si="602"/>
        <v>United States</v>
      </c>
      <c r="B1745" t="str">
        <f t="shared" si="604"/>
        <v>Glendale</v>
      </c>
      <c r="C1745" t="str">
        <f t="shared" si="605"/>
        <v>Same Day</v>
      </c>
      <c r="D1745" t="str">
        <f t="shared" si="606"/>
        <v>Consumer</v>
      </c>
      <c r="E1745" t="s">
        <v>14</v>
      </c>
      <c r="F1745">
        <v>4</v>
      </c>
      <c r="G1745">
        <v>0.2</v>
      </c>
      <c r="H1745" s="2">
        <v>4.2976000000000028</v>
      </c>
      <c r="I1745" s="2">
        <v>42.975999999999999</v>
      </c>
    </row>
    <row r="1746" spans="1:9" x14ac:dyDescent="0.3">
      <c r="A1746" t="str">
        <f t="shared" si="602"/>
        <v>United States</v>
      </c>
      <c r="B1746" t="str">
        <f t="shared" si="604"/>
        <v>Glendale</v>
      </c>
      <c r="C1746" t="str">
        <f t="shared" si="605"/>
        <v>Same Day</v>
      </c>
      <c r="D1746" t="s">
        <v>17</v>
      </c>
      <c r="E1746" t="s">
        <v>23</v>
      </c>
      <c r="F1746">
        <v>4</v>
      </c>
      <c r="G1746">
        <v>0.2</v>
      </c>
      <c r="H1746" s="2">
        <v>12.999999999999998</v>
      </c>
      <c r="I1746" s="2">
        <v>41.6</v>
      </c>
    </row>
    <row r="1747" spans="1:9" x14ac:dyDescent="0.3">
      <c r="A1747" t="str">
        <f t="shared" si="602"/>
        <v>United States</v>
      </c>
      <c r="B1747" t="str">
        <f t="shared" si="604"/>
        <v>Glendale</v>
      </c>
      <c r="C1747" t="str">
        <f t="shared" si="605"/>
        <v>Same Day</v>
      </c>
      <c r="D1747" t="str">
        <f t="shared" ref="D1747:D1750" si="607">D1746</f>
        <v>Home Office</v>
      </c>
      <c r="E1747" t="s">
        <v>33</v>
      </c>
      <c r="F1747">
        <v>2</v>
      </c>
      <c r="G1747">
        <v>0.2</v>
      </c>
      <c r="H1747" s="2">
        <v>9.9651999999999994</v>
      </c>
      <c r="I1747" s="2">
        <v>113.88800000000002</v>
      </c>
    </row>
    <row r="1748" spans="1:9" x14ac:dyDescent="0.3">
      <c r="A1748" t="str">
        <f t="shared" si="602"/>
        <v>United States</v>
      </c>
      <c r="B1748" t="str">
        <f t="shared" si="604"/>
        <v>Glendale</v>
      </c>
      <c r="C1748" t="str">
        <f t="shared" si="605"/>
        <v>Same Day</v>
      </c>
      <c r="D1748" t="str">
        <f t="shared" si="607"/>
        <v>Home Office</v>
      </c>
      <c r="E1748" t="s">
        <v>21</v>
      </c>
      <c r="F1748">
        <v>2</v>
      </c>
      <c r="G1748">
        <v>0.2</v>
      </c>
      <c r="H1748" s="2">
        <v>-5.6784000000000034</v>
      </c>
      <c r="I1748" s="2">
        <v>113.56800000000001</v>
      </c>
    </row>
    <row r="1749" spans="1:9" x14ac:dyDescent="0.3">
      <c r="A1749" t="str">
        <f t="shared" si="602"/>
        <v>United States</v>
      </c>
      <c r="B1749" t="str">
        <f t="shared" si="604"/>
        <v>Glendale</v>
      </c>
      <c r="C1749" t="str">
        <f t="shared" si="605"/>
        <v>Same Day</v>
      </c>
      <c r="D1749" t="str">
        <f t="shared" si="607"/>
        <v>Home Office</v>
      </c>
      <c r="E1749" t="s">
        <v>16</v>
      </c>
      <c r="F1749">
        <v>5</v>
      </c>
      <c r="G1749">
        <v>0.2</v>
      </c>
      <c r="H1749" s="2">
        <v>8.3810000000000002</v>
      </c>
      <c r="I1749" s="2">
        <v>23.120000000000005</v>
      </c>
    </row>
    <row r="1750" spans="1:9" x14ac:dyDescent="0.3">
      <c r="A1750" t="str">
        <f t="shared" si="602"/>
        <v>United States</v>
      </c>
      <c r="B1750" t="str">
        <f t="shared" si="604"/>
        <v>Glendale</v>
      </c>
      <c r="C1750" t="str">
        <f t="shared" si="605"/>
        <v>Same Day</v>
      </c>
      <c r="D1750" t="str">
        <f t="shared" si="607"/>
        <v>Home Office</v>
      </c>
      <c r="E1750" t="s">
        <v>24</v>
      </c>
      <c r="F1750">
        <v>4</v>
      </c>
      <c r="G1750">
        <v>0.4</v>
      </c>
      <c r="H1750" s="2">
        <v>51.091800000000021</v>
      </c>
      <c r="I1750" s="2">
        <v>679.904</v>
      </c>
    </row>
    <row r="1751" spans="1:9" x14ac:dyDescent="0.3">
      <c r="A1751" t="str">
        <f t="shared" si="602"/>
        <v>United States</v>
      </c>
      <c r="B1751" t="str">
        <f t="shared" si="604"/>
        <v>Glendale</v>
      </c>
      <c r="C1751" t="s">
        <v>7</v>
      </c>
      <c r="D1751" t="s">
        <v>15</v>
      </c>
      <c r="E1751" t="s">
        <v>14</v>
      </c>
      <c r="F1751">
        <v>1</v>
      </c>
      <c r="G1751">
        <v>0.2</v>
      </c>
      <c r="H1751" s="2">
        <v>6.5434999999999981</v>
      </c>
      <c r="I1751" s="2">
        <v>104.69600000000001</v>
      </c>
    </row>
    <row r="1752" spans="1:9" x14ac:dyDescent="0.3">
      <c r="A1752" t="str">
        <f t="shared" si="602"/>
        <v>United States</v>
      </c>
      <c r="B1752" t="str">
        <f t="shared" si="604"/>
        <v>Glendale</v>
      </c>
      <c r="C1752" t="str">
        <f>C1751</f>
        <v>Second Class</v>
      </c>
      <c r="D1752" t="s">
        <v>17</v>
      </c>
      <c r="E1752" t="s">
        <v>16</v>
      </c>
      <c r="F1752">
        <v>3</v>
      </c>
      <c r="G1752">
        <v>0.2</v>
      </c>
      <c r="H1752" s="2">
        <v>33.721199999999996</v>
      </c>
      <c r="I1752" s="2">
        <v>93.024000000000001</v>
      </c>
    </row>
    <row r="1753" spans="1:9" x14ac:dyDescent="0.3">
      <c r="A1753" t="str">
        <f t="shared" si="602"/>
        <v>United States</v>
      </c>
      <c r="B1753" t="str">
        <f t="shared" si="604"/>
        <v>Glendale</v>
      </c>
      <c r="C1753" t="s">
        <v>22</v>
      </c>
      <c r="D1753" t="s">
        <v>8</v>
      </c>
      <c r="E1753" t="s">
        <v>23</v>
      </c>
      <c r="F1753">
        <v>10</v>
      </c>
      <c r="G1753">
        <v>0.4</v>
      </c>
      <c r="H1753" s="2">
        <v>1.5149999999999828</v>
      </c>
      <c r="I1753" s="2">
        <v>185.52000000000004</v>
      </c>
    </row>
    <row r="1754" spans="1:9" x14ac:dyDescent="0.3">
      <c r="A1754" t="str">
        <f t="shared" si="602"/>
        <v>United States</v>
      </c>
      <c r="B1754" t="str">
        <f t="shared" si="604"/>
        <v>Glendale</v>
      </c>
      <c r="C1754" t="str">
        <f t="shared" ref="C1754:C1761" si="608">C1753</f>
        <v>Standard Class</v>
      </c>
      <c r="D1754" t="str">
        <f t="shared" ref="D1754:D1757" si="609">D1753</f>
        <v>Consumer</v>
      </c>
      <c r="E1754" t="s">
        <v>20</v>
      </c>
      <c r="F1754">
        <v>3</v>
      </c>
      <c r="G1754">
        <v>1.4</v>
      </c>
      <c r="H1754" s="2">
        <v>-54.953899999999983</v>
      </c>
      <c r="I1754" s="2">
        <v>81.147000000000006</v>
      </c>
    </row>
    <row r="1755" spans="1:9" x14ac:dyDescent="0.3">
      <c r="A1755" t="str">
        <f t="shared" si="602"/>
        <v>United States</v>
      </c>
      <c r="B1755" t="str">
        <f t="shared" si="604"/>
        <v>Glendale</v>
      </c>
      <c r="C1755" t="str">
        <f t="shared" si="608"/>
        <v>Standard Class</v>
      </c>
      <c r="D1755" t="str">
        <f t="shared" si="609"/>
        <v>Consumer</v>
      </c>
      <c r="E1755" t="s">
        <v>21</v>
      </c>
      <c r="F1755">
        <v>4</v>
      </c>
      <c r="G1755">
        <v>0.2</v>
      </c>
      <c r="H1755" s="2">
        <v>-3.0344000000000122</v>
      </c>
      <c r="I1755" s="2">
        <v>121.376</v>
      </c>
    </row>
    <row r="1756" spans="1:9" x14ac:dyDescent="0.3">
      <c r="A1756" t="str">
        <f t="shared" si="602"/>
        <v>United States</v>
      </c>
      <c r="B1756" t="str">
        <f t="shared" si="604"/>
        <v>Glendale</v>
      </c>
      <c r="C1756" t="str">
        <f t="shared" si="608"/>
        <v>Standard Class</v>
      </c>
      <c r="D1756" t="str">
        <f t="shared" si="609"/>
        <v>Consumer</v>
      </c>
      <c r="E1756" t="s">
        <v>16</v>
      </c>
      <c r="F1756">
        <v>2</v>
      </c>
      <c r="G1756">
        <v>0.2</v>
      </c>
      <c r="H1756" s="2">
        <v>2.3879999999999999</v>
      </c>
      <c r="I1756" s="2">
        <v>6.3680000000000003</v>
      </c>
    </row>
    <row r="1757" spans="1:9" x14ac:dyDescent="0.3">
      <c r="A1757" t="str">
        <f t="shared" si="602"/>
        <v>United States</v>
      </c>
      <c r="B1757" t="str">
        <f t="shared" si="604"/>
        <v>Glendale</v>
      </c>
      <c r="C1757" t="str">
        <f t="shared" si="608"/>
        <v>Standard Class</v>
      </c>
      <c r="D1757" t="str">
        <f t="shared" si="609"/>
        <v>Consumer</v>
      </c>
      <c r="E1757" t="s">
        <v>14</v>
      </c>
      <c r="F1757">
        <v>3</v>
      </c>
      <c r="G1757">
        <v>0.4</v>
      </c>
      <c r="H1757" s="2">
        <v>-7.5466000000000015</v>
      </c>
      <c r="I1757" s="2">
        <v>45.911999999999999</v>
      </c>
    </row>
    <row r="1758" spans="1:9" x14ac:dyDescent="0.3">
      <c r="A1758" t="str">
        <f t="shared" si="602"/>
        <v>United States</v>
      </c>
      <c r="B1758" t="str">
        <f t="shared" si="604"/>
        <v>Glendale</v>
      </c>
      <c r="C1758" t="str">
        <f t="shared" si="608"/>
        <v>Standard Class</v>
      </c>
      <c r="D1758" t="s">
        <v>15</v>
      </c>
      <c r="E1758" t="s">
        <v>33</v>
      </c>
      <c r="F1758">
        <v>3</v>
      </c>
      <c r="G1758">
        <v>0.2</v>
      </c>
      <c r="H1758" s="2">
        <v>13.317599999999985</v>
      </c>
      <c r="I1758" s="2">
        <v>266.35200000000003</v>
      </c>
    </row>
    <row r="1759" spans="1:9" x14ac:dyDescent="0.3">
      <c r="A1759" t="str">
        <f t="shared" si="602"/>
        <v>United States</v>
      </c>
      <c r="B1759" t="str">
        <f t="shared" si="604"/>
        <v>Glendale</v>
      </c>
      <c r="C1759" t="str">
        <f t="shared" si="608"/>
        <v>Standard Class</v>
      </c>
      <c r="D1759" t="str">
        <f t="shared" ref="D1759:D1761" si="610">D1758</f>
        <v>Corporate</v>
      </c>
      <c r="E1759" t="s">
        <v>18</v>
      </c>
      <c r="F1759">
        <v>2</v>
      </c>
      <c r="G1759">
        <v>0.2</v>
      </c>
      <c r="H1759" s="2">
        <v>0.82879999999999987</v>
      </c>
      <c r="I1759" s="2">
        <v>2.3679999999999999</v>
      </c>
    </row>
    <row r="1760" spans="1:9" x14ac:dyDescent="0.3">
      <c r="A1760" t="str">
        <f t="shared" si="602"/>
        <v>United States</v>
      </c>
      <c r="B1760" t="str">
        <f t="shared" si="604"/>
        <v>Glendale</v>
      </c>
      <c r="C1760" t="str">
        <f t="shared" si="608"/>
        <v>Standard Class</v>
      </c>
      <c r="D1760" t="str">
        <f t="shared" si="610"/>
        <v>Corporate</v>
      </c>
      <c r="E1760" t="s">
        <v>16</v>
      </c>
      <c r="F1760">
        <v>3</v>
      </c>
      <c r="G1760">
        <v>0.2</v>
      </c>
      <c r="H1760" s="2">
        <v>6.8903999999999979</v>
      </c>
      <c r="I1760" s="2">
        <v>19.008000000000003</v>
      </c>
    </row>
    <row r="1761" spans="1:9" x14ac:dyDescent="0.3">
      <c r="A1761" t="str">
        <f t="shared" si="602"/>
        <v>United States</v>
      </c>
      <c r="B1761" t="str">
        <f t="shared" si="604"/>
        <v>Glendale</v>
      </c>
      <c r="C1761" t="str">
        <f t="shared" si="608"/>
        <v>Standard Class</v>
      </c>
      <c r="D1761" t="str">
        <f t="shared" si="610"/>
        <v>Corporate</v>
      </c>
      <c r="E1761" t="s">
        <v>9</v>
      </c>
      <c r="F1761">
        <v>5</v>
      </c>
      <c r="G1761">
        <v>0.2</v>
      </c>
      <c r="H1761" s="2">
        <v>4.2249999999999979</v>
      </c>
      <c r="I1761" s="2">
        <v>33.799999999999997</v>
      </c>
    </row>
    <row r="1762" spans="1:9" x14ac:dyDescent="0.3">
      <c r="A1762" t="str">
        <f t="shared" si="602"/>
        <v>United States</v>
      </c>
      <c r="B1762" t="s">
        <v>199</v>
      </c>
      <c r="C1762" t="s">
        <v>7</v>
      </c>
      <c r="D1762" t="s">
        <v>8</v>
      </c>
      <c r="E1762" t="s">
        <v>24</v>
      </c>
      <c r="F1762">
        <v>3</v>
      </c>
      <c r="G1762">
        <v>0.2</v>
      </c>
      <c r="H1762" s="2">
        <v>13.857900000000008</v>
      </c>
      <c r="I1762" s="2">
        <v>158.376</v>
      </c>
    </row>
    <row r="1763" spans="1:9" x14ac:dyDescent="0.3">
      <c r="A1763" t="str">
        <f t="shared" si="602"/>
        <v>United States</v>
      </c>
      <c r="B1763" t="s">
        <v>200</v>
      </c>
      <c r="C1763" t="s">
        <v>11</v>
      </c>
      <c r="D1763" t="s">
        <v>8</v>
      </c>
      <c r="E1763" t="s">
        <v>12</v>
      </c>
      <c r="F1763">
        <v>3</v>
      </c>
      <c r="G1763">
        <v>0.2</v>
      </c>
      <c r="H1763" s="2">
        <v>3.0576000000000008</v>
      </c>
      <c r="I1763" s="2">
        <v>34.944000000000003</v>
      </c>
    </row>
    <row r="1764" spans="1:9" x14ac:dyDescent="0.3">
      <c r="A1764" t="str">
        <f t="shared" si="602"/>
        <v>United States</v>
      </c>
      <c r="B1764" t="s">
        <v>201</v>
      </c>
      <c r="C1764" t="s">
        <v>7</v>
      </c>
      <c r="D1764" t="s">
        <v>8</v>
      </c>
      <c r="E1764" t="s">
        <v>16</v>
      </c>
      <c r="F1764">
        <v>2</v>
      </c>
      <c r="G1764">
        <v>0</v>
      </c>
      <c r="H1764" s="2">
        <v>7.98</v>
      </c>
      <c r="I1764" s="2">
        <v>15.96</v>
      </c>
    </row>
    <row r="1765" spans="1:9" x14ac:dyDescent="0.3">
      <c r="A1765" t="str">
        <f t="shared" si="602"/>
        <v>United States</v>
      </c>
      <c r="B1765" t="s">
        <v>202</v>
      </c>
      <c r="C1765" t="s">
        <v>22</v>
      </c>
      <c r="D1765" t="s">
        <v>8</v>
      </c>
      <c r="E1765" t="s">
        <v>23</v>
      </c>
      <c r="F1765">
        <v>5</v>
      </c>
      <c r="G1765">
        <v>0.2</v>
      </c>
      <c r="H1765" s="2">
        <v>-8.1800000000000033</v>
      </c>
      <c r="I1765" s="2">
        <v>65.44</v>
      </c>
    </row>
    <row r="1766" spans="1:9" x14ac:dyDescent="0.3">
      <c r="A1766" t="str">
        <f t="shared" si="602"/>
        <v>United States</v>
      </c>
      <c r="B1766" t="str">
        <f t="shared" ref="B1766:B1776" si="611">B1765</f>
        <v>Grand Prairie</v>
      </c>
      <c r="C1766" t="str">
        <f t="shared" ref="C1766:C1776" si="612">C1765</f>
        <v>Standard Class</v>
      </c>
      <c r="D1766" t="str">
        <f t="shared" ref="D1766:D1772" si="613">D1765</f>
        <v>Consumer</v>
      </c>
      <c r="E1766" t="s">
        <v>12</v>
      </c>
      <c r="F1766">
        <v>2</v>
      </c>
      <c r="G1766">
        <v>0.8</v>
      </c>
      <c r="H1766" s="2">
        <v>-49.551600000000022</v>
      </c>
      <c r="I1766" s="2">
        <v>19.431999999999995</v>
      </c>
    </row>
    <row r="1767" spans="1:9" x14ac:dyDescent="0.3">
      <c r="A1767" t="str">
        <f t="shared" si="602"/>
        <v>United States</v>
      </c>
      <c r="B1767" t="str">
        <f t="shared" si="611"/>
        <v>Grand Prairie</v>
      </c>
      <c r="C1767" t="str">
        <f t="shared" si="612"/>
        <v>Standard Class</v>
      </c>
      <c r="D1767" t="str">
        <f t="shared" si="613"/>
        <v>Consumer</v>
      </c>
      <c r="E1767" t="s">
        <v>20</v>
      </c>
      <c r="F1767">
        <v>4</v>
      </c>
      <c r="G1767">
        <v>0.8</v>
      </c>
      <c r="H1767" s="2">
        <v>-5.8496000000000024</v>
      </c>
      <c r="I1767" s="2">
        <v>3.6559999999999993</v>
      </c>
    </row>
    <row r="1768" spans="1:9" x14ac:dyDescent="0.3">
      <c r="A1768" t="str">
        <f t="shared" si="602"/>
        <v>United States</v>
      </c>
      <c r="B1768" t="str">
        <f t="shared" si="611"/>
        <v>Grand Prairie</v>
      </c>
      <c r="C1768" t="str">
        <f t="shared" si="612"/>
        <v>Standard Class</v>
      </c>
      <c r="D1768" t="str">
        <f t="shared" si="613"/>
        <v>Consumer</v>
      </c>
      <c r="E1768" t="s">
        <v>33</v>
      </c>
      <c r="F1768">
        <v>5</v>
      </c>
      <c r="G1768">
        <v>0.6</v>
      </c>
      <c r="H1768" s="2">
        <v>-43.494000000000014</v>
      </c>
      <c r="I1768" s="2">
        <v>514.42999999999995</v>
      </c>
    </row>
    <row r="1769" spans="1:9" x14ac:dyDescent="0.3">
      <c r="A1769" t="str">
        <f t="shared" si="602"/>
        <v>United States</v>
      </c>
      <c r="B1769" t="str">
        <f t="shared" si="611"/>
        <v>Grand Prairie</v>
      </c>
      <c r="C1769" t="str">
        <f t="shared" si="612"/>
        <v>Standard Class</v>
      </c>
      <c r="D1769" t="str">
        <f t="shared" si="613"/>
        <v>Consumer</v>
      </c>
      <c r="E1769" t="s">
        <v>38</v>
      </c>
      <c r="F1769">
        <v>3</v>
      </c>
      <c r="G1769">
        <v>0.2</v>
      </c>
      <c r="H1769" s="2">
        <v>9.3443999999999985</v>
      </c>
      <c r="I1769" s="2">
        <v>28.752000000000002</v>
      </c>
    </row>
    <row r="1770" spans="1:9" x14ac:dyDescent="0.3">
      <c r="A1770" t="str">
        <f t="shared" si="602"/>
        <v>United States</v>
      </c>
      <c r="B1770" t="str">
        <f t="shared" si="611"/>
        <v>Grand Prairie</v>
      </c>
      <c r="C1770" t="str">
        <f t="shared" si="612"/>
        <v>Standard Class</v>
      </c>
      <c r="D1770" t="str">
        <f t="shared" si="613"/>
        <v>Consumer</v>
      </c>
      <c r="E1770" t="s">
        <v>21</v>
      </c>
      <c r="F1770">
        <v>5</v>
      </c>
      <c r="G1770">
        <v>0.6</v>
      </c>
      <c r="H1770" s="2">
        <v>-11.439000000000004</v>
      </c>
      <c r="I1770" s="2">
        <v>14.76</v>
      </c>
    </row>
    <row r="1771" spans="1:9" x14ac:dyDescent="0.3">
      <c r="A1771" t="str">
        <f t="shared" si="602"/>
        <v>United States</v>
      </c>
      <c r="B1771" t="str">
        <f t="shared" si="611"/>
        <v>Grand Prairie</v>
      </c>
      <c r="C1771" t="str">
        <f t="shared" si="612"/>
        <v>Standard Class</v>
      </c>
      <c r="D1771" t="str">
        <f t="shared" si="613"/>
        <v>Consumer</v>
      </c>
      <c r="E1771" t="s">
        <v>16</v>
      </c>
      <c r="F1771">
        <v>3</v>
      </c>
      <c r="G1771">
        <v>0.2</v>
      </c>
      <c r="H1771" s="2">
        <v>9.8657999999999983</v>
      </c>
      <c r="I1771" s="2">
        <v>27.216000000000001</v>
      </c>
    </row>
    <row r="1772" spans="1:9" x14ac:dyDescent="0.3">
      <c r="A1772" t="str">
        <f t="shared" si="602"/>
        <v>United States</v>
      </c>
      <c r="B1772" t="str">
        <f t="shared" si="611"/>
        <v>Grand Prairie</v>
      </c>
      <c r="C1772" t="str">
        <f t="shared" si="612"/>
        <v>Standard Class</v>
      </c>
      <c r="D1772" t="str">
        <f t="shared" si="613"/>
        <v>Consumer</v>
      </c>
      <c r="E1772" t="s">
        <v>24</v>
      </c>
      <c r="F1772">
        <v>5</v>
      </c>
      <c r="G1772">
        <v>0.2</v>
      </c>
      <c r="H1772" s="2">
        <v>24.727499999999971</v>
      </c>
      <c r="I1772" s="2">
        <v>219.80000000000004</v>
      </c>
    </row>
    <row r="1773" spans="1:9" x14ac:dyDescent="0.3">
      <c r="A1773" t="str">
        <f t="shared" si="602"/>
        <v>United States</v>
      </c>
      <c r="B1773" t="str">
        <f t="shared" si="611"/>
        <v>Grand Prairie</v>
      </c>
      <c r="C1773" t="str">
        <f t="shared" si="612"/>
        <v>Standard Class</v>
      </c>
      <c r="D1773" t="s">
        <v>15</v>
      </c>
      <c r="E1773" t="s">
        <v>21</v>
      </c>
      <c r="F1773">
        <v>5</v>
      </c>
      <c r="G1773">
        <v>0.6</v>
      </c>
      <c r="H1773" s="2">
        <v>-29.512000000000008</v>
      </c>
      <c r="I1773" s="2">
        <v>38.08</v>
      </c>
    </row>
    <row r="1774" spans="1:9" x14ac:dyDescent="0.3">
      <c r="A1774" t="str">
        <f t="shared" si="602"/>
        <v>United States</v>
      </c>
      <c r="B1774" t="str">
        <f t="shared" si="611"/>
        <v>Grand Prairie</v>
      </c>
      <c r="C1774" t="str">
        <f t="shared" si="612"/>
        <v>Standard Class</v>
      </c>
      <c r="D1774" t="str">
        <f t="shared" ref="D1774:D1775" si="614">D1773</f>
        <v>Corporate</v>
      </c>
      <c r="E1774" t="s">
        <v>16</v>
      </c>
      <c r="F1774">
        <v>3</v>
      </c>
      <c r="G1774">
        <v>0.2</v>
      </c>
      <c r="H1774" s="2">
        <v>6.2549999999999963</v>
      </c>
      <c r="I1774" s="2">
        <v>20.016000000000002</v>
      </c>
    </row>
    <row r="1775" spans="1:9" x14ac:dyDescent="0.3">
      <c r="A1775" t="str">
        <f t="shared" si="602"/>
        <v>United States</v>
      </c>
      <c r="B1775" t="str">
        <f t="shared" si="611"/>
        <v>Grand Prairie</v>
      </c>
      <c r="C1775" t="str">
        <f t="shared" si="612"/>
        <v>Standard Class</v>
      </c>
      <c r="D1775" t="str">
        <f t="shared" si="614"/>
        <v>Corporate</v>
      </c>
      <c r="E1775" t="s">
        <v>14</v>
      </c>
      <c r="F1775">
        <v>3</v>
      </c>
      <c r="G1775">
        <v>0.2</v>
      </c>
      <c r="H1775" s="2">
        <v>3.7224000000000004</v>
      </c>
      <c r="I1775" s="2">
        <v>37.224000000000004</v>
      </c>
    </row>
    <row r="1776" spans="1:9" x14ac:dyDescent="0.3">
      <c r="A1776" t="str">
        <f t="shared" si="602"/>
        <v>United States</v>
      </c>
      <c r="B1776" t="str">
        <f t="shared" si="611"/>
        <v>Grand Prairie</v>
      </c>
      <c r="C1776" t="str">
        <f t="shared" si="612"/>
        <v>Standard Class</v>
      </c>
      <c r="D1776" t="s">
        <v>17</v>
      </c>
      <c r="E1776" t="s">
        <v>43</v>
      </c>
      <c r="F1776">
        <v>2</v>
      </c>
      <c r="G1776">
        <v>0.2</v>
      </c>
      <c r="H1776" s="2">
        <v>8.879999999999999</v>
      </c>
      <c r="I1776" s="2">
        <v>23.680000000000003</v>
      </c>
    </row>
    <row r="1777" spans="1:9" x14ac:dyDescent="0.3">
      <c r="A1777" t="str">
        <f t="shared" si="602"/>
        <v>United States</v>
      </c>
      <c r="B1777" t="s">
        <v>203</v>
      </c>
      <c r="C1777" t="s">
        <v>7</v>
      </c>
      <c r="D1777" t="s">
        <v>17</v>
      </c>
      <c r="E1777" t="s">
        <v>16</v>
      </c>
      <c r="F1777">
        <v>3</v>
      </c>
      <c r="G1777">
        <v>0</v>
      </c>
      <c r="H1777" s="2">
        <v>9.5256000000000007</v>
      </c>
      <c r="I1777" s="2">
        <v>19.440000000000001</v>
      </c>
    </row>
    <row r="1778" spans="1:9" x14ac:dyDescent="0.3">
      <c r="A1778" t="str">
        <f t="shared" si="602"/>
        <v>United States</v>
      </c>
      <c r="B1778" t="str">
        <f t="shared" ref="B1778:B1782" si="615">B1777</f>
        <v>Grand Rapids</v>
      </c>
      <c r="C1778" t="s">
        <v>22</v>
      </c>
      <c r="D1778" t="s">
        <v>8</v>
      </c>
      <c r="E1778" t="s">
        <v>20</v>
      </c>
      <c r="F1778">
        <v>10</v>
      </c>
      <c r="G1778">
        <v>0</v>
      </c>
      <c r="H1778" s="2">
        <v>67.913999999999987</v>
      </c>
      <c r="I1778" s="2">
        <v>138.6</v>
      </c>
    </row>
    <row r="1779" spans="1:9" x14ac:dyDescent="0.3">
      <c r="A1779" t="str">
        <f t="shared" si="602"/>
        <v>United States</v>
      </c>
      <c r="B1779" t="str">
        <f t="shared" si="615"/>
        <v>Grand Rapids</v>
      </c>
      <c r="C1779" t="str">
        <f t="shared" ref="C1779:C1782" si="616">C1778</f>
        <v>Standard Class</v>
      </c>
      <c r="D1779" t="str">
        <f t="shared" ref="D1779:D1780" si="617">D1778</f>
        <v>Consumer</v>
      </c>
      <c r="E1779" t="s">
        <v>16</v>
      </c>
      <c r="F1779">
        <v>7</v>
      </c>
      <c r="G1779">
        <v>0</v>
      </c>
      <c r="H1779" s="2">
        <v>16.713200000000001</v>
      </c>
      <c r="I1779" s="2">
        <v>35.56</v>
      </c>
    </row>
    <row r="1780" spans="1:9" x14ac:dyDescent="0.3">
      <c r="A1780" t="str">
        <f t="shared" si="602"/>
        <v>United States</v>
      </c>
      <c r="B1780" t="str">
        <f t="shared" si="615"/>
        <v>Grand Rapids</v>
      </c>
      <c r="C1780" t="str">
        <f t="shared" si="616"/>
        <v>Standard Class</v>
      </c>
      <c r="D1780" t="str">
        <f t="shared" si="617"/>
        <v>Consumer</v>
      </c>
      <c r="E1780" t="s">
        <v>24</v>
      </c>
      <c r="F1780">
        <v>2</v>
      </c>
      <c r="G1780">
        <v>0</v>
      </c>
      <c r="H1780" s="2">
        <v>27.434400000000011</v>
      </c>
      <c r="I1780" s="2">
        <v>97.98</v>
      </c>
    </row>
    <row r="1781" spans="1:9" x14ac:dyDescent="0.3">
      <c r="A1781" t="str">
        <f t="shared" si="602"/>
        <v>United States</v>
      </c>
      <c r="B1781" t="str">
        <f t="shared" si="615"/>
        <v>Grand Rapids</v>
      </c>
      <c r="C1781" t="str">
        <f t="shared" si="616"/>
        <v>Standard Class</v>
      </c>
      <c r="D1781" t="s">
        <v>15</v>
      </c>
      <c r="E1781" t="s">
        <v>18</v>
      </c>
      <c r="F1781">
        <v>7</v>
      </c>
      <c r="G1781">
        <v>0</v>
      </c>
      <c r="H1781" s="2">
        <v>11.679499999999999</v>
      </c>
      <c r="I1781" s="2">
        <v>24.849999999999998</v>
      </c>
    </row>
    <row r="1782" spans="1:9" x14ac:dyDescent="0.3">
      <c r="A1782" t="str">
        <f t="shared" si="602"/>
        <v>United States</v>
      </c>
      <c r="B1782" t="str">
        <f t="shared" si="615"/>
        <v>Grand Rapids</v>
      </c>
      <c r="C1782" t="str">
        <f t="shared" si="616"/>
        <v>Standard Class</v>
      </c>
      <c r="D1782" t="str">
        <f>D1781</f>
        <v>Corporate</v>
      </c>
      <c r="E1782" t="s">
        <v>16</v>
      </c>
      <c r="F1782">
        <v>2</v>
      </c>
      <c r="G1782">
        <v>0</v>
      </c>
      <c r="H1782" s="2">
        <v>100.65599999999999</v>
      </c>
      <c r="I1782" s="2">
        <v>209.7</v>
      </c>
    </row>
    <row r="1783" spans="1:9" x14ac:dyDescent="0.3">
      <c r="A1783" t="str">
        <f t="shared" si="602"/>
        <v>United States</v>
      </c>
      <c r="B1783" t="s">
        <v>204</v>
      </c>
      <c r="C1783" t="s">
        <v>22</v>
      </c>
      <c r="D1783" t="s">
        <v>15</v>
      </c>
      <c r="E1783" t="s">
        <v>19</v>
      </c>
      <c r="F1783">
        <v>7</v>
      </c>
      <c r="G1783">
        <v>0.2</v>
      </c>
      <c r="H1783" s="2">
        <v>5.8603999999999967</v>
      </c>
      <c r="I1783" s="2">
        <v>33.488000000000007</v>
      </c>
    </row>
    <row r="1784" spans="1:9" x14ac:dyDescent="0.3">
      <c r="A1784" t="str">
        <f t="shared" si="602"/>
        <v>United States</v>
      </c>
      <c r="B1784" t="str">
        <f>B1783</f>
        <v>Grapevine</v>
      </c>
      <c r="C1784" t="str">
        <f>C1783</f>
        <v>Standard Class</v>
      </c>
      <c r="D1784" t="str">
        <f>D1783</f>
        <v>Corporate</v>
      </c>
      <c r="E1784" t="s">
        <v>18</v>
      </c>
      <c r="F1784">
        <v>5</v>
      </c>
      <c r="G1784">
        <v>0.2</v>
      </c>
      <c r="H1784" s="2">
        <v>2.9144999999999994</v>
      </c>
      <c r="I1784" s="2">
        <v>8.0399999999999991</v>
      </c>
    </row>
    <row r="1785" spans="1:9" x14ac:dyDescent="0.3">
      <c r="A1785" t="str">
        <f t="shared" si="602"/>
        <v>United States</v>
      </c>
      <c r="B1785" t="s">
        <v>205</v>
      </c>
      <c r="C1785" t="s">
        <v>22</v>
      </c>
      <c r="D1785" t="s">
        <v>8</v>
      </c>
      <c r="E1785" t="s">
        <v>23</v>
      </c>
      <c r="F1785">
        <v>6</v>
      </c>
      <c r="G1785">
        <v>0</v>
      </c>
      <c r="H1785" s="2">
        <v>91.32480000000001</v>
      </c>
      <c r="I1785" s="2">
        <v>217.44</v>
      </c>
    </row>
    <row r="1786" spans="1:9" x14ac:dyDescent="0.3">
      <c r="A1786" t="str">
        <f t="shared" si="602"/>
        <v>United States</v>
      </c>
      <c r="B1786" t="str">
        <f t="shared" ref="B1786:B1791" si="618">B1785</f>
        <v>Great Falls</v>
      </c>
      <c r="C1786" t="str">
        <f t="shared" ref="C1786:C1791" si="619">C1785</f>
        <v>Standard Class</v>
      </c>
      <c r="D1786" t="str">
        <f t="shared" ref="D1786:D1787" si="620">D1785</f>
        <v>Consumer</v>
      </c>
      <c r="E1786" t="s">
        <v>24</v>
      </c>
      <c r="F1786">
        <v>2</v>
      </c>
      <c r="G1786">
        <v>0.2</v>
      </c>
      <c r="H1786" s="2">
        <v>9.2386000000000053</v>
      </c>
      <c r="I1786" s="2">
        <v>105.584</v>
      </c>
    </row>
    <row r="1787" spans="1:9" x14ac:dyDescent="0.3">
      <c r="A1787" t="str">
        <f t="shared" si="602"/>
        <v>United States</v>
      </c>
      <c r="B1787" t="str">
        <f t="shared" si="618"/>
        <v>Great Falls</v>
      </c>
      <c r="C1787" t="str">
        <f t="shared" si="619"/>
        <v>Standard Class</v>
      </c>
      <c r="D1787" t="str">
        <f t="shared" si="620"/>
        <v>Consumer</v>
      </c>
      <c r="E1787" t="s">
        <v>14</v>
      </c>
      <c r="F1787">
        <v>7</v>
      </c>
      <c r="G1787">
        <v>0</v>
      </c>
      <c r="H1787" s="2">
        <v>24.382400000000001</v>
      </c>
      <c r="I1787" s="2">
        <v>87.08</v>
      </c>
    </row>
    <row r="1788" spans="1:9" x14ac:dyDescent="0.3">
      <c r="A1788" t="str">
        <f t="shared" si="602"/>
        <v>United States</v>
      </c>
      <c r="B1788" t="str">
        <f t="shared" si="618"/>
        <v>Great Falls</v>
      </c>
      <c r="C1788" t="str">
        <f t="shared" si="619"/>
        <v>Standard Class</v>
      </c>
      <c r="D1788" t="s">
        <v>17</v>
      </c>
      <c r="E1788" t="s">
        <v>20</v>
      </c>
      <c r="F1788">
        <v>2</v>
      </c>
      <c r="G1788">
        <v>0.2</v>
      </c>
      <c r="H1788" s="2">
        <v>2.2098</v>
      </c>
      <c r="I1788" s="2">
        <v>6.0960000000000001</v>
      </c>
    </row>
    <row r="1789" spans="1:9" x14ac:dyDescent="0.3">
      <c r="A1789" t="str">
        <f t="shared" si="602"/>
        <v>United States</v>
      </c>
      <c r="B1789" t="str">
        <f t="shared" si="618"/>
        <v>Great Falls</v>
      </c>
      <c r="C1789" t="str">
        <f t="shared" si="619"/>
        <v>Standard Class</v>
      </c>
      <c r="D1789" t="str">
        <f t="shared" ref="D1789:D1791" si="621">D1788</f>
        <v>Home Office</v>
      </c>
      <c r="E1789" t="s">
        <v>45</v>
      </c>
      <c r="F1789">
        <v>5</v>
      </c>
      <c r="G1789">
        <v>0</v>
      </c>
      <c r="H1789" s="2">
        <v>1379.9769999999999</v>
      </c>
      <c r="I1789" s="2">
        <v>2999.95</v>
      </c>
    </row>
    <row r="1790" spans="1:9" x14ac:dyDescent="0.3">
      <c r="A1790" t="str">
        <f t="shared" si="602"/>
        <v>United States</v>
      </c>
      <c r="B1790" t="str">
        <f t="shared" si="618"/>
        <v>Great Falls</v>
      </c>
      <c r="C1790" t="str">
        <f t="shared" si="619"/>
        <v>Standard Class</v>
      </c>
      <c r="D1790" t="str">
        <f t="shared" si="621"/>
        <v>Home Office</v>
      </c>
      <c r="E1790" t="s">
        <v>16</v>
      </c>
      <c r="F1790">
        <v>2</v>
      </c>
      <c r="G1790">
        <v>0</v>
      </c>
      <c r="H1790" s="2">
        <v>5.3819999999999997</v>
      </c>
      <c r="I1790" s="2">
        <v>11.96</v>
      </c>
    </row>
    <row r="1791" spans="1:9" x14ac:dyDescent="0.3">
      <c r="A1791" t="str">
        <f t="shared" si="602"/>
        <v>United States</v>
      </c>
      <c r="B1791" t="str">
        <f t="shared" si="618"/>
        <v>Great Falls</v>
      </c>
      <c r="C1791" t="str">
        <f t="shared" si="619"/>
        <v>Standard Class</v>
      </c>
      <c r="D1791" t="str">
        <f t="shared" si="621"/>
        <v>Home Office</v>
      </c>
      <c r="E1791" t="s">
        <v>14</v>
      </c>
      <c r="F1791">
        <v>6</v>
      </c>
      <c r="G1791">
        <v>0</v>
      </c>
      <c r="H1791" s="2">
        <v>70.192499999999981</v>
      </c>
      <c r="I1791" s="2">
        <v>1177.47</v>
      </c>
    </row>
    <row r="1792" spans="1:9" x14ac:dyDescent="0.3">
      <c r="A1792" t="str">
        <f t="shared" si="602"/>
        <v>United States</v>
      </c>
      <c r="B1792" t="s">
        <v>206</v>
      </c>
      <c r="C1792" t="s">
        <v>11</v>
      </c>
      <c r="D1792" t="s">
        <v>8</v>
      </c>
      <c r="E1792" t="s">
        <v>38</v>
      </c>
      <c r="F1792">
        <v>2</v>
      </c>
      <c r="G1792">
        <v>0.2</v>
      </c>
      <c r="H1792" s="2">
        <v>7.008</v>
      </c>
      <c r="I1792" s="2">
        <v>18.687999999999999</v>
      </c>
    </row>
    <row r="1793" spans="1:9" x14ac:dyDescent="0.3">
      <c r="A1793" t="str">
        <f t="shared" si="602"/>
        <v>United States</v>
      </c>
      <c r="B1793" t="str">
        <f>B1792</f>
        <v>Greeley</v>
      </c>
      <c r="C1793" t="str">
        <f>C1792</f>
        <v>First Class</v>
      </c>
      <c r="D1793" t="str">
        <f>D1792</f>
        <v>Consumer</v>
      </c>
      <c r="E1793" t="s">
        <v>21</v>
      </c>
      <c r="F1793">
        <v>3</v>
      </c>
      <c r="G1793">
        <v>0.2</v>
      </c>
      <c r="H1793" s="2">
        <v>3.3534000000000006</v>
      </c>
      <c r="I1793" s="2">
        <v>11.664000000000001</v>
      </c>
    </row>
    <row r="1794" spans="1:9" x14ac:dyDescent="0.3">
      <c r="A1794" t="str">
        <f t="shared" si="602"/>
        <v>United States</v>
      </c>
      <c r="B1794" t="s">
        <v>207</v>
      </c>
      <c r="C1794" t="s">
        <v>11</v>
      </c>
      <c r="D1794" t="s">
        <v>8</v>
      </c>
      <c r="E1794" t="s">
        <v>23</v>
      </c>
      <c r="F1794">
        <v>6</v>
      </c>
      <c r="G1794">
        <v>0</v>
      </c>
      <c r="H1794" s="2">
        <v>206.31600000000006</v>
      </c>
      <c r="I1794" s="2">
        <v>468.90000000000003</v>
      </c>
    </row>
    <row r="1795" spans="1:9" x14ac:dyDescent="0.3">
      <c r="A1795" t="str">
        <f t="shared" si="602"/>
        <v>United States</v>
      </c>
      <c r="B1795" t="str">
        <f t="shared" ref="B1795:B1796" si="622">B1794</f>
        <v>Green Bay</v>
      </c>
      <c r="C1795" t="s">
        <v>22</v>
      </c>
      <c r="D1795" t="s">
        <v>15</v>
      </c>
      <c r="E1795" t="s">
        <v>21</v>
      </c>
      <c r="F1795">
        <v>4</v>
      </c>
      <c r="G1795">
        <v>0</v>
      </c>
      <c r="H1795" s="2">
        <v>11.936400000000001</v>
      </c>
      <c r="I1795" s="2">
        <v>35.700000000000003</v>
      </c>
    </row>
    <row r="1796" spans="1:9" x14ac:dyDescent="0.3">
      <c r="A1796" t="str">
        <f t="shared" ref="A1796:A1859" si="623">A1795</f>
        <v>United States</v>
      </c>
      <c r="B1796" t="str">
        <f t="shared" si="622"/>
        <v>Green Bay</v>
      </c>
      <c r="C1796" t="str">
        <f>C1795</f>
        <v>Standard Class</v>
      </c>
      <c r="D1796" t="str">
        <f>D1795</f>
        <v>Corporate</v>
      </c>
      <c r="E1796" t="s">
        <v>16</v>
      </c>
      <c r="F1796">
        <v>4</v>
      </c>
      <c r="G1796">
        <v>0</v>
      </c>
      <c r="H1796" s="2">
        <v>10.223999999999998</v>
      </c>
      <c r="I1796" s="2">
        <v>22.72</v>
      </c>
    </row>
    <row r="1797" spans="1:9" x14ac:dyDescent="0.3">
      <c r="A1797" t="str">
        <f t="shared" si="623"/>
        <v>United States</v>
      </c>
      <c r="B1797" t="s">
        <v>208</v>
      </c>
      <c r="C1797" t="s">
        <v>11</v>
      </c>
      <c r="D1797" t="s">
        <v>15</v>
      </c>
      <c r="E1797" t="s">
        <v>19</v>
      </c>
      <c r="F1797">
        <v>7</v>
      </c>
      <c r="G1797">
        <v>0.2</v>
      </c>
      <c r="H1797" s="2">
        <v>8.0849999999999973</v>
      </c>
      <c r="I1797" s="2">
        <v>64.680000000000007</v>
      </c>
    </row>
    <row r="1798" spans="1:9" x14ac:dyDescent="0.3">
      <c r="A1798" t="str">
        <f t="shared" si="623"/>
        <v>United States</v>
      </c>
      <c r="B1798" t="str">
        <f t="shared" ref="B1798:B1807" si="624">B1797</f>
        <v>Greensboro</v>
      </c>
      <c r="C1798" t="str">
        <f t="shared" ref="C1798:C1799" si="625">C1797</f>
        <v>First Class</v>
      </c>
      <c r="D1798" t="str">
        <f t="shared" ref="D1798:D1799" si="626">D1797</f>
        <v>Corporate</v>
      </c>
      <c r="E1798" t="s">
        <v>24</v>
      </c>
      <c r="F1798">
        <v>5</v>
      </c>
      <c r="G1798">
        <v>0.2</v>
      </c>
      <c r="H1798" s="2">
        <v>118.99650000000003</v>
      </c>
      <c r="I1798" s="2">
        <v>1359.96</v>
      </c>
    </row>
    <row r="1799" spans="1:9" x14ac:dyDescent="0.3">
      <c r="A1799" t="str">
        <f t="shared" si="623"/>
        <v>United States</v>
      </c>
      <c r="B1799" t="str">
        <f t="shared" si="624"/>
        <v>Greensboro</v>
      </c>
      <c r="C1799" t="str">
        <f t="shared" si="625"/>
        <v>First Class</v>
      </c>
      <c r="D1799" t="str">
        <f t="shared" si="626"/>
        <v>Corporate</v>
      </c>
      <c r="E1799" t="s">
        <v>25</v>
      </c>
      <c r="F1799">
        <v>3</v>
      </c>
      <c r="G1799">
        <v>0.4</v>
      </c>
      <c r="H1799" s="2">
        <v>-192.04680000000008</v>
      </c>
      <c r="I1799" s="2">
        <v>523.76400000000001</v>
      </c>
    </row>
    <row r="1800" spans="1:9" x14ac:dyDescent="0.3">
      <c r="A1800" t="str">
        <f t="shared" si="623"/>
        <v>United States</v>
      </c>
      <c r="B1800" t="str">
        <f t="shared" si="624"/>
        <v>Greensboro</v>
      </c>
      <c r="C1800" t="s">
        <v>22</v>
      </c>
      <c r="D1800" t="s">
        <v>8</v>
      </c>
      <c r="E1800" t="s">
        <v>19</v>
      </c>
      <c r="F1800">
        <v>1</v>
      </c>
      <c r="G1800">
        <v>0.2</v>
      </c>
      <c r="H1800" s="2">
        <v>2.4581999999999997</v>
      </c>
      <c r="I1800" s="2">
        <v>32.776000000000003</v>
      </c>
    </row>
    <row r="1801" spans="1:9" x14ac:dyDescent="0.3">
      <c r="A1801" t="str">
        <f t="shared" si="623"/>
        <v>United States</v>
      </c>
      <c r="B1801" t="str">
        <f t="shared" si="624"/>
        <v>Greensboro</v>
      </c>
      <c r="C1801" t="str">
        <f t="shared" ref="C1801:C1807" si="627">C1800</f>
        <v>Standard Class</v>
      </c>
      <c r="D1801" t="str">
        <f t="shared" ref="D1801:D1802" si="628">D1800</f>
        <v>Consumer</v>
      </c>
      <c r="E1801" t="s">
        <v>20</v>
      </c>
      <c r="F1801">
        <v>9</v>
      </c>
      <c r="G1801">
        <v>1.4</v>
      </c>
      <c r="H1801" s="2">
        <v>-45.31689999999999</v>
      </c>
      <c r="I1801" s="2">
        <v>59.109000000000016</v>
      </c>
    </row>
    <row r="1802" spans="1:9" x14ac:dyDescent="0.3">
      <c r="A1802" t="str">
        <f t="shared" si="623"/>
        <v>United States</v>
      </c>
      <c r="B1802" t="str">
        <f t="shared" si="624"/>
        <v>Greensboro</v>
      </c>
      <c r="C1802" t="str">
        <f t="shared" si="627"/>
        <v>Standard Class</v>
      </c>
      <c r="D1802" t="str">
        <f t="shared" si="628"/>
        <v>Consumer</v>
      </c>
      <c r="E1802" t="s">
        <v>33</v>
      </c>
      <c r="F1802">
        <v>9</v>
      </c>
      <c r="G1802">
        <v>0.2</v>
      </c>
      <c r="H1802" s="2">
        <v>11.69100000000001</v>
      </c>
      <c r="I1802" s="2">
        <v>187.05600000000001</v>
      </c>
    </row>
    <row r="1803" spans="1:9" x14ac:dyDescent="0.3">
      <c r="A1803" t="str">
        <f t="shared" si="623"/>
        <v>United States</v>
      </c>
      <c r="B1803" t="str">
        <f t="shared" si="624"/>
        <v>Greensboro</v>
      </c>
      <c r="C1803" t="str">
        <f t="shared" si="627"/>
        <v>Standard Class</v>
      </c>
      <c r="D1803" t="s">
        <v>15</v>
      </c>
      <c r="E1803" t="s">
        <v>23</v>
      </c>
      <c r="F1803">
        <v>3</v>
      </c>
      <c r="G1803">
        <v>0.2</v>
      </c>
      <c r="H1803" s="2">
        <v>0.33989999999999654</v>
      </c>
      <c r="I1803" s="2">
        <v>27.192</v>
      </c>
    </row>
    <row r="1804" spans="1:9" x14ac:dyDescent="0.3">
      <c r="A1804" t="str">
        <f t="shared" si="623"/>
        <v>United States</v>
      </c>
      <c r="B1804" t="str">
        <f t="shared" si="624"/>
        <v>Greensboro</v>
      </c>
      <c r="C1804" t="str">
        <f t="shared" si="627"/>
        <v>Standard Class</v>
      </c>
      <c r="D1804" t="str">
        <f t="shared" ref="D1804:D1807" si="629">D1803</f>
        <v>Corporate</v>
      </c>
      <c r="E1804" t="s">
        <v>20</v>
      </c>
      <c r="F1804">
        <v>8</v>
      </c>
      <c r="G1804">
        <v>1.4</v>
      </c>
      <c r="H1804" s="2">
        <v>-12.780000000000001</v>
      </c>
      <c r="I1804" s="2">
        <v>16.155000000000001</v>
      </c>
    </row>
    <row r="1805" spans="1:9" x14ac:dyDescent="0.3">
      <c r="A1805" t="str">
        <f t="shared" si="623"/>
        <v>United States</v>
      </c>
      <c r="B1805" t="str">
        <f t="shared" si="624"/>
        <v>Greensboro</v>
      </c>
      <c r="C1805" t="str">
        <f t="shared" si="627"/>
        <v>Standard Class</v>
      </c>
      <c r="D1805" t="str">
        <f t="shared" si="629"/>
        <v>Corporate</v>
      </c>
      <c r="E1805" t="s">
        <v>33</v>
      </c>
      <c r="F1805">
        <v>1</v>
      </c>
      <c r="G1805">
        <v>0.2</v>
      </c>
      <c r="H1805" s="2">
        <v>-11.069100000000006</v>
      </c>
      <c r="I1805" s="2">
        <v>98.391999999999996</v>
      </c>
    </row>
    <row r="1806" spans="1:9" x14ac:dyDescent="0.3">
      <c r="A1806" t="str">
        <f t="shared" si="623"/>
        <v>United States</v>
      </c>
      <c r="B1806" t="str">
        <f t="shared" si="624"/>
        <v>Greensboro</v>
      </c>
      <c r="C1806" t="str">
        <f t="shared" si="627"/>
        <v>Standard Class</v>
      </c>
      <c r="D1806" t="str">
        <f t="shared" si="629"/>
        <v>Corporate</v>
      </c>
      <c r="E1806" t="s">
        <v>21</v>
      </c>
      <c r="F1806">
        <v>2</v>
      </c>
      <c r="G1806">
        <v>0.2</v>
      </c>
      <c r="H1806" s="2">
        <v>1.0679999999999996</v>
      </c>
      <c r="I1806" s="2">
        <v>17.088000000000001</v>
      </c>
    </row>
    <row r="1807" spans="1:9" x14ac:dyDescent="0.3">
      <c r="A1807" t="str">
        <f t="shared" si="623"/>
        <v>United States</v>
      </c>
      <c r="B1807" t="str">
        <f t="shared" si="624"/>
        <v>Greensboro</v>
      </c>
      <c r="C1807" t="str">
        <f t="shared" si="627"/>
        <v>Standard Class</v>
      </c>
      <c r="D1807" t="str">
        <f t="shared" si="629"/>
        <v>Corporate</v>
      </c>
      <c r="E1807" t="s">
        <v>9</v>
      </c>
      <c r="F1807">
        <v>2</v>
      </c>
      <c r="G1807">
        <v>0.2</v>
      </c>
      <c r="H1807" s="2">
        <v>-4.3792000000000009</v>
      </c>
      <c r="I1807" s="2">
        <v>20.608000000000004</v>
      </c>
    </row>
    <row r="1808" spans="1:9" x14ac:dyDescent="0.3">
      <c r="A1808" t="str">
        <f t="shared" si="623"/>
        <v>United States</v>
      </c>
      <c r="B1808" t="s">
        <v>209</v>
      </c>
      <c r="C1808" t="s">
        <v>22</v>
      </c>
      <c r="D1808" t="s">
        <v>8</v>
      </c>
      <c r="E1808" t="s">
        <v>23</v>
      </c>
      <c r="F1808">
        <v>6</v>
      </c>
      <c r="G1808">
        <v>0.4</v>
      </c>
      <c r="H1808" s="2">
        <v>15.395399999999995</v>
      </c>
      <c r="I1808" s="2">
        <v>84.671999999999997</v>
      </c>
    </row>
    <row r="1809" spans="1:9" x14ac:dyDescent="0.3">
      <c r="A1809" t="str">
        <f t="shared" si="623"/>
        <v>United States</v>
      </c>
      <c r="B1809" t="str">
        <f t="shared" ref="B1809:B1815" si="630">B1808</f>
        <v>Greenville</v>
      </c>
      <c r="C1809" t="str">
        <f t="shared" ref="C1809:C1815" si="631">C1808</f>
        <v>Standard Class</v>
      </c>
      <c r="D1809" t="str">
        <f t="shared" ref="D1809:D1812" si="632">D1808</f>
        <v>Consumer</v>
      </c>
      <c r="E1809" t="s">
        <v>34</v>
      </c>
      <c r="F1809">
        <v>5</v>
      </c>
      <c r="G1809">
        <v>0.2</v>
      </c>
      <c r="H1809" s="2">
        <v>5.7980000000000018</v>
      </c>
      <c r="I1809" s="2">
        <v>231.92000000000002</v>
      </c>
    </row>
    <row r="1810" spans="1:9" x14ac:dyDescent="0.3">
      <c r="A1810" t="str">
        <f t="shared" si="623"/>
        <v>United States</v>
      </c>
      <c r="B1810" t="str">
        <f t="shared" si="630"/>
        <v>Greenville</v>
      </c>
      <c r="C1810" t="str">
        <f t="shared" si="631"/>
        <v>Standard Class</v>
      </c>
      <c r="D1810" t="str">
        <f t="shared" si="632"/>
        <v>Consumer</v>
      </c>
      <c r="E1810" t="s">
        <v>33</v>
      </c>
      <c r="F1810">
        <v>2</v>
      </c>
      <c r="G1810">
        <v>0.2</v>
      </c>
      <c r="H1810" s="2">
        <v>-22.138200000000012</v>
      </c>
      <c r="I1810" s="2">
        <v>196.78399999999999</v>
      </c>
    </row>
    <row r="1811" spans="1:9" x14ac:dyDescent="0.3">
      <c r="A1811" t="str">
        <f t="shared" si="623"/>
        <v>United States</v>
      </c>
      <c r="B1811" t="str">
        <f t="shared" si="630"/>
        <v>Greenville</v>
      </c>
      <c r="C1811" t="str">
        <f t="shared" si="631"/>
        <v>Standard Class</v>
      </c>
      <c r="D1811" t="str">
        <f t="shared" si="632"/>
        <v>Consumer</v>
      </c>
      <c r="E1811" t="s">
        <v>46</v>
      </c>
      <c r="F1811">
        <v>2</v>
      </c>
      <c r="G1811">
        <v>0.5</v>
      </c>
      <c r="H1811" s="2">
        <v>-571.99559999999997</v>
      </c>
      <c r="I1811" s="2">
        <v>1299.99</v>
      </c>
    </row>
    <row r="1812" spans="1:9" x14ac:dyDescent="0.3">
      <c r="A1812" t="str">
        <f t="shared" si="623"/>
        <v>United States</v>
      </c>
      <c r="B1812" t="str">
        <f t="shared" si="630"/>
        <v>Greenville</v>
      </c>
      <c r="C1812" t="str">
        <f t="shared" si="631"/>
        <v>Standard Class</v>
      </c>
      <c r="D1812" t="str">
        <f t="shared" si="632"/>
        <v>Consumer</v>
      </c>
      <c r="E1812" t="s">
        <v>24</v>
      </c>
      <c r="F1812">
        <v>2</v>
      </c>
      <c r="G1812">
        <v>0.2</v>
      </c>
      <c r="H1812" s="2">
        <v>31.197999999999986</v>
      </c>
      <c r="I1812" s="2">
        <v>249.58400000000003</v>
      </c>
    </row>
    <row r="1813" spans="1:9" x14ac:dyDescent="0.3">
      <c r="A1813" t="str">
        <f t="shared" si="623"/>
        <v>United States</v>
      </c>
      <c r="B1813" t="str">
        <f t="shared" si="630"/>
        <v>Greenville</v>
      </c>
      <c r="C1813" t="str">
        <f t="shared" si="631"/>
        <v>Standard Class</v>
      </c>
      <c r="D1813" t="s">
        <v>15</v>
      </c>
      <c r="E1813" t="s">
        <v>20</v>
      </c>
      <c r="F1813">
        <v>4</v>
      </c>
      <c r="G1813">
        <v>0.7</v>
      </c>
      <c r="H1813" s="2">
        <v>-14.0928</v>
      </c>
      <c r="I1813" s="2">
        <v>17.616000000000003</v>
      </c>
    </row>
    <row r="1814" spans="1:9" x14ac:dyDescent="0.3">
      <c r="A1814" t="str">
        <f t="shared" si="623"/>
        <v>United States</v>
      </c>
      <c r="B1814" t="str">
        <f t="shared" si="630"/>
        <v>Greenville</v>
      </c>
      <c r="C1814" t="str">
        <f t="shared" si="631"/>
        <v>Standard Class</v>
      </c>
      <c r="D1814" t="s">
        <v>17</v>
      </c>
      <c r="E1814" t="s">
        <v>43</v>
      </c>
      <c r="F1814">
        <v>4</v>
      </c>
      <c r="G1814">
        <v>0.2</v>
      </c>
      <c r="H1814" s="2">
        <v>3.3408000000000002</v>
      </c>
      <c r="I1814" s="2">
        <v>9.2159999999999993</v>
      </c>
    </row>
    <row r="1815" spans="1:9" x14ac:dyDescent="0.3">
      <c r="A1815" t="str">
        <f t="shared" si="623"/>
        <v>United States</v>
      </c>
      <c r="B1815" t="str">
        <f t="shared" si="630"/>
        <v>Greenville</v>
      </c>
      <c r="C1815" t="str">
        <f t="shared" si="631"/>
        <v>Standard Class</v>
      </c>
      <c r="D1815" t="str">
        <f>D1814</f>
        <v>Home Office</v>
      </c>
      <c r="E1815" t="s">
        <v>9</v>
      </c>
      <c r="F1815">
        <v>2</v>
      </c>
      <c r="G1815">
        <v>0.2</v>
      </c>
      <c r="H1815" s="2">
        <v>3.5059999999999967</v>
      </c>
      <c r="I1815" s="2">
        <v>28.048000000000002</v>
      </c>
    </row>
    <row r="1816" spans="1:9" x14ac:dyDescent="0.3">
      <c r="A1816" t="str">
        <f t="shared" si="623"/>
        <v>United States</v>
      </c>
      <c r="B1816" t="s">
        <v>210</v>
      </c>
      <c r="C1816" t="s">
        <v>11</v>
      </c>
      <c r="D1816" t="s">
        <v>17</v>
      </c>
      <c r="E1816" t="s">
        <v>16</v>
      </c>
      <c r="F1816">
        <v>14</v>
      </c>
      <c r="G1816">
        <v>0</v>
      </c>
      <c r="H1816" s="2">
        <v>115.5072</v>
      </c>
      <c r="I1816" s="2">
        <v>240.14999999999998</v>
      </c>
    </row>
    <row r="1817" spans="1:9" x14ac:dyDescent="0.3">
      <c r="A1817" t="str">
        <f t="shared" si="623"/>
        <v>United States</v>
      </c>
      <c r="B1817" t="str">
        <f>B1816</f>
        <v>Greenwood</v>
      </c>
      <c r="C1817" t="s">
        <v>27</v>
      </c>
      <c r="D1817" t="s">
        <v>8</v>
      </c>
      <c r="E1817" t="s">
        <v>33</v>
      </c>
      <c r="F1817">
        <v>5</v>
      </c>
      <c r="G1817">
        <v>0</v>
      </c>
      <c r="H1817" s="2">
        <v>356.22500000000002</v>
      </c>
      <c r="I1817" s="2">
        <v>1424.9</v>
      </c>
    </row>
    <row r="1818" spans="1:9" x14ac:dyDescent="0.3">
      <c r="A1818" t="str">
        <f t="shared" si="623"/>
        <v>United States</v>
      </c>
      <c r="B1818" t="s">
        <v>211</v>
      </c>
      <c r="C1818" t="s">
        <v>22</v>
      </c>
      <c r="D1818" t="s">
        <v>8</v>
      </c>
      <c r="E1818" t="s">
        <v>20</v>
      </c>
      <c r="F1818">
        <v>8</v>
      </c>
      <c r="G1818">
        <v>0.7</v>
      </c>
      <c r="H1818" s="2">
        <v>-18.446399999999997</v>
      </c>
      <c r="I1818" s="2">
        <v>26.352000000000004</v>
      </c>
    </row>
    <row r="1819" spans="1:9" x14ac:dyDescent="0.3">
      <c r="A1819" t="str">
        <f t="shared" si="623"/>
        <v>United States</v>
      </c>
      <c r="B1819" t="str">
        <f t="shared" ref="B1819:B1821" si="633">B1818</f>
        <v>Gresham</v>
      </c>
      <c r="C1819" t="str">
        <f t="shared" ref="C1819:C1821" si="634">C1818</f>
        <v>Standard Class</v>
      </c>
      <c r="D1819" t="str">
        <f t="shared" ref="D1819:D1820" si="635">D1818</f>
        <v>Consumer</v>
      </c>
      <c r="E1819" t="s">
        <v>33</v>
      </c>
      <c r="F1819">
        <v>9</v>
      </c>
      <c r="G1819">
        <v>0.4</v>
      </c>
      <c r="H1819" s="2">
        <v>136.50800000000007</v>
      </c>
      <c r="I1819" s="2">
        <v>1682.1759999999999</v>
      </c>
    </row>
    <row r="1820" spans="1:9" x14ac:dyDescent="0.3">
      <c r="A1820" t="str">
        <f t="shared" si="623"/>
        <v>United States</v>
      </c>
      <c r="B1820" t="str">
        <f t="shared" si="633"/>
        <v>Gresham</v>
      </c>
      <c r="C1820" t="str">
        <f t="shared" si="634"/>
        <v>Standard Class</v>
      </c>
      <c r="D1820" t="str">
        <f t="shared" si="635"/>
        <v>Consumer</v>
      </c>
      <c r="E1820" t="s">
        <v>38</v>
      </c>
      <c r="F1820">
        <v>7</v>
      </c>
      <c r="G1820">
        <v>0.2</v>
      </c>
      <c r="H1820" s="2">
        <v>7.6047999999999991</v>
      </c>
      <c r="I1820" s="2">
        <v>21.728000000000002</v>
      </c>
    </row>
    <row r="1821" spans="1:9" x14ac:dyDescent="0.3">
      <c r="A1821" t="str">
        <f t="shared" si="623"/>
        <v>United States</v>
      </c>
      <c r="B1821" t="str">
        <f t="shared" si="633"/>
        <v>Gresham</v>
      </c>
      <c r="C1821" t="str">
        <f t="shared" si="634"/>
        <v>Standard Class</v>
      </c>
      <c r="D1821" t="s">
        <v>15</v>
      </c>
      <c r="E1821" t="s">
        <v>24</v>
      </c>
      <c r="F1821">
        <v>4</v>
      </c>
      <c r="G1821">
        <v>0.2</v>
      </c>
      <c r="H1821" s="2">
        <v>25.198000000000008</v>
      </c>
      <c r="I1821" s="2">
        <v>403.16800000000001</v>
      </c>
    </row>
    <row r="1822" spans="1:9" x14ac:dyDescent="0.3">
      <c r="A1822" t="str">
        <f t="shared" si="623"/>
        <v>United States</v>
      </c>
      <c r="B1822" t="s">
        <v>212</v>
      </c>
      <c r="C1822" t="s">
        <v>7</v>
      </c>
      <c r="D1822" t="s">
        <v>8</v>
      </c>
      <c r="E1822" t="s">
        <v>20</v>
      </c>
      <c r="F1822">
        <v>2</v>
      </c>
      <c r="G1822">
        <v>0.7</v>
      </c>
      <c r="H1822" s="2">
        <v>-2.7967999999999993</v>
      </c>
      <c r="I1822" s="2">
        <v>3.6480000000000006</v>
      </c>
    </row>
    <row r="1823" spans="1:9" x14ac:dyDescent="0.3">
      <c r="A1823" t="str">
        <f t="shared" si="623"/>
        <v>United States</v>
      </c>
      <c r="B1823" t="str">
        <f>B1822</f>
        <v>Grove City</v>
      </c>
      <c r="C1823" t="str">
        <f>C1822</f>
        <v>Second Class</v>
      </c>
      <c r="D1823" t="str">
        <f>D1822</f>
        <v>Consumer</v>
      </c>
      <c r="E1823" t="s">
        <v>24</v>
      </c>
      <c r="F1823">
        <v>10</v>
      </c>
      <c r="G1823">
        <v>0.4</v>
      </c>
      <c r="H1823" s="2">
        <v>15.99199999999999</v>
      </c>
      <c r="I1823" s="2">
        <v>119.93999999999998</v>
      </c>
    </row>
    <row r="1824" spans="1:9" x14ac:dyDescent="0.3">
      <c r="A1824" t="str">
        <f t="shared" si="623"/>
        <v>United States</v>
      </c>
      <c r="B1824" t="s">
        <v>213</v>
      </c>
      <c r="C1824" t="s">
        <v>7</v>
      </c>
      <c r="D1824" t="s">
        <v>15</v>
      </c>
      <c r="E1824" t="s">
        <v>20</v>
      </c>
      <c r="F1824">
        <v>4</v>
      </c>
      <c r="G1824">
        <v>0</v>
      </c>
      <c r="H1824" s="2">
        <v>15.68</v>
      </c>
      <c r="I1824" s="2">
        <v>31.36</v>
      </c>
    </row>
    <row r="1825" spans="1:9" x14ac:dyDescent="0.3">
      <c r="A1825" t="str">
        <f t="shared" si="623"/>
        <v>United States</v>
      </c>
      <c r="B1825" t="str">
        <f t="shared" ref="B1825:B1826" si="636">B1824</f>
        <v>Gulfport</v>
      </c>
      <c r="C1825" t="str">
        <f>C1824</f>
        <v>Second Class</v>
      </c>
      <c r="D1825" t="str">
        <f>D1824</f>
        <v>Corporate</v>
      </c>
      <c r="E1825" t="s">
        <v>21</v>
      </c>
      <c r="F1825">
        <v>7</v>
      </c>
      <c r="G1825">
        <v>0</v>
      </c>
      <c r="H1825" s="2">
        <v>38.038000000000004</v>
      </c>
      <c r="I1825" s="2">
        <v>86.45</v>
      </c>
    </row>
    <row r="1826" spans="1:9" x14ac:dyDescent="0.3">
      <c r="A1826" t="str">
        <f t="shared" si="623"/>
        <v>United States</v>
      </c>
      <c r="B1826" t="str">
        <f t="shared" si="636"/>
        <v>Gulfport</v>
      </c>
      <c r="C1826" t="s">
        <v>22</v>
      </c>
      <c r="D1826" t="s">
        <v>8</v>
      </c>
      <c r="E1826" t="s">
        <v>38</v>
      </c>
      <c r="F1826">
        <v>9</v>
      </c>
      <c r="G1826">
        <v>0</v>
      </c>
      <c r="H1826" s="2">
        <v>23.8581</v>
      </c>
      <c r="I1826" s="2">
        <v>48.69</v>
      </c>
    </row>
    <row r="1827" spans="1:9" x14ac:dyDescent="0.3">
      <c r="A1827" t="str">
        <f t="shared" si="623"/>
        <v>United States</v>
      </c>
      <c r="B1827" t="s">
        <v>214</v>
      </c>
      <c r="C1827" t="s">
        <v>22</v>
      </c>
      <c r="D1827" t="s">
        <v>15</v>
      </c>
      <c r="E1827" t="s">
        <v>33</v>
      </c>
      <c r="F1827">
        <v>3</v>
      </c>
      <c r="G1827">
        <v>0</v>
      </c>
      <c r="H1827" s="2">
        <v>213.73500000000001</v>
      </c>
      <c r="I1827" s="2">
        <v>854.94</v>
      </c>
    </row>
    <row r="1828" spans="1:9" x14ac:dyDescent="0.3">
      <c r="A1828" t="str">
        <f t="shared" si="623"/>
        <v>United States</v>
      </c>
      <c r="B1828" t="str">
        <f t="shared" ref="B1828:B1831" si="637">B1827</f>
        <v>Hackensack</v>
      </c>
      <c r="C1828" t="str">
        <f t="shared" ref="C1828:C1831" si="638">C1827</f>
        <v>Standard Class</v>
      </c>
      <c r="D1828" t="str">
        <f t="shared" ref="D1828:D1831" si="639">D1827</f>
        <v>Corporate</v>
      </c>
      <c r="E1828" t="s">
        <v>21</v>
      </c>
      <c r="F1828">
        <v>12</v>
      </c>
      <c r="G1828">
        <v>0</v>
      </c>
      <c r="H1828" s="2">
        <v>89.768400000000014</v>
      </c>
      <c r="I1828" s="2">
        <v>211.64999999999998</v>
      </c>
    </row>
    <row r="1829" spans="1:9" x14ac:dyDescent="0.3">
      <c r="A1829" t="str">
        <f t="shared" si="623"/>
        <v>United States</v>
      </c>
      <c r="B1829" t="str">
        <f t="shared" si="637"/>
        <v>Hackensack</v>
      </c>
      <c r="C1829" t="str">
        <f t="shared" si="638"/>
        <v>Standard Class</v>
      </c>
      <c r="D1829" t="str">
        <f t="shared" si="639"/>
        <v>Corporate</v>
      </c>
      <c r="E1829" t="s">
        <v>43</v>
      </c>
      <c r="F1829">
        <v>5</v>
      </c>
      <c r="G1829">
        <v>0</v>
      </c>
      <c r="H1829" s="2">
        <v>7.056</v>
      </c>
      <c r="I1829" s="2">
        <v>14.399999999999999</v>
      </c>
    </row>
    <row r="1830" spans="1:9" x14ac:dyDescent="0.3">
      <c r="A1830" t="str">
        <f t="shared" si="623"/>
        <v>United States</v>
      </c>
      <c r="B1830" t="str">
        <f t="shared" si="637"/>
        <v>Hackensack</v>
      </c>
      <c r="C1830" t="str">
        <f t="shared" si="638"/>
        <v>Standard Class</v>
      </c>
      <c r="D1830" t="str">
        <f t="shared" si="639"/>
        <v>Corporate</v>
      </c>
      <c r="E1830" t="s">
        <v>16</v>
      </c>
      <c r="F1830">
        <v>5</v>
      </c>
      <c r="G1830">
        <v>0</v>
      </c>
      <c r="H1830" s="2">
        <v>83.283999999999992</v>
      </c>
      <c r="I1830" s="2">
        <v>177.2</v>
      </c>
    </row>
    <row r="1831" spans="1:9" x14ac:dyDescent="0.3">
      <c r="A1831" t="str">
        <f t="shared" si="623"/>
        <v>United States</v>
      </c>
      <c r="B1831" t="str">
        <f t="shared" si="637"/>
        <v>Hackensack</v>
      </c>
      <c r="C1831" t="str">
        <f t="shared" si="638"/>
        <v>Standard Class</v>
      </c>
      <c r="D1831" t="str">
        <f t="shared" si="639"/>
        <v>Corporate</v>
      </c>
      <c r="E1831" t="s">
        <v>24</v>
      </c>
      <c r="F1831">
        <v>3</v>
      </c>
      <c r="G1831">
        <v>0</v>
      </c>
      <c r="H1831" s="2">
        <v>57.41129999999999</v>
      </c>
      <c r="I1831" s="2">
        <v>197.96999999999997</v>
      </c>
    </row>
    <row r="1832" spans="1:9" x14ac:dyDescent="0.3">
      <c r="A1832" t="str">
        <f t="shared" si="623"/>
        <v>United States</v>
      </c>
      <c r="B1832" t="s">
        <v>215</v>
      </c>
      <c r="C1832" t="s">
        <v>7</v>
      </c>
      <c r="D1832" t="s">
        <v>8</v>
      </c>
      <c r="E1832" t="s">
        <v>20</v>
      </c>
      <c r="F1832">
        <v>6</v>
      </c>
      <c r="G1832">
        <v>0</v>
      </c>
      <c r="H1832" s="2">
        <v>20.585999999999999</v>
      </c>
      <c r="I1832" s="2">
        <v>43.8</v>
      </c>
    </row>
    <row r="1833" spans="1:9" x14ac:dyDescent="0.3">
      <c r="A1833" t="str">
        <f t="shared" si="623"/>
        <v>United States</v>
      </c>
      <c r="B1833" t="s">
        <v>216</v>
      </c>
      <c r="C1833" t="s">
        <v>11</v>
      </c>
      <c r="D1833" t="s">
        <v>15</v>
      </c>
      <c r="E1833" t="s">
        <v>23</v>
      </c>
      <c r="F1833">
        <v>2</v>
      </c>
      <c r="G1833">
        <v>0.2</v>
      </c>
      <c r="H1833" s="2">
        <v>36.397199999999998</v>
      </c>
      <c r="I1833" s="2">
        <v>207.98400000000004</v>
      </c>
    </row>
    <row r="1834" spans="1:9" x14ac:dyDescent="0.3">
      <c r="A1834" t="str">
        <f t="shared" si="623"/>
        <v>United States</v>
      </c>
      <c r="B1834" t="str">
        <f t="shared" ref="B1834:B1836" si="640">B1833</f>
        <v>Haltom City</v>
      </c>
      <c r="C1834" t="str">
        <f t="shared" ref="C1834:C1835" si="641">C1833</f>
        <v>First Class</v>
      </c>
      <c r="D1834" t="str">
        <f t="shared" ref="D1834:D1835" si="642">D1833</f>
        <v>Corporate</v>
      </c>
      <c r="E1834" t="s">
        <v>16</v>
      </c>
      <c r="F1834">
        <v>7</v>
      </c>
      <c r="G1834">
        <v>0.2</v>
      </c>
      <c r="H1834" s="2">
        <v>11.733400000000001</v>
      </c>
      <c r="I1834" s="2">
        <v>32.368000000000002</v>
      </c>
    </row>
    <row r="1835" spans="1:9" x14ac:dyDescent="0.3">
      <c r="A1835" t="str">
        <f t="shared" si="623"/>
        <v>United States</v>
      </c>
      <c r="B1835" t="str">
        <f t="shared" si="640"/>
        <v>Haltom City</v>
      </c>
      <c r="C1835" t="str">
        <f t="shared" si="641"/>
        <v>First Class</v>
      </c>
      <c r="D1835" t="str">
        <f t="shared" si="642"/>
        <v>Corporate</v>
      </c>
      <c r="E1835" t="s">
        <v>9</v>
      </c>
      <c r="F1835">
        <v>2</v>
      </c>
      <c r="G1835">
        <v>0.2</v>
      </c>
      <c r="H1835" s="2">
        <v>1.6776</v>
      </c>
      <c r="I1835" s="2">
        <v>22.368000000000002</v>
      </c>
    </row>
    <row r="1836" spans="1:9" x14ac:dyDescent="0.3">
      <c r="A1836" t="str">
        <f t="shared" si="623"/>
        <v>United States</v>
      </c>
      <c r="B1836" t="str">
        <f t="shared" si="640"/>
        <v>Haltom City</v>
      </c>
      <c r="C1836" t="s">
        <v>22</v>
      </c>
      <c r="D1836" t="s">
        <v>15</v>
      </c>
      <c r="E1836" t="s">
        <v>38</v>
      </c>
      <c r="F1836">
        <v>2</v>
      </c>
      <c r="G1836">
        <v>0.2</v>
      </c>
      <c r="H1836" s="2">
        <v>2.1475999999999997</v>
      </c>
      <c r="I1836" s="2">
        <v>6.6080000000000005</v>
      </c>
    </row>
    <row r="1837" spans="1:9" x14ac:dyDescent="0.3">
      <c r="A1837" t="str">
        <f t="shared" si="623"/>
        <v>United States</v>
      </c>
      <c r="B1837" t="s">
        <v>217</v>
      </c>
      <c r="C1837" t="s">
        <v>22</v>
      </c>
      <c r="D1837" t="s">
        <v>8</v>
      </c>
      <c r="E1837" t="s">
        <v>12</v>
      </c>
      <c r="F1837">
        <v>5</v>
      </c>
      <c r="G1837">
        <v>0.2</v>
      </c>
      <c r="H1837" s="2">
        <v>9.2939999999999969</v>
      </c>
      <c r="I1837" s="2">
        <v>123.92000000000002</v>
      </c>
    </row>
    <row r="1838" spans="1:9" x14ac:dyDescent="0.3">
      <c r="A1838" t="str">
        <f t="shared" si="623"/>
        <v>United States</v>
      </c>
      <c r="B1838" t="str">
        <f t="shared" ref="B1838:B1839" si="643">B1837</f>
        <v>Hamilton</v>
      </c>
      <c r="C1838" t="str">
        <f t="shared" ref="C1838:C1839" si="644">C1837</f>
        <v>Standard Class</v>
      </c>
      <c r="D1838" t="str">
        <f t="shared" ref="D1838:D1839" si="645">D1837</f>
        <v>Consumer</v>
      </c>
      <c r="E1838" t="s">
        <v>19</v>
      </c>
      <c r="F1838">
        <v>5</v>
      </c>
      <c r="G1838">
        <v>0.4</v>
      </c>
      <c r="H1838" s="2">
        <v>2.7914000000000003</v>
      </c>
      <c r="I1838" s="2">
        <v>13.456</v>
      </c>
    </row>
    <row r="1839" spans="1:9" x14ac:dyDescent="0.3">
      <c r="A1839" t="str">
        <f t="shared" si="623"/>
        <v>United States</v>
      </c>
      <c r="B1839" t="str">
        <f t="shared" si="643"/>
        <v>Hamilton</v>
      </c>
      <c r="C1839" t="str">
        <f t="shared" si="644"/>
        <v>Standard Class</v>
      </c>
      <c r="D1839" t="str">
        <f t="shared" si="645"/>
        <v>Consumer</v>
      </c>
      <c r="E1839" t="s">
        <v>21</v>
      </c>
      <c r="F1839">
        <v>3</v>
      </c>
      <c r="G1839">
        <v>0.2</v>
      </c>
      <c r="H1839" s="2">
        <v>-21.470400000000026</v>
      </c>
      <c r="I1839" s="2">
        <v>190.84800000000001</v>
      </c>
    </row>
    <row r="1840" spans="1:9" x14ac:dyDescent="0.3">
      <c r="A1840" t="str">
        <f t="shared" si="623"/>
        <v>United States</v>
      </c>
      <c r="B1840" t="s">
        <v>218</v>
      </c>
      <c r="C1840" t="s">
        <v>27</v>
      </c>
      <c r="D1840" t="s">
        <v>8</v>
      </c>
      <c r="E1840" t="s">
        <v>33</v>
      </c>
      <c r="F1840">
        <v>5</v>
      </c>
      <c r="G1840">
        <v>0</v>
      </c>
      <c r="H1840" s="2">
        <v>40.472999999999999</v>
      </c>
      <c r="I1840" s="2">
        <v>149.9</v>
      </c>
    </row>
    <row r="1841" spans="1:9" x14ac:dyDescent="0.3">
      <c r="A1841" t="str">
        <f t="shared" si="623"/>
        <v>United States</v>
      </c>
      <c r="B1841" t="str">
        <f t="shared" ref="B1841:B1849" si="646">B1840</f>
        <v>Hampton</v>
      </c>
      <c r="C1841" t="s">
        <v>7</v>
      </c>
      <c r="D1841" t="s">
        <v>8</v>
      </c>
      <c r="E1841" t="s">
        <v>12</v>
      </c>
      <c r="F1841">
        <v>3</v>
      </c>
      <c r="G1841">
        <v>0</v>
      </c>
      <c r="H1841" s="2">
        <v>18.660600000000002</v>
      </c>
      <c r="I1841" s="2">
        <v>44.43</v>
      </c>
    </row>
    <row r="1842" spans="1:9" x14ac:dyDescent="0.3">
      <c r="A1842" t="str">
        <f t="shared" si="623"/>
        <v>United States</v>
      </c>
      <c r="B1842" t="str">
        <f t="shared" si="646"/>
        <v>Hampton</v>
      </c>
      <c r="C1842" t="str">
        <f t="shared" ref="C1842:C1845" si="647">C1841</f>
        <v>Second Class</v>
      </c>
      <c r="D1842" t="str">
        <f t="shared" ref="D1842:D1845" si="648">D1841</f>
        <v>Consumer</v>
      </c>
      <c r="E1842" t="s">
        <v>19</v>
      </c>
      <c r="F1842">
        <v>12</v>
      </c>
      <c r="G1842">
        <v>0</v>
      </c>
      <c r="H1842" s="2">
        <v>86.732999999999961</v>
      </c>
      <c r="I1842" s="2">
        <v>293.75999999999993</v>
      </c>
    </row>
    <row r="1843" spans="1:9" x14ac:dyDescent="0.3">
      <c r="A1843" t="str">
        <f t="shared" si="623"/>
        <v>United States</v>
      </c>
      <c r="B1843" t="str">
        <f t="shared" si="646"/>
        <v>Hampton</v>
      </c>
      <c r="C1843" t="str">
        <f t="shared" si="647"/>
        <v>Second Class</v>
      </c>
      <c r="D1843" t="str">
        <f t="shared" si="648"/>
        <v>Consumer</v>
      </c>
      <c r="E1843" t="s">
        <v>33</v>
      </c>
      <c r="F1843">
        <v>1</v>
      </c>
      <c r="G1843">
        <v>0</v>
      </c>
      <c r="H1843" s="2">
        <v>75.654799999999994</v>
      </c>
      <c r="I1843" s="2">
        <v>290.98</v>
      </c>
    </row>
    <row r="1844" spans="1:9" x14ac:dyDescent="0.3">
      <c r="A1844" t="str">
        <f t="shared" si="623"/>
        <v>United States</v>
      </c>
      <c r="B1844" t="str">
        <f t="shared" si="646"/>
        <v>Hampton</v>
      </c>
      <c r="C1844" t="str">
        <f t="shared" si="647"/>
        <v>Second Class</v>
      </c>
      <c r="D1844" t="str">
        <f t="shared" si="648"/>
        <v>Consumer</v>
      </c>
      <c r="E1844" t="s">
        <v>21</v>
      </c>
      <c r="F1844">
        <v>3</v>
      </c>
      <c r="G1844">
        <v>0</v>
      </c>
      <c r="H1844" s="2">
        <v>41.038800000000002</v>
      </c>
      <c r="I1844" s="2">
        <v>186.54</v>
      </c>
    </row>
    <row r="1845" spans="1:9" x14ac:dyDescent="0.3">
      <c r="A1845" t="str">
        <f t="shared" si="623"/>
        <v>United States</v>
      </c>
      <c r="B1845" t="str">
        <f t="shared" si="646"/>
        <v>Hampton</v>
      </c>
      <c r="C1845" t="str">
        <f t="shared" si="647"/>
        <v>Second Class</v>
      </c>
      <c r="D1845" t="str">
        <f t="shared" si="648"/>
        <v>Consumer</v>
      </c>
      <c r="E1845" t="s">
        <v>24</v>
      </c>
      <c r="F1845">
        <v>5</v>
      </c>
      <c r="G1845">
        <v>0</v>
      </c>
      <c r="H1845" s="2">
        <v>58.811999999999998</v>
      </c>
      <c r="I1845" s="2">
        <v>226.20000000000002</v>
      </c>
    </row>
    <row r="1846" spans="1:9" x14ac:dyDescent="0.3">
      <c r="A1846" t="str">
        <f t="shared" si="623"/>
        <v>United States</v>
      </c>
      <c r="B1846" t="str">
        <f t="shared" si="646"/>
        <v>Hampton</v>
      </c>
      <c r="C1846" t="s">
        <v>22</v>
      </c>
      <c r="D1846" t="s">
        <v>15</v>
      </c>
      <c r="E1846" t="s">
        <v>20</v>
      </c>
      <c r="F1846">
        <v>1</v>
      </c>
      <c r="G1846">
        <v>0</v>
      </c>
      <c r="H1846" s="2">
        <v>421.58529999999996</v>
      </c>
      <c r="I1846" s="2">
        <v>896.99</v>
      </c>
    </row>
    <row r="1847" spans="1:9" x14ac:dyDescent="0.3">
      <c r="A1847" t="str">
        <f t="shared" si="623"/>
        <v>United States</v>
      </c>
      <c r="B1847" t="str">
        <f t="shared" si="646"/>
        <v>Hampton</v>
      </c>
      <c r="C1847" t="str">
        <f t="shared" ref="C1847:C1849" si="649">C1846</f>
        <v>Standard Class</v>
      </c>
      <c r="D1847" t="str">
        <f t="shared" ref="D1847:D1848" si="650">D1846</f>
        <v>Corporate</v>
      </c>
      <c r="E1847" t="s">
        <v>33</v>
      </c>
      <c r="F1847">
        <v>13</v>
      </c>
      <c r="G1847">
        <v>0</v>
      </c>
      <c r="H1847" s="2">
        <v>145.06959999999992</v>
      </c>
      <c r="I1847" s="2">
        <v>500.23999999999995</v>
      </c>
    </row>
    <row r="1848" spans="1:9" x14ac:dyDescent="0.3">
      <c r="A1848" t="str">
        <f t="shared" si="623"/>
        <v>United States</v>
      </c>
      <c r="B1848" t="str">
        <f t="shared" si="646"/>
        <v>Hampton</v>
      </c>
      <c r="C1848" t="str">
        <f t="shared" si="649"/>
        <v>Standard Class</v>
      </c>
      <c r="D1848" t="str">
        <f t="shared" si="650"/>
        <v>Corporate</v>
      </c>
      <c r="E1848" t="s">
        <v>16</v>
      </c>
      <c r="F1848">
        <v>2</v>
      </c>
      <c r="G1848">
        <v>0</v>
      </c>
      <c r="H1848" s="2">
        <v>9.2552000000000003</v>
      </c>
      <c r="I1848" s="2">
        <v>20.12</v>
      </c>
    </row>
    <row r="1849" spans="1:9" x14ac:dyDescent="0.3">
      <c r="A1849" t="str">
        <f t="shared" si="623"/>
        <v>United States</v>
      </c>
      <c r="B1849" t="str">
        <f t="shared" si="646"/>
        <v>Hampton</v>
      </c>
      <c r="C1849" t="str">
        <f t="shared" si="649"/>
        <v>Standard Class</v>
      </c>
      <c r="D1849" t="s">
        <v>17</v>
      </c>
      <c r="E1849" t="s">
        <v>20</v>
      </c>
      <c r="F1849">
        <v>3</v>
      </c>
      <c r="G1849">
        <v>0</v>
      </c>
      <c r="H1849" s="2">
        <v>56.550000000000004</v>
      </c>
      <c r="I1849" s="2">
        <v>113.10000000000001</v>
      </c>
    </row>
    <row r="1850" spans="1:9" x14ac:dyDescent="0.3">
      <c r="A1850" t="str">
        <f t="shared" si="623"/>
        <v>United States</v>
      </c>
      <c r="B1850" t="s">
        <v>219</v>
      </c>
      <c r="C1850" t="s">
        <v>11</v>
      </c>
      <c r="D1850" t="s">
        <v>8</v>
      </c>
      <c r="E1850" t="s">
        <v>19</v>
      </c>
      <c r="F1850">
        <v>7</v>
      </c>
      <c r="G1850">
        <v>0.2</v>
      </c>
      <c r="H1850" s="2">
        <v>16.373699999999992</v>
      </c>
      <c r="I1850" s="2">
        <v>145.54400000000001</v>
      </c>
    </row>
    <row r="1851" spans="1:9" x14ac:dyDescent="0.3">
      <c r="A1851" t="str">
        <f t="shared" si="623"/>
        <v>United States</v>
      </c>
      <c r="B1851" t="str">
        <f t="shared" ref="B1851:B1854" si="651">B1850</f>
        <v>Harlingen</v>
      </c>
      <c r="C1851" t="str">
        <f t="shared" ref="C1851:C1852" si="652">C1850</f>
        <v>First Class</v>
      </c>
      <c r="D1851" t="str">
        <f t="shared" ref="D1851:D1852" si="653">D1850</f>
        <v>Consumer</v>
      </c>
      <c r="E1851" t="s">
        <v>34</v>
      </c>
      <c r="F1851">
        <v>5</v>
      </c>
      <c r="G1851">
        <v>0.32</v>
      </c>
      <c r="H1851" s="2">
        <v>-14.195999999999998</v>
      </c>
      <c r="I1851" s="2">
        <v>241.33199999999999</v>
      </c>
    </row>
    <row r="1852" spans="1:9" x14ac:dyDescent="0.3">
      <c r="A1852" t="str">
        <f t="shared" si="623"/>
        <v>United States</v>
      </c>
      <c r="B1852" t="str">
        <f t="shared" si="651"/>
        <v>Harlingen</v>
      </c>
      <c r="C1852" t="str">
        <f t="shared" si="652"/>
        <v>First Class</v>
      </c>
      <c r="D1852" t="str">
        <f t="shared" si="653"/>
        <v>Consumer</v>
      </c>
      <c r="E1852" t="s">
        <v>16</v>
      </c>
      <c r="F1852">
        <v>1</v>
      </c>
      <c r="G1852">
        <v>0.2</v>
      </c>
      <c r="H1852" s="2">
        <v>1.8792</v>
      </c>
      <c r="I1852" s="2">
        <v>5.1840000000000011</v>
      </c>
    </row>
    <row r="1853" spans="1:9" x14ac:dyDescent="0.3">
      <c r="A1853" t="str">
        <f t="shared" si="623"/>
        <v>United States</v>
      </c>
      <c r="B1853" t="str">
        <f t="shared" si="651"/>
        <v>Harlingen</v>
      </c>
      <c r="C1853" t="s">
        <v>22</v>
      </c>
      <c r="D1853" t="s">
        <v>8</v>
      </c>
      <c r="E1853" t="s">
        <v>16</v>
      </c>
      <c r="F1853">
        <v>5</v>
      </c>
      <c r="G1853">
        <v>0.2</v>
      </c>
      <c r="H1853" s="2">
        <v>9.3960000000000008</v>
      </c>
      <c r="I1853" s="2">
        <v>25.920000000000005</v>
      </c>
    </row>
    <row r="1854" spans="1:9" x14ac:dyDescent="0.3">
      <c r="A1854" t="str">
        <f t="shared" si="623"/>
        <v>United States</v>
      </c>
      <c r="B1854" t="str">
        <f t="shared" si="651"/>
        <v>Harlingen</v>
      </c>
      <c r="C1854" t="str">
        <f>C1853</f>
        <v>Standard Class</v>
      </c>
      <c r="D1854" t="str">
        <f>D1853</f>
        <v>Consumer</v>
      </c>
      <c r="E1854" t="s">
        <v>14</v>
      </c>
      <c r="F1854">
        <v>3</v>
      </c>
      <c r="G1854">
        <v>0.2</v>
      </c>
      <c r="H1854" s="2">
        <v>4.6746000000000016</v>
      </c>
      <c r="I1854" s="2">
        <v>53.424000000000007</v>
      </c>
    </row>
    <row r="1855" spans="1:9" x14ac:dyDescent="0.3">
      <c r="A1855" t="str">
        <f t="shared" si="623"/>
        <v>United States</v>
      </c>
      <c r="B1855" t="s">
        <v>220</v>
      </c>
      <c r="C1855" t="s">
        <v>11</v>
      </c>
      <c r="D1855" t="s">
        <v>17</v>
      </c>
      <c r="E1855" t="s">
        <v>20</v>
      </c>
      <c r="F1855">
        <v>3</v>
      </c>
      <c r="G1855">
        <v>0</v>
      </c>
      <c r="H1855" s="2">
        <v>29.285699999999999</v>
      </c>
      <c r="I1855" s="2">
        <v>62.31</v>
      </c>
    </row>
    <row r="1856" spans="1:9" x14ac:dyDescent="0.3">
      <c r="A1856" t="str">
        <f t="shared" si="623"/>
        <v>United States</v>
      </c>
      <c r="B1856" t="str">
        <f t="shared" ref="B1856:B1860" si="654">B1855</f>
        <v>Harrisonburg</v>
      </c>
      <c r="C1856" t="str">
        <f t="shared" ref="C1856:C1857" si="655">C1855</f>
        <v>First Class</v>
      </c>
      <c r="D1856" t="str">
        <f t="shared" ref="D1856:D1857" si="656">D1855</f>
        <v>Home Office</v>
      </c>
      <c r="E1856" t="s">
        <v>14</v>
      </c>
      <c r="F1856">
        <v>2</v>
      </c>
      <c r="G1856">
        <v>0</v>
      </c>
      <c r="H1856" s="2">
        <v>0</v>
      </c>
      <c r="I1856" s="2">
        <v>122.48</v>
      </c>
    </row>
    <row r="1857" spans="1:9" x14ac:dyDescent="0.3">
      <c r="A1857" t="str">
        <f t="shared" si="623"/>
        <v>United States</v>
      </c>
      <c r="B1857" t="str">
        <f t="shared" si="654"/>
        <v>Harrisonburg</v>
      </c>
      <c r="C1857" t="str">
        <f t="shared" si="655"/>
        <v>First Class</v>
      </c>
      <c r="D1857" t="str">
        <f t="shared" si="656"/>
        <v>Home Office</v>
      </c>
      <c r="E1857" t="s">
        <v>25</v>
      </c>
      <c r="F1857">
        <v>9</v>
      </c>
      <c r="G1857">
        <v>0</v>
      </c>
      <c r="H1857" s="2">
        <v>593.9076</v>
      </c>
      <c r="I1857" s="2">
        <v>2699.58</v>
      </c>
    </row>
    <row r="1858" spans="1:9" x14ac:dyDescent="0.3">
      <c r="A1858" t="str">
        <f t="shared" si="623"/>
        <v>United States</v>
      </c>
      <c r="B1858" t="str">
        <f t="shared" si="654"/>
        <v>Harrisonburg</v>
      </c>
      <c r="C1858" t="s">
        <v>7</v>
      </c>
      <c r="D1858" t="s">
        <v>8</v>
      </c>
      <c r="E1858" t="s">
        <v>25</v>
      </c>
      <c r="F1858">
        <v>7</v>
      </c>
      <c r="G1858">
        <v>0</v>
      </c>
      <c r="H1858" s="2">
        <v>245.0209999999999</v>
      </c>
      <c r="I1858" s="2">
        <v>1441.3</v>
      </c>
    </row>
    <row r="1859" spans="1:9" x14ac:dyDescent="0.3">
      <c r="A1859" t="str">
        <f t="shared" si="623"/>
        <v>United States</v>
      </c>
      <c r="B1859" t="str">
        <f t="shared" si="654"/>
        <v>Harrisonburg</v>
      </c>
      <c r="C1859" t="s">
        <v>22</v>
      </c>
      <c r="D1859" t="s">
        <v>8</v>
      </c>
      <c r="E1859" t="s">
        <v>23</v>
      </c>
      <c r="F1859">
        <v>2</v>
      </c>
      <c r="G1859">
        <v>0</v>
      </c>
      <c r="H1859" s="2">
        <v>6.9239999999999995</v>
      </c>
      <c r="I1859" s="2">
        <v>23.08</v>
      </c>
    </row>
    <row r="1860" spans="1:9" x14ac:dyDescent="0.3">
      <c r="A1860" t="str">
        <f t="shared" ref="A1860:A1923" si="657">A1859</f>
        <v>United States</v>
      </c>
      <c r="B1860" t="str">
        <f t="shared" si="654"/>
        <v>Harrisonburg</v>
      </c>
      <c r="C1860" t="str">
        <f>C1859</f>
        <v>Standard Class</v>
      </c>
      <c r="D1860" t="s">
        <v>17</v>
      </c>
      <c r="E1860" t="s">
        <v>21</v>
      </c>
      <c r="F1860">
        <v>2</v>
      </c>
      <c r="G1860">
        <v>0</v>
      </c>
      <c r="H1860" s="2">
        <v>14.3856</v>
      </c>
      <c r="I1860" s="2">
        <v>39.96</v>
      </c>
    </row>
    <row r="1861" spans="1:9" x14ac:dyDescent="0.3">
      <c r="A1861" t="str">
        <f t="shared" si="657"/>
        <v>United States</v>
      </c>
      <c r="B1861" t="s">
        <v>221</v>
      </c>
      <c r="C1861" t="s">
        <v>22</v>
      </c>
      <c r="D1861" t="s">
        <v>8</v>
      </c>
      <c r="E1861" t="s">
        <v>23</v>
      </c>
      <c r="F1861">
        <v>4</v>
      </c>
      <c r="G1861">
        <v>0</v>
      </c>
      <c r="H1861" s="2">
        <v>23.4</v>
      </c>
      <c r="I1861" s="2">
        <v>52</v>
      </c>
    </row>
    <row r="1862" spans="1:9" x14ac:dyDescent="0.3">
      <c r="A1862" t="str">
        <f t="shared" si="657"/>
        <v>United States</v>
      </c>
      <c r="B1862" t="str">
        <f t="shared" ref="B1862:B1868" si="658">B1861</f>
        <v>Hattiesburg</v>
      </c>
      <c r="C1862" t="str">
        <f t="shared" ref="C1862:C1868" si="659">C1861</f>
        <v>Standard Class</v>
      </c>
      <c r="D1862" t="str">
        <f t="shared" ref="D1862:D1867" si="660">D1861</f>
        <v>Consumer</v>
      </c>
      <c r="E1862" t="s">
        <v>12</v>
      </c>
      <c r="F1862">
        <v>4</v>
      </c>
      <c r="G1862">
        <v>0</v>
      </c>
      <c r="H1862" s="2">
        <v>89.779200000000003</v>
      </c>
      <c r="I1862" s="2">
        <v>320.64</v>
      </c>
    </row>
    <row r="1863" spans="1:9" x14ac:dyDescent="0.3">
      <c r="A1863" t="str">
        <f t="shared" si="657"/>
        <v>United States</v>
      </c>
      <c r="B1863" t="str">
        <f t="shared" si="658"/>
        <v>Hattiesburg</v>
      </c>
      <c r="C1863" t="str">
        <f t="shared" si="659"/>
        <v>Standard Class</v>
      </c>
      <c r="D1863" t="str">
        <f t="shared" si="660"/>
        <v>Consumer</v>
      </c>
      <c r="E1863" t="s">
        <v>20</v>
      </c>
      <c r="F1863">
        <v>3</v>
      </c>
      <c r="G1863">
        <v>0</v>
      </c>
      <c r="H1863" s="2">
        <v>39.7196</v>
      </c>
      <c r="I1863" s="2">
        <v>86.16</v>
      </c>
    </row>
    <row r="1864" spans="1:9" x14ac:dyDescent="0.3">
      <c r="A1864" t="str">
        <f t="shared" si="657"/>
        <v>United States</v>
      </c>
      <c r="B1864" t="str">
        <f t="shared" si="658"/>
        <v>Hattiesburg</v>
      </c>
      <c r="C1864" t="str">
        <f t="shared" si="659"/>
        <v>Standard Class</v>
      </c>
      <c r="D1864" t="str">
        <f t="shared" si="660"/>
        <v>Consumer</v>
      </c>
      <c r="E1864" t="s">
        <v>34</v>
      </c>
      <c r="F1864">
        <v>5</v>
      </c>
      <c r="G1864">
        <v>0</v>
      </c>
      <c r="H1864" s="2">
        <v>126.22500000000002</v>
      </c>
      <c r="I1864" s="2">
        <v>504.90000000000003</v>
      </c>
    </row>
    <row r="1865" spans="1:9" x14ac:dyDescent="0.3">
      <c r="A1865" t="str">
        <f t="shared" si="657"/>
        <v>United States</v>
      </c>
      <c r="B1865" t="str">
        <f t="shared" si="658"/>
        <v>Hattiesburg</v>
      </c>
      <c r="C1865" t="str">
        <f t="shared" si="659"/>
        <v>Standard Class</v>
      </c>
      <c r="D1865" t="str">
        <f t="shared" si="660"/>
        <v>Consumer</v>
      </c>
      <c r="E1865" t="s">
        <v>21</v>
      </c>
      <c r="F1865">
        <v>6</v>
      </c>
      <c r="G1865">
        <v>0</v>
      </c>
      <c r="H1865" s="2">
        <v>76.087800000000001</v>
      </c>
      <c r="I1865" s="2">
        <v>185.57999999999998</v>
      </c>
    </row>
    <row r="1866" spans="1:9" x14ac:dyDescent="0.3">
      <c r="A1866" t="str">
        <f t="shared" si="657"/>
        <v>United States</v>
      </c>
      <c r="B1866" t="str">
        <f t="shared" si="658"/>
        <v>Hattiesburg</v>
      </c>
      <c r="C1866" t="str">
        <f t="shared" si="659"/>
        <v>Standard Class</v>
      </c>
      <c r="D1866" t="str">
        <f t="shared" si="660"/>
        <v>Consumer</v>
      </c>
      <c r="E1866" t="s">
        <v>16</v>
      </c>
      <c r="F1866">
        <v>6</v>
      </c>
      <c r="G1866">
        <v>0</v>
      </c>
      <c r="H1866" s="2">
        <v>120.51060000000001</v>
      </c>
      <c r="I1866" s="2">
        <v>245.94</v>
      </c>
    </row>
    <row r="1867" spans="1:9" x14ac:dyDescent="0.3">
      <c r="A1867" t="str">
        <f t="shared" si="657"/>
        <v>United States</v>
      </c>
      <c r="B1867" t="str">
        <f t="shared" si="658"/>
        <v>Hattiesburg</v>
      </c>
      <c r="C1867" t="str">
        <f t="shared" si="659"/>
        <v>Standard Class</v>
      </c>
      <c r="D1867" t="str">
        <f t="shared" si="660"/>
        <v>Consumer</v>
      </c>
      <c r="E1867" t="s">
        <v>14</v>
      </c>
      <c r="F1867">
        <v>4</v>
      </c>
      <c r="G1867">
        <v>0</v>
      </c>
      <c r="H1867" s="2">
        <v>0.87919999999999732</v>
      </c>
      <c r="I1867" s="2">
        <v>87.92</v>
      </c>
    </row>
    <row r="1868" spans="1:9" x14ac:dyDescent="0.3">
      <c r="A1868" t="str">
        <f t="shared" si="657"/>
        <v>United States</v>
      </c>
      <c r="B1868" t="str">
        <f t="shared" si="658"/>
        <v>Hattiesburg</v>
      </c>
      <c r="C1868" t="str">
        <f t="shared" si="659"/>
        <v>Standard Class</v>
      </c>
      <c r="D1868" t="s">
        <v>15</v>
      </c>
      <c r="E1868" t="s">
        <v>23</v>
      </c>
      <c r="F1868">
        <v>6</v>
      </c>
      <c r="G1868">
        <v>0</v>
      </c>
      <c r="H1868" s="2">
        <v>105.46800000000002</v>
      </c>
      <c r="I1868" s="2">
        <v>239.70000000000002</v>
      </c>
    </row>
    <row r="1869" spans="1:9" x14ac:dyDescent="0.3">
      <c r="A1869" t="str">
        <f t="shared" si="657"/>
        <v>United States</v>
      </c>
      <c r="B1869" t="s">
        <v>222</v>
      </c>
      <c r="C1869" t="s">
        <v>11</v>
      </c>
      <c r="D1869" t="s">
        <v>15</v>
      </c>
      <c r="E1869" t="s">
        <v>14</v>
      </c>
      <c r="F1869">
        <v>5</v>
      </c>
      <c r="G1869">
        <v>0</v>
      </c>
      <c r="H1869" s="2">
        <v>10.373999999999999</v>
      </c>
      <c r="I1869" s="2">
        <v>39.900000000000006</v>
      </c>
    </row>
    <row r="1870" spans="1:9" x14ac:dyDescent="0.3">
      <c r="A1870" t="str">
        <f t="shared" si="657"/>
        <v>United States</v>
      </c>
      <c r="B1870" t="str">
        <f t="shared" ref="B1870:B1871" si="661">B1869</f>
        <v>Helena</v>
      </c>
      <c r="C1870" t="s">
        <v>22</v>
      </c>
      <c r="D1870" t="s">
        <v>17</v>
      </c>
      <c r="E1870" t="s">
        <v>21</v>
      </c>
      <c r="F1870">
        <v>7</v>
      </c>
      <c r="G1870">
        <v>0</v>
      </c>
      <c r="H1870" s="2">
        <v>21.7532</v>
      </c>
      <c r="I1870" s="2">
        <v>63.980000000000004</v>
      </c>
    </row>
    <row r="1871" spans="1:9" x14ac:dyDescent="0.3">
      <c r="A1871" t="str">
        <f t="shared" si="657"/>
        <v>United States</v>
      </c>
      <c r="B1871" t="str">
        <f t="shared" si="661"/>
        <v>Helena</v>
      </c>
      <c r="C1871" t="str">
        <f>C1870</f>
        <v>Standard Class</v>
      </c>
      <c r="D1871" t="str">
        <f>D1870</f>
        <v>Home Office</v>
      </c>
      <c r="E1871" t="s">
        <v>24</v>
      </c>
      <c r="F1871">
        <v>5</v>
      </c>
      <c r="G1871">
        <v>0.2</v>
      </c>
      <c r="H1871" s="2">
        <v>42.494999999999948</v>
      </c>
      <c r="I1871" s="2">
        <v>339.96000000000004</v>
      </c>
    </row>
    <row r="1872" spans="1:9" x14ac:dyDescent="0.3">
      <c r="A1872" t="str">
        <f t="shared" si="657"/>
        <v>United States</v>
      </c>
      <c r="B1872" t="s">
        <v>223</v>
      </c>
      <c r="C1872" t="s">
        <v>11</v>
      </c>
      <c r="D1872" t="s">
        <v>15</v>
      </c>
      <c r="E1872" t="s">
        <v>38</v>
      </c>
      <c r="F1872">
        <v>3</v>
      </c>
      <c r="G1872">
        <v>0</v>
      </c>
      <c r="H1872" s="2">
        <v>3.9102000000000006</v>
      </c>
      <c r="I1872" s="2">
        <v>7.98</v>
      </c>
    </row>
    <row r="1873" spans="1:9" x14ac:dyDescent="0.3">
      <c r="A1873" t="str">
        <f t="shared" si="657"/>
        <v>United States</v>
      </c>
      <c r="B1873" t="str">
        <f t="shared" ref="B1873:B1880" si="662">B1872</f>
        <v>Hempstead</v>
      </c>
      <c r="C1873" t="s">
        <v>22</v>
      </c>
      <c r="D1873" t="s">
        <v>8</v>
      </c>
      <c r="E1873" t="s">
        <v>19</v>
      </c>
      <c r="F1873">
        <v>4</v>
      </c>
      <c r="G1873">
        <v>0</v>
      </c>
      <c r="H1873" s="2">
        <v>10.499999999999996</v>
      </c>
      <c r="I1873" s="2">
        <v>35</v>
      </c>
    </row>
    <row r="1874" spans="1:9" x14ac:dyDescent="0.3">
      <c r="A1874" t="str">
        <f t="shared" si="657"/>
        <v>United States</v>
      </c>
      <c r="B1874" t="str">
        <f t="shared" si="662"/>
        <v>Hempstead</v>
      </c>
      <c r="C1874" t="str">
        <f t="shared" ref="C1874:C1880" si="663">C1873</f>
        <v>Standard Class</v>
      </c>
      <c r="D1874" t="str">
        <f t="shared" ref="D1874:D1878" si="664">D1873</f>
        <v>Consumer</v>
      </c>
      <c r="E1874" t="s">
        <v>20</v>
      </c>
      <c r="F1874">
        <v>3</v>
      </c>
      <c r="G1874">
        <v>0.2</v>
      </c>
      <c r="H1874" s="2">
        <v>14.337599999999998</v>
      </c>
      <c r="I1874" s="2">
        <v>39.552000000000007</v>
      </c>
    </row>
    <row r="1875" spans="1:9" x14ac:dyDescent="0.3">
      <c r="A1875" t="str">
        <f t="shared" si="657"/>
        <v>United States</v>
      </c>
      <c r="B1875" t="str">
        <f t="shared" si="662"/>
        <v>Hempstead</v>
      </c>
      <c r="C1875" t="str">
        <f t="shared" si="663"/>
        <v>Standard Class</v>
      </c>
      <c r="D1875" t="str">
        <f t="shared" si="664"/>
        <v>Consumer</v>
      </c>
      <c r="E1875" t="s">
        <v>33</v>
      </c>
      <c r="F1875">
        <v>7</v>
      </c>
      <c r="G1875">
        <v>0.2</v>
      </c>
      <c r="H1875" s="2">
        <v>76.431200000000018</v>
      </c>
      <c r="I1875" s="2">
        <v>726.17399999999998</v>
      </c>
    </row>
    <row r="1876" spans="1:9" x14ac:dyDescent="0.3">
      <c r="A1876" t="str">
        <f t="shared" si="657"/>
        <v>United States</v>
      </c>
      <c r="B1876" t="str">
        <f t="shared" si="662"/>
        <v>Hempstead</v>
      </c>
      <c r="C1876" t="str">
        <f t="shared" si="663"/>
        <v>Standard Class</v>
      </c>
      <c r="D1876" t="str">
        <f t="shared" si="664"/>
        <v>Consumer</v>
      </c>
      <c r="E1876" t="s">
        <v>38</v>
      </c>
      <c r="F1876">
        <v>5</v>
      </c>
      <c r="G1876">
        <v>0</v>
      </c>
      <c r="H1876" s="2">
        <v>19.457999999999998</v>
      </c>
      <c r="I1876" s="2">
        <v>41.4</v>
      </c>
    </row>
    <row r="1877" spans="1:9" x14ac:dyDescent="0.3">
      <c r="A1877" t="str">
        <f t="shared" si="657"/>
        <v>United States</v>
      </c>
      <c r="B1877" t="str">
        <f t="shared" si="662"/>
        <v>Hempstead</v>
      </c>
      <c r="C1877" t="str">
        <f t="shared" si="663"/>
        <v>Standard Class</v>
      </c>
      <c r="D1877" t="str">
        <f t="shared" si="664"/>
        <v>Consumer</v>
      </c>
      <c r="E1877" t="s">
        <v>21</v>
      </c>
      <c r="F1877">
        <v>3</v>
      </c>
      <c r="G1877">
        <v>0</v>
      </c>
      <c r="H1877" s="2">
        <v>11.376000000000001</v>
      </c>
      <c r="I1877" s="2">
        <v>28.44</v>
      </c>
    </row>
    <row r="1878" spans="1:9" x14ac:dyDescent="0.3">
      <c r="A1878" t="str">
        <f t="shared" si="657"/>
        <v>United States</v>
      </c>
      <c r="B1878" t="str">
        <f t="shared" si="662"/>
        <v>Hempstead</v>
      </c>
      <c r="C1878" t="str">
        <f t="shared" si="663"/>
        <v>Standard Class</v>
      </c>
      <c r="D1878" t="str">
        <f t="shared" si="664"/>
        <v>Consumer</v>
      </c>
      <c r="E1878" t="s">
        <v>24</v>
      </c>
      <c r="F1878">
        <v>4</v>
      </c>
      <c r="G1878">
        <v>0</v>
      </c>
      <c r="H1878" s="2">
        <v>10.389600000000002</v>
      </c>
      <c r="I1878" s="2">
        <v>39.96</v>
      </c>
    </row>
    <row r="1879" spans="1:9" x14ac:dyDescent="0.3">
      <c r="A1879" t="str">
        <f t="shared" si="657"/>
        <v>United States</v>
      </c>
      <c r="B1879" t="str">
        <f t="shared" si="662"/>
        <v>Hempstead</v>
      </c>
      <c r="C1879" t="str">
        <f t="shared" si="663"/>
        <v>Standard Class</v>
      </c>
      <c r="D1879" t="s">
        <v>15</v>
      </c>
      <c r="E1879" t="s">
        <v>20</v>
      </c>
      <c r="F1879">
        <v>20</v>
      </c>
      <c r="G1879">
        <v>0.4</v>
      </c>
      <c r="H1879" s="2">
        <v>392.66500000000008</v>
      </c>
      <c r="I1879" s="2">
        <v>1191.096</v>
      </c>
    </row>
    <row r="1880" spans="1:9" x14ac:dyDescent="0.3">
      <c r="A1880" t="str">
        <f t="shared" si="657"/>
        <v>United States</v>
      </c>
      <c r="B1880" t="str">
        <f t="shared" si="662"/>
        <v>Hempstead</v>
      </c>
      <c r="C1880" t="str">
        <f t="shared" si="663"/>
        <v>Standard Class</v>
      </c>
      <c r="D1880" t="str">
        <f>D1879</f>
        <v>Corporate</v>
      </c>
      <c r="E1880" t="s">
        <v>45</v>
      </c>
      <c r="F1880">
        <v>2</v>
      </c>
      <c r="G1880">
        <v>0.2</v>
      </c>
      <c r="H1880" s="2">
        <v>89.996999999999986</v>
      </c>
      <c r="I1880" s="2">
        <v>479.98400000000004</v>
      </c>
    </row>
    <row r="1881" spans="1:9" x14ac:dyDescent="0.3">
      <c r="A1881" t="str">
        <f t="shared" si="657"/>
        <v>United States</v>
      </c>
      <c r="B1881" t="s">
        <v>224</v>
      </c>
      <c r="C1881" t="s">
        <v>11</v>
      </c>
      <c r="D1881" t="s">
        <v>15</v>
      </c>
      <c r="E1881" t="s">
        <v>20</v>
      </c>
      <c r="F1881">
        <v>2</v>
      </c>
      <c r="G1881">
        <v>0.2</v>
      </c>
      <c r="H1881" s="2">
        <v>2.0047999999999995</v>
      </c>
      <c r="I1881" s="2">
        <v>5.7280000000000006</v>
      </c>
    </row>
    <row r="1882" spans="1:9" x14ac:dyDescent="0.3">
      <c r="A1882" t="str">
        <f t="shared" si="657"/>
        <v>United States</v>
      </c>
      <c r="B1882" t="str">
        <f t="shared" ref="B1882:B1916" si="665">B1881</f>
        <v>Henderson</v>
      </c>
      <c r="C1882" t="str">
        <f t="shared" ref="C1882:C1883" si="666">C1881</f>
        <v>First Class</v>
      </c>
      <c r="D1882" t="str">
        <f t="shared" ref="D1882:D1883" si="667">D1881</f>
        <v>Corporate</v>
      </c>
      <c r="E1882" t="s">
        <v>21</v>
      </c>
      <c r="F1882">
        <v>5</v>
      </c>
      <c r="G1882">
        <v>0</v>
      </c>
      <c r="H1882" s="2">
        <v>70.72199999999998</v>
      </c>
      <c r="I1882" s="2">
        <v>196.45</v>
      </c>
    </row>
    <row r="1883" spans="1:9" x14ac:dyDescent="0.3">
      <c r="A1883" t="str">
        <f t="shared" si="657"/>
        <v>United States</v>
      </c>
      <c r="B1883" t="str">
        <f t="shared" si="665"/>
        <v>Henderson</v>
      </c>
      <c r="C1883" t="str">
        <f t="shared" si="666"/>
        <v>First Class</v>
      </c>
      <c r="D1883" t="str">
        <f t="shared" si="667"/>
        <v>Corporate</v>
      </c>
      <c r="E1883" t="s">
        <v>25</v>
      </c>
      <c r="F1883">
        <v>6</v>
      </c>
      <c r="G1883">
        <v>0</v>
      </c>
      <c r="H1883" s="2">
        <v>320.31720000000001</v>
      </c>
      <c r="I1883" s="2">
        <v>1685.88</v>
      </c>
    </row>
    <row r="1884" spans="1:9" x14ac:dyDescent="0.3">
      <c r="A1884" t="str">
        <f t="shared" si="657"/>
        <v>United States</v>
      </c>
      <c r="B1884" t="str">
        <f t="shared" si="665"/>
        <v>Henderson</v>
      </c>
      <c r="C1884" t="s">
        <v>27</v>
      </c>
      <c r="D1884" t="s">
        <v>15</v>
      </c>
      <c r="E1884" t="s">
        <v>43</v>
      </c>
      <c r="F1884">
        <v>8</v>
      </c>
      <c r="G1884">
        <v>0</v>
      </c>
      <c r="H1884" s="2">
        <v>14.034999999999998</v>
      </c>
      <c r="I1884" s="2">
        <v>30.099999999999998</v>
      </c>
    </row>
    <row r="1885" spans="1:9" x14ac:dyDescent="0.3">
      <c r="A1885" t="str">
        <f t="shared" si="657"/>
        <v>United States</v>
      </c>
      <c r="B1885" t="str">
        <f t="shared" si="665"/>
        <v>Henderson</v>
      </c>
      <c r="C1885" t="str">
        <f t="shared" ref="C1885:C1886" si="668">C1884</f>
        <v>Same Day</v>
      </c>
      <c r="D1885" t="str">
        <f t="shared" ref="D1885:D1886" si="669">D1884</f>
        <v>Corporate</v>
      </c>
      <c r="E1885" t="s">
        <v>16</v>
      </c>
      <c r="F1885">
        <v>7</v>
      </c>
      <c r="G1885">
        <v>0</v>
      </c>
      <c r="H1885" s="2">
        <v>21.772800000000004</v>
      </c>
      <c r="I1885" s="2">
        <v>45.36</v>
      </c>
    </row>
    <row r="1886" spans="1:9" x14ac:dyDescent="0.3">
      <c r="A1886" t="str">
        <f t="shared" si="657"/>
        <v>United States</v>
      </c>
      <c r="B1886" t="str">
        <f t="shared" si="665"/>
        <v>Henderson</v>
      </c>
      <c r="C1886" t="str">
        <f t="shared" si="668"/>
        <v>Same Day</v>
      </c>
      <c r="D1886" t="str">
        <f t="shared" si="669"/>
        <v>Corporate</v>
      </c>
      <c r="E1886" t="s">
        <v>14</v>
      </c>
      <c r="F1886">
        <v>3</v>
      </c>
      <c r="G1886">
        <v>0</v>
      </c>
      <c r="H1886" s="2">
        <v>14.984999999999992</v>
      </c>
      <c r="I1886" s="2">
        <v>83.25</v>
      </c>
    </row>
    <row r="1887" spans="1:9" x14ac:dyDescent="0.3">
      <c r="A1887" t="str">
        <f t="shared" si="657"/>
        <v>United States</v>
      </c>
      <c r="B1887" t="str">
        <f t="shared" si="665"/>
        <v>Henderson</v>
      </c>
      <c r="C1887" t="s">
        <v>7</v>
      </c>
      <c r="D1887" t="s">
        <v>8</v>
      </c>
      <c r="E1887" t="s">
        <v>19</v>
      </c>
      <c r="F1887">
        <v>4</v>
      </c>
      <c r="G1887">
        <v>0</v>
      </c>
      <c r="H1887" s="2">
        <v>4.6997999999999989</v>
      </c>
      <c r="I1887" s="2">
        <v>16.73</v>
      </c>
    </row>
    <row r="1888" spans="1:9" x14ac:dyDescent="0.3">
      <c r="A1888" t="str">
        <f t="shared" si="657"/>
        <v>United States</v>
      </c>
      <c r="B1888" t="str">
        <f t="shared" si="665"/>
        <v>Henderson</v>
      </c>
      <c r="C1888" t="str">
        <f t="shared" ref="C1888:C1900" si="670">C1887</f>
        <v>Second Class</v>
      </c>
      <c r="D1888" t="str">
        <f t="shared" ref="D1888:D1892" si="671">D1887</f>
        <v>Consumer</v>
      </c>
      <c r="E1888" t="s">
        <v>34</v>
      </c>
      <c r="F1888">
        <v>2</v>
      </c>
      <c r="G1888">
        <v>0</v>
      </c>
      <c r="H1888" s="2">
        <v>41.913600000000002</v>
      </c>
      <c r="I1888" s="2">
        <v>261.95999999999998</v>
      </c>
    </row>
    <row r="1889" spans="1:9" x14ac:dyDescent="0.3">
      <c r="A1889" t="str">
        <f t="shared" si="657"/>
        <v>United States</v>
      </c>
      <c r="B1889" t="str">
        <f t="shared" si="665"/>
        <v>Henderson</v>
      </c>
      <c r="C1889" t="str">
        <f t="shared" si="670"/>
        <v>Second Class</v>
      </c>
      <c r="D1889" t="str">
        <f t="shared" si="671"/>
        <v>Consumer</v>
      </c>
      <c r="E1889" t="s">
        <v>33</v>
      </c>
      <c r="F1889">
        <v>3</v>
      </c>
      <c r="G1889">
        <v>0</v>
      </c>
      <c r="H1889" s="2">
        <v>219.58199999999997</v>
      </c>
      <c r="I1889" s="2">
        <v>731.93999999999994</v>
      </c>
    </row>
    <row r="1890" spans="1:9" x14ac:dyDescent="0.3">
      <c r="A1890" t="str">
        <f t="shared" si="657"/>
        <v>United States</v>
      </c>
      <c r="B1890" t="str">
        <f t="shared" si="665"/>
        <v>Henderson</v>
      </c>
      <c r="C1890" t="str">
        <f t="shared" si="670"/>
        <v>Second Class</v>
      </c>
      <c r="D1890" t="str">
        <f t="shared" si="671"/>
        <v>Consumer</v>
      </c>
      <c r="E1890" t="s">
        <v>18</v>
      </c>
      <c r="F1890">
        <v>4</v>
      </c>
      <c r="G1890">
        <v>0</v>
      </c>
      <c r="H1890" s="2">
        <v>9.6</v>
      </c>
      <c r="I1890" s="2">
        <v>20</v>
      </c>
    </row>
    <row r="1891" spans="1:9" x14ac:dyDescent="0.3">
      <c r="A1891" t="str">
        <f t="shared" si="657"/>
        <v>United States</v>
      </c>
      <c r="B1891" t="str">
        <f t="shared" si="665"/>
        <v>Henderson</v>
      </c>
      <c r="C1891" t="str">
        <f t="shared" si="670"/>
        <v>Second Class</v>
      </c>
      <c r="D1891" t="str">
        <f t="shared" si="671"/>
        <v>Consumer</v>
      </c>
      <c r="E1891" t="s">
        <v>21</v>
      </c>
      <c r="F1891">
        <v>5</v>
      </c>
      <c r="G1891">
        <v>0</v>
      </c>
      <c r="H1891" s="2">
        <v>9.1580000000000013</v>
      </c>
      <c r="I1891" s="2">
        <v>24.1</v>
      </c>
    </row>
    <row r="1892" spans="1:9" x14ac:dyDescent="0.3">
      <c r="A1892" t="str">
        <f t="shared" si="657"/>
        <v>United States</v>
      </c>
      <c r="B1892" t="str">
        <f t="shared" si="665"/>
        <v>Henderson</v>
      </c>
      <c r="C1892" t="str">
        <f t="shared" si="670"/>
        <v>Second Class</v>
      </c>
      <c r="D1892" t="str">
        <f t="shared" si="671"/>
        <v>Consumer</v>
      </c>
      <c r="E1892" t="s">
        <v>25</v>
      </c>
      <c r="F1892">
        <v>3</v>
      </c>
      <c r="G1892">
        <v>0</v>
      </c>
      <c r="H1892" s="2">
        <v>160.15860000000001</v>
      </c>
      <c r="I1892" s="2">
        <v>842.94</v>
      </c>
    </row>
    <row r="1893" spans="1:9" x14ac:dyDescent="0.3">
      <c r="A1893" t="str">
        <f t="shared" si="657"/>
        <v>United States</v>
      </c>
      <c r="B1893" t="str">
        <f t="shared" si="665"/>
        <v>Henderson</v>
      </c>
      <c r="C1893" t="str">
        <f t="shared" si="670"/>
        <v>Second Class</v>
      </c>
      <c r="D1893" t="s">
        <v>15</v>
      </c>
      <c r="E1893" t="s">
        <v>23</v>
      </c>
      <c r="F1893">
        <v>9</v>
      </c>
      <c r="G1893">
        <v>0</v>
      </c>
      <c r="H1893" s="2">
        <v>517.47930000000008</v>
      </c>
      <c r="I1893" s="2">
        <v>2249.91</v>
      </c>
    </row>
    <row r="1894" spans="1:9" x14ac:dyDescent="0.3">
      <c r="A1894" t="str">
        <f t="shared" si="657"/>
        <v>United States</v>
      </c>
      <c r="B1894" t="str">
        <f t="shared" si="665"/>
        <v>Henderson</v>
      </c>
      <c r="C1894" t="str">
        <f t="shared" si="670"/>
        <v>Second Class</v>
      </c>
      <c r="D1894" t="str">
        <f t="shared" ref="D1894:D1897" si="672">D1893</f>
        <v>Corporate</v>
      </c>
      <c r="E1894" t="s">
        <v>20</v>
      </c>
      <c r="F1894">
        <v>27</v>
      </c>
      <c r="G1894">
        <v>0</v>
      </c>
      <c r="H1894" s="2">
        <v>284.20349999999996</v>
      </c>
      <c r="I1894" s="2">
        <v>608.87</v>
      </c>
    </row>
    <row r="1895" spans="1:9" x14ac:dyDescent="0.3">
      <c r="A1895" t="str">
        <f t="shared" si="657"/>
        <v>United States</v>
      </c>
      <c r="B1895" t="str">
        <f t="shared" si="665"/>
        <v>Henderson</v>
      </c>
      <c r="C1895" t="str">
        <f t="shared" si="670"/>
        <v>Second Class</v>
      </c>
      <c r="D1895" t="str">
        <f t="shared" si="672"/>
        <v>Corporate</v>
      </c>
      <c r="E1895" t="s">
        <v>33</v>
      </c>
      <c r="F1895">
        <v>4</v>
      </c>
      <c r="G1895">
        <v>0</v>
      </c>
      <c r="H1895" s="2">
        <v>292.77599999999995</v>
      </c>
      <c r="I1895" s="2">
        <v>975.92</v>
      </c>
    </row>
    <row r="1896" spans="1:9" x14ac:dyDescent="0.3">
      <c r="A1896" t="str">
        <f t="shared" si="657"/>
        <v>United States</v>
      </c>
      <c r="B1896" t="str">
        <f t="shared" si="665"/>
        <v>Henderson</v>
      </c>
      <c r="C1896" t="str">
        <f t="shared" si="670"/>
        <v>Second Class</v>
      </c>
      <c r="D1896" t="str">
        <f t="shared" si="672"/>
        <v>Corporate</v>
      </c>
      <c r="E1896" t="s">
        <v>38</v>
      </c>
      <c r="F1896">
        <v>2</v>
      </c>
      <c r="G1896">
        <v>0</v>
      </c>
      <c r="H1896" s="2">
        <v>2.6068000000000002</v>
      </c>
      <c r="I1896" s="2">
        <v>5.32</v>
      </c>
    </row>
    <row r="1897" spans="1:9" x14ac:dyDescent="0.3">
      <c r="A1897" t="str">
        <f t="shared" si="657"/>
        <v>United States</v>
      </c>
      <c r="B1897" t="str">
        <f t="shared" si="665"/>
        <v>Henderson</v>
      </c>
      <c r="C1897" t="str">
        <f t="shared" si="670"/>
        <v>Second Class</v>
      </c>
      <c r="D1897" t="str">
        <f t="shared" si="672"/>
        <v>Corporate</v>
      </c>
      <c r="E1897" t="s">
        <v>14</v>
      </c>
      <c r="F1897">
        <v>4</v>
      </c>
      <c r="G1897">
        <v>0</v>
      </c>
      <c r="H1897" s="2">
        <v>16.7776</v>
      </c>
      <c r="I1897" s="2">
        <v>59.92</v>
      </c>
    </row>
    <row r="1898" spans="1:9" x14ac:dyDescent="0.3">
      <c r="A1898" t="str">
        <f t="shared" si="657"/>
        <v>United States</v>
      </c>
      <c r="B1898" t="str">
        <f t="shared" si="665"/>
        <v>Henderson</v>
      </c>
      <c r="C1898" t="str">
        <f t="shared" si="670"/>
        <v>Second Class</v>
      </c>
      <c r="D1898" t="s">
        <v>17</v>
      </c>
      <c r="E1898" t="s">
        <v>38</v>
      </c>
      <c r="F1898">
        <v>4</v>
      </c>
      <c r="G1898">
        <v>0</v>
      </c>
      <c r="H1898" s="2">
        <v>40.561599999999999</v>
      </c>
      <c r="I1898" s="2">
        <v>89.36</v>
      </c>
    </row>
    <row r="1899" spans="1:9" x14ac:dyDescent="0.3">
      <c r="A1899" t="str">
        <f t="shared" si="657"/>
        <v>United States</v>
      </c>
      <c r="B1899" t="str">
        <f t="shared" si="665"/>
        <v>Henderson</v>
      </c>
      <c r="C1899" t="str">
        <f t="shared" si="670"/>
        <v>Second Class</v>
      </c>
      <c r="D1899" t="str">
        <f t="shared" ref="D1899:D1900" si="673">D1898</f>
        <v>Home Office</v>
      </c>
      <c r="E1899" t="s">
        <v>21</v>
      </c>
      <c r="F1899">
        <v>5</v>
      </c>
      <c r="G1899">
        <v>0</v>
      </c>
      <c r="H1899" s="2">
        <v>25.620000000000005</v>
      </c>
      <c r="I1899" s="2">
        <v>61</v>
      </c>
    </row>
    <row r="1900" spans="1:9" x14ac:dyDescent="0.3">
      <c r="A1900" t="str">
        <f t="shared" si="657"/>
        <v>United States</v>
      </c>
      <c r="B1900" t="str">
        <f t="shared" si="665"/>
        <v>Henderson</v>
      </c>
      <c r="C1900" t="str">
        <f t="shared" si="670"/>
        <v>Second Class</v>
      </c>
      <c r="D1900" t="str">
        <f t="shared" si="673"/>
        <v>Home Office</v>
      </c>
      <c r="E1900" t="s">
        <v>24</v>
      </c>
      <c r="F1900">
        <v>7</v>
      </c>
      <c r="G1900">
        <v>0</v>
      </c>
      <c r="H1900" s="2">
        <v>188.1404</v>
      </c>
      <c r="I1900" s="2">
        <v>671.93</v>
      </c>
    </row>
    <row r="1901" spans="1:9" x14ac:dyDescent="0.3">
      <c r="A1901" t="str">
        <f t="shared" si="657"/>
        <v>United States</v>
      </c>
      <c r="B1901" t="str">
        <f t="shared" si="665"/>
        <v>Henderson</v>
      </c>
      <c r="C1901" t="s">
        <v>22</v>
      </c>
      <c r="D1901" t="s">
        <v>8</v>
      </c>
      <c r="E1901" t="s">
        <v>12</v>
      </c>
      <c r="F1901">
        <v>6</v>
      </c>
      <c r="G1901">
        <v>0</v>
      </c>
      <c r="H1901" s="2">
        <v>87.057000000000016</v>
      </c>
      <c r="I1901" s="2">
        <v>316.38</v>
      </c>
    </row>
    <row r="1902" spans="1:9" x14ac:dyDescent="0.3">
      <c r="A1902" t="str">
        <f t="shared" si="657"/>
        <v>United States</v>
      </c>
      <c r="B1902" t="str">
        <f t="shared" si="665"/>
        <v>Henderson</v>
      </c>
      <c r="C1902" t="str">
        <f t="shared" ref="C1902:C1916" si="674">C1901</f>
        <v>Standard Class</v>
      </c>
      <c r="D1902" t="str">
        <f t="shared" ref="D1902:D1908" si="675">D1901</f>
        <v>Consumer</v>
      </c>
      <c r="E1902" t="s">
        <v>19</v>
      </c>
      <c r="F1902">
        <v>2</v>
      </c>
      <c r="G1902">
        <v>0</v>
      </c>
      <c r="H1902" s="2">
        <v>11.117599999999999</v>
      </c>
      <c r="I1902" s="2">
        <v>42.76</v>
      </c>
    </row>
    <row r="1903" spans="1:9" x14ac:dyDescent="0.3">
      <c r="A1903" t="str">
        <f t="shared" si="657"/>
        <v>United States</v>
      </c>
      <c r="B1903" t="str">
        <f t="shared" si="665"/>
        <v>Henderson</v>
      </c>
      <c r="C1903" t="str">
        <f t="shared" si="674"/>
        <v>Standard Class</v>
      </c>
      <c r="D1903" t="str">
        <f t="shared" si="675"/>
        <v>Consumer</v>
      </c>
      <c r="E1903" t="s">
        <v>20</v>
      </c>
      <c r="F1903">
        <v>6</v>
      </c>
      <c r="G1903">
        <v>0</v>
      </c>
      <c r="H1903" s="2">
        <v>770.78160000000003</v>
      </c>
      <c r="I1903" s="2">
        <v>1605.7</v>
      </c>
    </row>
    <row r="1904" spans="1:9" x14ac:dyDescent="0.3">
      <c r="A1904" t="str">
        <f t="shared" si="657"/>
        <v>United States</v>
      </c>
      <c r="B1904" t="str">
        <f t="shared" si="665"/>
        <v>Henderson</v>
      </c>
      <c r="C1904" t="str">
        <f t="shared" si="674"/>
        <v>Standard Class</v>
      </c>
      <c r="D1904" t="str">
        <f t="shared" si="675"/>
        <v>Consumer</v>
      </c>
      <c r="E1904" t="s">
        <v>33</v>
      </c>
      <c r="F1904">
        <v>4</v>
      </c>
      <c r="G1904">
        <v>0</v>
      </c>
      <c r="H1904" s="2">
        <v>70.980000000000018</v>
      </c>
      <c r="I1904" s="2">
        <v>283.92</v>
      </c>
    </row>
    <row r="1905" spans="1:9" x14ac:dyDescent="0.3">
      <c r="A1905" t="str">
        <f t="shared" si="657"/>
        <v>United States</v>
      </c>
      <c r="B1905" t="str">
        <f t="shared" si="665"/>
        <v>Henderson</v>
      </c>
      <c r="C1905" t="str">
        <f t="shared" si="674"/>
        <v>Standard Class</v>
      </c>
      <c r="D1905" t="str">
        <f t="shared" si="675"/>
        <v>Consumer</v>
      </c>
      <c r="E1905" t="s">
        <v>38</v>
      </c>
      <c r="F1905">
        <v>1</v>
      </c>
      <c r="G1905">
        <v>0</v>
      </c>
      <c r="H1905" s="2">
        <v>4.9081999999999999</v>
      </c>
      <c r="I1905" s="2">
        <v>10.67</v>
      </c>
    </row>
    <row r="1906" spans="1:9" x14ac:dyDescent="0.3">
      <c r="A1906" t="str">
        <f t="shared" si="657"/>
        <v>United States</v>
      </c>
      <c r="B1906" t="str">
        <f t="shared" si="665"/>
        <v>Henderson</v>
      </c>
      <c r="C1906" t="str">
        <f t="shared" si="674"/>
        <v>Standard Class</v>
      </c>
      <c r="D1906" t="str">
        <f t="shared" si="675"/>
        <v>Consumer</v>
      </c>
      <c r="E1906" t="s">
        <v>21</v>
      </c>
      <c r="F1906">
        <v>22</v>
      </c>
      <c r="G1906">
        <v>0</v>
      </c>
      <c r="H1906" s="2">
        <v>270.74849999999998</v>
      </c>
      <c r="I1906" s="2">
        <v>1197.1699999999998</v>
      </c>
    </row>
    <row r="1907" spans="1:9" x14ac:dyDescent="0.3">
      <c r="A1907" t="str">
        <f t="shared" si="657"/>
        <v>United States</v>
      </c>
      <c r="B1907" t="str">
        <f t="shared" si="665"/>
        <v>Henderson</v>
      </c>
      <c r="C1907" t="str">
        <f t="shared" si="674"/>
        <v>Standard Class</v>
      </c>
      <c r="D1907" t="str">
        <f t="shared" si="675"/>
        <v>Consumer</v>
      </c>
      <c r="E1907" t="s">
        <v>16</v>
      </c>
      <c r="F1907">
        <v>8</v>
      </c>
      <c r="G1907">
        <v>0</v>
      </c>
      <c r="H1907" s="2">
        <v>74.198899999999995</v>
      </c>
      <c r="I1907" s="2">
        <v>157.87</v>
      </c>
    </row>
    <row r="1908" spans="1:9" x14ac:dyDescent="0.3">
      <c r="A1908" t="str">
        <f t="shared" si="657"/>
        <v>United States</v>
      </c>
      <c r="B1908" t="str">
        <f t="shared" si="665"/>
        <v>Henderson</v>
      </c>
      <c r="C1908" t="str">
        <f t="shared" si="674"/>
        <v>Standard Class</v>
      </c>
      <c r="D1908" t="str">
        <f t="shared" si="675"/>
        <v>Consumer</v>
      </c>
      <c r="E1908" t="s">
        <v>14</v>
      </c>
      <c r="F1908">
        <v>3</v>
      </c>
      <c r="G1908">
        <v>0</v>
      </c>
      <c r="H1908" s="2">
        <v>9.8901000000000039</v>
      </c>
      <c r="I1908" s="2">
        <v>36.630000000000003</v>
      </c>
    </row>
    <row r="1909" spans="1:9" x14ac:dyDescent="0.3">
      <c r="A1909" t="str">
        <f t="shared" si="657"/>
        <v>United States</v>
      </c>
      <c r="B1909" t="str">
        <f t="shared" si="665"/>
        <v>Henderson</v>
      </c>
      <c r="C1909" t="str">
        <f t="shared" si="674"/>
        <v>Standard Class</v>
      </c>
      <c r="D1909" t="s">
        <v>15</v>
      </c>
      <c r="E1909" t="s">
        <v>14</v>
      </c>
      <c r="F1909">
        <v>6</v>
      </c>
      <c r="G1909">
        <v>0</v>
      </c>
      <c r="H1909" s="2">
        <v>0</v>
      </c>
      <c r="I1909" s="2">
        <v>828.83999999999992</v>
      </c>
    </row>
    <row r="1910" spans="1:9" x14ac:dyDescent="0.3">
      <c r="A1910" t="str">
        <f t="shared" si="657"/>
        <v>United States</v>
      </c>
      <c r="B1910" t="str">
        <f t="shared" si="665"/>
        <v>Henderson</v>
      </c>
      <c r="C1910" t="str">
        <f t="shared" si="674"/>
        <v>Standard Class</v>
      </c>
      <c r="D1910" t="s">
        <v>17</v>
      </c>
      <c r="E1910" t="s">
        <v>19</v>
      </c>
      <c r="F1910">
        <v>2</v>
      </c>
      <c r="G1910">
        <v>0</v>
      </c>
      <c r="H1910" s="2">
        <v>1.4796000000000005</v>
      </c>
      <c r="I1910" s="2">
        <v>5.48</v>
      </c>
    </row>
    <row r="1911" spans="1:9" x14ac:dyDescent="0.3">
      <c r="A1911" t="str">
        <f t="shared" si="657"/>
        <v>United States</v>
      </c>
      <c r="B1911" t="str">
        <f t="shared" si="665"/>
        <v>Henderson</v>
      </c>
      <c r="C1911" t="str">
        <f t="shared" si="674"/>
        <v>Standard Class</v>
      </c>
      <c r="D1911" t="str">
        <f t="shared" ref="D1911:D1916" si="676">D1910</f>
        <v>Home Office</v>
      </c>
      <c r="E1911" t="s">
        <v>20</v>
      </c>
      <c r="F1911">
        <v>2</v>
      </c>
      <c r="G1911">
        <v>0</v>
      </c>
      <c r="H1911" s="2">
        <v>274.49099999999999</v>
      </c>
      <c r="I1911" s="2">
        <v>609.98</v>
      </c>
    </row>
    <row r="1912" spans="1:9" x14ac:dyDescent="0.3">
      <c r="A1912" t="str">
        <f t="shared" si="657"/>
        <v>United States</v>
      </c>
      <c r="B1912" t="str">
        <f t="shared" si="665"/>
        <v>Henderson</v>
      </c>
      <c r="C1912" t="str">
        <f t="shared" si="674"/>
        <v>Standard Class</v>
      </c>
      <c r="D1912" t="str">
        <f t="shared" si="676"/>
        <v>Home Office</v>
      </c>
      <c r="E1912" t="s">
        <v>33</v>
      </c>
      <c r="F1912">
        <v>9</v>
      </c>
      <c r="G1912">
        <v>0</v>
      </c>
      <c r="H1912" s="2">
        <v>746.40779999999972</v>
      </c>
      <c r="I1912" s="2">
        <v>2573.8200000000002</v>
      </c>
    </row>
    <row r="1913" spans="1:9" x14ac:dyDescent="0.3">
      <c r="A1913" t="str">
        <f t="shared" si="657"/>
        <v>United States</v>
      </c>
      <c r="B1913" t="str">
        <f t="shared" si="665"/>
        <v>Henderson</v>
      </c>
      <c r="C1913" t="str">
        <f t="shared" si="674"/>
        <v>Standard Class</v>
      </c>
      <c r="D1913" t="str">
        <f t="shared" si="676"/>
        <v>Home Office</v>
      </c>
      <c r="E1913" t="s">
        <v>18</v>
      </c>
      <c r="F1913">
        <v>4</v>
      </c>
      <c r="G1913">
        <v>0</v>
      </c>
      <c r="H1913" s="2">
        <v>0.31119999999999948</v>
      </c>
      <c r="I1913" s="2">
        <v>31.12</v>
      </c>
    </row>
    <row r="1914" spans="1:9" x14ac:dyDescent="0.3">
      <c r="A1914" t="str">
        <f t="shared" si="657"/>
        <v>United States</v>
      </c>
      <c r="B1914" t="str">
        <f t="shared" si="665"/>
        <v>Henderson</v>
      </c>
      <c r="C1914" t="str">
        <f t="shared" si="674"/>
        <v>Standard Class</v>
      </c>
      <c r="D1914" t="str">
        <f t="shared" si="676"/>
        <v>Home Office</v>
      </c>
      <c r="E1914" t="s">
        <v>21</v>
      </c>
      <c r="F1914">
        <v>2</v>
      </c>
      <c r="G1914">
        <v>0</v>
      </c>
      <c r="H1914" s="2">
        <v>11.583600000000001</v>
      </c>
      <c r="I1914" s="2">
        <v>27.58</v>
      </c>
    </row>
    <row r="1915" spans="1:9" x14ac:dyDescent="0.3">
      <c r="A1915" t="str">
        <f t="shared" si="657"/>
        <v>United States</v>
      </c>
      <c r="B1915" t="str">
        <f t="shared" si="665"/>
        <v>Henderson</v>
      </c>
      <c r="C1915" t="str">
        <f t="shared" si="674"/>
        <v>Standard Class</v>
      </c>
      <c r="D1915" t="str">
        <f t="shared" si="676"/>
        <v>Home Office</v>
      </c>
      <c r="E1915" t="s">
        <v>16</v>
      </c>
      <c r="F1915">
        <v>1</v>
      </c>
      <c r="G1915">
        <v>0</v>
      </c>
      <c r="H1915" s="2">
        <v>3.0084</v>
      </c>
      <c r="I1915" s="2">
        <v>6.54</v>
      </c>
    </row>
    <row r="1916" spans="1:9" x14ac:dyDescent="0.3">
      <c r="A1916" t="str">
        <f t="shared" si="657"/>
        <v>United States</v>
      </c>
      <c r="B1916" t="str">
        <f t="shared" si="665"/>
        <v>Henderson</v>
      </c>
      <c r="C1916" t="str">
        <f t="shared" si="674"/>
        <v>Standard Class</v>
      </c>
      <c r="D1916" t="str">
        <f t="shared" si="676"/>
        <v>Home Office</v>
      </c>
      <c r="E1916" t="s">
        <v>24</v>
      </c>
      <c r="F1916">
        <v>6</v>
      </c>
      <c r="G1916">
        <v>0</v>
      </c>
      <c r="H1916" s="2">
        <v>317.78339999999997</v>
      </c>
      <c r="I1916" s="2">
        <v>1147.94</v>
      </c>
    </row>
    <row r="1917" spans="1:9" x14ac:dyDescent="0.3">
      <c r="A1917" t="str">
        <f t="shared" si="657"/>
        <v>United States</v>
      </c>
      <c r="B1917" t="s">
        <v>225</v>
      </c>
      <c r="C1917" t="s">
        <v>22</v>
      </c>
      <c r="D1917" t="s">
        <v>8</v>
      </c>
      <c r="E1917" t="s">
        <v>19</v>
      </c>
      <c r="F1917">
        <v>7</v>
      </c>
      <c r="G1917">
        <v>0.2</v>
      </c>
      <c r="H1917" s="2">
        <v>1.0730999999999993</v>
      </c>
      <c r="I1917" s="2">
        <v>12.263999999999999</v>
      </c>
    </row>
    <row r="1918" spans="1:9" x14ac:dyDescent="0.3">
      <c r="A1918" t="str">
        <f t="shared" si="657"/>
        <v>United States</v>
      </c>
      <c r="B1918" t="str">
        <f t="shared" ref="B1918:B1920" si="677">B1917</f>
        <v>Hendersonville</v>
      </c>
      <c r="C1918" t="str">
        <f t="shared" ref="C1918:C1920" si="678">C1917</f>
        <v>Standard Class</v>
      </c>
      <c r="D1918" t="str">
        <f t="shared" ref="D1918:D1919" si="679">D1917</f>
        <v>Consumer</v>
      </c>
      <c r="E1918" t="s">
        <v>21</v>
      </c>
      <c r="F1918">
        <v>4</v>
      </c>
      <c r="G1918">
        <v>0.2</v>
      </c>
      <c r="H1918" s="2">
        <v>19.084800000000005</v>
      </c>
      <c r="I1918" s="2">
        <v>72.703999999999994</v>
      </c>
    </row>
    <row r="1919" spans="1:9" x14ac:dyDescent="0.3">
      <c r="A1919" t="str">
        <f t="shared" si="657"/>
        <v>United States</v>
      </c>
      <c r="B1919" t="str">
        <f t="shared" si="677"/>
        <v>Hendersonville</v>
      </c>
      <c r="C1919" t="str">
        <f t="shared" si="678"/>
        <v>Standard Class</v>
      </c>
      <c r="D1919" t="str">
        <f t="shared" si="679"/>
        <v>Consumer</v>
      </c>
      <c r="E1919" t="s">
        <v>14</v>
      </c>
      <c r="F1919">
        <v>3</v>
      </c>
      <c r="G1919">
        <v>0.2</v>
      </c>
      <c r="H1919" s="2">
        <v>-54.588000000000008</v>
      </c>
      <c r="I1919" s="2">
        <v>218.35200000000003</v>
      </c>
    </row>
    <row r="1920" spans="1:9" x14ac:dyDescent="0.3">
      <c r="A1920" t="str">
        <f t="shared" si="657"/>
        <v>United States</v>
      </c>
      <c r="B1920" t="str">
        <f t="shared" si="677"/>
        <v>Hendersonville</v>
      </c>
      <c r="C1920" t="str">
        <f t="shared" si="678"/>
        <v>Standard Class</v>
      </c>
      <c r="D1920" t="s">
        <v>17</v>
      </c>
      <c r="E1920" t="s">
        <v>20</v>
      </c>
      <c r="F1920">
        <v>8</v>
      </c>
      <c r="G1920">
        <v>1.4</v>
      </c>
      <c r="H1920" s="2">
        <v>-10.956599999999998</v>
      </c>
      <c r="I1920" s="2">
        <v>16.218000000000004</v>
      </c>
    </row>
    <row r="1921" spans="1:9" x14ac:dyDescent="0.3">
      <c r="A1921" t="str">
        <f t="shared" si="657"/>
        <v>United States</v>
      </c>
      <c r="B1921" t="s">
        <v>226</v>
      </c>
      <c r="C1921" t="s">
        <v>22</v>
      </c>
      <c r="D1921" t="s">
        <v>15</v>
      </c>
      <c r="E1921" t="s">
        <v>23</v>
      </c>
      <c r="F1921">
        <v>1</v>
      </c>
      <c r="G1921">
        <v>0</v>
      </c>
      <c r="H1921" s="2">
        <v>34.996499999999997</v>
      </c>
      <c r="I1921" s="2">
        <v>99.99</v>
      </c>
    </row>
    <row r="1922" spans="1:9" x14ac:dyDescent="0.3">
      <c r="A1922" t="str">
        <f t="shared" si="657"/>
        <v>United States</v>
      </c>
      <c r="B1922" t="str">
        <f t="shared" ref="B1922:B1924" si="680">B1921</f>
        <v>Hesperia</v>
      </c>
      <c r="C1922" t="str">
        <f t="shared" ref="C1922:C1924" si="681">C1921</f>
        <v>Standard Class</v>
      </c>
      <c r="D1922" t="str">
        <f t="shared" ref="D1922:D1924" si="682">D1921</f>
        <v>Corporate</v>
      </c>
      <c r="E1922" t="s">
        <v>20</v>
      </c>
      <c r="F1922">
        <v>6</v>
      </c>
      <c r="G1922">
        <v>0.2</v>
      </c>
      <c r="H1922" s="2">
        <v>81.744</v>
      </c>
      <c r="I1922" s="2">
        <v>251.52</v>
      </c>
    </row>
    <row r="1923" spans="1:9" x14ac:dyDescent="0.3">
      <c r="A1923" t="str">
        <f t="shared" si="657"/>
        <v>United States</v>
      </c>
      <c r="B1923" t="str">
        <f t="shared" si="680"/>
        <v>Hesperia</v>
      </c>
      <c r="C1923" t="str">
        <f t="shared" si="681"/>
        <v>Standard Class</v>
      </c>
      <c r="D1923" t="str">
        <f t="shared" si="682"/>
        <v>Corporate</v>
      </c>
      <c r="E1923" t="s">
        <v>34</v>
      </c>
      <c r="F1923">
        <v>5</v>
      </c>
      <c r="G1923">
        <v>0.15</v>
      </c>
      <c r="H1923" s="2">
        <v>19.997999999999976</v>
      </c>
      <c r="I1923" s="2">
        <v>424.95749999999992</v>
      </c>
    </row>
    <row r="1924" spans="1:9" x14ac:dyDescent="0.3">
      <c r="A1924" t="str">
        <f t="shared" ref="A1924:A1987" si="683">A1923</f>
        <v>United States</v>
      </c>
      <c r="B1924" t="str">
        <f t="shared" si="680"/>
        <v>Hesperia</v>
      </c>
      <c r="C1924" t="str">
        <f t="shared" si="681"/>
        <v>Standard Class</v>
      </c>
      <c r="D1924" t="str">
        <f t="shared" si="682"/>
        <v>Corporate</v>
      </c>
      <c r="E1924" t="s">
        <v>33</v>
      </c>
      <c r="F1924">
        <v>6</v>
      </c>
      <c r="G1924">
        <v>0.2</v>
      </c>
      <c r="H1924" s="2">
        <v>-38.211600000000033</v>
      </c>
      <c r="I1924" s="2">
        <v>436.70400000000006</v>
      </c>
    </row>
    <row r="1925" spans="1:9" x14ac:dyDescent="0.3">
      <c r="A1925" t="str">
        <f t="shared" si="683"/>
        <v>United States</v>
      </c>
      <c r="B1925" t="s">
        <v>227</v>
      </c>
      <c r="C1925" t="s">
        <v>11</v>
      </c>
      <c r="D1925" t="s">
        <v>8</v>
      </c>
      <c r="E1925" t="s">
        <v>21</v>
      </c>
      <c r="F1925">
        <v>3</v>
      </c>
      <c r="G1925">
        <v>0.2</v>
      </c>
      <c r="H1925" s="2">
        <v>5.7750000000000021</v>
      </c>
      <c r="I1925" s="2">
        <v>21</v>
      </c>
    </row>
    <row r="1926" spans="1:9" x14ac:dyDescent="0.3">
      <c r="A1926" t="str">
        <f t="shared" si="683"/>
        <v>United States</v>
      </c>
      <c r="B1926" t="str">
        <f t="shared" ref="B1926:B1941" si="684">B1925</f>
        <v>Hialeah</v>
      </c>
      <c r="C1926" t="str">
        <f t="shared" ref="C1926:C1930" si="685">C1925</f>
        <v>First Class</v>
      </c>
      <c r="D1926" t="str">
        <f>D1925</f>
        <v>Consumer</v>
      </c>
      <c r="E1926" t="s">
        <v>46</v>
      </c>
      <c r="F1926">
        <v>5</v>
      </c>
      <c r="G1926">
        <v>1</v>
      </c>
      <c r="H1926" s="2">
        <v>-9.1791000000000054</v>
      </c>
      <c r="I1926" s="2">
        <v>152.98500000000001</v>
      </c>
    </row>
    <row r="1927" spans="1:9" x14ac:dyDescent="0.3">
      <c r="A1927" t="str">
        <f t="shared" si="683"/>
        <v>United States</v>
      </c>
      <c r="B1927" t="str">
        <f t="shared" si="684"/>
        <v>Hialeah</v>
      </c>
      <c r="C1927" t="str">
        <f t="shared" si="685"/>
        <v>First Class</v>
      </c>
      <c r="D1927" t="s">
        <v>17</v>
      </c>
      <c r="E1927" t="s">
        <v>20</v>
      </c>
      <c r="F1927">
        <v>8</v>
      </c>
      <c r="G1927">
        <v>0.7</v>
      </c>
      <c r="H1927" s="2">
        <v>-331.95999999999992</v>
      </c>
      <c r="I1927" s="2">
        <v>398.35200000000003</v>
      </c>
    </row>
    <row r="1928" spans="1:9" x14ac:dyDescent="0.3">
      <c r="A1928" t="str">
        <f t="shared" si="683"/>
        <v>United States</v>
      </c>
      <c r="B1928" t="str">
        <f t="shared" si="684"/>
        <v>Hialeah</v>
      </c>
      <c r="C1928" t="str">
        <f t="shared" si="685"/>
        <v>First Class</v>
      </c>
      <c r="D1928" t="str">
        <f t="shared" ref="D1928:D1930" si="686">D1927</f>
        <v>Home Office</v>
      </c>
      <c r="E1928" t="s">
        <v>18</v>
      </c>
      <c r="F1928">
        <v>2</v>
      </c>
      <c r="G1928">
        <v>0.2</v>
      </c>
      <c r="H1928" s="2">
        <v>2.3976000000000002</v>
      </c>
      <c r="I1928" s="2">
        <v>7.104000000000001</v>
      </c>
    </row>
    <row r="1929" spans="1:9" x14ac:dyDescent="0.3">
      <c r="A1929" t="str">
        <f t="shared" si="683"/>
        <v>United States</v>
      </c>
      <c r="B1929" t="str">
        <f t="shared" si="684"/>
        <v>Hialeah</v>
      </c>
      <c r="C1929" t="str">
        <f t="shared" si="685"/>
        <v>First Class</v>
      </c>
      <c r="D1929" t="str">
        <f t="shared" si="686"/>
        <v>Home Office</v>
      </c>
      <c r="E1929" t="s">
        <v>24</v>
      </c>
      <c r="F1929">
        <v>3</v>
      </c>
      <c r="G1929">
        <v>0.2</v>
      </c>
      <c r="H1929" s="2">
        <v>13.857900000000008</v>
      </c>
      <c r="I1929" s="2">
        <v>158.376</v>
      </c>
    </row>
    <row r="1930" spans="1:9" x14ac:dyDescent="0.3">
      <c r="A1930" t="str">
        <f t="shared" si="683"/>
        <v>United States</v>
      </c>
      <c r="B1930" t="str">
        <f t="shared" si="684"/>
        <v>Hialeah</v>
      </c>
      <c r="C1930" t="str">
        <f t="shared" si="685"/>
        <v>First Class</v>
      </c>
      <c r="D1930" t="str">
        <f t="shared" si="686"/>
        <v>Home Office</v>
      </c>
      <c r="E1930" t="s">
        <v>14</v>
      </c>
      <c r="F1930">
        <v>5</v>
      </c>
      <c r="G1930">
        <v>0.2</v>
      </c>
      <c r="H1930" s="2">
        <v>5.3970000000000073</v>
      </c>
      <c r="I1930" s="2">
        <v>61.68</v>
      </c>
    </row>
    <row r="1931" spans="1:9" x14ac:dyDescent="0.3">
      <c r="A1931" t="str">
        <f t="shared" si="683"/>
        <v>United States</v>
      </c>
      <c r="B1931" t="str">
        <f t="shared" si="684"/>
        <v>Hialeah</v>
      </c>
      <c r="C1931" t="s">
        <v>7</v>
      </c>
      <c r="D1931" t="s">
        <v>8</v>
      </c>
      <c r="E1931" t="s">
        <v>19</v>
      </c>
      <c r="F1931">
        <v>8</v>
      </c>
      <c r="G1931">
        <v>0.2</v>
      </c>
      <c r="H1931" s="2">
        <v>5.0335999999999999</v>
      </c>
      <c r="I1931" s="2">
        <v>30.975999999999999</v>
      </c>
    </row>
    <row r="1932" spans="1:9" x14ac:dyDescent="0.3">
      <c r="A1932" t="str">
        <f t="shared" si="683"/>
        <v>United States</v>
      </c>
      <c r="B1932" t="str">
        <f t="shared" si="684"/>
        <v>Hialeah</v>
      </c>
      <c r="C1932" t="str">
        <f t="shared" ref="C1932:C1934" si="687">C1931</f>
        <v>Second Class</v>
      </c>
      <c r="D1932" t="str">
        <f>D1931</f>
        <v>Consumer</v>
      </c>
      <c r="E1932" t="s">
        <v>20</v>
      </c>
      <c r="F1932">
        <v>4</v>
      </c>
      <c r="G1932">
        <v>0.7</v>
      </c>
      <c r="H1932" s="2">
        <v>-4.49</v>
      </c>
      <c r="I1932" s="2">
        <v>5.3880000000000008</v>
      </c>
    </row>
    <row r="1933" spans="1:9" x14ac:dyDescent="0.3">
      <c r="A1933" t="str">
        <f t="shared" si="683"/>
        <v>United States</v>
      </c>
      <c r="B1933" t="str">
        <f t="shared" si="684"/>
        <v>Hialeah</v>
      </c>
      <c r="C1933" t="str">
        <f t="shared" si="687"/>
        <v>Second Class</v>
      </c>
      <c r="D1933" t="s">
        <v>15</v>
      </c>
      <c r="E1933" t="s">
        <v>33</v>
      </c>
      <c r="F1933">
        <v>9</v>
      </c>
      <c r="G1933">
        <v>0.2</v>
      </c>
      <c r="H1933" s="2">
        <v>101.38319999999999</v>
      </c>
      <c r="I1933" s="2">
        <v>1013.8320000000001</v>
      </c>
    </row>
    <row r="1934" spans="1:9" x14ac:dyDescent="0.3">
      <c r="A1934" t="str">
        <f t="shared" si="683"/>
        <v>United States</v>
      </c>
      <c r="B1934" t="str">
        <f t="shared" si="684"/>
        <v>Hialeah</v>
      </c>
      <c r="C1934" t="str">
        <f t="shared" si="687"/>
        <v>Second Class</v>
      </c>
      <c r="D1934" t="str">
        <f>D1933</f>
        <v>Corporate</v>
      </c>
      <c r="E1934" t="s">
        <v>18</v>
      </c>
      <c r="F1934">
        <v>2</v>
      </c>
      <c r="G1934">
        <v>0.2</v>
      </c>
      <c r="H1934" s="2">
        <v>0.66959999999999997</v>
      </c>
      <c r="I1934" s="2">
        <v>1.984</v>
      </c>
    </row>
    <row r="1935" spans="1:9" x14ac:dyDescent="0.3">
      <c r="A1935" t="str">
        <f t="shared" si="683"/>
        <v>United States</v>
      </c>
      <c r="B1935" t="str">
        <f t="shared" si="684"/>
        <v>Hialeah</v>
      </c>
      <c r="C1935" t="s">
        <v>22</v>
      </c>
      <c r="D1935" t="s">
        <v>8</v>
      </c>
      <c r="E1935" t="s">
        <v>12</v>
      </c>
      <c r="F1935">
        <v>5</v>
      </c>
      <c r="G1935">
        <v>0.2</v>
      </c>
      <c r="H1935" s="2">
        <v>1.1200000000000001</v>
      </c>
      <c r="I1935" s="2">
        <v>17.920000000000002</v>
      </c>
    </row>
    <row r="1936" spans="1:9" x14ac:dyDescent="0.3">
      <c r="A1936" t="str">
        <f t="shared" si="683"/>
        <v>United States</v>
      </c>
      <c r="B1936" t="str">
        <f t="shared" si="684"/>
        <v>Hialeah</v>
      </c>
      <c r="C1936" t="str">
        <f t="shared" ref="C1936:C1941" si="688">C1935</f>
        <v>Standard Class</v>
      </c>
      <c r="D1936" t="str">
        <f t="shared" ref="D1936:D1937" si="689">D1935</f>
        <v>Consumer</v>
      </c>
      <c r="E1936" t="s">
        <v>21</v>
      </c>
      <c r="F1936">
        <v>1</v>
      </c>
      <c r="G1936">
        <v>0.2</v>
      </c>
      <c r="H1936" s="2">
        <v>4.0383000000000013</v>
      </c>
      <c r="I1936" s="2">
        <v>15.384</v>
      </c>
    </row>
    <row r="1937" spans="1:9" x14ac:dyDescent="0.3">
      <c r="A1937" t="str">
        <f t="shared" si="683"/>
        <v>United States</v>
      </c>
      <c r="B1937" t="str">
        <f t="shared" si="684"/>
        <v>Hialeah</v>
      </c>
      <c r="C1937" t="str">
        <f t="shared" si="688"/>
        <v>Standard Class</v>
      </c>
      <c r="D1937" t="str">
        <f t="shared" si="689"/>
        <v>Consumer</v>
      </c>
      <c r="E1937" t="s">
        <v>16</v>
      </c>
      <c r="F1937">
        <v>3</v>
      </c>
      <c r="G1937">
        <v>0.2</v>
      </c>
      <c r="H1937" s="2">
        <v>5.4432</v>
      </c>
      <c r="I1937" s="2">
        <v>15.552000000000003</v>
      </c>
    </row>
    <row r="1938" spans="1:9" x14ac:dyDescent="0.3">
      <c r="A1938" t="str">
        <f t="shared" si="683"/>
        <v>United States</v>
      </c>
      <c r="B1938" t="str">
        <f t="shared" si="684"/>
        <v>Hialeah</v>
      </c>
      <c r="C1938" t="str">
        <f t="shared" si="688"/>
        <v>Standard Class</v>
      </c>
      <c r="D1938" t="s">
        <v>15</v>
      </c>
      <c r="E1938" t="s">
        <v>9</v>
      </c>
      <c r="F1938">
        <v>7</v>
      </c>
      <c r="G1938">
        <v>0.2</v>
      </c>
      <c r="H1938" s="2">
        <v>5.1281999999999996</v>
      </c>
      <c r="I1938" s="2">
        <v>45.584000000000003</v>
      </c>
    </row>
    <row r="1939" spans="1:9" x14ac:dyDescent="0.3">
      <c r="A1939" t="str">
        <f t="shared" si="683"/>
        <v>United States</v>
      </c>
      <c r="B1939" t="str">
        <f t="shared" si="684"/>
        <v>Hialeah</v>
      </c>
      <c r="C1939" t="str">
        <f t="shared" si="688"/>
        <v>Standard Class</v>
      </c>
      <c r="D1939" t="s">
        <v>17</v>
      </c>
      <c r="E1939" t="s">
        <v>12</v>
      </c>
      <c r="F1939">
        <v>2</v>
      </c>
      <c r="G1939">
        <v>0.2</v>
      </c>
      <c r="H1939" s="2">
        <v>4.2384000000000022</v>
      </c>
      <c r="I1939" s="2">
        <v>42.384</v>
      </c>
    </row>
    <row r="1940" spans="1:9" x14ac:dyDescent="0.3">
      <c r="A1940" t="str">
        <f t="shared" si="683"/>
        <v>United States</v>
      </c>
      <c r="B1940" t="str">
        <f t="shared" si="684"/>
        <v>Hialeah</v>
      </c>
      <c r="C1940" t="str">
        <f t="shared" si="688"/>
        <v>Standard Class</v>
      </c>
      <c r="D1940" t="str">
        <f t="shared" ref="D1940:D1941" si="690">D1939</f>
        <v>Home Office</v>
      </c>
      <c r="E1940" t="s">
        <v>34</v>
      </c>
      <c r="F1940">
        <v>5</v>
      </c>
      <c r="G1940">
        <v>0.2</v>
      </c>
      <c r="H1940" s="2">
        <v>8.4979999999999762</v>
      </c>
      <c r="I1940" s="2">
        <v>339.92000000000007</v>
      </c>
    </row>
    <row r="1941" spans="1:9" x14ac:dyDescent="0.3">
      <c r="A1941" t="str">
        <f t="shared" si="683"/>
        <v>United States</v>
      </c>
      <c r="B1941" t="str">
        <f t="shared" si="684"/>
        <v>Hialeah</v>
      </c>
      <c r="C1941" t="str">
        <f t="shared" si="688"/>
        <v>Standard Class</v>
      </c>
      <c r="D1941" t="str">
        <f t="shared" si="690"/>
        <v>Home Office</v>
      </c>
      <c r="E1941" t="s">
        <v>16</v>
      </c>
      <c r="F1941">
        <v>4</v>
      </c>
      <c r="G1941">
        <v>0.2</v>
      </c>
      <c r="H1941" s="2">
        <v>3.4215999999999993</v>
      </c>
      <c r="I1941" s="2">
        <v>10.528</v>
      </c>
    </row>
    <row r="1942" spans="1:9" x14ac:dyDescent="0.3">
      <c r="A1942" t="str">
        <f t="shared" si="683"/>
        <v>United States</v>
      </c>
      <c r="B1942" t="s">
        <v>228</v>
      </c>
      <c r="C1942" t="s">
        <v>27</v>
      </c>
      <c r="D1942" t="s">
        <v>8</v>
      </c>
      <c r="E1942" t="s">
        <v>24</v>
      </c>
      <c r="F1942">
        <v>1</v>
      </c>
      <c r="G1942">
        <v>0.2</v>
      </c>
      <c r="H1942" s="2">
        <v>2.7143999999999995</v>
      </c>
      <c r="I1942" s="2">
        <v>36.192</v>
      </c>
    </row>
    <row r="1943" spans="1:9" x14ac:dyDescent="0.3">
      <c r="A1943" t="str">
        <f t="shared" si="683"/>
        <v>United States</v>
      </c>
      <c r="B1943" t="str">
        <f>B1942</f>
        <v>Hickory</v>
      </c>
      <c r="C1943" t="s">
        <v>22</v>
      </c>
      <c r="D1943" t="s">
        <v>8</v>
      </c>
      <c r="E1943" t="s">
        <v>20</v>
      </c>
      <c r="F1943">
        <v>4</v>
      </c>
      <c r="G1943">
        <v>0.7</v>
      </c>
      <c r="H1943" s="2">
        <v>-3.8100000000000005</v>
      </c>
      <c r="I1943" s="2">
        <v>4.572000000000001</v>
      </c>
    </row>
    <row r="1944" spans="1:9" x14ac:dyDescent="0.3">
      <c r="A1944" t="str">
        <f t="shared" si="683"/>
        <v>United States</v>
      </c>
      <c r="B1944" t="s">
        <v>229</v>
      </c>
      <c r="C1944" t="s">
        <v>22</v>
      </c>
      <c r="D1944" t="s">
        <v>8</v>
      </c>
      <c r="E1944" t="s">
        <v>20</v>
      </c>
      <c r="F1944">
        <v>5</v>
      </c>
      <c r="G1944">
        <v>0.8</v>
      </c>
      <c r="H1944" s="2">
        <v>-4.4639999999999995</v>
      </c>
      <c r="I1944" s="2">
        <v>2.879999999999999</v>
      </c>
    </row>
    <row r="1945" spans="1:9" x14ac:dyDescent="0.3">
      <c r="A1945" t="str">
        <f t="shared" si="683"/>
        <v>United States</v>
      </c>
      <c r="B1945" t="str">
        <f t="shared" ref="B1945:B1949" si="691">B1944</f>
        <v>Highland Park</v>
      </c>
      <c r="C1945" t="str">
        <f t="shared" ref="C1945:C1949" si="692">C1944</f>
        <v>Standard Class</v>
      </c>
      <c r="D1945" t="str">
        <f t="shared" ref="D1945:D1946" si="693">D1944</f>
        <v>Consumer</v>
      </c>
      <c r="E1945" t="s">
        <v>34</v>
      </c>
      <c r="F1945">
        <v>9</v>
      </c>
      <c r="G1945">
        <v>0.6</v>
      </c>
      <c r="H1945" s="2">
        <v>-178.6775999999999</v>
      </c>
      <c r="I1945" s="2">
        <v>1298.374</v>
      </c>
    </row>
    <row r="1946" spans="1:9" x14ac:dyDescent="0.3">
      <c r="A1946" t="str">
        <f t="shared" si="683"/>
        <v>United States</v>
      </c>
      <c r="B1946" t="str">
        <f t="shared" si="691"/>
        <v>Highland Park</v>
      </c>
      <c r="C1946" t="str">
        <f t="shared" si="692"/>
        <v>Standard Class</v>
      </c>
      <c r="D1946" t="str">
        <f t="shared" si="693"/>
        <v>Consumer</v>
      </c>
      <c r="E1946" t="s">
        <v>24</v>
      </c>
      <c r="F1946">
        <v>2</v>
      </c>
      <c r="G1946">
        <v>0.2</v>
      </c>
      <c r="H1946" s="2">
        <v>13.438599999999994</v>
      </c>
      <c r="I1946" s="2">
        <v>153.584</v>
      </c>
    </row>
    <row r="1947" spans="1:9" x14ac:dyDescent="0.3">
      <c r="A1947" t="str">
        <f t="shared" si="683"/>
        <v>United States</v>
      </c>
      <c r="B1947" t="str">
        <f t="shared" si="691"/>
        <v>Highland Park</v>
      </c>
      <c r="C1947" t="str">
        <f t="shared" si="692"/>
        <v>Standard Class</v>
      </c>
      <c r="D1947" t="s">
        <v>15</v>
      </c>
      <c r="E1947" t="s">
        <v>33</v>
      </c>
      <c r="F1947">
        <v>3</v>
      </c>
      <c r="G1947">
        <v>0.3</v>
      </c>
      <c r="H1947" s="2">
        <v>-7.7094000000001017</v>
      </c>
      <c r="I1947" s="2">
        <v>539.65800000000002</v>
      </c>
    </row>
    <row r="1948" spans="1:9" x14ac:dyDescent="0.3">
      <c r="A1948" t="str">
        <f t="shared" si="683"/>
        <v>United States</v>
      </c>
      <c r="B1948" t="str">
        <f t="shared" si="691"/>
        <v>Highland Park</v>
      </c>
      <c r="C1948" t="str">
        <f t="shared" si="692"/>
        <v>Standard Class</v>
      </c>
      <c r="D1948" t="str">
        <f>D1947</f>
        <v>Corporate</v>
      </c>
      <c r="E1948" t="s">
        <v>16</v>
      </c>
      <c r="F1948">
        <v>7</v>
      </c>
      <c r="G1948">
        <v>0.2</v>
      </c>
      <c r="H1948" s="2">
        <v>12.175799999999999</v>
      </c>
      <c r="I1948" s="2">
        <v>37.463999999999999</v>
      </c>
    </row>
    <row r="1949" spans="1:9" x14ac:dyDescent="0.3">
      <c r="A1949" t="str">
        <f t="shared" si="683"/>
        <v>United States</v>
      </c>
      <c r="B1949" t="str">
        <f t="shared" si="691"/>
        <v>Highland Park</v>
      </c>
      <c r="C1949" t="str">
        <f t="shared" si="692"/>
        <v>Standard Class</v>
      </c>
      <c r="D1949" t="s">
        <v>17</v>
      </c>
      <c r="E1949" t="s">
        <v>20</v>
      </c>
      <c r="F1949">
        <v>2</v>
      </c>
      <c r="G1949">
        <v>0.8</v>
      </c>
      <c r="H1949" s="2">
        <v>-4.7040000000000006</v>
      </c>
      <c r="I1949" s="2">
        <v>3.1359999999999992</v>
      </c>
    </row>
    <row r="1950" spans="1:9" x14ac:dyDescent="0.3">
      <c r="A1950" t="str">
        <f t="shared" si="683"/>
        <v>United States</v>
      </c>
      <c r="B1950" t="s">
        <v>230</v>
      </c>
      <c r="C1950" t="s">
        <v>11</v>
      </c>
      <c r="D1950" t="s">
        <v>8</v>
      </c>
      <c r="E1950" t="s">
        <v>23</v>
      </c>
      <c r="F1950">
        <v>3</v>
      </c>
      <c r="G1950">
        <v>0.2</v>
      </c>
      <c r="H1950" s="2">
        <v>-4.6409999999999982</v>
      </c>
      <c r="I1950" s="2">
        <v>53.040000000000006</v>
      </c>
    </row>
    <row r="1951" spans="1:9" x14ac:dyDescent="0.3">
      <c r="A1951" t="str">
        <f t="shared" si="683"/>
        <v>United States</v>
      </c>
      <c r="B1951" t="str">
        <f t="shared" ref="B1951:B1953" si="694">B1950</f>
        <v>Hillsboro</v>
      </c>
      <c r="C1951" t="str">
        <f>C1950</f>
        <v>First Class</v>
      </c>
      <c r="D1951" t="str">
        <f>D1950</f>
        <v>Consumer</v>
      </c>
      <c r="E1951" t="s">
        <v>21</v>
      </c>
      <c r="F1951">
        <v>1</v>
      </c>
      <c r="G1951">
        <v>0.2</v>
      </c>
      <c r="H1951" s="2">
        <v>3.0338000000000003</v>
      </c>
      <c r="I1951" s="2">
        <v>11.032</v>
      </c>
    </row>
    <row r="1952" spans="1:9" x14ac:dyDescent="0.3">
      <c r="A1952" t="str">
        <f t="shared" si="683"/>
        <v>United States</v>
      </c>
      <c r="B1952" t="str">
        <f t="shared" si="694"/>
        <v>Hillsboro</v>
      </c>
      <c r="C1952" t="s">
        <v>22</v>
      </c>
      <c r="D1952" t="s">
        <v>15</v>
      </c>
      <c r="E1952" t="s">
        <v>20</v>
      </c>
      <c r="F1952">
        <v>7</v>
      </c>
      <c r="G1952">
        <v>0.7</v>
      </c>
      <c r="H1952" s="2">
        <v>-3.4649999999999999</v>
      </c>
      <c r="I1952" s="2">
        <v>4.1580000000000004</v>
      </c>
    </row>
    <row r="1953" spans="1:9" x14ac:dyDescent="0.3">
      <c r="A1953" t="str">
        <f t="shared" si="683"/>
        <v>United States</v>
      </c>
      <c r="B1953" t="str">
        <f t="shared" si="694"/>
        <v>Hillsboro</v>
      </c>
      <c r="C1953" t="str">
        <f>C1952</f>
        <v>Standard Class</v>
      </c>
      <c r="D1953" t="str">
        <f>D1952</f>
        <v>Corporate</v>
      </c>
      <c r="E1953" t="s">
        <v>16</v>
      </c>
      <c r="F1953">
        <v>3</v>
      </c>
      <c r="G1953">
        <v>0.2</v>
      </c>
      <c r="H1953" s="2">
        <v>6.6177000000000001</v>
      </c>
      <c r="I1953" s="2">
        <v>19.608000000000001</v>
      </c>
    </row>
    <row r="1954" spans="1:9" x14ac:dyDescent="0.3">
      <c r="A1954" t="str">
        <f t="shared" si="683"/>
        <v>United States</v>
      </c>
      <c r="B1954" t="s">
        <v>231</v>
      </c>
      <c r="C1954" t="s">
        <v>7</v>
      </c>
      <c r="D1954" t="s">
        <v>8</v>
      </c>
      <c r="E1954" t="s">
        <v>43</v>
      </c>
      <c r="F1954">
        <v>2</v>
      </c>
      <c r="G1954">
        <v>0</v>
      </c>
      <c r="H1954" s="2">
        <v>3.5999999999999996</v>
      </c>
      <c r="I1954" s="2">
        <v>7.5</v>
      </c>
    </row>
    <row r="1955" spans="1:9" x14ac:dyDescent="0.3">
      <c r="A1955" t="str">
        <f t="shared" si="683"/>
        <v>United States</v>
      </c>
      <c r="B1955" t="str">
        <f t="shared" ref="B1955:B1956" si="695">B1954</f>
        <v>Holland</v>
      </c>
      <c r="C1955" t="s">
        <v>22</v>
      </c>
      <c r="D1955" t="s">
        <v>17</v>
      </c>
      <c r="E1955" t="s">
        <v>18</v>
      </c>
      <c r="F1955">
        <v>7</v>
      </c>
      <c r="G1955">
        <v>0</v>
      </c>
      <c r="H1955" s="2">
        <v>9.1979999999999986</v>
      </c>
      <c r="I1955" s="2">
        <v>20.439999999999998</v>
      </c>
    </row>
    <row r="1956" spans="1:9" x14ac:dyDescent="0.3">
      <c r="A1956" t="str">
        <f t="shared" si="683"/>
        <v>United States</v>
      </c>
      <c r="B1956" t="str">
        <f t="shared" si="695"/>
        <v>Holland</v>
      </c>
      <c r="C1956" t="str">
        <f>C1955</f>
        <v>Standard Class</v>
      </c>
      <c r="D1956" t="str">
        <f>D1955</f>
        <v>Home Office</v>
      </c>
      <c r="E1956" t="s">
        <v>16</v>
      </c>
      <c r="F1956">
        <v>2</v>
      </c>
      <c r="G1956">
        <v>0</v>
      </c>
      <c r="H1956" s="2">
        <v>53.860799999999998</v>
      </c>
      <c r="I1956" s="2">
        <v>109.92</v>
      </c>
    </row>
    <row r="1957" spans="1:9" x14ac:dyDescent="0.3">
      <c r="A1957" t="str">
        <f t="shared" si="683"/>
        <v>United States</v>
      </c>
      <c r="B1957" t="s">
        <v>232</v>
      </c>
      <c r="C1957" t="s">
        <v>11</v>
      </c>
      <c r="D1957" t="s">
        <v>8</v>
      </c>
      <c r="E1957" t="s">
        <v>12</v>
      </c>
      <c r="F1957">
        <v>5</v>
      </c>
      <c r="G1957">
        <v>0.2</v>
      </c>
      <c r="H1957" s="2">
        <v>17.126999999999988</v>
      </c>
      <c r="I1957" s="2">
        <v>152.24</v>
      </c>
    </row>
    <row r="1958" spans="1:9" x14ac:dyDescent="0.3">
      <c r="A1958" t="str">
        <f t="shared" si="683"/>
        <v>United States</v>
      </c>
      <c r="B1958" t="str">
        <f t="shared" ref="B1958:B1966" si="696">B1957</f>
        <v>Hollywood</v>
      </c>
      <c r="C1958" t="str">
        <f>C1957</f>
        <v>First Class</v>
      </c>
      <c r="D1958" t="str">
        <f>D1957</f>
        <v>Consumer</v>
      </c>
      <c r="E1958" t="s">
        <v>16</v>
      </c>
      <c r="F1958">
        <v>5</v>
      </c>
      <c r="G1958">
        <v>0.2</v>
      </c>
      <c r="H1958" s="2">
        <v>29.691999999999993</v>
      </c>
      <c r="I1958" s="2">
        <v>91.360000000000014</v>
      </c>
    </row>
    <row r="1959" spans="1:9" x14ac:dyDescent="0.3">
      <c r="A1959" t="str">
        <f t="shared" si="683"/>
        <v>United States</v>
      </c>
      <c r="B1959" t="str">
        <f t="shared" si="696"/>
        <v>Hollywood</v>
      </c>
      <c r="C1959" t="s">
        <v>7</v>
      </c>
      <c r="D1959" t="s">
        <v>8</v>
      </c>
      <c r="E1959" t="s">
        <v>16</v>
      </c>
      <c r="F1959">
        <v>6</v>
      </c>
      <c r="G1959">
        <v>0.2</v>
      </c>
      <c r="H1959" s="2">
        <v>11.222399999999999</v>
      </c>
      <c r="I1959" s="2">
        <v>32.064</v>
      </c>
    </row>
    <row r="1960" spans="1:9" x14ac:dyDescent="0.3">
      <c r="A1960" t="str">
        <f t="shared" si="683"/>
        <v>United States</v>
      </c>
      <c r="B1960" t="str">
        <f t="shared" si="696"/>
        <v>Hollywood</v>
      </c>
      <c r="C1960" t="str">
        <f t="shared" ref="C1960:C1961" si="697">C1959</f>
        <v>Second Class</v>
      </c>
      <c r="D1960" t="str">
        <f>D1959</f>
        <v>Consumer</v>
      </c>
      <c r="E1960" t="s">
        <v>14</v>
      </c>
      <c r="F1960">
        <v>1</v>
      </c>
      <c r="G1960">
        <v>0.2</v>
      </c>
      <c r="H1960" s="2">
        <v>0.99520000000000008</v>
      </c>
      <c r="I1960" s="2">
        <v>9.952</v>
      </c>
    </row>
    <row r="1961" spans="1:9" x14ac:dyDescent="0.3">
      <c r="A1961" t="str">
        <f t="shared" si="683"/>
        <v>United States</v>
      </c>
      <c r="B1961" t="str">
        <f t="shared" si="696"/>
        <v>Hollywood</v>
      </c>
      <c r="C1961" t="str">
        <f t="shared" si="697"/>
        <v>Second Class</v>
      </c>
      <c r="D1961" t="s">
        <v>17</v>
      </c>
      <c r="E1961" t="s">
        <v>20</v>
      </c>
      <c r="F1961">
        <v>5</v>
      </c>
      <c r="G1961">
        <v>0.7</v>
      </c>
      <c r="H1961" s="2">
        <v>-7.6799999999999962</v>
      </c>
      <c r="I1961" s="2">
        <v>11.520000000000001</v>
      </c>
    </row>
    <row r="1962" spans="1:9" x14ac:dyDescent="0.3">
      <c r="A1962" t="str">
        <f t="shared" si="683"/>
        <v>United States</v>
      </c>
      <c r="B1962" t="str">
        <f t="shared" si="696"/>
        <v>Hollywood</v>
      </c>
      <c r="C1962" t="s">
        <v>22</v>
      </c>
      <c r="D1962" t="s">
        <v>8</v>
      </c>
      <c r="E1962" t="s">
        <v>21</v>
      </c>
      <c r="F1962">
        <v>4</v>
      </c>
      <c r="G1962">
        <v>0.2</v>
      </c>
      <c r="H1962" s="2">
        <v>16.854399999999984</v>
      </c>
      <c r="I1962" s="2">
        <v>337.08800000000002</v>
      </c>
    </row>
    <row r="1963" spans="1:9" x14ac:dyDescent="0.3">
      <c r="A1963" t="str">
        <f t="shared" si="683"/>
        <v>United States</v>
      </c>
      <c r="B1963" t="str">
        <f t="shared" si="696"/>
        <v>Hollywood</v>
      </c>
      <c r="C1963" t="str">
        <f t="shared" ref="C1963:C1966" si="698">C1962</f>
        <v>Standard Class</v>
      </c>
      <c r="D1963" t="str">
        <f>D1962</f>
        <v>Consumer</v>
      </c>
      <c r="E1963" t="s">
        <v>16</v>
      </c>
      <c r="F1963">
        <v>6</v>
      </c>
      <c r="G1963">
        <v>0.4</v>
      </c>
      <c r="H1963" s="2">
        <v>9.6714000000000002</v>
      </c>
      <c r="I1963" s="2">
        <v>27.504000000000005</v>
      </c>
    </row>
    <row r="1964" spans="1:9" x14ac:dyDescent="0.3">
      <c r="A1964" t="str">
        <f t="shared" si="683"/>
        <v>United States</v>
      </c>
      <c r="B1964" t="str">
        <f t="shared" si="696"/>
        <v>Hollywood</v>
      </c>
      <c r="C1964" t="str">
        <f t="shared" si="698"/>
        <v>Standard Class</v>
      </c>
      <c r="D1964" t="s">
        <v>15</v>
      </c>
      <c r="E1964" t="s">
        <v>43</v>
      </c>
      <c r="F1964">
        <v>4</v>
      </c>
      <c r="G1964">
        <v>0.2</v>
      </c>
      <c r="H1964" s="2">
        <v>3.3408000000000002</v>
      </c>
      <c r="I1964" s="2">
        <v>9.2159999999999993</v>
      </c>
    </row>
    <row r="1965" spans="1:9" x14ac:dyDescent="0.3">
      <c r="A1965" t="str">
        <f t="shared" si="683"/>
        <v>United States</v>
      </c>
      <c r="B1965" t="str">
        <f t="shared" si="696"/>
        <v>Hollywood</v>
      </c>
      <c r="C1965" t="str">
        <f t="shared" si="698"/>
        <v>Standard Class</v>
      </c>
      <c r="D1965" t="s">
        <v>17</v>
      </c>
      <c r="E1965" t="s">
        <v>20</v>
      </c>
      <c r="F1965">
        <v>3</v>
      </c>
      <c r="G1965">
        <v>0.7</v>
      </c>
      <c r="H1965" s="2">
        <v>-11.417999999999999</v>
      </c>
      <c r="I1965" s="2">
        <v>15.570000000000004</v>
      </c>
    </row>
    <row r="1966" spans="1:9" x14ac:dyDescent="0.3">
      <c r="A1966" t="str">
        <f t="shared" si="683"/>
        <v>United States</v>
      </c>
      <c r="B1966" t="str">
        <f t="shared" si="696"/>
        <v>Hollywood</v>
      </c>
      <c r="C1966" t="str">
        <f t="shared" si="698"/>
        <v>Standard Class</v>
      </c>
      <c r="D1966" t="str">
        <f>D1965</f>
        <v>Home Office</v>
      </c>
      <c r="E1966" t="s">
        <v>24</v>
      </c>
      <c r="F1966">
        <v>5</v>
      </c>
      <c r="G1966">
        <v>0.2</v>
      </c>
      <c r="H1966" s="2">
        <v>38.396000000000015</v>
      </c>
      <c r="I1966" s="2">
        <v>383.96000000000004</v>
      </c>
    </row>
    <row r="1967" spans="1:9" x14ac:dyDescent="0.3">
      <c r="A1967" t="str">
        <f t="shared" si="683"/>
        <v>United States</v>
      </c>
      <c r="B1967" t="s">
        <v>233</v>
      </c>
      <c r="C1967" t="s">
        <v>22</v>
      </c>
      <c r="D1967" t="s">
        <v>17</v>
      </c>
      <c r="E1967" t="s">
        <v>34</v>
      </c>
      <c r="F1967">
        <v>2</v>
      </c>
      <c r="G1967">
        <v>0</v>
      </c>
      <c r="H1967" s="2">
        <v>60.391999999999996</v>
      </c>
      <c r="I1967" s="2">
        <v>301.95999999999998</v>
      </c>
    </row>
    <row r="1968" spans="1:9" x14ac:dyDescent="0.3">
      <c r="A1968" t="str">
        <f t="shared" si="683"/>
        <v>United States</v>
      </c>
      <c r="B1968" t="s">
        <v>234</v>
      </c>
      <c r="C1968" t="s">
        <v>27</v>
      </c>
      <c r="D1968" t="s">
        <v>8</v>
      </c>
      <c r="E1968" t="s">
        <v>14</v>
      </c>
      <c r="F1968">
        <v>3</v>
      </c>
      <c r="G1968">
        <v>0.2</v>
      </c>
      <c r="H1968" s="2">
        <v>7.4571000000000041</v>
      </c>
      <c r="I1968" s="2">
        <v>85.224000000000004</v>
      </c>
    </row>
    <row r="1969" spans="1:9" x14ac:dyDescent="0.3">
      <c r="A1969" t="str">
        <f t="shared" si="683"/>
        <v>United States</v>
      </c>
      <c r="B1969" t="str">
        <f t="shared" ref="B1969:B1970" si="699">B1968</f>
        <v>Homestead</v>
      </c>
      <c r="C1969" t="s">
        <v>22</v>
      </c>
      <c r="D1969" t="s">
        <v>8</v>
      </c>
      <c r="E1969" t="s">
        <v>16</v>
      </c>
      <c r="F1969">
        <v>1</v>
      </c>
      <c r="G1969">
        <v>0.2</v>
      </c>
      <c r="H1969" s="2">
        <v>15.534399999999998</v>
      </c>
      <c r="I1969" s="2">
        <v>44.384</v>
      </c>
    </row>
    <row r="1970" spans="1:9" x14ac:dyDescent="0.3">
      <c r="A1970" t="str">
        <f t="shared" si="683"/>
        <v>United States</v>
      </c>
      <c r="B1970" t="str">
        <f t="shared" si="699"/>
        <v>Homestead</v>
      </c>
      <c r="C1970" t="str">
        <f>C1969</f>
        <v>Standard Class</v>
      </c>
      <c r="D1970" t="str">
        <f>D1969</f>
        <v>Consumer</v>
      </c>
      <c r="E1970" t="s">
        <v>9</v>
      </c>
      <c r="F1970">
        <v>1</v>
      </c>
      <c r="G1970">
        <v>0.2</v>
      </c>
      <c r="H1970" s="2">
        <v>-0.66240000000000021</v>
      </c>
      <c r="I1970" s="2">
        <v>2.9440000000000004</v>
      </c>
    </row>
    <row r="1971" spans="1:9" x14ac:dyDescent="0.3">
      <c r="A1971" t="str">
        <f t="shared" si="683"/>
        <v>United States</v>
      </c>
      <c r="B1971" t="s">
        <v>235</v>
      </c>
      <c r="C1971" t="s">
        <v>11</v>
      </c>
      <c r="D1971" t="s">
        <v>15</v>
      </c>
      <c r="E1971" t="s">
        <v>23</v>
      </c>
      <c r="F1971">
        <v>2</v>
      </c>
      <c r="G1971">
        <v>0</v>
      </c>
      <c r="H1971" s="2">
        <v>1.558799999999998</v>
      </c>
      <c r="I1971" s="2">
        <v>25.98</v>
      </c>
    </row>
    <row r="1972" spans="1:9" x14ac:dyDescent="0.3">
      <c r="A1972" t="str">
        <f t="shared" si="683"/>
        <v>United States</v>
      </c>
      <c r="B1972" t="str">
        <f t="shared" ref="B1972:B1974" si="700">B1971</f>
        <v>Hoover</v>
      </c>
      <c r="C1972" t="str">
        <f>C1971</f>
        <v>First Class</v>
      </c>
      <c r="D1972" t="str">
        <f>D1971</f>
        <v>Corporate</v>
      </c>
      <c r="E1972" t="s">
        <v>9</v>
      </c>
      <c r="F1972">
        <v>4</v>
      </c>
      <c r="G1972">
        <v>0</v>
      </c>
      <c r="H1972" s="2">
        <v>9.5448000000000093</v>
      </c>
      <c r="I1972" s="2">
        <v>477.24</v>
      </c>
    </row>
    <row r="1973" spans="1:9" x14ac:dyDescent="0.3">
      <c r="A1973" t="str">
        <f t="shared" si="683"/>
        <v>United States</v>
      </c>
      <c r="B1973" t="str">
        <f t="shared" si="700"/>
        <v>Hoover</v>
      </c>
      <c r="C1973" t="s">
        <v>7</v>
      </c>
      <c r="D1973" t="s">
        <v>15</v>
      </c>
      <c r="E1973" t="s">
        <v>19</v>
      </c>
      <c r="F1973">
        <v>7</v>
      </c>
      <c r="G1973">
        <v>0</v>
      </c>
      <c r="H1973" s="2">
        <v>4.1768999999999998</v>
      </c>
      <c r="I1973" s="2">
        <v>15.469999999999999</v>
      </c>
    </row>
    <row r="1974" spans="1:9" x14ac:dyDescent="0.3">
      <c r="A1974" t="str">
        <f t="shared" si="683"/>
        <v>United States</v>
      </c>
      <c r="B1974" t="str">
        <f t="shared" si="700"/>
        <v>Hoover</v>
      </c>
      <c r="C1974" t="str">
        <f>C1973</f>
        <v>Second Class</v>
      </c>
      <c r="D1974" t="str">
        <f>D1973</f>
        <v>Corporate</v>
      </c>
      <c r="E1974" t="s">
        <v>20</v>
      </c>
      <c r="F1974">
        <v>2</v>
      </c>
      <c r="G1974">
        <v>0</v>
      </c>
      <c r="H1974" s="2">
        <v>3.4367999999999999</v>
      </c>
      <c r="I1974" s="2">
        <v>7.16</v>
      </c>
    </row>
    <row r="1975" spans="1:9" x14ac:dyDescent="0.3">
      <c r="A1975" t="str">
        <f t="shared" si="683"/>
        <v>United States</v>
      </c>
      <c r="B1975" t="s">
        <v>236</v>
      </c>
      <c r="C1975" t="s">
        <v>22</v>
      </c>
      <c r="D1975" t="s">
        <v>8</v>
      </c>
      <c r="E1975" t="s">
        <v>23</v>
      </c>
      <c r="F1975">
        <v>1</v>
      </c>
      <c r="G1975">
        <v>0</v>
      </c>
      <c r="H1975" s="2">
        <v>2.9989999999999988</v>
      </c>
      <c r="I1975" s="2">
        <v>29.99</v>
      </c>
    </row>
    <row r="1976" spans="1:9" x14ac:dyDescent="0.3">
      <c r="A1976" t="str">
        <f t="shared" si="683"/>
        <v>United States</v>
      </c>
      <c r="B1976" t="str">
        <f t="shared" ref="B1976:B1978" si="701">B1975</f>
        <v>Hot Springs</v>
      </c>
      <c r="C1976" t="str">
        <f t="shared" ref="C1976:C1978" si="702">C1975</f>
        <v>Standard Class</v>
      </c>
      <c r="D1976" t="s">
        <v>17</v>
      </c>
      <c r="E1976" t="s">
        <v>18</v>
      </c>
      <c r="F1976">
        <v>6</v>
      </c>
      <c r="G1976">
        <v>0</v>
      </c>
      <c r="H1976" s="2">
        <v>14.399999999999999</v>
      </c>
      <c r="I1976" s="2">
        <v>30</v>
      </c>
    </row>
    <row r="1977" spans="1:9" x14ac:dyDescent="0.3">
      <c r="A1977" t="str">
        <f t="shared" si="683"/>
        <v>United States</v>
      </c>
      <c r="B1977" t="str">
        <f t="shared" si="701"/>
        <v>Hot Springs</v>
      </c>
      <c r="C1977" t="str">
        <f t="shared" si="702"/>
        <v>Standard Class</v>
      </c>
      <c r="D1977" t="str">
        <f t="shared" ref="D1977:D1978" si="703">D1976</f>
        <v>Home Office</v>
      </c>
      <c r="E1977" t="s">
        <v>21</v>
      </c>
      <c r="F1977">
        <v>4</v>
      </c>
      <c r="G1977">
        <v>0</v>
      </c>
      <c r="H1977" s="2">
        <v>31.983999999999995</v>
      </c>
      <c r="I1977" s="2">
        <v>159.91999999999999</v>
      </c>
    </row>
    <row r="1978" spans="1:9" x14ac:dyDescent="0.3">
      <c r="A1978" t="str">
        <f t="shared" si="683"/>
        <v>United States</v>
      </c>
      <c r="B1978" t="str">
        <f t="shared" si="701"/>
        <v>Hot Springs</v>
      </c>
      <c r="C1978" t="str">
        <f t="shared" si="702"/>
        <v>Standard Class</v>
      </c>
      <c r="D1978" t="str">
        <f t="shared" si="703"/>
        <v>Home Office</v>
      </c>
      <c r="E1978" t="s">
        <v>16</v>
      </c>
      <c r="F1978">
        <v>4</v>
      </c>
      <c r="G1978">
        <v>0</v>
      </c>
      <c r="H1978" s="2">
        <v>12.700800000000001</v>
      </c>
      <c r="I1978" s="2">
        <v>25.92</v>
      </c>
    </row>
    <row r="1979" spans="1:9" x14ac:dyDescent="0.3">
      <c r="A1979" t="str">
        <f t="shared" si="683"/>
        <v>United States</v>
      </c>
      <c r="B1979" t="s">
        <v>237</v>
      </c>
      <c r="C1979" t="s">
        <v>11</v>
      </c>
      <c r="D1979" t="s">
        <v>8</v>
      </c>
      <c r="E1979" t="s">
        <v>19</v>
      </c>
      <c r="F1979">
        <v>12</v>
      </c>
      <c r="G1979">
        <v>0.60000000000000009</v>
      </c>
      <c r="H1979" s="2">
        <v>12.525000000000002</v>
      </c>
      <c r="I1979" s="2">
        <v>97.08</v>
      </c>
    </row>
    <row r="1980" spans="1:9" x14ac:dyDescent="0.3">
      <c r="A1980" t="str">
        <f t="shared" si="683"/>
        <v>United States</v>
      </c>
      <c r="B1980" t="str">
        <f t="shared" ref="B1980:B2011" si="704">B1979</f>
        <v>Houston</v>
      </c>
      <c r="C1980" t="str">
        <f t="shared" ref="C1980:C2004" si="705">C1979</f>
        <v>First Class</v>
      </c>
      <c r="D1980" t="str">
        <f t="shared" ref="D1980:D1987" si="706">D1979</f>
        <v>Consumer</v>
      </c>
      <c r="E1980" t="s">
        <v>20</v>
      </c>
      <c r="F1980">
        <v>11</v>
      </c>
      <c r="G1980">
        <v>2.4000000000000004</v>
      </c>
      <c r="H1980" s="2">
        <v>-2295.2772000000004</v>
      </c>
      <c r="I1980" s="2">
        <v>1529.8199999999995</v>
      </c>
    </row>
    <row r="1981" spans="1:9" x14ac:dyDescent="0.3">
      <c r="A1981" t="str">
        <f t="shared" si="683"/>
        <v>United States</v>
      </c>
      <c r="B1981" t="str">
        <f t="shared" si="704"/>
        <v>Houston</v>
      </c>
      <c r="C1981" t="str">
        <f t="shared" si="705"/>
        <v>First Class</v>
      </c>
      <c r="D1981" t="str">
        <f t="shared" si="706"/>
        <v>Consumer</v>
      </c>
      <c r="E1981" t="s">
        <v>33</v>
      </c>
      <c r="F1981">
        <v>8</v>
      </c>
      <c r="G1981">
        <v>0.6</v>
      </c>
      <c r="H1981" s="2">
        <v>-59.248800000000173</v>
      </c>
      <c r="I1981" s="2">
        <v>1090.4879999999998</v>
      </c>
    </row>
    <row r="1982" spans="1:9" x14ac:dyDescent="0.3">
      <c r="A1982" t="str">
        <f t="shared" si="683"/>
        <v>United States</v>
      </c>
      <c r="B1982" t="str">
        <f t="shared" si="704"/>
        <v>Houston</v>
      </c>
      <c r="C1982" t="str">
        <f t="shared" si="705"/>
        <v>First Class</v>
      </c>
      <c r="D1982" t="str">
        <f t="shared" si="706"/>
        <v>Consumer</v>
      </c>
      <c r="E1982" t="s">
        <v>18</v>
      </c>
      <c r="F1982">
        <v>6</v>
      </c>
      <c r="G1982">
        <v>0.2</v>
      </c>
      <c r="H1982" s="2">
        <v>1.8467999999999996</v>
      </c>
      <c r="I1982" s="2">
        <v>5.4719999999999995</v>
      </c>
    </row>
    <row r="1983" spans="1:9" x14ac:dyDescent="0.3">
      <c r="A1983" t="str">
        <f t="shared" si="683"/>
        <v>United States</v>
      </c>
      <c r="B1983" t="str">
        <f t="shared" si="704"/>
        <v>Houston</v>
      </c>
      <c r="C1983" t="str">
        <f t="shared" si="705"/>
        <v>First Class</v>
      </c>
      <c r="D1983" t="str">
        <f t="shared" si="706"/>
        <v>Consumer</v>
      </c>
      <c r="E1983" t="s">
        <v>21</v>
      </c>
      <c r="F1983">
        <v>9</v>
      </c>
      <c r="G1983">
        <v>0.6</v>
      </c>
      <c r="H1983" s="2">
        <v>-20.730599999999995</v>
      </c>
      <c r="I1983" s="2">
        <v>75.384000000000015</v>
      </c>
    </row>
    <row r="1984" spans="1:9" x14ac:dyDescent="0.3">
      <c r="A1984" t="str">
        <f t="shared" si="683"/>
        <v>United States</v>
      </c>
      <c r="B1984" t="str">
        <f t="shared" si="704"/>
        <v>Houston</v>
      </c>
      <c r="C1984" t="str">
        <f t="shared" si="705"/>
        <v>First Class</v>
      </c>
      <c r="D1984" t="str">
        <f t="shared" si="706"/>
        <v>Consumer</v>
      </c>
      <c r="E1984" t="s">
        <v>43</v>
      </c>
      <c r="F1984">
        <v>2</v>
      </c>
      <c r="G1984">
        <v>0.2</v>
      </c>
      <c r="H1984" s="2">
        <v>1.6704000000000001</v>
      </c>
      <c r="I1984" s="2">
        <v>4.6079999999999997</v>
      </c>
    </row>
    <row r="1985" spans="1:9" x14ac:dyDescent="0.3">
      <c r="A1985" t="str">
        <f t="shared" si="683"/>
        <v>United States</v>
      </c>
      <c r="B1985" t="str">
        <f t="shared" si="704"/>
        <v>Houston</v>
      </c>
      <c r="C1985" t="str">
        <f t="shared" si="705"/>
        <v>First Class</v>
      </c>
      <c r="D1985" t="str">
        <f t="shared" si="706"/>
        <v>Consumer</v>
      </c>
      <c r="E1985" t="s">
        <v>16</v>
      </c>
      <c r="F1985">
        <v>28</v>
      </c>
      <c r="G1985">
        <v>1.2</v>
      </c>
      <c r="H1985" s="2">
        <v>137.07219999999998</v>
      </c>
      <c r="I1985" s="2">
        <v>413.64800000000002</v>
      </c>
    </row>
    <row r="1986" spans="1:9" x14ac:dyDescent="0.3">
      <c r="A1986" t="str">
        <f t="shared" si="683"/>
        <v>United States</v>
      </c>
      <c r="B1986" t="str">
        <f t="shared" si="704"/>
        <v>Houston</v>
      </c>
      <c r="C1986" t="str">
        <f t="shared" si="705"/>
        <v>First Class</v>
      </c>
      <c r="D1986" t="str">
        <f t="shared" si="706"/>
        <v>Consumer</v>
      </c>
      <c r="E1986" t="s">
        <v>24</v>
      </c>
      <c r="F1986">
        <v>11</v>
      </c>
      <c r="G1986">
        <v>0.60000000000000009</v>
      </c>
      <c r="H1986" s="2">
        <v>27.251300000000008</v>
      </c>
      <c r="I1986" s="2">
        <v>273.51199999999994</v>
      </c>
    </row>
    <row r="1987" spans="1:9" x14ac:dyDescent="0.3">
      <c r="A1987" t="str">
        <f t="shared" si="683"/>
        <v>United States</v>
      </c>
      <c r="B1987" t="str">
        <f t="shared" si="704"/>
        <v>Houston</v>
      </c>
      <c r="C1987" t="str">
        <f t="shared" si="705"/>
        <v>First Class</v>
      </c>
      <c r="D1987" t="str">
        <f t="shared" si="706"/>
        <v>Consumer</v>
      </c>
      <c r="E1987" t="s">
        <v>14</v>
      </c>
      <c r="F1987">
        <v>3</v>
      </c>
      <c r="G1987">
        <v>0.4</v>
      </c>
      <c r="H1987" s="2">
        <v>2.6248000000000009</v>
      </c>
      <c r="I1987" s="2">
        <v>28.944000000000003</v>
      </c>
    </row>
    <row r="1988" spans="1:9" x14ac:dyDescent="0.3">
      <c r="A1988" t="str">
        <f t="shared" ref="A1988:A2051" si="707">A1987</f>
        <v>United States</v>
      </c>
      <c r="B1988" t="str">
        <f t="shared" si="704"/>
        <v>Houston</v>
      </c>
      <c r="C1988" t="str">
        <f t="shared" si="705"/>
        <v>First Class</v>
      </c>
      <c r="D1988" t="s">
        <v>15</v>
      </c>
      <c r="E1988" t="s">
        <v>23</v>
      </c>
      <c r="F1988">
        <v>6</v>
      </c>
      <c r="G1988">
        <v>0.4</v>
      </c>
      <c r="H1988" s="2">
        <v>40.525799999999997</v>
      </c>
      <c r="I1988" s="2">
        <v>199.17600000000002</v>
      </c>
    </row>
    <row r="1989" spans="1:9" x14ac:dyDescent="0.3">
      <c r="A1989" t="str">
        <f t="shared" si="707"/>
        <v>United States</v>
      </c>
      <c r="B1989" t="str">
        <f t="shared" si="704"/>
        <v>Houston</v>
      </c>
      <c r="C1989" t="str">
        <f t="shared" si="705"/>
        <v>First Class</v>
      </c>
      <c r="D1989" t="str">
        <f t="shared" ref="D1989:D1996" si="708">D1988</f>
        <v>Corporate</v>
      </c>
      <c r="E1989" t="s">
        <v>19</v>
      </c>
      <c r="F1989">
        <v>2</v>
      </c>
      <c r="G1989">
        <v>0.2</v>
      </c>
      <c r="H1989" s="2">
        <v>6.2243999999999957</v>
      </c>
      <c r="I1989" s="2">
        <v>55.328000000000003</v>
      </c>
    </row>
    <row r="1990" spans="1:9" x14ac:dyDescent="0.3">
      <c r="A1990" t="str">
        <f t="shared" si="707"/>
        <v>United States</v>
      </c>
      <c r="B1990" t="str">
        <f t="shared" si="704"/>
        <v>Houston</v>
      </c>
      <c r="C1990" t="str">
        <f t="shared" si="705"/>
        <v>First Class</v>
      </c>
      <c r="D1990" t="str">
        <f t="shared" si="708"/>
        <v>Corporate</v>
      </c>
      <c r="E1990" t="s">
        <v>20</v>
      </c>
      <c r="F1990">
        <v>8</v>
      </c>
      <c r="G1990">
        <v>2.4000000000000004</v>
      </c>
      <c r="H1990" s="2">
        <v>-57.799800000000005</v>
      </c>
      <c r="I1990" s="2">
        <v>34.109999999999992</v>
      </c>
    </row>
    <row r="1991" spans="1:9" x14ac:dyDescent="0.3">
      <c r="A1991" t="str">
        <f t="shared" si="707"/>
        <v>United States</v>
      </c>
      <c r="B1991" t="str">
        <f t="shared" si="704"/>
        <v>Houston</v>
      </c>
      <c r="C1991" t="str">
        <f t="shared" si="705"/>
        <v>First Class</v>
      </c>
      <c r="D1991" t="str">
        <f t="shared" si="708"/>
        <v>Corporate</v>
      </c>
      <c r="E1991" t="s">
        <v>34</v>
      </c>
      <c r="F1991">
        <v>6</v>
      </c>
      <c r="G1991">
        <v>0.32</v>
      </c>
      <c r="H1991" s="2">
        <v>-36.117600000000152</v>
      </c>
      <c r="I1991" s="2">
        <v>1227.9983999999999</v>
      </c>
    </row>
    <row r="1992" spans="1:9" x14ac:dyDescent="0.3">
      <c r="A1992" t="str">
        <f t="shared" si="707"/>
        <v>United States</v>
      </c>
      <c r="B1992" t="str">
        <f t="shared" si="704"/>
        <v>Houston</v>
      </c>
      <c r="C1992" t="str">
        <f t="shared" si="705"/>
        <v>First Class</v>
      </c>
      <c r="D1992" t="str">
        <f t="shared" si="708"/>
        <v>Corporate</v>
      </c>
      <c r="E1992" t="s">
        <v>38</v>
      </c>
      <c r="F1992">
        <v>3</v>
      </c>
      <c r="G1992">
        <v>0.2</v>
      </c>
      <c r="H1992" s="2">
        <v>26.952599999999997</v>
      </c>
      <c r="I1992" s="2">
        <v>74.352000000000004</v>
      </c>
    </row>
    <row r="1993" spans="1:9" x14ac:dyDescent="0.3">
      <c r="A1993" t="str">
        <f t="shared" si="707"/>
        <v>United States</v>
      </c>
      <c r="B1993" t="str">
        <f t="shared" si="704"/>
        <v>Houston</v>
      </c>
      <c r="C1993" t="str">
        <f t="shared" si="705"/>
        <v>First Class</v>
      </c>
      <c r="D1993" t="str">
        <f t="shared" si="708"/>
        <v>Corporate</v>
      </c>
      <c r="E1993" t="s">
        <v>21</v>
      </c>
      <c r="F1993">
        <v>10</v>
      </c>
      <c r="G1993">
        <v>1.7999999999999998</v>
      </c>
      <c r="H1993" s="2">
        <v>-18.965399999999999</v>
      </c>
      <c r="I1993" s="2">
        <v>35.840000000000003</v>
      </c>
    </row>
    <row r="1994" spans="1:9" x14ac:dyDescent="0.3">
      <c r="A1994" t="str">
        <f t="shared" si="707"/>
        <v>United States</v>
      </c>
      <c r="B1994" t="str">
        <f t="shared" si="704"/>
        <v>Houston</v>
      </c>
      <c r="C1994" t="str">
        <f t="shared" si="705"/>
        <v>First Class</v>
      </c>
      <c r="D1994" t="str">
        <f t="shared" si="708"/>
        <v>Corporate</v>
      </c>
      <c r="E1994" t="s">
        <v>16</v>
      </c>
      <c r="F1994">
        <v>7</v>
      </c>
      <c r="G1994">
        <v>0.4</v>
      </c>
      <c r="H1994" s="2">
        <v>17.123399999999997</v>
      </c>
      <c r="I1994" s="2">
        <v>47.952000000000005</v>
      </c>
    </row>
    <row r="1995" spans="1:9" x14ac:dyDescent="0.3">
      <c r="A1995" t="str">
        <f t="shared" si="707"/>
        <v>United States</v>
      </c>
      <c r="B1995" t="str">
        <f t="shared" si="704"/>
        <v>Houston</v>
      </c>
      <c r="C1995" t="str">
        <f t="shared" si="705"/>
        <v>First Class</v>
      </c>
      <c r="D1995" t="str">
        <f t="shared" si="708"/>
        <v>Corporate</v>
      </c>
      <c r="E1995" t="s">
        <v>24</v>
      </c>
      <c r="F1995">
        <v>7</v>
      </c>
      <c r="G1995">
        <v>0.2</v>
      </c>
      <c r="H1995" s="2">
        <v>118.29299999999989</v>
      </c>
      <c r="I1995" s="2">
        <v>946.34400000000005</v>
      </c>
    </row>
    <row r="1996" spans="1:9" x14ac:dyDescent="0.3">
      <c r="A1996" t="str">
        <f t="shared" si="707"/>
        <v>United States</v>
      </c>
      <c r="B1996" t="str">
        <f t="shared" si="704"/>
        <v>Houston</v>
      </c>
      <c r="C1996" t="str">
        <f t="shared" si="705"/>
        <v>First Class</v>
      </c>
      <c r="D1996" t="str">
        <f t="shared" si="708"/>
        <v>Corporate</v>
      </c>
      <c r="E1996" t="s">
        <v>14</v>
      </c>
      <c r="F1996">
        <v>3</v>
      </c>
      <c r="G1996">
        <v>0.2</v>
      </c>
      <c r="H1996" s="2">
        <v>2.724000000000002</v>
      </c>
      <c r="I1996" s="2">
        <v>27.240000000000002</v>
      </c>
    </row>
    <row r="1997" spans="1:9" x14ac:dyDescent="0.3">
      <c r="A1997" t="str">
        <f t="shared" si="707"/>
        <v>United States</v>
      </c>
      <c r="B1997" t="str">
        <f t="shared" si="704"/>
        <v>Houston</v>
      </c>
      <c r="C1997" t="str">
        <f t="shared" si="705"/>
        <v>First Class</v>
      </c>
      <c r="D1997" t="s">
        <v>17</v>
      </c>
      <c r="E1997" t="s">
        <v>23</v>
      </c>
      <c r="F1997">
        <v>6</v>
      </c>
      <c r="G1997">
        <v>0.4</v>
      </c>
      <c r="H1997" s="2">
        <v>18.501999999999999</v>
      </c>
      <c r="I1997" s="2">
        <v>147.488</v>
      </c>
    </row>
    <row r="1998" spans="1:9" x14ac:dyDescent="0.3">
      <c r="A1998" t="str">
        <f t="shared" si="707"/>
        <v>United States</v>
      </c>
      <c r="B1998" t="str">
        <f t="shared" si="704"/>
        <v>Houston</v>
      </c>
      <c r="C1998" t="str">
        <f t="shared" si="705"/>
        <v>First Class</v>
      </c>
      <c r="D1998" t="str">
        <f t="shared" ref="D1998:D2004" si="709">D1997</f>
        <v>Home Office</v>
      </c>
      <c r="E1998" t="s">
        <v>19</v>
      </c>
      <c r="F1998">
        <v>9</v>
      </c>
      <c r="G1998">
        <v>0.4</v>
      </c>
      <c r="H1998" s="2">
        <v>56.184900000000006</v>
      </c>
      <c r="I1998" s="2">
        <v>197.304</v>
      </c>
    </row>
    <row r="1999" spans="1:9" x14ac:dyDescent="0.3">
      <c r="A1999" t="str">
        <f t="shared" si="707"/>
        <v>United States</v>
      </c>
      <c r="B1999" t="str">
        <f t="shared" si="704"/>
        <v>Houston</v>
      </c>
      <c r="C1999" t="str">
        <f t="shared" si="705"/>
        <v>First Class</v>
      </c>
      <c r="D1999" t="str">
        <f t="shared" si="709"/>
        <v>Home Office</v>
      </c>
      <c r="E1999" t="s">
        <v>20</v>
      </c>
      <c r="F1999">
        <v>17</v>
      </c>
      <c r="G1999">
        <v>3.2</v>
      </c>
      <c r="H1999" s="2">
        <v>-90.956400000000031</v>
      </c>
      <c r="I1999" s="2">
        <v>57.399999999999991</v>
      </c>
    </row>
    <row r="2000" spans="1:9" x14ac:dyDescent="0.3">
      <c r="A2000" t="str">
        <f t="shared" si="707"/>
        <v>United States</v>
      </c>
      <c r="B2000" t="str">
        <f t="shared" si="704"/>
        <v>Houston</v>
      </c>
      <c r="C2000" t="str">
        <f t="shared" si="705"/>
        <v>First Class</v>
      </c>
      <c r="D2000" t="str">
        <f t="shared" si="709"/>
        <v>Home Office</v>
      </c>
      <c r="E2000" t="s">
        <v>34</v>
      </c>
      <c r="F2000">
        <v>5</v>
      </c>
      <c r="G2000">
        <v>0.64</v>
      </c>
      <c r="H2000" s="2">
        <v>-84.697800000000001</v>
      </c>
      <c r="I2000" s="2">
        <v>472.53199999999993</v>
      </c>
    </row>
    <row r="2001" spans="1:9" x14ac:dyDescent="0.3">
      <c r="A2001" t="str">
        <f t="shared" si="707"/>
        <v>United States</v>
      </c>
      <c r="B2001" t="str">
        <f t="shared" si="704"/>
        <v>Houston</v>
      </c>
      <c r="C2001" t="str">
        <f t="shared" si="705"/>
        <v>First Class</v>
      </c>
      <c r="D2001" t="str">
        <f t="shared" si="709"/>
        <v>Home Office</v>
      </c>
      <c r="E2001" t="s">
        <v>16</v>
      </c>
      <c r="F2001">
        <v>7</v>
      </c>
      <c r="G2001">
        <v>0.4</v>
      </c>
      <c r="H2001" s="2">
        <v>83.209699999999998</v>
      </c>
      <c r="I2001" s="2">
        <v>229.54400000000001</v>
      </c>
    </row>
    <row r="2002" spans="1:9" x14ac:dyDescent="0.3">
      <c r="A2002" t="str">
        <f t="shared" si="707"/>
        <v>United States</v>
      </c>
      <c r="B2002" t="str">
        <f t="shared" si="704"/>
        <v>Houston</v>
      </c>
      <c r="C2002" t="str">
        <f t="shared" si="705"/>
        <v>First Class</v>
      </c>
      <c r="D2002" t="str">
        <f t="shared" si="709"/>
        <v>Home Office</v>
      </c>
      <c r="E2002" t="s">
        <v>24</v>
      </c>
      <c r="F2002">
        <v>7</v>
      </c>
      <c r="G2002">
        <v>0.4</v>
      </c>
      <c r="H2002" s="2">
        <v>-72.909000000000049</v>
      </c>
      <c r="I2002" s="2">
        <v>635.11200000000008</v>
      </c>
    </row>
    <row r="2003" spans="1:9" x14ac:dyDescent="0.3">
      <c r="A2003" t="str">
        <f t="shared" si="707"/>
        <v>United States</v>
      </c>
      <c r="B2003" t="str">
        <f t="shared" si="704"/>
        <v>Houston</v>
      </c>
      <c r="C2003" t="str">
        <f t="shared" si="705"/>
        <v>First Class</v>
      </c>
      <c r="D2003" t="str">
        <f t="shared" si="709"/>
        <v>Home Office</v>
      </c>
      <c r="E2003" t="s">
        <v>14</v>
      </c>
      <c r="F2003">
        <v>9</v>
      </c>
      <c r="G2003">
        <v>0.2</v>
      </c>
      <c r="H2003" s="2">
        <v>7.5527999999999977</v>
      </c>
      <c r="I2003" s="2">
        <v>151.05600000000001</v>
      </c>
    </row>
    <row r="2004" spans="1:9" x14ac:dyDescent="0.3">
      <c r="A2004" t="str">
        <f t="shared" si="707"/>
        <v>United States</v>
      </c>
      <c r="B2004" t="str">
        <f t="shared" si="704"/>
        <v>Houston</v>
      </c>
      <c r="C2004" t="str">
        <f t="shared" si="705"/>
        <v>First Class</v>
      </c>
      <c r="D2004" t="str">
        <f t="shared" si="709"/>
        <v>Home Office</v>
      </c>
      <c r="E2004" t="s">
        <v>25</v>
      </c>
      <c r="F2004">
        <v>1</v>
      </c>
      <c r="G2004">
        <v>0.3</v>
      </c>
      <c r="H2004" s="2">
        <v>-22.948000000000008</v>
      </c>
      <c r="I2004" s="2">
        <v>200.79500000000002</v>
      </c>
    </row>
    <row r="2005" spans="1:9" x14ac:dyDescent="0.3">
      <c r="A2005" t="str">
        <f t="shared" si="707"/>
        <v>United States</v>
      </c>
      <c r="B2005" t="str">
        <f t="shared" si="704"/>
        <v>Houston</v>
      </c>
      <c r="C2005" t="s">
        <v>27</v>
      </c>
      <c r="D2005" t="s">
        <v>8</v>
      </c>
      <c r="E2005" t="s">
        <v>23</v>
      </c>
      <c r="F2005">
        <v>7</v>
      </c>
      <c r="G2005">
        <v>0.4</v>
      </c>
      <c r="H2005" s="2">
        <v>47.194400000000016</v>
      </c>
      <c r="I2005" s="2">
        <v>383.94400000000002</v>
      </c>
    </row>
    <row r="2006" spans="1:9" x14ac:dyDescent="0.3">
      <c r="A2006" t="str">
        <f t="shared" si="707"/>
        <v>United States</v>
      </c>
      <c r="B2006" t="str">
        <f t="shared" si="704"/>
        <v>Houston</v>
      </c>
      <c r="C2006" t="str">
        <f t="shared" ref="C2006:C2011" si="710">C2005</f>
        <v>Same Day</v>
      </c>
      <c r="D2006" t="str">
        <f t="shared" ref="D2006:D2011" si="711">D2005</f>
        <v>Consumer</v>
      </c>
      <c r="E2006" t="s">
        <v>12</v>
      </c>
      <c r="F2006">
        <v>4</v>
      </c>
      <c r="G2006">
        <v>0.8</v>
      </c>
      <c r="H2006" s="2">
        <v>-85.238399999999999</v>
      </c>
      <c r="I2006" s="2">
        <v>32.783999999999992</v>
      </c>
    </row>
    <row r="2007" spans="1:9" x14ac:dyDescent="0.3">
      <c r="A2007" t="str">
        <f t="shared" si="707"/>
        <v>United States</v>
      </c>
      <c r="B2007" t="str">
        <f t="shared" si="704"/>
        <v>Houston</v>
      </c>
      <c r="C2007" t="str">
        <f t="shared" si="710"/>
        <v>Same Day</v>
      </c>
      <c r="D2007" t="str">
        <f t="shared" si="711"/>
        <v>Consumer</v>
      </c>
      <c r="E2007" t="s">
        <v>20</v>
      </c>
      <c r="F2007">
        <v>3</v>
      </c>
      <c r="G2007">
        <v>1.6</v>
      </c>
      <c r="H2007" s="2">
        <v>-7.9672000000000001</v>
      </c>
      <c r="I2007" s="2">
        <v>4.9099999999999984</v>
      </c>
    </row>
    <row r="2008" spans="1:9" x14ac:dyDescent="0.3">
      <c r="A2008" t="str">
        <f t="shared" si="707"/>
        <v>United States</v>
      </c>
      <c r="B2008" t="str">
        <f t="shared" si="704"/>
        <v>Houston</v>
      </c>
      <c r="C2008" t="str">
        <f t="shared" si="710"/>
        <v>Same Day</v>
      </c>
      <c r="D2008" t="str">
        <f t="shared" si="711"/>
        <v>Consumer</v>
      </c>
      <c r="E2008" t="s">
        <v>21</v>
      </c>
      <c r="F2008">
        <v>11</v>
      </c>
      <c r="G2008">
        <v>1.7999999999999998</v>
      </c>
      <c r="H2008" s="2">
        <v>-24.538599999999995</v>
      </c>
      <c r="I2008" s="2">
        <v>34.671999999999997</v>
      </c>
    </row>
    <row r="2009" spans="1:9" x14ac:dyDescent="0.3">
      <c r="A2009" t="str">
        <f t="shared" si="707"/>
        <v>United States</v>
      </c>
      <c r="B2009" t="str">
        <f t="shared" si="704"/>
        <v>Houston</v>
      </c>
      <c r="C2009" t="str">
        <f t="shared" si="710"/>
        <v>Same Day</v>
      </c>
      <c r="D2009" t="str">
        <f t="shared" si="711"/>
        <v>Consumer</v>
      </c>
      <c r="E2009" t="s">
        <v>16</v>
      </c>
      <c r="F2009">
        <v>14</v>
      </c>
      <c r="G2009">
        <v>0.60000000000000009</v>
      </c>
      <c r="H2009" s="2">
        <v>128.51159999999999</v>
      </c>
      <c r="I2009" s="2">
        <v>351.88800000000003</v>
      </c>
    </row>
    <row r="2010" spans="1:9" x14ac:dyDescent="0.3">
      <c r="A2010" t="str">
        <f t="shared" si="707"/>
        <v>United States</v>
      </c>
      <c r="B2010" t="str">
        <f t="shared" si="704"/>
        <v>Houston</v>
      </c>
      <c r="C2010" t="str">
        <f t="shared" si="710"/>
        <v>Same Day</v>
      </c>
      <c r="D2010" t="str">
        <f t="shared" si="711"/>
        <v>Consumer</v>
      </c>
      <c r="E2010" t="s">
        <v>24</v>
      </c>
      <c r="F2010">
        <v>8</v>
      </c>
      <c r="G2010">
        <v>0.4</v>
      </c>
      <c r="H2010" s="2">
        <v>-4.4185999999999908</v>
      </c>
      <c r="I2010" s="2">
        <v>135.136</v>
      </c>
    </row>
    <row r="2011" spans="1:9" x14ac:dyDescent="0.3">
      <c r="A2011" t="str">
        <f t="shared" si="707"/>
        <v>United States</v>
      </c>
      <c r="B2011" t="str">
        <f t="shared" si="704"/>
        <v>Houston</v>
      </c>
      <c r="C2011" t="str">
        <f t="shared" si="710"/>
        <v>Same Day</v>
      </c>
      <c r="D2011" t="str">
        <f t="shared" si="711"/>
        <v>Consumer</v>
      </c>
      <c r="E2011" t="s">
        <v>14</v>
      </c>
      <c r="F2011">
        <v>17</v>
      </c>
      <c r="G2011">
        <v>0.60000000000000009</v>
      </c>
      <c r="H2011" s="2">
        <v>-74.698800000000034</v>
      </c>
      <c r="I2011" s="2">
        <v>548.5440000000001</v>
      </c>
    </row>
    <row r="2012" spans="1:9" x14ac:dyDescent="0.3">
      <c r="A2012" t="str">
        <f t="shared" si="707"/>
        <v>United States</v>
      </c>
      <c r="B2012" t="str">
        <f t="shared" ref="B2012:B2043" si="712">B2011</f>
        <v>Houston</v>
      </c>
      <c r="C2012" t="s">
        <v>7</v>
      </c>
      <c r="D2012" t="s">
        <v>8</v>
      </c>
      <c r="E2012" t="s">
        <v>23</v>
      </c>
      <c r="F2012">
        <v>6</v>
      </c>
      <c r="G2012">
        <v>0.60000000000000009</v>
      </c>
      <c r="H2012" s="2">
        <v>-5.252200000000002</v>
      </c>
      <c r="I2012" s="2">
        <v>107.76</v>
      </c>
    </row>
    <row r="2013" spans="1:9" x14ac:dyDescent="0.3">
      <c r="A2013" t="str">
        <f t="shared" si="707"/>
        <v>United States</v>
      </c>
      <c r="B2013" t="str">
        <f t="shared" si="712"/>
        <v>Houston</v>
      </c>
      <c r="C2013" t="str">
        <f t="shared" ref="C2013:C2046" si="713">C2012</f>
        <v>Second Class</v>
      </c>
      <c r="D2013" t="str">
        <f t="shared" ref="D2013:D2024" si="714">D2012</f>
        <v>Consumer</v>
      </c>
      <c r="E2013" t="s">
        <v>12</v>
      </c>
      <c r="F2013">
        <v>9</v>
      </c>
      <c r="G2013">
        <v>1.6</v>
      </c>
      <c r="H2013" s="2">
        <v>-1009.172</v>
      </c>
      <c r="I2013" s="2">
        <v>391.8839999999999</v>
      </c>
    </row>
    <row r="2014" spans="1:9" x14ac:dyDescent="0.3">
      <c r="A2014" t="str">
        <f t="shared" si="707"/>
        <v>United States</v>
      </c>
      <c r="B2014" t="str">
        <f t="shared" si="712"/>
        <v>Houston</v>
      </c>
      <c r="C2014" t="str">
        <f t="shared" si="713"/>
        <v>Second Class</v>
      </c>
      <c r="D2014" t="str">
        <f t="shared" si="714"/>
        <v>Consumer</v>
      </c>
      <c r="E2014" t="s">
        <v>20</v>
      </c>
      <c r="F2014">
        <v>18</v>
      </c>
      <c r="G2014">
        <v>3.2</v>
      </c>
      <c r="H2014" s="2">
        <v>-75.454000000000008</v>
      </c>
      <c r="I2014" s="2">
        <v>47.489999999999988</v>
      </c>
    </row>
    <row r="2015" spans="1:9" x14ac:dyDescent="0.3">
      <c r="A2015" t="str">
        <f t="shared" si="707"/>
        <v>United States</v>
      </c>
      <c r="B2015" t="str">
        <f t="shared" si="712"/>
        <v>Houston</v>
      </c>
      <c r="C2015" t="str">
        <f t="shared" si="713"/>
        <v>Second Class</v>
      </c>
      <c r="D2015" t="str">
        <f t="shared" si="714"/>
        <v>Consumer</v>
      </c>
      <c r="E2015" t="s">
        <v>34</v>
      </c>
      <c r="F2015">
        <v>4</v>
      </c>
      <c r="G2015">
        <v>0.32</v>
      </c>
      <c r="H2015" s="2">
        <v>-317.15280000000007</v>
      </c>
      <c r="I2015" s="2">
        <v>2396.2655999999997</v>
      </c>
    </row>
    <row r="2016" spans="1:9" x14ac:dyDescent="0.3">
      <c r="A2016" t="str">
        <f t="shared" si="707"/>
        <v>United States</v>
      </c>
      <c r="B2016" t="str">
        <f t="shared" si="712"/>
        <v>Houston</v>
      </c>
      <c r="C2016" t="str">
        <f t="shared" si="713"/>
        <v>Second Class</v>
      </c>
      <c r="D2016" t="str">
        <f t="shared" si="714"/>
        <v>Consumer</v>
      </c>
      <c r="E2016" t="s">
        <v>33</v>
      </c>
      <c r="F2016">
        <v>5</v>
      </c>
      <c r="G2016">
        <v>0.89999999999999991</v>
      </c>
      <c r="H2016" s="2">
        <v>-49.917800000000014</v>
      </c>
      <c r="I2016" s="2">
        <v>249.70400000000001</v>
      </c>
    </row>
    <row r="2017" spans="1:9" x14ac:dyDescent="0.3">
      <c r="A2017" t="str">
        <f t="shared" si="707"/>
        <v>United States</v>
      </c>
      <c r="B2017" t="str">
        <f t="shared" si="712"/>
        <v>Houston</v>
      </c>
      <c r="C2017" t="str">
        <f t="shared" si="713"/>
        <v>Second Class</v>
      </c>
      <c r="D2017" t="str">
        <f t="shared" si="714"/>
        <v>Consumer</v>
      </c>
      <c r="E2017" t="s">
        <v>38</v>
      </c>
      <c r="F2017">
        <v>8</v>
      </c>
      <c r="G2017">
        <v>0.4</v>
      </c>
      <c r="H2017" s="2">
        <v>26.1096</v>
      </c>
      <c r="I2017" s="2">
        <v>71.711999999999989</v>
      </c>
    </row>
    <row r="2018" spans="1:9" x14ac:dyDescent="0.3">
      <c r="A2018" t="str">
        <f t="shared" si="707"/>
        <v>United States</v>
      </c>
      <c r="B2018" t="str">
        <f t="shared" si="712"/>
        <v>Houston</v>
      </c>
      <c r="C2018" t="str">
        <f t="shared" si="713"/>
        <v>Second Class</v>
      </c>
      <c r="D2018" t="str">
        <f t="shared" si="714"/>
        <v>Consumer</v>
      </c>
      <c r="E2018" t="s">
        <v>18</v>
      </c>
      <c r="F2018">
        <v>4</v>
      </c>
      <c r="G2018">
        <v>0.2</v>
      </c>
      <c r="H2018" s="2">
        <v>7.8899999999999979</v>
      </c>
      <c r="I2018" s="2">
        <v>25.248000000000001</v>
      </c>
    </row>
    <row r="2019" spans="1:9" x14ac:dyDescent="0.3">
      <c r="A2019" t="str">
        <f t="shared" si="707"/>
        <v>United States</v>
      </c>
      <c r="B2019" t="str">
        <f t="shared" si="712"/>
        <v>Houston</v>
      </c>
      <c r="C2019" t="str">
        <f t="shared" si="713"/>
        <v>Second Class</v>
      </c>
      <c r="D2019" t="str">
        <f t="shared" si="714"/>
        <v>Consumer</v>
      </c>
      <c r="E2019" t="s">
        <v>21</v>
      </c>
      <c r="F2019">
        <v>16</v>
      </c>
      <c r="G2019">
        <v>3</v>
      </c>
      <c r="H2019" s="2">
        <v>-60.343399999999995</v>
      </c>
      <c r="I2019" s="2">
        <v>90.052000000000007</v>
      </c>
    </row>
    <row r="2020" spans="1:9" x14ac:dyDescent="0.3">
      <c r="A2020" t="str">
        <f t="shared" si="707"/>
        <v>United States</v>
      </c>
      <c r="B2020" t="str">
        <f t="shared" si="712"/>
        <v>Houston</v>
      </c>
      <c r="C2020" t="str">
        <f t="shared" si="713"/>
        <v>Second Class</v>
      </c>
      <c r="D2020" t="str">
        <f t="shared" si="714"/>
        <v>Consumer</v>
      </c>
      <c r="E2020" t="s">
        <v>16</v>
      </c>
      <c r="F2020">
        <v>26</v>
      </c>
      <c r="G2020">
        <v>1.2</v>
      </c>
      <c r="H2020" s="2">
        <v>48.899499999999989</v>
      </c>
      <c r="I2020" s="2">
        <v>147.78400000000002</v>
      </c>
    </row>
    <row r="2021" spans="1:9" x14ac:dyDescent="0.3">
      <c r="A2021" t="str">
        <f t="shared" si="707"/>
        <v>United States</v>
      </c>
      <c r="B2021" t="str">
        <f t="shared" si="712"/>
        <v>Houston</v>
      </c>
      <c r="C2021" t="str">
        <f t="shared" si="713"/>
        <v>Second Class</v>
      </c>
      <c r="D2021" t="str">
        <f t="shared" si="714"/>
        <v>Consumer</v>
      </c>
      <c r="E2021" t="s">
        <v>24</v>
      </c>
      <c r="F2021">
        <v>19</v>
      </c>
      <c r="G2021">
        <v>0.60000000000000009</v>
      </c>
      <c r="H2021" s="2">
        <v>482.6</v>
      </c>
      <c r="I2021" s="2">
        <v>2254.3040000000001</v>
      </c>
    </row>
    <row r="2022" spans="1:9" x14ac:dyDescent="0.3">
      <c r="A2022" t="str">
        <f t="shared" si="707"/>
        <v>United States</v>
      </c>
      <c r="B2022" t="str">
        <f t="shared" si="712"/>
        <v>Houston</v>
      </c>
      <c r="C2022" t="str">
        <f t="shared" si="713"/>
        <v>Second Class</v>
      </c>
      <c r="D2022" t="str">
        <f t="shared" si="714"/>
        <v>Consumer</v>
      </c>
      <c r="E2022" t="s">
        <v>14</v>
      </c>
      <c r="F2022">
        <v>13</v>
      </c>
      <c r="G2022">
        <v>0.8</v>
      </c>
      <c r="H2022" s="2">
        <v>-22.252200000000006</v>
      </c>
      <c r="I2022" s="2">
        <v>238.56</v>
      </c>
    </row>
    <row r="2023" spans="1:9" x14ac:dyDescent="0.3">
      <c r="A2023" t="str">
        <f t="shared" si="707"/>
        <v>United States</v>
      </c>
      <c r="B2023" t="str">
        <f t="shared" si="712"/>
        <v>Houston</v>
      </c>
      <c r="C2023" t="str">
        <f t="shared" si="713"/>
        <v>Second Class</v>
      </c>
      <c r="D2023" t="str">
        <f t="shared" si="714"/>
        <v>Consumer</v>
      </c>
      <c r="E2023" t="s">
        <v>9</v>
      </c>
      <c r="F2023">
        <v>1</v>
      </c>
      <c r="G2023">
        <v>0.2</v>
      </c>
      <c r="H2023" s="2">
        <v>0.36499999999999977</v>
      </c>
      <c r="I2023" s="2">
        <v>2.92</v>
      </c>
    </row>
    <row r="2024" spans="1:9" x14ac:dyDescent="0.3">
      <c r="A2024" t="str">
        <f t="shared" si="707"/>
        <v>United States</v>
      </c>
      <c r="B2024" t="str">
        <f t="shared" si="712"/>
        <v>Houston</v>
      </c>
      <c r="C2024" t="str">
        <f t="shared" si="713"/>
        <v>Second Class</v>
      </c>
      <c r="D2024" t="str">
        <f t="shared" si="714"/>
        <v>Consumer</v>
      </c>
      <c r="E2024" t="s">
        <v>25</v>
      </c>
      <c r="F2024">
        <v>12</v>
      </c>
      <c r="G2024">
        <v>0.89999999999999991</v>
      </c>
      <c r="H2024" s="2">
        <v>-262.01300000000009</v>
      </c>
      <c r="I2024" s="2">
        <v>1446.62</v>
      </c>
    </row>
    <row r="2025" spans="1:9" x14ac:dyDescent="0.3">
      <c r="A2025" t="str">
        <f t="shared" si="707"/>
        <v>United States</v>
      </c>
      <c r="B2025" t="str">
        <f t="shared" si="712"/>
        <v>Houston</v>
      </c>
      <c r="C2025" t="str">
        <f t="shared" si="713"/>
        <v>Second Class</v>
      </c>
      <c r="D2025" t="s">
        <v>15</v>
      </c>
      <c r="E2025" t="s">
        <v>23</v>
      </c>
      <c r="F2025">
        <v>9</v>
      </c>
      <c r="G2025">
        <v>0.4</v>
      </c>
      <c r="H2025" s="2">
        <v>26.953800000000005</v>
      </c>
      <c r="I2025" s="2">
        <v>219.57600000000002</v>
      </c>
    </row>
    <row r="2026" spans="1:9" x14ac:dyDescent="0.3">
      <c r="A2026" t="str">
        <f t="shared" si="707"/>
        <v>United States</v>
      </c>
      <c r="B2026" t="str">
        <f t="shared" si="712"/>
        <v>Houston</v>
      </c>
      <c r="C2026" t="str">
        <f t="shared" si="713"/>
        <v>Second Class</v>
      </c>
      <c r="D2026" t="str">
        <f t="shared" ref="D2026:D2036" si="715">D2025</f>
        <v>Corporate</v>
      </c>
      <c r="E2026" t="s">
        <v>12</v>
      </c>
      <c r="F2026">
        <v>8</v>
      </c>
      <c r="G2026">
        <v>1.6</v>
      </c>
      <c r="H2026" s="2">
        <v>-94.880400000000023</v>
      </c>
      <c r="I2026" s="2">
        <v>37.207999999999991</v>
      </c>
    </row>
    <row r="2027" spans="1:9" x14ac:dyDescent="0.3">
      <c r="A2027" t="str">
        <f t="shared" si="707"/>
        <v>United States</v>
      </c>
      <c r="B2027" t="str">
        <f t="shared" si="712"/>
        <v>Houston</v>
      </c>
      <c r="C2027" t="str">
        <f t="shared" si="713"/>
        <v>Second Class</v>
      </c>
      <c r="D2027" t="str">
        <f t="shared" si="715"/>
        <v>Corporate</v>
      </c>
      <c r="E2027" t="s">
        <v>20</v>
      </c>
      <c r="F2027">
        <v>4</v>
      </c>
      <c r="G2027">
        <v>0.8</v>
      </c>
      <c r="H2027" s="2">
        <v>-53.072000000000017</v>
      </c>
      <c r="I2027" s="2">
        <v>34.239999999999988</v>
      </c>
    </row>
    <row r="2028" spans="1:9" x14ac:dyDescent="0.3">
      <c r="A2028" t="str">
        <f t="shared" si="707"/>
        <v>United States</v>
      </c>
      <c r="B2028" t="str">
        <f t="shared" si="712"/>
        <v>Houston</v>
      </c>
      <c r="C2028" t="str">
        <f t="shared" si="713"/>
        <v>Second Class</v>
      </c>
      <c r="D2028" t="str">
        <f t="shared" si="715"/>
        <v>Corporate</v>
      </c>
      <c r="E2028" t="s">
        <v>34</v>
      </c>
      <c r="F2028">
        <v>10</v>
      </c>
      <c r="G2028">
        <v>0.32</v>
      </c>
      <c r="H2028" s="2">
        <v>-137.97600000000008</v>
      </c>
      <c r="I2028" s="2">
        <v>781.86399999999992</v>
      </c>
    </row>
    <row r="2029" spans="1:9" x14ac:dyDescent="0.3">
      <c r="A2029" t="str">
        <f t="shared" si="707"/>
        <v>United States</v>
      </c>
      <c r="B2029" t="str">
        <f t="shared" si="712"/>
        <v>Houston</v>
      </c>
      <c r="C2029" t="str">
        <f t="shared" si="713"/>
        <v>Second Class</v>
      </c>
      <c r="D2029" t="str">
        <f t="shared" si="715"/>
        <v>Corporate</v>
      </c>
      <c r="E2029" t="s">
        <v>33</v>
      </c>
      <c r="F2029">
        <v>5</v>
      </c>
      <c r="G2029">
        <v>0.6</v>
      </c>
      <c r="H2029" s="2">
        <v>-54.772400000000005</v>
      </c>
      <c r="I2029" s="2">
        <v>829.43</v>
      </c>
    </row>
    <row r="2030" spans="1:9" x14ac:dyDescent="0.3">
      <c r="A2030" t="str">
        <f t="shared" si="707"/>
        <v>United States</v>
      </c>
      <c r="B2030" t="str">
        <f t="shared" si="712"/>
        <v>Houston</v>
      </c>
      <c r="C2030" t="str">
        <f t="shared" si="713"/>
        <v>Second Class</v>
      </c>
      <c r="D2030" t="str">
        <f t="shared" si="715"/>
        <v>Corporate</v>
      </c>
      <c r="E2030" t="s">
        <v>18</v>
      </c>
      <c r="F2030">
        <v>8</v>
      </c>
      <c r="G2030">
        <v>0.2</v>
      </c>
      <c r="H2030" s="2">
        <v>5.3352000000000004</v>
      </c>
      <c r="I2030" s="2">
        <v>15.808000000000002</v>
      </c>
    </row>
    <row r="2031" spans="1:9" x14ac:dyDescent="0.3">
      <c r="A2031" t="str">
        <f t="shared" si="707"/>
        <v>United States</v>
      </c>
      <c r="B2031" t="str">
        <f t="shared" si="712"/>
        <v>Houston</v>
      </c>
      <c r="C2031" t="str">
        <f t="shared" si="713"/>
        <v>Second Class</v>
      </c>
      <c r="D2031" t="str">
        <f t="shared" si="715"/>
        <v>Corporate</v>
      </c>
      <c r="E2031" t="s">
        <v>21</v>
      </c>
      <c r="F2031">
        <v>5</v>
      </c>
      <c r="G2031">
        <v>1.2</v>
      </c>
      <c r="H2031" s="2">
        <v>-4.577399999999999</v>
      </c>
      <c r="I2031" s="2">
        <v>11.879999999999999</v>
      </c>
    </row>
    <row r="2032" spans="1:9" x14ac:dyDescent="0.3">
      <c r="A2032" t="str">
        <f t="shared" si="707"/>
        <v>United States</v>
      </c>
      <c r="B2032" t="str">
        <f t="shared" si="712"/>
        <v>Houston</v>
      </c>
      <c r="C2032" t="str">
        <f t="shared" si="713"/>
        <v>Second Class</v>
      </c>
      <c r="D2032" t="str">
        <f t="shared" si="715"/>
        <v>Corporate</v>
      </c>
      <c r="E2032" t="s">
        <v>43</v>
      </c>
      <c r="F2032">
        <v>9</v>
      </c>
      <c r="G2032">
        <v>0.2</v>
      </c>
      <c r="H2032" s="2">
        <v>14.741999999999997</v>
      </c>
      <c r="I2032" s="2">
        <v>45.36</v>
      </c>
    </row>
    <row r="2033" spans="1:9" x14ac:dyDescent="0.3">
      <c r="A2033" t="str">
        <f t="shared" si="707"/>
        <v>United States</v>
      </c>
      <c r="B2033" t="str">
        <f t="shared" si="712"/>
        <v>Houston</v>
      </c>
      <c r="C2033" t="str">
        <f t="shared" si="713"/>
        <v>Second Class</v>
      </c>
      <c r="D2033" t="str">
        <f t="shared" si="715"/>
        <v>Corporate</v>
      </c>
      <c r="E2033" t="s">
        <v>46</v>
      </c>
      <c r="F2033">
        <v>13</v>
      </c>
      <c r="G2033">
        <v>1.2000000000000002</v>
      </c>
      <c r="H2033" s="2">
        <v>-712.2318000000007</v>
      </c>
      <c r="I2033" s="2">
        <v>6177.0720000000001</v>
      </c>
    </row>
    <row r="2034" spans="1:9" x14ac:dyDescent="0.3">
      <c r="A2034" t="str">
        <f t="shared" si="707"/>
        <v>United States</v>
      </c>
      <c r="B2034" t="str">
        <f t="shared" si="712"/>
        <v>Houston</v>
      </c>
      <c r="C2034" t="str">
        <f t="shared" si="713"/>
        <v>Second Class</v>
      </c>
      <c r="D2034" t="str">
        <f t="shared" si="715"/>
        <v>Corporate</v>
      </c>
      <c r="E2034" t="s">
        <v>16</v>
      </c>
      <c r="F2034">
        <v>28</v>
      </c>
      <c r="G2034">
        <v>1</v>
      </c>
      <c r="H2034" s="2">
        <v>142.87229999999997</v>
      </c>
      <c r="I2034" s="2">
        <v>420.92000000000007</v>
      </c>
    </row>
    <row r="2035" spans="1:9" x14ac:dyDescent="0.3">
      <c r="A2035" t="str">
        <f t="shared" si="707"/>
        <v>United States</v>
      </c>
      <c r="B2035" t="str">
        <f t="shared" si="712"/>
        <v>Houston</v>
      </c>
      <c r="C2035" t="str">
        <f t="shared" si="713"/>
        <v>Second Class</v>
      </c>
      <c r="D2035" t="str">
        <f t="shared" si="715"/>
        <v>Corporate</v>
      </c>
      <c r="E2035" t="s">
        <v>24</v>
      </c>
      <c r="F2035">
        <v>9</v>
      </c>
      <c r="G2035">
        <v>0.60000000000000009</v>
      </c>
      <c r="H2035" s="2">
        <v>90.509399999999971</v>
      </c>
      <c r="I2035" s="2">
        <v>873.33600000000001</v>
      </c>
    </row>
    <row r="2036" spans="1:9" x14ac:dyDescent="0.3">
      <c r="A2036" t="str">
        <f t="shared" si="707"/>
        <v>United States</v>
      </c>
      <c r="B2036" t="str">
        <f t="shared" si="712"/>
        <v>Houston</v>
      </c>
      <c r="C2036" t="str">
        <f t="shared" si="713"/>
        <v>Second Class</v>
      </c>
      <c r="D2036" t="str">
        <f t="shared" si="715"/>
        <v>Corporate</v>
      </c>
      <c r="E2036" t="s">
        <v>14</v>
      </c>
      <c r="F2036">
        <v>10</v>
      </c>
      <c r="G2036">
        <v>0.60000000000000009</v>
      </c>
      <c r="H2036" s="2">
        <v>-8.7487999999999992</v>
      </c>
      <c r="I2036" s="2">
        <v>203.87200000000001</v>
      </c>
    </row>
    <row r="2037" spans="1:9" x14ac:dyDescent="0.3">
      <c r="A2037" t="str">
        <f t="shared" si="707"/>
        <v>United States</v>
      </c>
      <c r="B2037" t="str">
        <f t="shared" si="712"/>
        <v>Houston</v>
      </c>
      <c r="C2037" t="str">
        <f t="shared" si="713"/>
        <v>Second Class</v>
      </c>
      <c r="D2037" t="s">
        <v>17</v>
      </c>
      <c r="E2037" t="s">
        <v>23</v>
      </c>
      <c r="F2037">
        <v>8</v>
      </c>
      <c r="G2037">
        <v>0.4</v>
      </c>
      <c r="H2037" s="2">
        <v>98.580500000000001</v>
      </c>
      <c r="I2037" s="2">
        <v>418.25600000000003</v>
      </c>
    </row>
    <row r="2038" spans="1:9" x14ac:dyDescent="0.3">
      <c r="A2038" t="str">
        <f t="shared" si="707"/>
        <v>United States</v>
      </c>
      <c r="B2038" t="str">
        <f t="shared" si="712"/>
        <v>Houston</v>
      </c>
      <c r="C2038" t="str">
        <f t="shared" si="713"/>
        <v>Second Class</v>
      </c>
      <c r="D2038" t="str">
        <f t="shared" ref="D2038:D2046" si="716">D2037</f>
        <v>Home Office</v>
      </c>
      <c r="E2038" t="s">
        <v>12</v>
      </c>
      <c r="F2038">
        <v>10</v>
      </c>
      <c r="G2038">
        <v>1.6</v>
      </c>
      <c r="H2038" s="2">
        <v>-185.6686</v>
      </c>
      <c r="I2038" s="2">
        <v>73.707999999999984</v>
      </c>
    </row>
    <row r="2039" spans="1:9" x14ac:dyDescent="0.3">
      <c r="A2039" t="str">
        <f t="shared" si="707"/>
        <v>United States</v>
      </c>
      <c r="B2039" t="str">
        <f t="shared" si="712"/>
        <v>Houston</v>
      </c>
      <c r="C2039" t="str">
        <f t="shared" si="713"/>
        <v>Second Class</v>
      </c>
      <c r="D2039" t="str">
        <f t="shared" si="716"/>
        <v>Home Office</v>
      </c>
      <c r="E2039" t="s">
        <v>19</v>
      </c>
      <c r="F2039">
        <v>11</v>
      </c>
      <c r="G2039">
        <v>0.4</v>
      </c>
      <c r="H2039" s="2">
        <v>7.1637999999999993</v>
      </c>
      <c r="I2039" s="2">
        <v>21.176000000000002</v>
      </c>
    </row>
    <row r="2040" spans="1:9" x14ac:dyDescent="0.3">
      <c r="A2040" t="str">
        <f t="shared" si="707"/>
        <v>United States</v>
      </c>
      <c r="B2040" t="str">
        <f t="shared" si="712"/>
        <v>Houston</v>
      </c>
      <c r="C2040" t="str">
        <f t="shared" si="713"/>
        <v>Second Class</v>
      </c>
      <c r="D2040" t="str">
        <f t="shared" si="716"/>
        <v>Home Office</v>
      </c>
      <c r="E2040" t="s">
        <v>20</v>
      </c>
      <c r="F2040">
        <v>15</v>
      </c>
      <c r="G2040">
        <v>2.4000000000000004</v>
      </c>
      <c r="H2040" s="2">
        <v>-26.159400000000005</v>
      </c>
      <c r="I2040" s="2">
        <v>15.931999999999997</v>
      </c>
    </row>
    <row r="2041" spans="1:9" x14ac:dyDescent="0.3">
      <c r="A2041" t="str">
        <f t="shared" si="707"/>
        <v>United States</v>
      </c>
      <c r="B2041" t="str">
        <f t="shared" si="712"/>
        <v>Houston</v>
      </c>
      <c r="C2041" t="str">
        <f t="shared" si="713"/>
        <v>Second Class</v>
      </c>
      <c r="D2041" t="str">
        <f t="shared" si="716"/>
        <v>Home Office</v>
      </c>
      <c r="E2041" t="s">
        <v>33</v>
      </c>
      <c r="F2041">
        <v>10</v>
      </c>
      <c r="G2041">
        <v>0.89999999999999991</v>
      </c>
      <c r="H2041" s="2">
        <v>-205.14360000000011</v>
      </c>
      <c r="I2041" s="2">
        <v>1298.3600000000001</v>
      </c>
    </row>
    <row r="2042" spans="1:9" x14ac:dyDescent="0.3">
      <c r="A2042" t="str">
        <f t="shared" si="707"/>
        <v>United States</v>
      </c>
      <c r="B2042" t="str">
        <f t="shared" si="712"/>
        <v>Houston</v>
      </c>
      <c r="C2042" t="str">
        <f t="shared" si="713"/>
        <v>Second Class</v>
      </c>
      <c r="D2042" t="str">
        <f t="shared" si="716"/>
        <v>Home Office</v>
      </c>
      <c r="E2042" t="s">
        <v>21</v>
      </c>
      <c r="F2042">
        <v>14</v>
      </c>
      <c r="G2042">
        <v>2.4</v>
      </c>
      <c r="H2042" s="2">
        <v>-88.12299999999999</v>
      </c>
      <c r="I2042" s="2">
        <v>125.38</v>
      </c>
    </row>
    <row r="2043" spans="1:9" x14ac:dyDescent="0.3">
      <c r="A2043" t="str">
        <f t="shared" si="707"/>
        <v>United States</v>
      </c>
      <c r="B2043" t="str">
        <f t="shared" si="712"/>
        <v>Houston</v>
      </c>
      <c r="C2043" t="str">
        <f t="shared" si="713"/>
        <v>Second Class</v>
      </c>
      <c r="D2043" t="str">
        <f t="shared" si="716"/>
        <v>Home Office</v>
      </c>
      <c r="E2043" t="s">
        <v>43</v>
      </c>
      <c r="F2043">
        <v>1</v>
      </c>
      <c r="G2043">
        <v>0.2</v>
      </c>
      <c r="H2043" s="2">
        <v>0.86239999999999983</v>
      </c>
      <c r="I2043" s="2">
        <v>2.4640000000000004</v>
      </c>
    </row>
    <row r="2044" spans="1:9" x14ac:dyDescent="0.3">
      <c r="A2044" t="str">
        <f t="shared" si="707"/>
        <v>United States</v>
      </c>
      <c r="B2044" t="str">
        <f t="shared" ref="B2044:B2075" si="717">B2043</f>
        <v>Houston</v>
      </c>
      <c r="C2044" t="str">
        <f t="shared" si="713"/>
        <v>Second Class</v>
      </c>
      <c r="D2044" t="str">
        <f t="shared" si="716"/>
        <v>Home Office</v>
      </c>
      <c r="E2044" t="s">
        <v>16</v>
      </c>
      <c r="F2044">
        <v>6</v>
      </c>
      <c r="G2044">
        <v>0.4</v>
      </c>
      <c r="H2044" s="2">
        <v>15.584399999999999</v>
      </c>
      <c r="I2044" s="2">
        <v>45.024000000000001</v>
      </c>
    </row>
    <row r="2045" spans="1:9" x14ac:dyDescent="0.3">
      <c r="A2045" t="str">
        <f t="shared" si="707"/>
        <v>United States</v>
      </c>
      <c r="B2045" t="str">
        <f t="shared" si="717"/>
        <v>Houston</v>
      </c>
      <c r="C2045" t="str">
        <f t="shared" si="713"/>
        <v>Second Class</v>
      </c>
      <c r="D2045" t="str">
        <f t="shared" si="716"/>
        <v>Home Office</v>
      </c>
      <c r="E2045" t="s">
        <v>24</v>
      </c>
      <c r="F2045">
        <v>11</v>
      </c>
      <c r="G2045">
        <v>0.4</v>
      </c>
      <c r="H2045" s="2">
        <v>100.48100000000008</v>
      </c>
      <c r="I2045" s="2">
        <v>1535.72</v>
      </c>
    </row>
    <row r="2046" spans="1:9" x14ac:dyDescent="0.3">
      <c r="A2046" t="str">
        <f t="shared" si="707"/>
        <v>United States</v>
      </c>
      <c r="B2046" t="str">
        <f t="shared" si="717"/>
        <v>Houston</v>
      </c>
      <c r="C2046" t="str">
        <f t="shared" si="713"/>
        <v>Second Class</v>
      </c>
      <c r="D2046" t="str">
        <f t="shared" si="716"/>
        <v>Home Office</v>
      </c>
      <c r="E2046" t="s">
        <v>14</v>
      </c>
      <c r="F2046">
        <v>17</v>
      </c>
      <c r="G2046">
        <v>0.60000000000000009</v>
      </c>
      <c r="H2046" s="2">
        <v>21.264799999999997</v>
      </c>
      <c r="I2046" s="2">
        <v>234.62400000000002</v>
      </c>
    </row>
    <row r="2047" spans="1:9" x14ac:dyDescent="0.3">
      <c r="A2047" t="str">
        <f t="shared" si="707"/>
        <v>United States</v>
      </c>
      <c r="B2047" t="str">
        <f t="shared" si="717"/>
        <v>Houston</v>
      </c>
      <c r="C2047" t="s">
        <v>22</v>
      </c>
      <c r="D2047" t="s">
        <v>8</v>
      </c>
      <c r="E2047" t="s">
        <v>23</v>
      </c>
      <c r="F2047">
        <v>36</v>
      </c>
      <c r="G2047">
        <v>2.1999999999999997</v>
      </c>
      <c r="H2047" s="2">
        <v>231.57559999999989</v>
      </c>
      <c r="I2047" s="2">
        <v>1413.0880000000002</v>
      </c>
    </row>
    <row r="2048" spans="1:9" x14ac:dyDescent="0.3">
      <c r="A2048" t="str">
        <f t="shared" si="707"/>
        <v>United States</v>
      </c>
      <c r="B2048" t="str">
        <f t="shared" si="717"/>
        <v>Houston</v>
      </c>
      <c r="C2048" t="str">
        <f t="shared" ref="C2048:C2092" si="718">C2047</f>
        <v>Standard Class</v>
      </c>
      <c r="D2048" t="str">
        <f t="shared" ref="D2048:D2062" si="719">D2047</f>
        <v>Consumer</v>
      </c>
      <c r="E2048" t="s">
        <v>12</v>
      </c>
      <c r="F2048">
        <v>22</v>
      </c>
      <c r="G2048">
        <v>6.3999999999999995</v>
      </c>
      <c r="H2048" s="2">
        <v>-749.42980000000011</v>
      </c>
      <c r="I2048" s="2">
        <v>288.83999999999997</v>
      </c>
    </row>
    <row r="2049" spans="1:9" x14ac:dyDescent="0.3">
      <c r="A2049" t="str">
        <f t="shared" si="707"/>
        <v>United States</v>
      </c>
      <c r="B2049" t="str">
        <f t="shared" si="717"/>
        <v>Houston</v>
      </c>
      <c r="C2049" t="str">
        <f t="shared" si="718"/>
        <v>Standard Class</v>
      </c>
      <c r="D2049" t="str">
        <f t="shared" si="719"/>
        <v>Consumer</v>
      </c>
      <c r="E2049" t="s">
        <v>19</v>
      </c>
      <c r="F2049">
        <v>49</v>
      </c>
      <c r="G2049">
        <v>2.4</v>
      </c>
      <c r="H2049" s="2">
        <v>49.298399999999987</v>
      </c>
      <c r="I2049" s="2">
        <v>401.77599999999995</v>
      </c>
    </row>
    <row r="2050" spans="1:9" x14ac:dyDescent="0.3">
      <c r="A2050" t="str">
        <f t="shared" si="707"/>
        <v>United States</v>
      </c>
      <c r="B2050" t="str">
        <f t="shared" si="717"/>
        <v>Houston</v>
      </c>
      <c r="C2050" t="str">
        <f t="shared" si="718"/>
        <v>Standard Class</v>
      </c>
      <c r="D2050" t="str">
        <f t="shared" si="719"/>
        <v>Consumer</v>
      </c>
      <c r="E2050" t="s">
        <v>20</v>
      </c>
      <c r="F2050">
        <v>118</v>
      </c>
      <c r="G2050">
        <v>24.800000000000011</v>
      </c>
      <c r="H2050" s="2">
        <v>-4131.0941000000021</v>
      </c>
      <c r="I2050" s="2">
        <v>2476.2819999999988</v>
      </c>
    </row>
    <row r="2051" spans="1:9" x14ac:dyDescent="0.3">
      <c r="A2051" t="str">
        <f t="shared" si="707"/>
        <v>United States</v>
      </c>
      <c r="B2051" t="str">
        <f t="shared" si="717"/>
        <v>Houston</v>
      </c>
      <c r="C2051" t="str">
        <f t="shared" si="718"/>
        <v>Standard Class</v>
      </c>
      <c r="D2051" t="str">
        <f t="shared" si="719"/>
        <v>Consumer</v>
      </c>
      <c r="E2051" t="s">
        <v>34</v>
      </c>
      <c r="F2051">
        <v>15</v>
      </c>
      <c r="G2051">
        <v>0.96</v>
      </c>
      <c r="H2051" s="2">
        <v>-273.25440000000015</v>
      </c>
      <c r="I2051" s="2">
        <v>2593.9959999999996</v>
      </c>
    </row>
    <row r="2052" spans="1:9" x14ac:dyDescent="0.3">
      <c r="A2052" t="str">
        <f t="shared" ref="A2052:A2115" si="720">A2051</f>
        <v>United States</v>
      </c>
      <c r="B2052" t="str">
        <f t="shared" si="717"/>
        <v>Houston</v>
      </c>
      <c r="C2052" t="str">
        <f t="shared" si="718"/>
        <v>Standard Class</v>
      </c>
      <c r="D2052" t="str">
        <f t="shared" si="719"/>
        <v>Consumer</v>
      </c>
      <c r="E2052" t="s">
        <v>33</v>
      </c>
      <c r="F2052">
        <v>30</v>
      </c>
      <c r="G2052">
        <v>2.6999999999999997</v>
      </c>
      <c r="H2052" s="2">
        <v>-170.49720000000011</v>
      </c>
      <c r="I2052" s="2">
        <v>4244.8139999999994</v>
      </c>
    </row>
    <row r="2053" spans="1:9" x14ac:dyDescent="0.3">
      <c r="A2053" t="str">
        <f t="shared" si="720"/>
        <v>United States</v>
      </c>
      <c r="B2053" t="str">
        <f t="shared" si="717"/>
        <v>Houston</v>
      </c>
      <c r="C2053" t="str">
        <f t="shared" si="718"/>
        <v>Standard Class</v>
      </c>
      <c r="D2053" t="str">
        <f t="shared" si="719"/>
        <v>Consumer</v>
      </c>
      <c r="E2053" t="s">
        <v>38</v>
      </c>
      <c r="F2053">
        <v>17</v>
      </c>
      <c r="G2053">
        <v>0.8</v>
      </c>
      <c r="H2053" s="2">
        <v>301.90859999999992</v>
      </c>
      <c r="I2053" s="2">
        <v>894.54399999999998</v>
      </c>
    </row>
    <row r="2054" spans="1:9" x14ac:dyDescent="0.3">
      <c r="A2054" t="str">
        <f t="shared" si="720"/>
        <v>United States</v>
      </c>
      <c r="B2054" t="str">
        <f t="shared" si="717"/>
        <v>Houston</v>
      </c>
      <c r="C2054" t="str">
        <f t="shared" si="718"/>
        <v>Standard Class</v>
      </c>
      <c r="D2054" t="str">
        <f t="shared" si="719"/>
        <v>Consumer</v>
      </c>
      <c r="E2054" t="s">
        <v>18</v>
      </c>
      <c r="F2054">
        <v>17</v>
      </c>
      <c r="G2054">
        <v>0.60000000000000009</v>
      </c>
      <c r="H2054" s="2">
        <v>25.074300000000001</v>
      </c>
      <c r="I2054" s="2">
        <v>71.016000000000005</v>
      </c>
    </row>
    <row r="2055" spans="1:9" x14ac:dyDescent="0.3">
      <c r="A2055" t="str">
        <f t="shared" si="720"/>
        <v>United States</v>
      </c>
      <c r="B2055" t="str">
        <f t="shared" si="717"/>
        <v>Houston</v>
      </c>
      <c r="C2055" t="str">
        <f t="shared" si="718"/>
        <v>Standard Class</v>
      </c>
      <c r="D2055" t="str">
        <f t="shared" si="719"/>
        <v>Consumer</v>
      </c>
      <c r="E2055" t="s">
        <v>21</v>
      </c>
      <c r="F2055">
        <v>28</v>
      </c>
      <c r="G2055">
        <v>5.3999999999999995</v>
      </c>
      <c r="H2055" s="2">
        <v>-267.29379999999998</v>
      </c>
      <c r="I2055" s="2">
        <v>265.93600000000004</v>
      </c>
    </row>
    <row r="2056" spans="1:9" x14ac:dyDescent="0.3">
      <c r="A2056" t="str">
        <f t="shared" si="720"/>
        <v>United States</v>
      </c>
      <c r="B2056" t="str">
        <f t="shared" si="717"/>
        <v>Houston</v>
      </c>
      <c r="C2056" t="str">
        <f t="shared" si="718"/>
        <v>Standard Class</v>
      </c>
      <c r="D2056" t="str">
        <f t="shared" si="719"/>
        <v>Consumer</v>
      </c>
      <c r="E2056" t="s">
        <v>43</v>
      </c>
      <c r="F2056">
        <v>1</v>
      </c>
      <c r="G2056">
        <v>0.2</v>
      </c>
      <c r="H2056" s="2">
        <v>0.67859999999999987</v>
      </c>
      <c r="I2056" s="2">
        <v>2.0880000000000001</v>
      </c>
    </row>
    <row r="2057" spans="1:9" x14ac:dyDescent="0.3">
      <c r="A2057" t="str">
        <f t="shared" si="720"/>
        <v>United States</v>
      </c>
      <c r="B2057" t="str">
        <f t="shared" si="717"/>
        <v>Houston</v>
      </c>
      <c r="C2057" t="str">
        <f t="shared" si="718"/>
        <v>Standard Class</v>
      </c>
      <c r="D2057" t="str">
        <f t="shared" si="719"/>
        <v>Consumer</v>
      </c>
      <c r="E2057" t="s">
        <v>46</v>
      </c>
      <c r="F2057">
        <v>8</v>
      </c>
      <c r="G2057">
        <v>0.8</v>
      </c>
      <c r="H2057" s="2">
        <v>-166.18050000000011</v>
      </c>
      <c r="I2057" s="2">
        <v>1286.7599999999998</v>
      </c>
    </row>
    <row r="2058" spans="1:9" x14ac:dyDescent="0.3">
      <c r="A2058" t="str">
        <f t="shared" si="720"/>
        <v>United States</v>
      </c>
      <c r="B2058" t="str">
        <f t="shared" si="717"/>
        <v>Houston</v>
      </c>
      <c r="C2058" t="str">
        <f t="shared" si="718"/>
        <v>Standard Class</v>
      </c>
      <c r="D2058" t="str">
        <f t="shared" si="719"/>
        <v>Consumer</v>
      </c>
      <c r="E2058" t="s">
        <v>16</v>
      </c>
      <c r="F2058">
        <v>70</v>
      </c>
      <c r="G2058">
        <v>3.4000000000000008</v>
      </c>
      <c r="H2058" s="2">
        <v>422.76949999999994</v>
      </c>
      <c r="I2058" s="2">
        <v>1213.6640000000002</v>
      </c>
    </row>
    <row r="2059" spans="1:9" x14ac:dyDescent="0.3">
      <c r="A2059" t="str">
        <f t="shared" si="720"/>
        <v>United States</v>
      </c>
      <c r="B2059" t="str">
        <f t="shared" si="717"/>
        <v>Houston</v>
      </c>
      <c r="C2059" t="str">
        <f t="shared" si="718"/>
        <v>Standard Class</v>
      </c>
      <c r="D2059" t="str">
        <f t="shared" si="719"/>
        <v>Consumer</v>
      </c>
      <c r="E2059" t="s">
        <v>24</v>
      </c>
      <c r="F2059">
        <v>43</v>
      </c>
      <c r="G2059">
        <v>2.4</v>
      </c>
      <c r="H2059" s="2">
        <v>347.3116999999998</v>
      </c>
      <c r="I2059" s="2">
        <v>3163.4479999999999</v>
      </c>
    </row>
    <row r="2060" spans="1:9" x14ac:dyDescent="0.3">
      <c r="A2060" t="str">
        <f t="shared" si="720"/>
        <v>United States</v>
      </c>
      <c r="B2060" t="str">
        <f t="shared" si="717"/>
        <v>Houston</v>
      </c>
      <c r="C2060" t="str">
        <f t="shared" si="718"/>
        <v>Standard Class</v>
      </c>
      <c r="D2060" t="str">
        <f t="shared" si="719"/>
        <v>Consumer</v>
      </c>
      <c r="E2060" t="s">
        <v>14</v>
      </c>
      <c r="F2060">
        <v>29</v>
      </c>
      <c r="G2060">
        <v>1.9999999999999998</v>
      </c>
      <c r="H2060" s="2">
        <v>-233.20660000000012</v>
      </c>
      <c r="I2060" s="2">
        <v>1456.1360000000004</v>
      </c>
    </row>
    <row r="2061" spans="1:9" x14ac:dyDescent="0.3">
      <c r="A2061" t="str">
        <f t="shared" si="720"/>
        <v>United States</v>
      </c>
      <c r="B2061" t="str">
        <f t="shared" si="717"/>
        <v>Houston</v>
      </c>
      <c r="C2061" t="str">
        <f t="shared" si="718"/>
        <v>Standard Class</v>
      </c>
      <c r="D2061" t="str">
        <f t="shared" si="719"/>
        <v>Consumer</v>
      </c>
      <c r="E2061" t="s">
        <v>9</v>
      </c>
      <c r="F2061">
        <v>7</v>
      </c>
      <c r="G2061">
        <v>0.2</v>
      </c>
      <c r="H2061" s="2">
        <v>3.5623000000000022</v>
      </c>
      <c r="I2061" s="2">
        <v>40.711999999999996</v>
      </c>
    </row>
    <row r="2062" spans="1:9" x14ac:dyDescent="0.3">
      <c r="A2062" t="str">
        <f t="shared" si="720"/>
        <v>United States</v>
      </c>
      <c r="B2062" t="str">
        <f t="shared" si="717"/>
        <v>Houston</v>
      </c>
      <c r="C2062" t="str">
        <f t="shared" si="718"/>
        <v>Standard Class</v>
      </c>
      <c r="D2062" t="str">
        <f t="shared" si="719"/>
        <v>Consumer</v>
      </c>
      <c r="E2062" t="s">
        <v>25</v>
      </c>
      <c r="F2062">
        <v>16</v>
      </c>
      <c r="G2062">
        <v>0.89999999999999991</v>
      </c>
      <c r="H2062" s="2">
        <v>-269.17780000000016</v>
      </c>
      <c r="I2062" s="2">
        <v>1751.827</v>
      </c>
    </row>
    <row r="2063" spans="1:9" x14ac:dyDescent="0.3">
      <c r="A2063" t="str">
        <f t="shared" si="720"/>
        <v>United States</v>
      </c>
      <c r="B2063" t="str">
        <f t="shared" si="717"/>
        <v>Houston</v>
      </c>
      <c r="C2063" t="str">
        <f t="shared" si="718"/>
        <v>Standard Class</v>
      </c>
      <c r="D2063" t="s">
        <v>15</v>
      </c>
      <c r="E2063" t="s">
        <v>23</v>
      </c>
      <c r="F2063">
        <v>8</v>
      </c>
      <c r="G2063">
        <v>0.4</v>
      </c>
      <c r="H2063" s="2">
        <v>22.671400000000002</v>
      </c>
      <c r="I2063" s="2">
        <v>223.47200000000004</v>
      </c>
    </row>
    <row r="2064" spans="1:9" x14ac:dyDescent="0.3">
      <c r="A2064" t="str">
        <f t="shared" si="720"/>
        <v>United States</v>
      </c>
      <c r="B2064" t="str">
        <f t="shared" si="717"/>
        <v>Houston</v>
      </c>
      <c r="C2064" t="str">
        <f t="shared" si="718"/>
        <v>Standard Class</v>
      </c>
      <c r="D2064" t="str">
        <f t="shared" ref="D2064:D2079" si="721">D2063</f>
        <v>Corporate</v>
      </c>
      <c r="E2064" t="s">
        <v>12</v>
      </c>
      <c r="F2064">
        <v>12</v>
      </c>
      <c r="G2064">
        <v>2.4000000000000004</v>
      </c>
      <c r="H2064" s="2">
        <v>-497.42520000000002</v>
      </c>
      <c r="I2064" s="2">
        <v>188.91199999999998</v>
      </c>
    </row>
    <row r="2065" spans="1:9" x14ac:dyDescent="0.3">
      <c r="A2065" t="str">
        <f t="shared" si="720"/>
        <v>United States</v>
      </c>
      <c r="B2065" t="str">
        <f t="shared" si="717"/>
        <v>Houston</v>
      </c>
      <c r="C2065" t="str">
        <f t="shared" si="718"/>
        <v>Standard Class</v>
      </c>
      <c r="D2065" t="str">
        <f t="shared" si="721"/>
        <v>Corporate</v>
      </c>
      <c r="E2065" t="s">
        <v>19</v>
      </c>
      <c r="F2065">
        <v>7</v>
      </c>
      <c r="G2065">
        <v>0.60000000000000009</v>
      </c>
      <c r="H2065" s="2">
        <v>2.9659999999999984</v>
      </c>
      <c r="I2065" s="2">
        <v>16.176000000000002</v>
      </c>
    </row>
    <row r="2066" spans="1:9" x14ac:dyDescent="0.3">
      <c r="A2066" t="str">
        <f t="shared" si="720"/>
        <v>United States</v>
      </c>
      <c r="B2066" t="str">
        <f t="shared" si="717"/>
        <v>Houston</v>
      </c>
      <c r="C2066" t="str">
        <f t="shared" si="718"/>
        <v>Standard Class</v>
      </c>
      <c r="D2066" t="str">
        <f t="shared" si="721"/>
        <v>Corporate</v>
      </c>
      <c r="E2066" t="s">
        <v>20</v>
      </c>
      <c r="F2066">
        <v>16</v>
      </c>
      <c r="G2066">
        <v>3.2</v>
      </c>
      <c r="H2066" s="2">
        <v>-83.521900000000016</v>
      </c>
      <c r="I2066" s="2">
        <v>55.253999999999984</v>
      </c>
    </row>
    <row r="2067" spans="1:9" x14ac:dyDescent="0.3">
      <c r="A2067" t="str">
        <f t="shared" si="720"/>
        <v>United States</v>
      </c>
      <c r="B2067" t="str">
        <f t="shared" si="717"/>
        <v>Houston</v>
      </c>
      <c r="C2067" t="str">
        <f t="shared" si="718"/>
        <v>Standard Class</v>
      </c>
      <c r="D2067" t="str">
        <f t="shared" si="721"/>
        <v>Corporate</v>
      </c>
      <c r="E2067" t="s">
        <v>34</v>
      </c>
      <c r="F2067">
        <v>4</v>
      </c>
      <c r="G2067">
        <v>0.64</v>
      </c>
      <c r="H2067" s="2">
        <v>-127.01609999999997</v>
      </c>
      <c r="I2067" s="2">
        <v>437.19239999999996</v>
      </c>
    </row>
    <row r="2068" spans="1:9" x14ac:dyDescent="0.3">
      <c r="A2068" t="str">
        <f t="shared" si="720"/>
        <v>United States</v>
      </c>
      <c r="B2068" t="str">
        <f t="shared" si="717"/>
        <v>Houston</v>
      </c>
      <c r="C2068" t="str">
        <f t="shared" si="718"/>
        <v>Standard Class</v>
      </c>
      <c r="D2068" t="str">
        <f t="shared" si="721"/>
        <v>Corporate</v>
      </c>
      <c r="E2068" t="s">
        <v>33</v>
      </c>
      <c r="F2068">
        <v>18</v>
      </c>
      <c r="G2068">
        <v>1.2</v>
      </c>
      <c r="H2068" s="2">
        <v>-307.29490000000004</v>
      </c>
      <c r="I2068" s="2">
        <v>1359.2669999999998</v>
      </c>
    </row>
    <row r="2069" spans="1:9" x14ac:dyDescent="0.3">
      <c r="A2069" t="str">
        <f t="shared" si="720"/>
        <v>United States</v>
      </c>
      <c r="B2069" t="str">
        <f t="shared" si="717"/>
        <v>Houston</v>
      </c>
      <c r="C2069" t="str">
        <f t="shared" si="718"/>
        <v>Standard Class</v>
      </c>
      <c r="D2069" t="str">
        <f t="shared" si="721"/>
        <v>Corporate</v>
      </c>
      <c r="E2069" t="s">
        <v>45</v>
      </c>
      <c r="F2069">
        <v>5</v>
      </c>
      <c r="G2069">
        <v>0.2</v>
      </c>
      <c r="H2069" s="2">
        <v>569.99050000000011</v>
      </c>
      <c r="I2069" s="2">
        <v>2399.96</v>
      </c>
    </row>
    <row r="2070" spans="1:9" x14ac:dyDescent="0.3">
      <c r="A2070" t="str">
        <f t="shared" si="720"/>
        <v>United States</v>
      </c>
      <c r="B2070" t="str">
        <f t="shared" si="717"/>
        <v>Houston</v>
      </c>
      <c r="C2070" t="str">
        <f t="shared" si="718"/>
        <v>Standard Class</v>
      </c>
      <c r="D2070" t="str">
        <f t="shared" si="721"/>
        <v>Corporate</v>
      </c>
      <c r="E2070" t="s">
        <v>38</v>
      </c>
      <c r="F2070">
        <v>7</v>
      </c>
      <c r="G2070">
        <v>0.2</v>
      </c>
      <c r="H2070" s="2">
        <v>69.964999999999975</v>
      </c>
      <c r="I2070" s="2">
        <v>223.88799999999998</v>
      </c>
    </row>
    <row r="2071" spans="1:9" x14ac:dyDescent="0.3">
      <c r="A2071" t="str">
        <f t="shared" si="720"/>
        <v>United States</v>
      </c>
      <c r="B2071" t="str">
        <f t="shared" si="717"/>
        <v>Houston</v>
      </c>
      <c r="C2071" t="str">
        <f t="shared" si="718"/>
        <v>Standard Class</v>
      </c>
      <c r="D2071" t="str">
        <f t="shared" si="721"/>
        <v>Corporate</v>
      </c>
      <c r="E2071" t="s">
        <v>18</v>
      </c>
      <c r="F2071">
        <v>10</v>
      </c>
      <c r="G2071">
        <v>0.4</v>
      </c>
      <c r="H2071" s="2">
        <v>10.6204</v>
      </c>
      <c r="I2071" s="2">
        <v>35.744000000000007</v>
      </c>
    </row>
    <row r="2072" spans="1:9" x14ac:dyDescent="0.3">
      <c r="A2072" t="str">
        <f t="shared" si="720"/>
        <v>United States</v>
      </c>
      <c r="B2072" t="str">
        <f t="shared" si="717"/>
        <v>Houston</v>
      </c>
      <c r="C2072" t="str">
        <f t="shared" si="718"/>
        <v>Standard Class</v>
      </c>
      <c r="D2072" t="str">
        <f t="shared" si="721"/>
        <v>Corporate</v>
      </c>
      <c r="E2072" t="s">
        <v>21</v>
      </c>
      <c r="F2072">
        <v>23</v>
      </c>
      <c r="G2072">
        <v>3.6</v>
      </c>
      <c r="H2072" s="2">
        <v>-198.01000000000002</v>
      </c>
      <c r="I2072" s="2">
        <v>304.76</v>
      </c>
    </row>
    <row r="2073" spans="1:9" x14ac:dyDescent="0.3">
      <c r="A2073" t="str">
        <f t="shared" si="720"/>
        <v>United States</v>
      </c>
      <c r="B2073" t="str">
        <f t="shared" si="717"/>
        <v>Houston</v>
      </c>
      <c r="C2073" t="str">
        <f t="shared" si="718"/>
        <v>Standard Class</v>
      </c>
      <c r="D2073" t="str">
        <f t="shared" si="721"/>
        <v>Corporate</v>
      </c>
      <c r="E2073" t="s">
        <v>43</v>
      </c>
      <c r="F2073">
        <v>13</v>
      </c>
      <c r="G2073">
        <v>0.8</v>
      </c>
      <c r="H2073" s="2">
        <v>24.040300000000002</v>
      </c>
      <c r="I2073" s="2">
        <v>66.352000000000004</v>
      </c>
    </row>
    <row r="2074" spans="1:9" x14ac:dyDescent="0.3">
      <c r="A2074" t="str">
        <f t="shared" si="720"/>
        <v>United States</v>
      </c>
      <c r="B2074" t="str">
        <f t="shared" si="717"/>
        <v>Houston</v>
      </c>
      <c r="C2074" t="str">
        <f t="shared" si="718"/>
        <v>Standard Class</v>
      </c>
      <c r="D2074" t="str">
        <f t="shared" si="721"/>
        <v>Corporate</v>
      </c>
      <c r="E2074" t="s">
        <v>46</v>
      </c>
      <c r="F2074">
        <v>3</v>
      </c>
      <c r="G2074">
        <v>0.4</v>
      </c>
      <c r="H2074" s="2">
        <v>-121.27049999999997</v>
      </c>
      <c r="I2074" s="2">
        <v>559.71</v>
      </c>
    </row>
    <row r="2075" spans="1:9" x14ac:dyDescent="0.3">
      <c r="A2075" t="str">
        <f t="shared" si="720"/>
        <v>United States</v>
      </c>
      <c r="B2075" t="str">
        <f t="shared" si="717"/>
        <v>Houston</v>
      </c>
      <c r="C2075" t="str">
        <f t="shared" si="718"/>
        <v>Standard Class</v>
      </c>
      <c r="D2075" t="str">
        <f t="shared" si="721"/>
        <v>Corporate</v>
      </c>
      <c r="E2075" t="s">
        <v>16</v>
      </c>
      <c r="F2075">
        <v>45</v>
      </c>
      <c r="G2075">
        <v>2.4</v>
      </c>
      <c r="H2075" s="2">
        <v>141.8871</v>
      </c>
      <c r="I2075" s="2">
        <v>410.1760000000001</v>
      </c>
    </row>
    <row r="2076" spans="1:9" x14ac:dyDescent="0.3">
      <c r="A2076" t="str">
        <f t="shared" si="720"/>
        <v>United States</v>
      </c>
      <c r="B2076" t="str">
        <f t="shared" ref="B2076:B2092" si="722">B2075</f>
        <v>Houston</v>
      </c>
      <c r="C2076" t="str">
        <f t="shared" si="718"/>
        <v>Standard Class</v>
      </c>
      <c r="D2076" t="str">
        <f t="shared" si="721"/>
        <v>Corporate</v>
      </c>
      <c r="E2076" t="s">
        <v>24</v>
      </c>
      <c r="F2076">
        <v>17</v>
      </c>
      <c r="G2076">
        <v>0.60000000000000009</v>
      </c>
      <c r="H2076" s="2">
        <v>178.24589999999989</v>
      </c>
      <c r="I2076" s="2">
        <v>1227.6400000000001</v>
      </c>
    </row>
    <row r="2077" spans="1:9" x14ac:dyDescent="0.3">
      <c r="A2077" t="str">
        <f t="shared" si="720"/>
        <v>United States</v>
      </c>
      <c r="B2077" t="str">
        <f t="shared" si="722"/>
        <v>Houston</v>
      </c>
      <c r="C2077" t="str">
        <f t="shared" si="718"/>
        <v>Standard Class</v>
      </c>
      <c r="D2077" t="str">
        <f t="shared" si="721"/>
        <v>Corporate</v>
      </c>
      <c r="E2077" t="s">
        <v>14</v>
      </c>
      <c r="F2077">
        <v>9</v>
      </c>
      <c r="G2077">
        <v>0.8</v>
      </c>
      <c r="H2077" s="2">
        <v>71.629400000000018</v>
      </c>
      <c r="I2077" s="2">
        <v>1712.3680000000002</v>
      </c>
    </row>
    <row r="2078" spans="1:9" x14ac:dyDescent="0.3">
      <c r="A2078" t="str">
        <f t="shared" si="720"/>
        <v>United States</v>
      </c>
      <c r="B2078" t="str">
        <f t="shared" si="722"/>
        <v>Houston</v>
      </c>
      <c r="C2078" t="str">
        <f t="shared" si="718"/>
        <v>Standard Class</v>
      </c>
      <c r="D2078" t="str">
        <f t="shared" si="721"/>
        <v>Corporate</v>
      </c>
      <c r="E2078" t="s">
        <v>9</v>
      </c>
      <c r="F2078">
        <v>6</v>
      </c>
      <c r="G2078">
        <v>0.2</v>
      </c>
      <c r="H2078" s="2">
        <v>-3.123000000000002</v>
      </c>
      <c r="I2078" s="2">
        <v>16.656000000000002</v>
      </c>
    </row>
    <row r="2079" spans="1:9" x14ac:dyDescent="0.3">
      <c r="A2079" t="str">
        <f t="shared" si="720"/>
        <v>United States</v>
      </c>
      <c r="B2079" t="str">
        <f t="shared" si="722"/>
        <v>Houston</v>
      </c>
      <c r="C2079" t="str">
        <f t="shared" si="718"/>
        <v>Standard Class</v>
      </c>
      <c r="D2079" t="str">
        <f t="shared" si="721"/>
        <v>Corporate</v>
      </c>
      <c r="E2079" t="s">
        <v>25</v>
      </c>
      <c r="F2079">
        <v>9</v>
      </c>
      <c r="G2079">
        <v>0.6</v>
      </c>
      <c r="H2079" s="2">
        <v>-70.891799999999961</v>
      </c>
      <c r="I2079" s="2">
        <v>446.733</v>
      </c>
    </row>
    <row r="2080" spans="1:9" x14ac:dyDescent="0.3">
      <c r="A2080" t="str">
        <f t="shared" si="720"/>
        <v>United States</v>
      </c>
      <c r="B2080" t="str">
        <f t="shared" si="722"/>
        <v>Houston</v>
      </c>
      <c r="C2080" t="str">
        <f t="shared" si="718"/>
        <v>Standard Class</v>
      </c>
      <c r="D2080" t="s">
        <v>17</v>
      </c>
      <c r="E2080" t="s">
        <v>12</v>
      </c>
      <c r="F2080">
        <v>7</v>
      </c>
      <c r="G2080">
        <v>1.6</v>
      </c>
      <c r="H2080" s="2">
        <v>-265.49670000000003</v>
      </c>
      <c r="I2080" s="2">
        <v>101.65399999999998</v>
      </c>
    </row>
    <row r="2081" spans="1:9" x14ac:dyDescent="0.3">
      <c r="A2081" t="str">
        <f t="shared" si="720"/>
        <v>United States</v>
      </c>
      <c r="B2081" t="str">
        <f t="shared" si="722"/>
        <v>Houston</v>
      </c>
      <c r="C2081" t="str">
        <f t="shared" si="718"/>
        <v>Standard Class</v>
      </c>
      <c r="D2081" t="str">
        <f t="shared" ref="D2081:D2092" si="723">D2080</f>
        <v>Home Office</v>
      </c>
      <c r="E2081" t="s">
        <v>19</v>
      </c>
      <c r="F2081">
        <v>6</v>
      </c>
      <c r="G2081">
        <v>0.4</v>
      </c>
      <c r="H2081" s="2">
        <v>1.548</v>
      </c>
      <c r="I2081" s="2">
        <v>14.256</v>
      </c>
    </row>
    <row r="2082" spans="1:9" x14ac:dyDescent="0.3">
      <c r="A2082" t="str">
        <f t="shared" si="720"/>
        <v>United States</v>
      </c>
      <c r="B2082" t="str">
        <f t="shared" si="722"/>
        <v>Houston</v>
      </c>
      <c r="C2082" t="str">
        <f t="shared" si="718"/>
        <v>Standard Class</v>
      </c>
      <c r="D2082" t="str">
        <f t="shared" si="723"/>
        <v>Home Office</v>
      </c>
      <c r="E2082" t="s">
        <v>20</v>
      </c>
      <c r="F2082">
        <v>19</v>
      </c>
      <c r="G2082">
        <v>4</v>
      </c>
      <c r="H2082" s="2">
        <v>-73.337000000000018</v>
      </c>
      <c r="I2082" s="2">
        <v>46.503999999999991</v>
      </c>
    </row>
    <row r="2083" spans="1:9" x14ac:dyDescent="0.3">
      <c r="A2083" t="str">
        <f t="shared" si="720"/>
        <v>United States</v>
      </c>
      <c r="B2083" t="str">
        <f t="shared" si="722"/>
        <v>Houston</v>
      </c>
      <c r="C2083" t="str">
        <f t="shared" si="718"/>
        <v>Standard Class</v>
      </c>
      <c r="D2083" t="str">
        <f t="shared" si="723"/>
        <v>Home Office</v>
      </c>
      <c r="E2083" t="s">
        <v>34</v>
      </c>
      <c r="F2083">
        <v>5</v>
      </c>
      <c r="G2083">
        <v>0.64</v>
      </c>
      <c r="H2083" s="2">
        <v>-144.20760000000004</v>
      </c>
      <c r="I2083" s="2">
        <v>832.9319999999999</v>
      </c>
    </row>
    <row r="2084" spans="1:9" x14ac:dyDescent="0.3">
      <c r="A2084" t="str">
        <f t="shared" si="720"/>
        <v>United States</v>
      </c>
      <c r="B2084" t="str">
        <f t="shared" si="722"/>
        <v>Houston</v>
      </c>
      <c r="C2084" t="str">
        <f t="shared" si="718"/>
        <v>Standard Class</v>
      </c>
      <c r="D2084" t="str">
        <f t="shared" si="723"/>
        <v>Home Office</v>
      </c>
      <c r="E2084" t="s">
        <v>33</v>
      </c>
      <c r="F2084">
        <v>10</v>
      </c>
      <c r="G2084">
        <v>0.89999999999999991</v>
      </c>
      <c r="H2084" s="2">
        <v>-107.6544</v>
      </c>
      <c r="I2084" s="2">
        <v>561.70799999999997</v>
      </c>
    </row>
    <row r="2085" spans="1:9" x14ac:dyDescent="0.3">
      <c r="A2085" t="str">
        <f t="shared" si="720"/>
        <v>United States</v>
      </c>
      <c r="B2085" t="str">
        <f t="shared" si="722"/>
        <v>Houston</v>
      </c>
      <c r="C2085" t="str">
        <f t="shared" si="718"/>
        <v>Standard Class</v>
      </c>
      <c r="D2085" t="str">
        <f t="shared" si="723"/>
        <v>Home Office</v>
      </c>
      <c r="E2085" t="s">
        <v>38</v>
      </c>
      <c r="F2085">
        <v>12</v>
      </c>
      <c r="G2085">
        <v>0.60000000000000009</v>
      </c>
      <c r="H2085" s="2">
        <v>43.582499999999996</v>
      </c>
      <c r="I2085" s="2">
        <v>137.52799999999999</v>
      </c>
    </row>
    <row r="2086" spans="1:9" x14ac:dyDescent="0.3">
      <c r="A2086" t="str">
        <f t="shared" si="720"/>
        <v>United States</v>
      </c>
      <c r="B2086" t="str">
        <f t="shared" si="722"/>
        <v>Houston</v>
      </c>
      <c r="C2086" t="str">
        <f t="shared" si="718"/>
        <v>Standard Class</v>
      </c>
      <c r="D2086" t="str">
        <f t="shared" si="723"/>
        <v>Home Office</v>
      </c>
      <c r="E2086" t="s">
        <v>18</v>
      </c>
      <c r="F2086">
        <v>9</v>
      </c>
      <c r="G2086">
        <v>0.2</v>
      </c>
      <c r="H2086" s="2">
        <v>4.2659999999999973</v>
      </c>
      <c r="I2086" s="2">
        <v>28.44</v>
      </c>
    </row>
    <row r="2087" spans="1:9" x14ac:dyDescent="0.3">
      <c r="A2087" t="str">
        <f t="shared" si="720"/>
        <v>United States</v>
      </c>
      <c r="B2087" t="str">
        <f t="shared" si="722"/>
        <v>Houston</v>
      </c>
      <c r="C2087" t="str">
        <f t="shared" si="718"/>
        <v>Standard Class</v>
      </c>
      <c r="D2087" t="str">
        <f t="shared" si="723"/>
        <v>Home Office</v>
      </c>
      <c r="E2087" t="s">
        <v>21</v>
      </c>
      <c r="F2087">
        <v>2</v>
      </c>
      <c r="G2087">
        <v>0.6</v>
      </c>
      <c r="H2087" s="2">
        <v>-22.238800000000001</v>
      </c>
      <c r="I2087" s="2">
        <v>16.784000000000002</v>
      </c>
    </row>
    <row r="2088" spans="1:9" x14ac:dyDescent="0.3">
      <c r="A2088" t="str">
        <f t="shared" si="720"/>
        <v>United States</v>
      </c>
      <c r="B2088" t="str">
        <f t="shared" si="722"/>
        <v>Houston</v>
      </c>
      <c r="C2088" t="str">
        <f t="shared" si="718"/>
        <v>Standard Class</v>
      </c>
      <c r="D2088" t="str">
        <f t="shared" si="723"/>
        <v>Home Office</v>
      </c>
      <c r="E2088" t="s">
        <v>43</v>
      </c>
      <c r="F2088">
        <v>12</v>
      </c>
      <c r="G2088">
        <v>0.4</v>
      </c>
      <c r="H2088" s="2">
        <v>42.710999999999984</v>
      </c>
      <c r="I2088" s="2">
        <v>123.92000000000002</v>
      </c>
    </row>
    <row r="2089" spans="1:9" x14ac:dyDescent="0.3">
      <c r="A2089" t="str">
        <f t="shared" si="720"/>
        <v>United States</v>
      </c>
      <c r="B2089" t="str">
        <f t="shared" si="722"/>
        <v>Houston</v>
      </c>
      <c r="C2089" t="str">
        <f t="shared" si="718"/>
        <v>Standard Class</v>
      </c>
      <c r="D2089" t="str">
        <f t="shared" si="723"/>
        <v>Home Office</v>
      </c>
      <c r="E2089" t="s">
        <v>16</v>
      </c>
      <c r="F2089">
        <v>17</v>
      </c>
      <c r="G2089">
        <v>0.8</v>
      </c>
      <c r="H2089" s="2">
        <v>24.656399999999998</v>
      </c>
      <c r="I2089" s="2">
        <v>75.168000000000006</v>
      </c>
    </row>
    <row r="2090" spans="1:9" x14ac:dyDescent="0.3">
      <c r="A2090" t="str">
        <f t="shared" si="720"/>
        <v>United States</v>
      </c>
      <c r="B2090" t="str">
        <f t="shared" si="722"/>
        <v>Houston</v>
      </c>
      <c r="C2090" t="str">
        <f t="shared" si="718"/>
        <v>Standard Class</v>
      </c>
      <c r="D2090" t="str">
        <f t="shared" si="723"/>
        <v>Home Office</v>
      </c>
      <c r="E2090" t="s">
        <v>24</v>
      </c>
      <c r="F2090">
        <v>4</v>
      </c>
      <c r="G2090">
        <v>0.2</v>
      </c>
      <c r="H2090" s="2">
        <v>41.756399999999957</v>
      </c>
      <c r="I2090" s="2">
        <v>371.16800000000001</v>
      </c>
    </row>
    <row r="2091" spans="1:9" x14ac:dyDescent="0.3">
      <c r="A2091" t="str">
        <f t="shared" si="720"/>
        <v>United States</v>
      </c>
      <c r="B2091" t="str">
        <f t="shared" si="722"/>
        <v>Houston</v>
      </c>
      <c r="C2091" t="str">
        <f t="shared" si="718"/>
        <v>Standard Class</v>
      </c>
      <c r="D2091" t="str">
        <f t="shared" si="723"/>
        <v>Home Office</v>
      </c>
      <c r="E2091" t="s">
        <v>14</v>
      </c>
      <c r="F2091">
        <v>5</v>
      </c>
      <c r="G2091">
        <v>0.2</v>
      </c>
      <c r="H2091" s="2">
        <v>14.307499999999997</v>
      </c>
      <c r="I2091" s="2">
        <v>228.92</v>
      </c>
    </row>
    <row r="2092" spans="1:9" x14ac:dyDescent="0.3">
      <c r="A2092" t="str">
        <f t="shared" si="720"/>
        <v>United States</v>
      </c>
      <c r="B2092" t="str">
        <f t="shared" si="722"/>
        <v>Houston</v>
      </c>
      <c r="C2092" t="str">
        <f t="shared" si="718"/>
        <v>Standard Class</v>
      </c>
      <c r="D2092" t="str">
        <f t="shared" si="723"/>
        <v>Home Office</v>
      </c>
      <c r="E2092" t="s">
        <v>9</v>
      </c>
      <c r="F2092">
        <v>11</v>
      </c>
      <c r="G2092">
        <v>0.4</v>
      </c>
      <c r="H2092" s="2">
        <v>-15.728999999999999</v>
      </c>
      <c r="I2092" s="2">
        <v>74.672000000000011</v>
      </c>
    </row>
    <row r="2093" spans="1:9" x14ac:dyDescent="0.3">
      <c r="A2093" t="str">
        <f t="shared" si="720"/>
        <v>United States</v>
      </c>
      <c r="B2093" t="s">
        <v>238</v>
      </c>
      <c r="C2093" t="s">
        <v>27</v>
      </c>
      <c r="D2093" t="s">
        <v>15</v>
      </c>
      <c r="E2093" t="s">
        <v>45</v>
      </c>
      <c r="F2093">
        <v>5</v>
      </c>
      <c r="G2093">
        <v>0.2</v>
      </c>
      <c r="H2093" s="2">
        <v>839.9860000000001</v>
      </c>
      <c r="I2093" s="2">
        <v>2399.96</v>
      </c>
    </row>
    <row r="2094" spans="1:9" x14ac:dyDescent="0.3">
      <c r="A2094" t="str">
        <f t="shared" si="720"/>
        <v>United States</v>
      </c>
      <c r="B2094" t="str">
        <f t="shared" ref="B2094:B2098" si="724">B2093</f>
        <v>Huntington Beach</v>
      </c>
      <c r="C2094" t="s">
        <v>7</v>
      </c>
      <c r="D2094" t="s">
        <v>17</v>
      </c>
      <c r="E2094" t="s">
        <v>38</v>
      </c>
      <c r="F2094">
        <v>1</v>
      </c>
      <c r="G2094">
        <v>0</v>
      </c>
      <c r="H2094" s="2">
        <v>5.7509999999999994</v>
      </c>
      <c r="I2094" s="2">
        <v>12.78</v>
      </c>
    </row>
    <row r="2095" spans="1:9" x14ac:dyDescent="0.3">
      <c r="A2095" t="str">
        <f t="shared" si="720"/>
        <v>United States</v>
      </c>
      <c r="B2095" t="str">
        <f t="shared" si="724"/>
        <v>Huntington Beach</v>
      </c>
      <c r="C2095" t="s">
        <v>22</v>
      </c>
      <c r="D2095" t="s">
        <v>8</v>
      </c>
      <c r="E2095" t="s">
        <v>19</v>
      </c>
      <c r="F2095">
        <v>8</v>
      </c>
      <c r="G2095">
        <v>0</v>
      </c>
      <c r="H2095" s="2">
        <v>25.898399999999995</v>
      </c>
      <c r="I2095" s="2">
        <v>95.92</v>
      </c>
    </row>
    <row r="2096" spans="1:9" x14ac:dyDescent="0.3">
      <c r="A2096" t="str">
        <f t="shared" si="720"/>
        <v>United States</v>
      </c>
      <c r="B2096" t="str">
        <f t="shared" si="724"/>
        <v>Huntington Beach</v>
      </c>
      <c r="C2096" t="str">
        <f t="shared" ref="C2096:C2098" si="725">C2095</f>
        <v>Standard Class</v>
      </c>
      <c r="D2096" t="s">
        <v>15</v>
      </c>
      <c r="E2096" t="s">
        <v>19</v>
      </c>
      <c r="F2096">
        <v>1</v>
      </c>
      <c r="G2096">
        <v>0</v>
      </c>
      <c r="H2096" s="2">
        <v>1.2505999999999999</v>
      </c>
      <c r="I2096" s="2">
        <v>3.38</v>
      </c>
    </row>
    <row r="2097" spans="1:9" x14ac:dyDescent="0.3">
      <c r="A2097" t="str">
        <f t="shared" si="720"/>
        <v>United States</v>
      </c>
      <c r="B2097" t="str">
        <f t="shared" si="724"/>
        <v>Huntington Beach</v>
      </c>
      <c r="C2097" t="str">
        <f t="shared" si="725"/>
        <v>Standard Class</v>
      </c>
      <c r="D2097" t="str">
        <f t="shared" ref="D2097:D2098" si="726">D2096</f>
        <v>Corporate</v>
      </c>
      <c r="E2097" t="s">
        <v>43</v>
      </c>
      <c r="F2097">
        <v>2</v>
      </c>
      <c r="G2097">
        <v>0</v>
      </c>
      <c r="H2097" s="2">
        <v>2.4011999999999998</v>
      </c>
      <c r="I2097" s="2">
        <v>5.22</v>
      </c>
    </row>
    <row r="2098" spans="1:9" x14ac:dyDescent="0.3">
      <c r="A2098" t="str">
        <f t="shared" si="720"/>
        <v>United States</v>
      </c>
      <c r="B2098" t="str">
        <f t="shared" si="724"/>
        <v>Huntington Beach</v>
      </c>
      <c r="C2098" t="str">
        <f t="shared" si="725"/>
        <v>Standard Class</v>
      </c>
      <c r="D2098" t="str">
        <f t="shared" si="726"/>
        <v>Corporate</v>
      </c>
      <c r="E2098" t="s">
        <v>16</v>
      </c>
      <c r="F2098">
        <v>2</v>
      </c>
      <c r="G2098">
        <v>0</v>
      </c>
      <c r="H2098" s="2">
        <v>4.7519999999999998</v>
      </c>
      <c r="I2098" s="2">
        <v>10.56</v>
      </c>
    </row>
    <row r="2099" spans="1:9" x14ac:dyDescent="0.3">
      <c r="A2099" t="str">
        <f t="shared" si="720"/>
        <v>United States</v>
      </c>
      <c r="B2099" t="s">
        <v>239</v>
      </c>
      <c r="C2099" t="s">
        <v>11</v>
      </c>
      <c r="D2099" t="s">
        <v>15</v>
      </c>
      <c r="E2099" t="s">
        <v>33</v>
      </c>
      <c r="F2099">
        <v>5</v>
      </c>
      <c r="G2099">
        <v>0.3</v>
      </c>
      <c r="H2099" s="2">
        <v>0</v>
      </c>
      <c r="I2099" s="2">
        <v>528.42999999999995</v>
      </c>
    </row>
    <row r="2100" spans="1:9" x14ac:dyDescent="0.3">
      <c r="A2100" t="str">
        <f t="shared" si="720"/>
        <v>United States</v>
      </c>
      <c r="B2100" t="str">
        <f t="shared" ref="B2100:B2121" si="727">B2099</f>
        <v>Huntsville</v>
      </c>
      <c r="C2100" t="str">
        <f>C2099</f>
        <v>First Class</v>
      </c>
      <c r="D2100" t="str">
        <f>D2099</f>
        <v>Corporate</v>
      </c>
      <c r="E2100" t="s">
        <v>16</v>
      </c>
      <c r="F2100">
        <v>8</v>
      </c>
      <c r="G2100">
        <v>0.2</v>
      </c>
      <c r="H2100" s="2">
        <v>14.5152</v>
      </c>
      <c r="I2100" s="2">
        <v>41.472000000000008</v>
      </c>
    </row>
    <row r="2101" spans="1:9" x14ac:dyDescent="0.3">
      <c r="A2101" t="str">
        <f t="shared" si="720"/>
        <v>United States</v>
      </c>
      <c r="B2101" t="str">
        <f t="shared" si="727"/>
        <v>Huntsville</v>
      </c>
      <c r="C2101" t="s">
        <v>27</v>
      </c>
      <c r="D2101" t="s">
        <v>8</v>
      </c>
      <c r="E2101" t="s">
        <v>23</v>
      </c>
      <c r="F2101">
        <v>2</v>
      </c>
      <c r="G2101">
        <v>0</v>
      </c>
      <c r="H2101" s="2">
        <v>7.25</v>
      </c>
      <c r="I2101" s="2">
        <v>29</v>
      </c>
    </row>
    <row r="2102" spans="1:9" x14ac:dyDescent="0.3">
      <c r="A2102" t="str">
        <f t="shared" si="720"/>
        <v>United States</v>
      </c>
      <c r="B2102" t="str">
        <f t="shared" si="727"/>
        <v>Huntsville</v>
      </c>
      <c r="C2102" t="s">
        <v>7</v>
      </c>
      <c r="D2102" t="s">
        <v>15</v>
      </c>
      <c r="E2102" t="s">
        <v>23</v>
      </c>
      <c r="F2102">
        <v>4</v>
      </c>
      <c r="G2102">
        <v>0</v>
      </c>
      <c r="H2102" s="2">
        <v>527.98400000000004</v>
      </c>
      <c r="I2102" s="2">
        <v>1319.96</v>
      </c>
    </row>
    <row r="2103" spans="1:9" x14ac:dyDescent="0.3">
      <c r="A2103" t="str">
        <f t="shared" si="720"/>
        <v>United States</v>
      </c>
      <c r="B2103" t="str">
        <f t="shared" si="727"/>
        <v>Huntsville</v>
      </c>
      <c r="C2103" t="str">
        <f t="shared" ref="C2103:C2107" si="728">C2102</f>
        <v>Second Class</v>
      </c>
      <c r="D2103" t="s">
        <v>17</v>
      </c>
      <c r="E2103" t="s">
        <v>23</v>
      </c>
      <c r="F2103">
        <v>2</v>
      </c>
      <c r="G2103">
        <v>0.2</v>
      </c>
      <c r="H2103" s="2">
        <v>10.397399999999998</v>
      </c>
      <c r="I2103" s="2">
        <v>63.984000000000009</v>
      </c>
    </row>
    <row r="2104" spans="1:9" x14ac:dyDescent="0.3">
      <c r="A2104" t="str">
        <f t="shared" si="720"/>
        <v>United States</v>
      </c>
      <c r="B2104" t="str">
        <f t="shared" si="727"/>
        <v>Huntsville</v>
      </c>
      <c r="C2104" t="str">
        <f t="shared" si="728"/>
        <v>Second Class</v>
      </c>
      <c r="D2104" t="str">
        <f t="shared" ref="D2104:D2107" si="729">D2103</f>
        <v>Home Office</v>
      </c>
      <c r="E2104" t="s">
        <v>19</v>
      </c>
      <c r="F2104">
        <v>2</v>
      </c>
      <c r="G2104">
        <v>0.2</v>
      </c>
      <c r="H2104" s="2">
        <v>6.1572000000000031</v>
      </c>
      <c r="I2104" s="2">
        <v>70.367999999999995</v>
      </c>
    </row>
    <row r="2105" spans="1:9" x14ac:dyDescent="0.3">
      <c r="A2105" t="str">
        <f t="shared" si="720"/>
        <v>United States</v>
      </c>
      <c r="B2105" t="str">
        <f t="shared" si="727"/>
        <v>Huntsville</v>
      </c>
      <c r="C2105" t="str">
        <f t="shared" si="728"/>
        <v>Second Class</v>
      </c>
      <c r="D2105" t="str">
        <f t="shared" si="729"/>
        <v>Home Office</v>
      </c>
      <c r="E2105" t="s">
        <v>18</v>
      </c>
      <c r="F2105">
        <v>2</v>
      </c>
      <c r="G2105">
        <v>0</v>
      </c>
      <c r="H2105" s="2">
        <v>1.1945999999999999</v>
      </c>
      <c r="I2105" s="2">
        <v>3.62</v>
      </c>
    </row>
    <row r="2106" spans="1:9" x14ac:dyDescent="0.3">
      <c r="A2106" t="str">
        <f t="shared" si="720"/>
        <v>United States</v>
      </c>
      <c r="B2106" t="str">
        <f t="shared" si="727"/>
        <v>Huntsville</v>
      </c>
      <c r="C2106" t="str">
        <f t="shared" si="728"/>
        <v>Second Class</v>
      </c>
      <c r="D2106" t="str">
        <f t="shared" si="729"/>
        <v>Home Office</v>
      </c>
      <c r="E2106" t="s">
        <v>16</v>
      </c>
      <c r="F2106">
        <v>8</v>
      </c>
      <c r="G2106">
        <v>0</v>
      </c>
      <c r="H2106" s="2">
        <v>348.08639999999997</v>
      </c>
      <c r="I2106" s="2">
        <v>725.18</v>
      </c>
    </row>
    <row r="2107" spans="1:9" x14ac:dyDescent="0.3">
      <c r="A2107" t="str">
        <f t="shared" si="720"/>
        <v>United States</v>
      </c>
      <c r="B2107" t="str">
        <f t="shared" si="727"/>
        <v>Huntsville</v>
      </c>
      <c r="C2107" t="str">
        <f t="shared" si="728"/>
        <v>Second Class</v>
      </c>
      <c r="D2107" t="str">
        <f t="shared" si="729"/>
        <v>Home Office</v>
      </c>
      <c r="E2107" t="s">
        <v>24</v>
      </c>
      <c r="F2107">
        <v>3</v>
      </c>
      <c r="G2107">
        <v>0.2</v>
      </c>
      <c r="H2107" s="2">
        <v>24.124199999999998</v>
      </c>
      <c r="I2107" s="2">
        <v>98.472000000000008</v>
      </c>
    </row>
    <row r="2108" spans="1:9" x14ac:dyDescent="0.3">
      <c r="A2108" t="str">
        <f t="shared" si="720"/>
        <v>United States</v>
      </c>
      <c r="B2108" t="str">
        <f t="shared" si="727"/>
        <v>Huntsville</v>
      </c>
      <c r="C2108" t="s">
        <v>22</v>
      </c>
      <c r="D2108" t="s">
        <v>8</v>
      </c>
      <c r="E2108" t="s">
        <v>12</v>
      </c>
      <c r="F2108">
        <v>2</v>
      </c>
      <c r="G2108">
        <v>0.8</v>
      </c>
      <c r="H2108" s="2">
        <v>-38.821200000000012</v>
      </c>
      <c r="I2108" s="2">
        <v>15.223999999999997</v>
      </c>
    </row>
    <row r="2109" spans="1:9" x14ac:dyDescent="0.3">
      <c r="A2109" t="str">
        <f t="shared" si="720"/>
        <v>United States</v>
      </c>
      <c r="B2109" t="str">
        <f t="shared" si="727"/>
        <v>Huntsville</v>
      </c>
      <c r="C2109" t="str">
        <f t="shared" ref="C2109:C2121" si="730">C2108</f>
        <v>Standard Class</v>
      </c>
      <c r="D2109" t="str">
        <f t="shared" ref="D2109:D2116" si="731">D2108</f>
        <v>Consumer</v>
      </c>
      <c r="E2109" t="s">
        <v>19</v>
      </c>
      <c r="F2109">
        <v>4</v>
      </c>
      <c r="G2109">
        <v>0.2</v>
      </c>
      <c r="H2109" s="2">
        <v>2.2287999999999988</v>
      </c>
      <c r="I2109" s="2">
        <v>12.736000000000001</v>
      </c>
    </row>
    <row r="2110" spans="1:9" x14ac:dyDescent="0.3">
      <c r="A2110" t="str">
        <f t="shared" si="720"/>
        <v>United States</v>
      </c>
      <c r="B2110" t="str">
        <f t="shared" si="727"/>
        <v>Huntsville</v>
      </c>
      <c r="C2110" t="str">
        <f t="shared" si="730"/>
        <v>Standard Class</v>
      </c>
      <c r="D2110" t="str">
        <f t="shared" si="731"/>
        <v>Consumer</v>
      </c>
      <c r="E2110" t="s">
        <v>20</v>
      </c>
      <c r="F2110">
        <v>26</v>
      </c>
      <c r="G2110">
        <v>2.4000000000000004</v>
      </c>
      <c r="H2110" s="2">
        <v>-50.641700000000014</v>
      </c>
      <c r="I2110" s="2">
        <v>30.647999999999993</v>
      </c>
    </row>
    <row r="2111" spans="1:9" x14ac:dyDescent="0.3">
      <c r="A2111" t="str">
        <f t="shared" si="720"/>
        <v>United States</v>
      </c>
      <c r="B2111" t="str">
        <f t="shared" si="727"/>
        <v>Huntsville</v>
      </c>
      <c r="C2111" t="str">
        <f t="shared" si="730"/>
        <v>Standard Class</v>
      </c>
      <c r="D2111" t="str">
        <f t="shared" si="731"/>
        <v>Consumer</v>
      </c>
      <c r="E2111" t="s">
        <v>33</v>
      </c>
      <c r="F2111">
        <v>4</v>
      </c>
      <c r="G2111">
        <v>0.3</v>
      </c>
      <c r="H2111" s="2">
        <v>-26.635199999999998</v>
      </c>
      <c r="I2111" s="2">
        <v>310.74399999999997</v>
      </c>
    </row>
    <row r="2112" spans="1:9" x14ac:dyDescent="0.3">
      <c r="A2112" t="str">
        <f t="shared" si="720"/>
        <v>United States</v>
      </c>
      <c r="B2112" t="str">
        <f t="shared" si="727"/>
        <v>Huntsville</v>
      </c>
      <c r="C2112" t="str">
        <f t="shared" si="730"/>
        <v>Standard Class</v>
      </c>
      <c r="D2112" t="str">
        <f t="shared" si="731"/>
        <v>Consumer</v>
      </c>
      <c r="E2112" t="s">
        <v>21</v>
      </c>
      <c r="F2112">
        <v>10</v>
      </c>
      <c r="G2112">
        <v>1.7999999999999998</v>
      </c>
      <c r="H2112" s="2">
        <v>-316.0437</v>
      </c>
      <c r="I2112" s="2">
        <v>274.71600000000001</v>
      </c>
    </row>
    <row r="2113" spans="1:9" x14ac:dyDescent="0.3">
      <c r="A2113" t="str">
        <f t="shared" si="720"/>
        <v>United States</v>
      </c>
      <c r="B2113" t="str">
        <f t="shared" si="727"/>
        <v>Huntsville</v>
      </c>
      <c r="C2113" t="str">
        <f t="shared" si="730"/>
        <v>Standard Class</v>
      </c>
      <c r="D2113" t="str">
        <f t="shared" si="731"/>
        <v>Consumer</v>
      </c>
      <c r="E2113" t="s">
        <v>16</v>
      </c>
      <c r="F2113">
        <v>7</v>
      </c>
      <c r="G2113">
        <v>0.2</v>
      </c>
      <c r="H2113" s="2">
        <v>12.700800000000001</v>
      </c>
      <c r="I2113" s="2">
        <v>36.288000000000011</v>
      </c>
    </row>
    <row r="2114" spans="1:9" x14ac:dyDescent="0.3">
      <c r="A2114" t="str">
        <f t="shared" si="720"/>
        <v>United States</v>
      </c>
      <c r="B2114" t="str">
        <f t="shared" si="727"/>
        <v>Huntsville</v>
      </c>
      <c r="C2114" t="str">
        <f t="shared" si="730"/>
        <v>Standard Class</v>
      </c>
      <c r="D2114" t="str">
        <f t="shared" si="731"/>
        <v>Consumer</v>
      </c>
      <c r="E2114" t="s">
        <v>24</v>
      </c>
      <c r="F2114">
        <v>3</v>
      </c>
      <c r="G2114">
        <v>0.2</v>
      </c>
      <c r="H2114" s="2">
        <v>17.998199999999997</v>
      </c>
      <c r="I2114" s="2">
        <v>239.976</v>
      </c>
    </row>
    <row r="2115" spans="1:9" x14ac:dyDescent="0.3">
      <c r="A2115" t="str">
        <f t="shared" si="720"/>
        <v>United States</v>
      </c>
      <c r="B2115" t="str">
        <f t="shared" si="727"/>
        <v>Huntsville</v>
      </c>
      <c r="C2115" t="str">
        <f t="shared" si="730"/>
        <v>Standard Class</v>
      </c>
      <c r="D2115" t="str">
        <f t="shared" si="731"/>
        <v>Consumer</v>
      </c>
      <c r="E2115" t="s">
        <v>14</v>
      </c>
      <c r="F2115">
        <v>14</v>
      </c>
      <c r="G2115">
        <v>0.4</v>
      </c>
      <c r="H2115" s="2">
        <v>-120.48960000000005</v>
      </c>
      <c r="I2115" s="2">
        <v>671.64800000000002</v>
      </c>
    </row>
    <row r="2116" spans="1:9" x14ac:dyDescent="0.3">
      <c r="A2116" t="str">
        <f t="shared" ref="A2116:A2179" si="732">A2115</f>
        <v>United States</v>
      </c>
      <c r="B2116" t="str">
        <f t="shared" si="727"/>
        <v>Huntsville</v>
      </c>
      <c r="C2116" t="str">
        <f t="shared" si="730"/>
        <v>Standard Class</v>
      </c>
      <c r="D2116" t="str">
        <f t="shared" si="731"/>
        <v>Consumer</v>
      </c>
      <c r="E2116" t="s">
        <v>25</v>
      </c>
      <c r="F2116">
        <v>6</v>
      </c>
      <c r="G2116">
        <v>0.6</v>
      </c>
      <c r="H2116" s="2">
        <v>-158.57600000000005</v>
      </c>
      <c r="I2116" s="2">
        <v>821.35199999999986</v>
      </c>
    </row>
    <row r="2117" spans="1:9" x14ac:dyDescent="0.3">
      <c r="A2117" t="str">
        <f t="shared" si="732"/>
        <v>United States</v>
      </c>
      <c r="B2117" t="str">
        <f t="shared" si="727"/>
        <v>Huntsville</v>
      </c>
      <c r="C2117" t="str">
        <f t="shared" si="730"/>
        <v>Standard Class</v>
      </c>
      <c r="D2117" t="s">
        <v>15</v>
      </c>
      <c r="E2117" t="s">
        <v>19</v>
      </c>
      <c r="F2117">
        <v>11</v>
      </c>
      <c r="G2117">
        <v>0</v>
      </c>
      <c r="H2117" s="2">
        <v>64.591799999999978</v>
      </c>
      <c r="I2117" s="2">
        <v>216.60999999999999</v>
      </c>
    </row>
    <row r="2118" spans="1:9" x14ac:dyDescent="0.3">
      <c r="A2118" t="str">
        <f t="shared" si="732"/>
        <v>United States</v>
      </c>
      <c r="B2118" t="str">
        <f t="shared" si="727"/>
        <v>Huntsville</v>
      </c>
      <c r="C2118" t="str">
        <f t="shared" si="730"/>
        <v>Standard Class</v>
      </c>
      <c r="D2118" t="str">
        <f t="shared" ref="D2118:D2121" si="733">D2117</f>
        <v>Corporate</v>
      </c>
      <c r="E2118" t="s">
        <v>20</v>
      </c>
      <c r="F2118">
        <v>10</v>
      </c>
      <c r="G2118">
        <v>1.6</v>
      </c>
      <c r="H2118" s="2">
        <v>-7.9211000000000098</v>
      </c>
      <c r="I2118" s="2">
        <v>39.037999999999997</v>
      </c>
    </row>
    <row r="2119" spans="1:9" x14ac:dyDescent="0.3">
      <c r="A2119" t="str">
        <f t="shared" si="732"/>
        <v>United States</v>
      </c>
      <c r="B2119" t="str">
        <f t="shared" si="727"/>
        <v>Huntsville</v>
      </c>
      <c r="C2119" t="str">
        <f t="shared" si="730"/>
        <v>Standard Class</v>
      </c>
      <c r="D2119" t="str">
        <f t="shared" si="733"/>
        <v>Corporate</v>
      </c>
      <c r="E2119" t="s">
        <v>34</v>
      </c>
      <c r="F2119">
        <v>7</v>
      </c>
      <c r="G2119">
        <v>0.32</v>
      </c>
      <c r="H2119" s="2">
        <v>-225.09759999999991</v>
      </c>
      <c r="I2119" s="2">
        <v>956.6647999999999</v>
      </c>
    </row>
    <row r="2120" spans="1:9" x14ac:dyDescent="0.3">
      <c r="A2120" t="str">
        <f t="shared" si="732"/>
        <v>United States</v>
      </c>
      <c r="B2120" t="str">
        <f t="shared" si="727"/>
        <v>Huntsville</v>
      </c>
      <c r="C2120" t="str">
        <f t="shared" si="730"/>
        <v>Standard Class</v>
      </c>
      <c r="D2120" t="str">
        <f t="shared" si="733"/>
        <v>Corporate</v>
      </c>
      <c r="E2120" t="s">
        <v>33</v>
      </c>
      <c r="F2120">
        <v>8</v>
      </c>
      <c r="G2120">
        <v>0.3</v>
      </c>
      <c r="H2120" s="2">
        <v>-69.311999999999898</v>
      </c>
      <c r="I2120" s="2">
        <v>1212.9599999999998</v>
      </c>
    </row>
    <row r="2121" spans="1:9" x14ac:dyDescent="0.3">
      <c r="A2121" t="str">
        <f t="shared" si="732"/>
        <v>United States</v>
      </c>
      <c r="B2121" t="str">
        <f t="shared" si="727"/>
        <v>Huntsville</v>
      </c>
      <c r="C2121" t="str">
        <f t="shared" si="730"/>
        <v>Standard Class</v>
      </c>
      <c r="D2121" t="str">
        <f t="shared" si="733"/>
        <v>Corporate</v>
      </c>
      <c r="E2121" t="s">
        <v>24</v>
      </c>
      <c r="F2121">
        <v>13</v>
      </c>
      <c r="G2121">
        <v>0.4</v>
      </c>
      <c r="H2121" s="2">
        <v>138.14029999999997</v>
      </c>
      <c r="I2121" s="2">
        <v>1475.8960000000002</v>
      </c>
    </row>
    <row r="2122" spans="1:9" x14ac:dyDescent="0.3">
      <c r="A2122" t="str">
        <f t="shared" si="732"/>
        <v>United States</v>
      </c>
      <c r="B2122" t="s">
        <v>240</v>
      </c>
      <c r="C2122" t="s">
        <v>22</v>
      </c>
      <c r="D2122" t="s">
        <v>8</v>
      </c>
      <c r="E2122" t="s">
        <v>12</v>
      </c>
      <c r="F2122">
        <v>3</v>
      </c>
      <c r="G2122">
        <v>0</v>
      </c>
      <c r="H2122" s="2">
        <v>218.25179999999997</v>
      </c>
      <c r="I2122" s="2">
        <v>839.43000000000006</v>
      </c>
    </row>
    <row r="2123" spans="1:9" x14ac:dyDescent="0.3">
      <c r="A2123" t="str">
        <f t="shared" si="732"/>
        <v>United States</v>
      </c>
      <c r="B2123" t="str">
        <f>B2122</f>
        <v>Independence</v>
      </c>
      <c r="C2123" t="str">
        <f>C2122</f>
        <v>Standard Class</v>
      </c>
      <c r="D2123" t="s">
        <v>17</v>
      </c>
      <c r="E2123" t="s">
        <v>20</v>
      </c>
      <c r="F2123">
        <v>3</v>
      </c>
      <c r="G2123">
        <v>0</v>
      </c>
      <c r="H2123" s="2">
        <v>757.41120000000001</v>
      </c>
      <c r="I2123" s="2">
        <v>1577.94</v>
      </c>
    </row>
    <row r="2124" spans="1:9" x14ac:dyDescent="0.3">
      <c r="A2124" t="str">
        <f t="shared" si="732"/>
        <v>United States</v>
      </c>
      <c r="B2124" t="s">
        <v>241</v>
      </c>
      <c r="C2124" t="s">
        <v>11</v>
      </c>
      <c r="D2124" t="s">
        <v>8</v>
      </c>
      <c r="E2124" t="s">
        <v>20</v>
      </c>
      <c r="F2124">
        <v>3</v>
      </c>
      <c r="G2124">
        <v>0</v>
      </c>
      <c r="H2124" s="2">
        <v>496.78649999999993</v>
      </c>
      <c r="I2124" s="2">
        <v>1103.97</v>
      </c>
    </row>
    <row r="2125" spans="1:9" x14ac:dyDescent="0.3">
      <c r="A2125" t="str">
        <f t="shared" si="732"/>
        <v>United States</v>
      </c>
      <c r="B2125" t="str">
        <f t="shared" ref="B2125:B2142" si="734">B2124</f>
        <v>Indianapolis</v>
      </c>
      <c r="C2125" t="str">
        <f t="shared" ref="C2125:C2127" si="735">C2124</f>
        <v>First Class</v>
      </c>
      <c r="D2125" t="str">
        <f>D2124</f>
        <v>Consumer</v>
      </c>
      <c r="E2125" t="s">
        <v>43</v>
      </c>
      <c r="F2125">
        <v>1</v>
      </c>
      <c r="G2125">
        <v>0</v>
      </c>
      <c r="H2125" s="2">
        <v>1.7343</v>
      </c>
      <c r="I2125" s="2">
        <v>3.69</v>
      </c>
    </row>
    <row r="2126" spans="1:9" x14ac:dyDescent="0.3">
      <c r="A2126" t="str">
        <f t="shared" si="732"/>
        <v>United States</v>
      </c>
      <c r="B2126" t="str">
        <f t="shared" si="734"/>
        <v>Indianapolis</v>
      </c>
      <c r="C2126" t="str">
        <f t="shared" si="735"/>
        <v>First Class</v>
      </c>
      <c r="D2126" t="s">
        <v>15</v>
      </c>
      <c r="E2126" t="s">
        <v>12</v>
      </c>
      <c r="F2126">
        <v>3</v>
      </c>
      <c r="G2126">
        <v>0</v>
      </c>
      <c r="H2126" s="2">
        <v>15.938399999999998</v>
      </c>
      <c r="I2126" s="2">
        <v>54.96</v>
      </c>
    </row>
    <row r="2127" spans="1:9" x14ac:dyDescent="0.3">
      <c r="A2127" t="str">
        <f t="shared" si="732"/>
        <v>United States</v>
      </c>
      <c r="B2127" t="str">
        <f t="shared" si="734"/>
        <v>Indianapolis</v>
      </c>
      <c r="C2127" t="str">
        <f t="shared" si="735"/>
        <v>First Class</v>
      </c>
      <c r="D2127" t="str">
        <f>D2126</f>
        <v>Corporate</v>
      </c>
      <c r="E2127" t="s">
        <v>14</v>
      </c>
      <c r="F2127">
        <v>10</v>
      </c>
      <c r="G2127">
        <v>0</v>
      </c>
      <c r="H2127" s="2">
        <v>63.178799999999967</v>
      </c>
      <c r="I2127" s="2">
        <v>1295.46</v>
      </c>
    </row>
    <row r="2128" spans="1:9" x14ac:dyDescent="0.3">
      <c r="A2128" t="str">
        <f t="shared" si="732"/>
        <v>United States</v>
      </c>
      <c r="B2128" t="str">
        <f t="shared" si="734"/>
        <v>Indianapolis</v>
      </c>
      <c r="C2128" t="s">
        <v>7</v>
      </c>
      <c r="D2128" t="s">
        <v>8</v>
      </c>
      <c r="E2128" t="s">
        <v>19</v>
      </c>
      <c r="F2128">
        <v>8</v>
      </c>
      <c r="G2128">
        <v>0</v>
      </c>
      <c r="H2128" s="2">
        <v>8.2687999999999988</v>
      </c>
      <c r="I2128" s="2">
        <v>24.32</v>
      </c>
    </row>
    <row r="2129" spans="1:9" x14ac:dyDescent="0.3">
      <c r="A2129" t="str">
        <f t="shared" si="732"/>
        <v>United States</v>
      </c>
      <c r="B2129" t="str">
        <f t="shared" si="734"/>
        <v>Indianapolis</v>
      </c>
      <c r="C2129" t="str">
        <f t="shared" ref="C2129:C2134" si="736">C2128</f>
        <v>Second Class</v>
      </c>
      <c r="D2129" t="str">
        <f>D2128</f>
        <v>Consumer</v>
      </c>
      <c r="E2129" t="s">
        <v>14</v>
      </c>
      <c r="F2129">
        <v>2</v>
      </c>
      <c r="G2129">
        <v>0</v>
      </c>
      <c r="H2129" s="2">
        <v>11.451599999999985</v>
      </c>
      <c r="I2129" s="2">
        <v>190.86</v>
      </c>
    </row>
    <row r="2130" spans="1:9" x14ac:dyDescent="0.3">
      <c r="A2130" t="str">
        <f t="shared" si="732"/>
        <v>United States</v>
      </c>
      <c r="B2130" t="str">
        <f t="shared" si="734"/>
        <v>Indianapolis</v>
      </c>
      <c r="C2130" t="str">
        <f t="shared" si="736"/>
        <v>Second Class</v>
      </c>
      <c r="D2130" t="s">
        <v>15</v>
      </c>
      <c r="E2130" t="s">
        <v>23</v>
      </c>
      <c r="F2130">
        <v>4</v>
      </c>
      <c r="G2130">
        <v>0</v>
      </c>
      <c r="H2130" s="2">
        <v>30.713599999999992</v>
      </c>
      <c r="I2130" s="2">
        <v>123.86</v>
      </c>
    </row>
    <row r="2131" spans="1:9" x14ac:dyDescent="0.3">
      <c r="A2131" t="str">
        <f t="shared" si="732"/>
        <v>United States</v>
      </c>
      <c r="B2131" t="str">
        <f t="shared" si="734"/>
        <v>Indianapolis</v>
      </c>
      <c r="C2131" t="str">
        <f t="shared" si="736"/>
        <v>Second Class</v>
      </c>
      <c r="D2131" t="str">
        <f t="shared" ref="D2131:D2133" si="737">D2130</f>
        <v>Corporate</v>
      </c>
      <c r="E2131" t="s">
        <v>12</v>
      </c>
      <c r="F2131">
        <v>8</v>
      </c>
      <c r="G2131">
        <v>0</v>
      </c>
      <c r="H2131" s="2">
        <v>793.71599999999989</v>
      </c>
      <c r="I2131" s="2">
        <v>2405.1999999999998</v>
      </c>
    </row>
    <row r="2132" spans="1:9" x14ac:dyDescent="0.3">
      <c r="A2132" t="str">
        <f t="shared" si="732"/>
        <v>United States</v>
      </c>
      <c r="B2132" t="str">
        <f t="shared" si="734"/>
        <v>Indianapolis</v>
      </c>
      <c r="C2132" t="str">
        <f t="shared" si="736"/>
        <v>Second Class</v>
      </c>
      <c r="D2132" t="str">
        <f t="shared" si="737"/>
        <v>Corporate</v>
      </c>
      <c r="E2132" t="s">
        <v>20</v>
      </c>
      <c r="F2132">
        <v>2</v>
      </c>
      <c r="G2132">
        <v>0</v>
      </c>
      <c r="H2132" s="2">
        <v>8.69</v>
      </c>
      <c r="I2132" s="2">
        <v>17.38</v>
      </c>
    </row>
    <row r="2133" spans="1:9" x14ac:dyDescent="0.3">
      <c r="A2133" t="str">
        <f t="shared" si="732"/>
        <v>United States</v>
      </c>
      <c r="B2133" t="str">
        <f t="shared" si="734"/>
        <v>Indianapolis</v>
      </c>
      <c r="C2133" t="str">
        <f t="shared" si="736"/>
        <v>Second Class</v>
      </c>
      <c r="D2133" t="str">
        <f t="shared" si="737"/>
        <v>Corporate</v>
      </c>
      <c r="E2133" t="s">
        <v>33</v>
      </c>
      <c r="F2133">
        <v>6</v>
      </c>
      <c r="G2133">
        <v>0</v>
      </c>
      <c r="H2133" s="2">
        <v>539.24639999999999</v>
      </c>
      <c r="I2133" s="2">
        <v>1925.88</v>
      </c>
    </row>
    <row r="2134" spans="1:9" x14ac:dyDescent="0.3">
      <c r="A2134" t="str">
        <f t="shared" si="732"/>
        <v>United States</v>
      </c>
      <c r="B2134" t="str">
        <f t="shared" si="734"/>
        <v>Indianapolis</v>
      </c>
      <c r="C2134" t="str">
        <f t="shared" si="736"/>
        <v>Second Class</v>
      </c>
      <c r="D2134" t="s">
        <v>17</v>
      </c>
      <c r="E2134" t="s">
        <v>45</v>
      </c>
      <c r="F2134">
        <v>2</v>
      </c>
      <c r="G2134">
        <v>0</v>
      </c>
      <c r="H2134" s="2">
        <v>449.99099999999999</v>
      </c>
      <c r="I2134" s="2">
        <v>999.98</v>
      </c>
    </row>
    <row r="2135" spans="1:9" x14ac:dyDescent="0.3">
      <c r="A2135" t="str">
        <f t="shared" si="732"/>
        <v>United States</v>
      </c>
      <c r="B2135" t="str">
        <f t="shared" si="734"/>
        <v>Indianapolis</v>
      </c>
      <c r="C2135" t="s">
        <v>22</v>
      </c>
      <c r="D2135" t="s">
        <v>8</v>
      </c>
      <c r="E2135" t="s">
        <v>23</v>
      </c>
      <c r="F2135">
        <v>2</v>
      </c>
      <c r="G2135">
        <v>0</v>
      </c>
      <c r="H2135" s="2">
        <v>29.518599999999999</v>
      </c>
      <c r="I2135" s="2">
        <v>79.78</v>
      </c>
    </row>
    <row r="2136" spans="1:9" x14ac:dyDescent="0.3">
      <c r="A2136" t="str">
        <f t="shared" si="732"/>
        <v>United States</v>
      </c>
      <c r="B2136" t="str">
        <f t="shared" si="734"/>
        <v>Indianapolis</v>
      </c>
      <c r="C2136" t="str">
        <f t="shared" ref="C2136:C2142" si="738">C2135</f>
        <v>Standard Class</v>
      </c>
      <c r="D2136" t="str">
        <f t="shared" ref="D2136:D2138" si="739">D2135</f>
        <v>Consumer</v>
      </c>
      <c r="E2136" t="s">
        <v>20</v>
      </c>
      <c r="F2136">
        <v>11</v>
      </c>
      <c r="G2136">
        <v>0</v>
      </c>
      <c r="H2136" s="2">
        <v>65.5184</v>
      </c>
      <c r="I2136" s="2">
        <v>136.28</v>
      </c>
    </row>
    <row r="2137" spans="1:9" x14ac:dyDescent="0.3">
      <c r="A2137" t="str">
        <f t="shared" si="732"/>
        <v>United States</v>
      </c>
      <c r="B2137" t="str">
        <f t="shared" si="734"/>
        <v>Indianapolis</v>
      </c>
      <c r="C2137" t="str">
        <f t="shared" si="738"/>
        <v>Standard Class</v>
      </c>
      <c r="D2137" t="str">
        <f t="shared" si="739"/>
        <v>Consumer</v>
      </c>
      <c r="E2137" t="s">
        <v>43</v>
      </c>
      <c r="F2137">
        <v>12</v>
      </c>
      <c r="G2137">
        <v>0</v>
      </c>
      <c r="H2137" s="2">
        <v>72.299400000000006</v>
      </c>
      <c r="I2137" s="2">
        <v>145.59000000000003</v>
      </c>
    </row>
    <row r="2138" spans="1:9" x14ac:dyDescent="0.3">
      <c r="A2138" t="str">
        <f t="shared" si="732"/>
        <v>United States</v>
      </c>
      <c r="B2138" t="str">
        <f t="shared" si="734"/>
        <v>Indianapolis</v>
      </c>
      <c r="C2138" t="str">
        <f t="shared" si="738"/>
        <v>Standard Class</v>
      </c>
      <c r="D2138" t="str">
        <f t="shared" si="739"/>
        <v>Consumer</v>
      </c>
      <c r="E2138" t="s">
        <v>16</v>
      </c>
      <c r="F2138">
        <v>5</v>
      </c>
      <c r="G2138">
        <v>0</v>
      </c>
      <c r="H2138" s="2">
        <v>15.387</v>
      </c>
      <c r="I2138" s="2">
        <v>33.450000000000003</v>
      </c>
    </row>
    <row r="2139" spans="1:9" x14ac:dyDescent="0.3">
      <c r="A2139" t="str">
        <f t="shared" si="732"/>
        <v>United States</v>
      </c>
      <c r="B2139" t="str">
        <f t="shared" si="734"/>
        <v>Indianapolis</v>
      </c>
      <c r="C2139" t="str">
        <f t="shared" si="738"/>
        <v>Standard Class</v>
      </c>
      <c r="D2139" t="s">
        <v>15</v>
      </c>
      <c r="E2139" t="s">
        <v>19</v>
      </c>
      <c r="F2139">
        <v>7</v>
      </c>
      <c r="G2139">
        <v>0</v>
      </c>
      <c r="H2139" s="2">
        <v>35.260400000000004</v>
      </c>
      <c r="I2139" s="2">
        <v>125.92999999999999</v>
      </c>
    </row>
    <row r="2140" spans="1:9" x14ac:dyDescent="0.3">
      <c r="A2140" t="str">
        <f t="shared" si="732"/>
        <v>United States</v>
      </c>
      <c r="B2140" t="str">
        <f t="shared" si="734"/>
        <v>Indianapolis</v>
      </c>
      <c r="C2140" t="str">
        <f t="shared" si="738"/>
        <v>Standard Class</v>
      </c>
      <c r="D2140" t="s">
        <v>17</v>
      </c>
      <c r="E2140" t="s">
        <v>20</v>
      </c>
      <c r="F2140">
        <v>1</v>
      </c>
      <c r="G2140">
        <v>0</v>
      </c>
      <c r="H2140" s="2">
        <v>78.195399999999992</v>
      </c>
      <c r="I2140" s="2">
        <v>169.99</v>
      </c>
    </row>
    <row r="2141" spans="1:9" x14ac:dyDescent="0.3">
      <c r="A2141" t="str">
        <f t="shared" si="732"/>
        <v>United States</v>
      </c>
      <c r="B2141" t="str">
        <f t="shared" si="734"/>
        <v>Indianapolis</v>
      </c>
      <c r="C2141" t="str">
        <f t="shared" si="738"/>
        <v>Standard Class</v>
      </c>
      <c r="D2141" t="str">
        <f t="shared" ref="D2141:D2142" si="740">D2140</f>
        <v>Home Office</v>
      </c>
      <c r="E2141" t="s">
        <v>16</v>
      </c>
      <c r="F2141">
        <v>4</v>
      </c>
      <c r="G2141">
        <v>0</v>
      </c>
      <c r="H2141" s="2">
        <v>12.441600000000001</v>
      </c>
      <c r="I2141" s="2">
        <v>25.92</v>
      </c>
    </row>
    <row r="2142" spans="1:9" x14ac:dyDescent="0.3">
      <c r="A2142" t="str">
        <f t="shared" si="732"/>
        <v>United States</v>
      </c>
      <c r="B2142" t="str">
        <f t="shared" si="734"/>
        <v>Indianapolis</v>
      </c>
      <c r="C2142" t="str">
        <f t="shared" si="738"/>
        <v>Standard Class</v>
      </c>
      <c r="D2142" t="str">
        <f t="shared" si="740"/>
        <v>Home Office</v>
      </c>
      <c r="E2142" t="s">
        <v>14</v>
      </c>
      <c r="F2142">
        <v>4</v>
      </c>
      <c r="G2142">
        <v>0</v>
      </c>
      <c r="H2142" s="2">
        <v>13.317600000000027</v>
      </c>
      <c r="I2142" s="2">
        <v>443.92</v>
      </c>
    </row>
    <row r="2143" spans="1:9" x14ac:dyDescent="0.3">
      <c r="A2143" t="str">
        <f t="shared" si="732"/>
        <v>United States</v>
      </c>
      <c r="B2143" t="s">
        <v>242</v>
      </c>
      <c r="C2143" t="s">
        <v>11</v>
      </c>
      <c r="D2143" t="s">
        <v>8</v>
      </c>
      <c r="E2143" t="s">
        <v>21</v>
      </c>
      <c r="F2143">
        <v>2</v>
      </c>
      <c r="G2143">
        <v>0</v>
      </c>
      <c r="H2143" s="2">
        <v>15.468000000000004</v>
      </c>
      <c r="I2143" s="2">
        <v>128.9</v>
      </c>
    </row>
    <row r="2144" spans="1:9" x14ac:dyDescent="0.3">
      <c r="A2144" t="str">
        <f t="shared" si="732"/>
        <v>United States</v>
      </c>
      <c r="B2144" t="str">
        <f t="shared" ref="B2144:B2158" si="741">B2143</f>
        <v>Inglewood</v>
      </c>
      <c r="C2144" t="str">
        <f t="shared" ref="C2144:C2147" si="742">C2143</f>
        <v>First Class</v>
      </c>
      <c r="D2144" t="str">
        <f t="shared" ref="D2144:D2145" si="743">D2143</f>
        <v>Consumer</v>
      </c>
      <c r="E2144" t="s">
        <v>16</v>
      </c>
      <c r="F2144">
        <v>9</v>
      </c>
      <c r="G2144">
        <v>0</v>
      </c>
      <c r="H2144" s="2">
        <v>28.857599999999998</v>
      </c>
      <c r="I2144" s="2">
        <v>60.12</v>
      </c>
    </row>
    <row r="2145" spans="1:9" x14ac:dyDescent="0.3">
      <c r="A2145" t="str">
        <f t="shared" si="732"/>
        <v>United States</v>
      </c>
      <c r="B2145" t="str">
        <f t="shared" si="741"/>
        <v>Inglewood</v>
      </c>
      <c r="C2145" t="str">
        <f t="shared" si="742"/>
        <v>First Class</v>
      </c>
      <c r="D2145" t="str">
        <f t="shared" si="743"/>
        <v>Consumer</v>
      </c>
      <c r="E2145" t="s">
        <v>14</v>
      </c>
      <c r="F2145">
        <v>3</v>
      </c>
      <c r="G2145">
        <v>0</v>
      </c>
      <c r="H2145" s="2">
        <v>8.6390999999999956</v>
      </c>
      <c r="I2145" s="2">
        <v>29.79</v>
      </c>
    </row>
    <row r="2146" spans="1:9" x14ac:dyDescent="0.3">
      <c r="A2146" t="str">
        <f t="shared" si="732"/>
        <v>United States</v>
      </c>
      <c r="B2146" t="str">
        <f t="shared" si="741"/>
        <v>Inglewood</v>
      </c>
      <c r="C2146" t="str">
        <f t="shared" si="742"/>
        <v>First Class</v>
      </c>
      <c r="D2146" t="s">
        <v>15</v>
      </c>
      <c r="E2146" t="s">
        <v>19</v>
      </c>
      <c r="F2146">
        <v>1</v>
      </c>
      <c r="G2146">
        <v>0</v>
      </c>
      <c r="H2146" s="2">
        <v>1.5548000000000002</v>
      </c>
      <c r="I2146" s="2">
        <v>5.98</v>
      </c>
    </row>
    <row r="2147" spans="1:9" x14ac:dyDescent="0.3">
      <c r="A2147" t="str">
        <f t="shared" si="732"/>
        <v>United States</v>
      </c>
      <c r="B2147" t="str">
        <f t="shared" si="741"/>
        <v>Inglewood</v>
      </c>
      <c r="C2147" t="str">
        <f t="shared" si="742"/>
        <v>First Class</v>
      </c>
      <c r="D2147" t="str">
        <f>D2146</f>
        <v>Corporate</v>
      </c>
      <c r="E2147" t="s">
        <v>16</v>
      </c>
      <c r="F2147">
        <v>2</v>
      </c>
      <c r="G2147">
        <v>0</v>
      </c>
      <c r="H2147" s="2">
        <v>4.0571999999999999</v>
      </c>
      <c r="I2147" s="2">
        <v>8.82</v>
      </c>
    </row>
    <row r="2148" spans="1:9" x14ac:dyDescent="0.3">
      <c r="A2148" t="str">
        <f t="shared" si="732"/>
        <v>United States</v>
      </c>
      <c r="B2148" t="str">
        <f t="shared" si="741"/>
        <v>Inglewood</v>
      </c>
      <c r="C2148" t="s">
        <v>7</v>
      </c>
      <c r="D2148" t="s">
        <v>15</v>
      </c>
      <c r="E2148" t="s">
        <v>12</v>
      </c>
      <c r="F2148">
        <v>4</v>
      </c>
      <c r="G2148">
        <v>0</v>
      </c>
      <c r="H2148" s="2">
        <v>96.575999999999993</v>
      </c>
      <c r="I2148" s="2">
        <v>321.92</v>
      </c>
    </row>
    <row r="2149" spans="1:9" x14ac:dyDescent="0.3">
      <c r="A2149" t="str">
        <f t="shared" si="732"/>
        <v>United States</v>
      </c>
      <c r="B2149" t="str">
        <f t="shared" si="741"/>
        <v>Inglewood</v>
      </c>
      <c r="C2149" t="str">
        <f t="shared" ref="C2149:C2155" si="744">C2148</f>
        <v>Second Class</v>
      </c>
      <c r="D2149" t="str">
        <f t="shared" ref="D2149:D2155" si="745">D2148</f>
        <v>Corporate</v>
      </c>
      <c r="E2149" t="s">
        <v>20</v>
      </c>
      <c r="F2149">
        <v>2</v>
      </c>
      <c r="G2149">
        <v>0.2</v>
      </c>
      <c r="H2149" s="2">
        <v>294.54879999999991</v>
      </c>
      <c r="I2149" s="2">
        <v>841.5680000000001</v>
      </c>
    </row>
    <row r="2150" spans="1:9" x14ac:dyDescent="0.3">
      <c r="A2150" t="str">
        <f t="shared" si="732"/>
        <v>United States</v>
      </c>
      <c r="B2150" t="str">
        <f t="shared" si="741"/>
        <v>Inglewood</v>
      </c>
      <c r="C2150" t="str">
        <f t="shared" si="744"/>
        <v>Second Class</v>
      </c>
      <c r="D2150" t="str">
        <f t="shared" si="745"/>
        <v>Corporate</v>
      </c>
      <c r="E2150" t="s">
        <v>33</v>
      </c>
      <c r="F2150">
        <v>3</v>
      </c>
      <c r="G2150">
        <v>0.2</v>
      </c>
      <c r="H2150" s="2">
        <v>23.027999999999992</v>
      </c>
      <c r="I2150" s="2">
        <v>230.28000000000003</v>
      </c>
    </row>
    <row r="2151" spans="1:9" x14ac:dyDescent="0.3">
      <c r="A2151" t="str">
        <f t="shared" si="732"/>
        <v>United States</v>
      </c>
      <c r="B2151" t="str">
        <f t="shared" si="741"/>
        <v>Inglewood</v>
      </c>
      <c r="C2151" t="str">
        <f t="shared" si="744"/>
        <v>Second Class</v>
      </c>
      <c r="D2151" t="str">
        <f t="shared" si="745"/>
        <v>Corporate</v>
      </c>
      <c r="E2151" t="s">
        <v>45</v>
      </c>
      <c r="F2151">
        <v>2</v>
      </c>
      <c r="G2151">
        <v>0.2</v>
      </c>
      <c r="H2151" s="2">
        <v>329.99400000000003</v>
      </c>
      <c r="I2151" s="2">
        <v>879.98400000000004</v>
      </c>
    </row>
    <row r="2152" spans="1:9" x14ac:dyDescent="0.3">
      <c r="A2152" t="str">
        <f t="shared" si="732"/>
        <v>United States</v>
      </c>
      <c r="B2152" t="str">
        <f t="shared" si="741"/>
        <v>Inglewood</v>
      </c>
      <c r="C2152" t="str">
        <f t="shared" si="744"/>
        <v>Second Class</v>
      </c>
      <c r="D2152" t="str">
        <f t="shared" si="745"/>
        <v>Corporate</v>
      </c>
      <c r="E2152" t="s">
        <v>21</v>
      </c>
      <c r="F2152">
        <v>2</v>
      </c>
      <c r="G2152">
        <v>0</v>
      </c>
      <c r="H2152" s="2">
        <v>99.23</v>
      </c>
      <c r="I2152" s="2">
        <v>198.46</v>
      </c>
    </row>
    <row r="2153" spans="1:9" x14ac:dyDescent="0.3">
      <c r="A2153" t="str">
        <f t="shared" si="732"/>
        <v>United States</v>
      </c>
      <c r="B2153" t="str">
        <f t="shared" si="741"/>
        <v>Inglewood</v>
      </c>
      <c r="C2153" t="str">
        <f t="shared" si="744"/>
        <v>Second Class</v>
      </c>
      <c r="D2153" t="str">
        <f t="shared" si="745"/>
        <v>Corporate</v>
      </c>
      <c r="E2153" t="s">
        <v>16</v>
      </c>
      <c r="F2153">
        <v>3</v>
      </c>
      <c r="G2153">
        <v>0</v>
      </c>
      <c r="H2153" s="2">
        <v>56.977199999999996</v>
      </c>
      <c r="I2153" s="2">
        <v>116.28</v>
      </c>
    </row>
    <row r="2154" spans="1:9" x14ac:dyDescent="0.3">
      <c r="A2154" t="str">
        <f t="shared" si="732"/>
        <v>United States</v>
      </c>
      <c r="B2154" t="str">
        <f t="shared" si="741"/>
        <v>Inglewood</v>
      </c>
      <c r="C2154" t="str">
        <f t="shared" si="744"/>
        <v>Second Class</v>
      </c>
      <c r="D2154" t="str">
        <f t="shared" si="745"/>
        <v>Corporate</v>
      </c>
      <c r="E2154" t="s">
        <v>14</v>
      </c>
      <c r="F2154">
        <v>5</v>
      </c>
      <c r="G2154">
        <v>0</v>
      </c>
      <c r="H2154" s="2">
        <v>17.744999999999962</v>
      </c>
      <c r="I2154" s="2">
        <v>354.90000000000003</v>
      </c>
    </row>
    <row r="2155" spans="1:9" x14ac:dyDescent="0.3">
      <c r="A2155" t="str">
        <f t="shared" si="732"/>
        <v>United States</v>
      </c>
      <c r="B2155" t="str">
        <f t="shared" si="741"/>
        <v>Inglewood</v>
      </c>
      <c r="C2155" t="str">
        <f t="shared" si="744"/>
        <v>Second Class</v>
      </c>
      <c r="D2155" t="str">
        <f t="shared" si="745"/>
        <v>Corporate</v>
      </c>
      <c r="E2155" t="s">
        <v>9</v>
      </c>
      <c r="F2155">
        <v>5</v>
      </c>
      <c r="G2155">
        <v>0</v>
      </c>
      <c r="H2155" s="2">
        <v>8.2359999999999989</v>
      </c>
      <c r="I2155" s="2">
        <v>28.4</v>
      </c>
    </row>
    <row r="2156" spans="1:9" x14ac:dyDescent="0.3">
      <c r="A2156" t="str">
        <f t="shared" si="732"/>
        <v>United States</v>
      </c>
      <c r="B2156" t="str">
        <f t="shared" si="741"/>
        <v>Inglewood</v>
      </c>
      <c r="C2156" t="s">
        <v>22</v>
      </c>
      <c r="D2156" t="s">
        <v>8</v>
      </c>
      <c r="E2156" t="s">
        <v>12</v>
      </c>
      <c r="F2156">
        <v>4</v>
      </c>
      <c r="G2156">
        <v>0</v>
      </c>
      <c r="H2156" s="2">
        <v>16.295999999999999</v>
      </c>
      <c r="I2156" s="2">
        <v>54.32</v>
      </c>
    </row>
    <row r="2157" spans="1:9" x14ac:dyDescent="0.3">
      <c r="A2157" t="str">
        <f t="shared" si="732"/>
        <v>United States</v>
      </c>
      <c r="B2157" t="str">
        <f t="shared" si="741"/>
        <v>Inglewood</v>
      </c>
      <c r="C2157" t="str">
        <f t="shared" ref="C2157:C2158" si="746">C2156</f>
        <v>Standard Class</v>
      </c>
      <c r="D2157" t="str">
        <f t="shared" ref="D2157:D2158" si="747">D2156</f>
        <v>Consumer</v>
      </c>
      <c r="E2157" t="s">
        <v>16</v>
      </c>
      <c r="F2157">
        <v>3</v>
      </c>
      <c r="G2157">
        <v>0</v>
      </c>
      <c r="H2157" s="2">
        <v>10.7301</v>
      </c>
      <c r="I2157" s="2">
        <v>22.830000000000002</v>
      </c>
    </row>
    <row r="2158" spans="1:9" x14ac:dyDescent="0.3">
      <c r="A2158" t="str">
        <f t="shared" si="732"/>
        <v>United States</v>
      </c>
      <c r="B2158" t="str">
        <f t="shared" si="741"/>
        <v>Inglewood</v>
      </c>
      <c r="C2158" t="str">
        <f t="shared" si="746"/>
        <v>Standard Class</v>
      </c>
      <c r="D2158" t="str">
        <f t="shared" si="747"/>
        <v>Consumer</v>
      </c>
      <c r="E2158" t="s">
        <v>24</v>
      </c>
      <c r="F2158">
        <v>3</v>
      </c>
      <c r="G2158">
        <v>0.2</v>
      </c>
      <c r="H2158" s="2">
        <v>14.758199999999995</v>
      </c>
      <c r="I2158" s="2">
        <v>196.77600000000001</v>
      </c>
    </row>
    <row r="2159" spans="1:9" x14ac:dyDescent="0.3">
      <c r="A2159" t="str">
        <f t="shared" si="732"/>
        <v>United States</v>
      </c>
      <c r="B2159" t="s">
        <v>243</v>
      </c>
      <c r="C2159" t="s">
        <v>7</v>
      </c>
      <c r="D2159" t="s">
        <v>15</v>
      </c>
      <c r="E2159" t="s">
        <v>16</v>
      </c>
      <c r="F2159">
        <v>1</v>
      </c>
      <c r="G2159">
        <v>0</v>
      </c>
      <c r="H2159" s="2">
        <v>4.4954999999999998</v>
      </c>
      <c r="I2159" s="2">
        <v>9.99</v>
      </c>
    </row>
    <row r="2160" spans="1:9" x14ac:dyDescent="0.3">
      <c r="A2160" t="str">
        <f t="shared" si="732"/>
        <v>United States</v>
      </c>
      <c r="B2160" t="s">
        <v>244</v>
      </c>
      <c r="C2160" t="s">
        <v>7</v>
      </c>
      <c r="D2160" t="s">
        <v>8</v>
      </c>
      <c r="E2160" t="s">
        <v>16</v>
      </c>
      <c r="F2160">
        <v>5</v>
      </c>
      <c r="G2160">
        <v>0.2</v>
      </c>
      <c r="H2160" s="2">
        <v>79.691999999999979</v>
      </c>
      <c r="I2160" s="2">
        <v>219.84000000000003</v>
      </c>
    </row>
    <row r="2161" spans="1:9" x14ac:dyDescent="0.3">
      <c r="A2161" t="str">
        <f t="shared" si="732"/>
        <v>United States</v>
      </c>
      <c r="B2161" t="str">
        <f t="shared" ref="B2161:B2166" si="748">B2160</f>
        <v>Irving</v>
      </c>
      <c r="C2161" t="s">
        <v>22</v>
      </c>
      <c r="D2161" t="s">
        <v>8</v>
      </c>
      <c r="E2161" t="s">
        <v>12</v>
      </c>
      <c r="F2161">
        <v>1</v>
      </c>
      <c r="G2161">
        <v>0.8</v>
      </c>
      <c r="H2161" s="2">
        <v>-153.20240000000001</v>
      </c>
      <c r="I2161" s="2">
        <v>58.923999999999985</v>
      </c>
    </row>
    <row r="2162" spans="1:9" x14ac:dyDescent="0.3">
      <c r="A2162" t="str">
        <f t="shared" si="732"/>
        <v>United States</v>
      </c>
      <c r="B2162" t="str">
        <f t="shared" si="748"/>
        <v>Irving</v>
      </c>
      <c r="C2162" t="str">
        <f t="shared" ref="C2162:C2166" si="749">C2161</f>
        <v>Standard Class</v>
      </c>
      <c r="D2162" t="str">
        <f t="shared" ref="D2162:D2165" si="750">D2161</f>
        <v>Consumer</v>
      </c>
      <c r="E2162" t="s">
        <v>43</v>
      </c>
      <c r="F2162">
        <v>2</v>
      </c>
      <c r="G2162">
        <v>0.2</v>
      </c>
      <c r="H2162" s="2">
        <v>1.764</v>
      </c>
      <c r="I2162" s="2">
        <v>5.04</v>
      </c>
    </row>
    <row r="2163" spans="1:9" x14ac:dyDescent="0.3">
      <c r="A2163" t="str">
        <f t="shared" si="732"/>
        <v>United States</v>
      </c>
      <c r="B2163" t="str">
        <f t="shared" si="748"/>
        <v>Irving</v>
      </c>
      <c r="C2163" t="str">
        <f t="shared" si="749"/>
        <v>Standard Class</v>
      </c>
      <c r="D2163" t="str">
        <f t="shared" si="750"/>
        <v>Consumer</v>
      </c>
      <c r="E2163" t="s">
        <v>24</v>
      </c>
      <c r="F2163">
        <v>3</v>
      </c>
      <c r="G2163">
        <v>0.2</v>
      </c>
      <c r="H2163" s="2">
        <v>7.7679000000000009</v>
      </c>
      <c r="I2163" s="2">
        <v>88.77600000000001</v>
      </c>
    </row>
    <row r="2164" spans="1:9" x14ac:dyDescent="0.3">
      <c r="A2164" t="str">
        <f t="shared" si="732"/>
        <v>United States</v>
      </c>
      <c r="B2164" t="str">
        <f t="shared" si="748"/>
        <v>Irving</v>
      </c>
      <c r="C2164" t="str">
        <f t="shared" si="749"/>
        <v>Standard Class</v>
      </c>
      <c r="D2164" t="str">
        <f t="shared" si="750"/>
        <v>Consumer</v>
      </c>
      <c r="E2164" t="s">
        <v>14</v>
      </c>
      <c r="F2164">
        <v>6</v>
      </c>
      <c r="G2164">
        <v>0.4</v>
      </c>
      <c r="H2164" s="2">
        <v>-6.9552000000000032</v>
      </c>
      <c r="I2164" s="2">
        <v>31.608000000000001</v>
      </c>
    </row>
    <row r="2165" spans="1:9" x14ac:dyDescent="0.3">
      <c r="A2165" t="str">
        <f t="shared" si="732"/>
        <v>United States</v>
      </c>
      <c r="B2165" t="str">
        <f t="shared" si="748"/>
        <v>Irving</v>
      </c>
      <c r="C2165" t="str">
        <f t="shared" si="749"/>
        <v>Standard Class</v>
      </c>
      <c r="D2165" t="str">
        <f t="shared" si="750"/>
        <v>Consumer</v>
      </c>
      <c r="E2165" t="s">
        <v>9</v>
      </c>
      <c r="F2165">
        <v>2</v>
      </c>
      <c r="G2165">
        <v>0.2</v>
      </c>
      <c r="H2165" s="2">
        <v>-34.758000000000017</v>
      </c>
      <c r="I2165" s="2">
        <v>185.376</v>
      </c>
    </row>
    <row r="2166" spans="1:9" x14ac:dyDescent="0.3">
      <c r="A2166" t="str">
        <f t="shared" si="732"/>
        <v>United States</v>
      </c>
      <c r="B2166" t="str">
        <f t="shared" si="748"/>
        <v>Irving</v>
      </c>
      <c r="C2166" t="str">
        <f t="shared" si="749"/>
        <v>Standard Class</v>
      </c>
      <c r="D2166" t="s">
        <v>15</v>
      </c>
      <c r="E2166" t="s">
        <v>43</v>
      </c>
      <c r="F2166">
        <v>4</v>
      </c>
      <c r="G2166">
        <v>0.2</v>
      </c>
      <c r="H2166" s="2">
        <v>5.1791999999999998</v>
      </c>
      <c r="I2166" s="2">
        <v>15.936000000000002</v>
      </c>
    </row>
    <row r="2167" spans="1:9" x14ac:dyDescent="0.3">
      <c r="A2167" t="str">
        <f t="shared" si="732"/>
        <v>United States</v>
      </c>
      <c r="B2167" t="s">
        <v>245</v>
      </c>
      <c r="C2167" t="s">
        <v>11</v>
      </c>
      <c r="D2167" t="s">
        <v>8</v>
      </c>
      <c r="E2167" t="s">
        <v>23</v>
      </c>
      <c r="F2167">
        <v>3</v>
      </c>
      <c r="G2167">
        <v>0</v>
      </c>
      <c r="H2167" s="2">
        <v>163.18979999999999</v>
      </c>
      <c r="I2167" s="2">
        <v>479.97</v>
      </c>
    </row>
    <row r="2168" spans="1:9" x14ac:dyDescent="0.3">
      <c r="A2168" t="str">
        <f t="shared" si="732"/>
        <v>United States</v>
      </c>
      <c r="B2168" t="str">
        <f t="shared" ref="B2168:B2208" si="751">B2167</f>
        <v>Jackson</v>
      </c>
      <c r="C2168" t="str">
        <f t="shared" ref="C2168:C2169" si="752">C2167</f>
        <v>First Class</v>
      </c>
      <c r="D2168" t="str">
        <f t="shared" ref="D2168:D2169" si="753">D2167</f>
        <v>Consumer</v>
      </c>
      <c r="E2168" t="s">
        <v>43</v>
      </c>
      <c r="F2168">
        <v>2</v>
      </c>
      <c r="G2168">
        <v>0</v>
      </c>
      <c r="H2168" s="2">
        <v>6.8713999999999995</v>
      </c>
      <c r="I2168" s="2">
        <v>14.62</v>
      </c>
    </row>
    <row r="2169" spans="1:9" x14ac:dyDescent="0.3">
      <c r="A2169" t="str">
        <f t="shared" si="732"/>
        <v>United States</v>
      </c>
      <c r="B2169" t="str">
        <f t="shared" si="751"/>
        <v>Jackson</v>
      </c>
      <c r="C2169" t="str">
        <f t="shared" si="752"/>
        <v>First Class</v>
      </c>
      <c r="D2169" t="str">
        <f t="shared" si="753"/>
        <v>Consumer</v>
      </c>
      <c r="E2169" t="s">
        <v>16</v>
      </c>
      <c r="F2169">
        <v>3</v>
      </c>
      <c r="G2169">
        <v>0</v>
      </c>
      <c r="H2169" s="2">
        <v>9.3312000000000008</v>
      </c>
      <c r="I2169" s="2">
        <v>19.440000000000001</v>
      </c>
    </row>
    <row r="2170" spans="1:9" x14ac:dyDescent="0.3">
      <c r="A2170" t="str">
        <f t="shared" si="732"/>
        <v>United States</v>
      </c>
      <c r="B2170" t="str">
        <f t="shared" si="751"/>
        <v>Jackson</v>
      </c>
      <c r="C2170" t="s">
        <v>7</v>
      </c>
      <c r="D2170" t="s">
        <v>8</v>
      </c>
      <c r="E2170" t="s">
        <v>23</v>
      </c>
      <c r="F2170">
        <v>3</v>
      </c>
      <c r="G2170">
        <v>0</v>
      </c>
      <c r="H2170" s="2">
        <v>16.2486</v>
      </c>
      <c r="I2170" s="2">
        <v>47.79</v>
      </c>
    </row>
    <row r="2171" spans="1:9" x14ac:dyDescent="0.3">
      <c r="A2171" t="str">
        <f t="shared" si="732"/>
        <v>United States</v>
      </c>
      <c r="B2171" t="str">
        <f t="shared" si="751"/>
        <v>Jackson</v>
      </c>
      <c r="C2171" t="str">
        <f t="shared" ref="C2171:C2178" si="754">C2170</f>
        <v>Second Class</v>
      </c>
      <c r="D2171" t="str">
        <f t="shared" ref="D2171:D2175" si="755">D2170</f>
        <v>Consumer</v>
      </c>
      <c r="E2171" t="s">
        <v>19</v>
      </c>
      <c r="F2171">
        <v>2</v>
      </c>
      <c r="G2171">
        <v>0.2</v>
      </c>
      <c r="H2171" s="2">
        <v>1.702399999999999</v>
      </c>
      <c r="I2171" s="2">
        <v>9.7280000000000015</v>
      </c>
    </row>
    <row r="2172" spans="1:9" x14ac:dyDescent="0.3">
      <c r="A2172" t="str">
        <f t="shared" si="732"/>
        <v>United States</v>
      </c>
      <c r="B2172" t="str">
        <f t="shared" si="751"/>
        <v>Jackson</v>
      </c>
      <c r="C2172" t="str">
        <f t="shared" si="754"/>
        <v>Second Class</v>
      </c>
      <c r="D2172" t="str">
        <f t="shared" si="755"/>
        <v>Consumer</v>
      </c>
      <c r="E2172" t="s">
        <v>20</v>
      </c>
      <c r="F2172">
        <v>4</v>
      </c>
      <c r="G2172">
        <v>0</v>
      </c>
      <c r="H2172" s="2">
        <v>2504.2215999999999</v>
      </c>
      <c r="I2172" s="2">
        <v>5443.96</v>
      </c>
    </row>
    <row r="2173" spans="1:9" x14ac:dyDescent="0.3">
      <c r="A2173" t="str">
        <f t="shared" si="732"/>
        <v>United States</v>
      </c>
      <c r="B2173" t="str">
        <f t="shared" si="751"/>
        <v>Jackson</v>
      </c>
      <c r="C2173" t="str">
        <f t="shared" si="754"/>
        <v>Second Class</v>
      </c>
      <c r="D2173" t="str">
        <f t="shared" si="755"/>
        <v>Consumer</v>
      </c>
      <c r="E2173" t="s">
        <v>33</v>
      </c>
      <c r="F2173">
        <v>7</v>
      </c>
      <c r="G2173">
        <v>0</v>
      </c>
      <c r="H2173" s="2">
        <v>297.90480000000002</v>
      </c>
      <c r="I2173" s="2">
        <v>1169.07</v>
      </c>
    </row>
    <row r="2174" spans="1:9" x14ac:dyDescent="0.3">
      <c r="A2174" t="str">
        <f t="shared" si="732"/>
        <v>United States</v>
      </c>
      <c r="B2174" t="str">
        <f t="shared" si="751"/>
        <v>Jackson</v>
      </c>
      <c r="C2174" t="str">
        <f t="shared" si="754"/>
        <v>Second Class</v>
      </c>
      <c r="D2174" t="str">
        <f t="shared" si="755"/>
        <v>Consumer</v>
      </c>
      <c r="E2174" t="s">
        <v>16</v>
      </c>
      <c r="F2174">
        <v>11</v>
      </c>
      <c r="G2174">
        <v>0.2</v>
      </c>
      <c r="H2174" s="2">
        <v>35.064499999999995</v>
      </c>
      <c r="I2174" s="2">
        <v>78.543999999999997</v>
      </c>
    </row>
    <row r="2175" spans="1:9" x14ac:dyDescent="0.3">
      <c r="A2175" t="str">
        <f t="shared" si="732"/>
        <v>United States</v>
      </c>
      <c r="B2175" t="str">
        <f t="shared" si="751"/>
        <v>Jackson</v>
      </c>
      <c r="C2175" t="str">
        <f t="shared" si="754"/>
        <v>Second Class</v>
      </c>
      <c r="D2175" t="str">
        <f t="shared" si="755"/>
        <v>Consumer</v>
      </c>
      <c r="E2175" t="s">
        <v>14</v>
      </c>
      <c r="F2175">
        <v>9</v>
      </c>
      <c r="G2175">
        <v>0.2</v>
      </c>
      <c r="H2175" s="2">
        <v>6.9794999999999909</v>
      </c>
      <c r="I2175" s="2">
        <v>111.67200000000001</v>
      </c>
    </row>
    <row r="2176" spans="1:9" x14ac:dyDescent="0.3">
      <c r="A2176" t="str">
        <f t="shared" si="732"/>
        <v>United States</v>
      </c>
      <c r="B2176" t="str">
        <f t="shared" si="751"/>
        <v>Jackson</v>
      </c>
      <c r="C2176" t="str">
        <f t="shared" si="754"/>
        <v>Second Class</v>
      </c>
      <c r="D2176" t="s">
        <v>17</v>
      </c>
      <c r="E2176" t="s">
        <v>23</v>
      </c>
      <c r="F2176">
        <v>3</v>
      </c>
      <c r="G2176">
        <v>0</v>
      </c>
      <c r="H2176" s="2">
        <v>257.98710000000005</v>
      </c>
      <c r="I2176" s="2">
        <v>599.97</v>
      </c>
    </row>
    <row r="2177" spans="1:9" x14ac:dyDescent="0.3">
      <c r="A2177" t="str">
        <f t="shared" si="732"/>
        <v>United States</v>
      </c>
      <c r="B2177" t="str">
        <f t="shared" si="751"/>
        <v>Jackson</v>
      </c>
      <c r="C2177" t="str">
        <f t="shared" si="754"/>
        <v>Second Class</v>
      </c>
      <c r="D2177" t="str">
        <f t="shared" ref="D2177:D2178" si="756">D2176</f>
        <v>Home Office</v>
      </c>
      <c r="E2177" t="s">
        <v>20</v>
      </c>
      <c r="F2177">
        <v>8</v>
      </c>
      <c r="G2177">
        <v>0</v>
      </c>
      <c r="H2177" s="2">
        <v>22.0032</v>
      </c>
      <c r="I2177" s="2">
        <v>45.84</v>
      </c>
    </row>
    <row r="2178" spans="1:9" x14ac:dyDescent="0.3">
      <c r="A2178" t="str">
        <f t="shared" si="732"/>
        <v>United States</v>
      </c>
      <c r="B2178" t="str">
        <f t="shared" si="751"/>
        <v>Jackson</v>
      </c>
      <c r="C2178" t="str">
        <f t="shared" si="754"/>
        <v>Second Class</v>
      </c>
      <c r="D2178" t="str">
        <f t="shared" si="756"/>
        <v>Home Office</v>
      </c>
      <c r="E2178" t="s">
        <v>24</v>
      </c>
      <c r="F2178">
        <v>6</v>
      </c>
      <c r="G2178">
        <v>0</v>
      </c>
      <c r="H2178" s="2">
        <v>95.271900000000002</v>
      </c>
      <c r="I2178" s="2">
        <v>416.93999999999994</v>
      </c>
    </row>
    <row r="2179" spans="1:9" x14ac:dyDescent="0.3">
      <c r="A2179" t="str">
        <f t="shared" si="732"/>
        <v>United States</v>
      </c>
      <c r="B2179" t="str">
        <f t="shared" si="751"/>
        <v>Jackson</v>
      </c>
      <c r="C2179" t="s">
        <v>22</v>
      </c>
      <c r="D2179" t="s">
        <v>8</v>
      </c>
      <c r="E2179" t="s">
        <v>23</v>
      </c>
      <c r="F2179">
        <v>7</v>
      </c>
      <c r="G2179">
        <v>0.2</v>
      </c>
      <c r="H2179" s="2">
        <v>41.426000000000002</v>
      </c>
      <c r="I2179" s="2">
        <v>173.14400000000001</v>
      </c>
    </row>
    <row r="2180" spans="1:9" x14ac:dyDescent="0.3">
      <c r="A2180" t="str">
        <f t="shared" ref="A2180:A2243" si="757">A2179</f>
        <v>United States</v>
      </c>
      <c r="B2180" t="str">
        <f t="shared" si="751"/>
        <v>Jackson</v>
      </c>
      <c r="C2180" t="str">
        <f t="shared" ref="C2180:C2208" si="758">C2179</f>
        <v>Standard Class</v>
      </c>
      <c r="D2180" t="str">
        <f t="shared" ref="D2180:D2189" si="759">D2179</f>
        <v>Consumer</v>
      </c>
      <c r="E2180" t="s">
        <v>12</v>
      </c>
      <c r="F2180">
        <v>6</v>
      </c>
      <c r="G2180">
        <v>0.30000000000000004</v>
      </c>
      <c r="H2180" s="2">
        <v>39.686399999999999</v>
      </c>
      <c r="I2180" s="2">
        <v>121.16900000000001</v>
      </c>
    </row>
    <row r="2181" spans="1:9" x14ac:dyDescent="0.3">
      <c r="A2181" t="str">
        <f t="shared" si="757"/>
        <v>United States</v>
      </c>
      <c r="B2181" t="str">
        <f t="shared" si="751"/>
        <v>Jackson</v>
      </c>
      <c r="C2181" t="str">
        <f t="shared" si="758"/>
        <v>Standard Class</v>
      </c>
      <c r="D2181" t="str">
        <f t="shared" si="759"/>
        <v>Consumer</v>
      </c>
      <c r="E2181" t="s">
        <v>19</v>
      </c>
      <c r="F2181">
        <v>20</v>
      </c>
      <c r="G2181">
        <v>0.2</v>
      </c>
      <c r="H2181" s="2">
        <v>121.7654</v>
      </c>
      <c r="I2181" s="2">
        <v>473.18799999999999</v>
      </c>
    </row>
    <row r="2182" spans="1:9" x14ac:dyDescent="0.3">
      <c r="A2182" t="str">
        <f t="shared" si="757"/>
        <v>United States</v>
      </c>
      <c r="B2182" t="str">
        <f t="shared" si="751"/>
        <v>Jackson</v>
      </c>
      <c r="C2182" t="str">
        <f t="shared" si="758"/>
        <v>Standard Class</v>
      </c>
      <c r="D2182" t="str">
        <f t="shared" si="759"/>
        <v>Consumer</v>
      </c>
      <c r="E2182" t="s">
        <v>20</v>
      </c>
      <c r="F2182">
        <v>4</v>
      </c>
      <c r="G2182">
        <v>0</v>
      </c>
      <c r="H2182" s="2">
        <v>21.059999999999995</v>
      </c>
      <c r="I2182" s="2">
        <v>46.8</v>
      </c>
    </row>
    <row r="2183" spans="1:9" x14ac:dyDescent="0.3">
      <c r="A2183" t="str">
        <f t="shared" si="757"/>
        <v>United States</v>
      </c>
      <c r="B2183" t="str">
        <f t="shared" si="751"/>
        <v>Jackson</v>
      </c>
      <c r="C2183" t="str">
        <f t="shared" si="758"/>
        <v>Standard Class</v>
      </c>
      <c r="D2183" t="str">
        <f t="shared" si="759"/>
        <v>Consumer</v>
      </c>
      <c r="E2183" t="s">
        <v>33</v>
      </c>
      <c r="F2183">
        <v>2</v>
      </c>
      <c r="G2183">
        <v>0.2</v>
      </c>
      <c r="H2183" s="2">
        <v>-23.576400000000007</v>
      </c>
      <c r="I2183" s="2">
        <v>209.56799999999998</v>
      </c>
    </row>
    <row r="2184" spans="1:9" x14ac:dyDescent="0.3">
      <c r="A2184" t="str">
        <f t="shared" si="757"/>
        <v>United States</v>
      </c>
      <c r="B2184" t="str">
        <f t="shared" si="751"/>
        <v>Jackson</v>
      </c>
      <c r="C2184" t="str">
        <f t="shared" si="758"/>
        <v>Standard Class</v>
      </c>
      <c r="D2184" t="str">
        <f t="shared" si="759"/>
        <v>Consumer</v>
      </c>
      <c r="E2184" t="s">
        <v>18</v>
      </c>
      <c r="F2184">
        <v>4</v>
      </c>
      <c r="G2184">
        <v>0</v>
      </c>
      <c r="H2184" s="2">
        <v>5.2559999999999993</v>
      </c>
      <c r="I2184" s="2">
        <v>11.68</v>
      </c>
    </row>
    <row r="2185" spans="1:9" x14ac:dyDescent="0.3">
      <c r="A2185" t="str">
        <f t="shared" si="757"/>
        <v>United States</v>
      </c>
      <c r="B2185" t="str">
        <f t="shared" si="751"/>
        <v>Jackson</v>
      </c>
      <c r="C2185" t="str">
        <f t="shared" si="758"/>
        <v>Standard Class</v>
      </c>
      <c r="D2185" t="str">
        <f t="shared" si="759"/>
        <v>Consumer</v>
      </c>
      <c r="E2185" t="s">
        <v>21</v>
      </c>
      <c r="F2185">
        <v>6</v>
      </c>
      <c r="G2185">
        <v>0</v>
      </c>
      <c r="H2185" s="2">
        <v>58.687200000000011</v>
      </c>
      <c r="I2185" s="2">
        <v>133.38</v>
      </c>
    </row>
    <row r="2186" spans="1:9" x14ac:dyDescent="0.3">
      <c r="A2186" t="str">
        <f t="shared" si="757"/>
        <v>United States</v>
      </c>
      <c r="B2186" t="str">
        <f t="shared" si="751"/>
        <v>Jackson</v>
      </c>
      <c r="C2186" t="str">
        <f t="shared" si="758"/>
        <v>Standard Class</v>
      </c>
      <c r="D2186" t="str">
        <f t="shared" si="759"/>
        <v>Consumer</v>
      </c>
      <c r="E2186" t="s">
        <v>16</v>
      </c>
      <c r="F2186">
        <v>5</v>
      </c>
      <c r="G2186">
        <v>0</v>
      </c>
      <c r="H2186" s="2">
        <v>32.094999999999999</v>
      </c>
      <c r="I2186" s="2">
        <v>65.5</v>
      </c>
    </row>
    <row r="2187" spans="1:9" x14ac:dyDescent="0.3">
      <c r="A2187" t="str">
        <f t="shared" si="757"/>
        <v>United States</v>
      </c>
      <c r="B2187" t="str">
        <f t="shared" si="751"/>
        <v>Jackson</v>
      </c>
      <c r="C2187" t="str">
        <f t="shared" si="758"/>
        <v>Standard Class</v>
      </c>
      <c r="D2187" t="str">
        <f t="shared" si="759"/>
        <v>Consumer</v>
      </c>
      <c r="E2187" t="s">
        <v>24</v>
      </c>
      <c r="F2187">
        <v>7</v>
      </c>
      <c r="G2187">
        <v>0</v>
      </c>
      <c r="H2187" s="2">
        <v>234.02469999999994</v>
      </c>
      <c r="I2187" s="2">
        <v>784.6</v>
      </c>
    </row>
    <row r="2188" spans="1:9" x14ac:dyDescent="0.3">
      <c r="A2188" t="str">
        <f t="shared" si="757"/>
        <v>United States</v>
      </c>
      <c r="B2188" t="str">
        <f t="shared" si="751"/>
        <v>Jackson</v>
      </c>
      <c r="C2188" t="str">
        <f t="shared" si="758"/>
        <v>Standard Class</v>
      </c>
      <c r="D2188" t="str">
        <f t="shared" si="759"/>
        <v>Consumer</v>
      </c>
      <c r="E2188" t="s">
        <v>14</v>
      </c>
      <c r="F2188">
        <v>9</v>
      </c>
      <c r="G2188">
        <v>0.2</v>
      </c>
      <c r="H2188" s="2">
        <v>45.727599999999981</v>
      </c>
      <c r="I2188" s="2">
        <v>207.84999999999997</v>
      </c>
    </row>
    <row r="2189" spans="1:9" x14ac:dyDescent="0.3">
      <c r="A2189" t="str">
        <f t="shared" si="757"/>
        <v>United States</v>
      </c>
      <c r="B2189" t="str">
        <f t="shared" si="751"/>
        <v>Jackson</v>
      </c>
      <c r="C2189" t="str">
        <f t="shared" si="758"/>
        <v>Standard Class</v>
      </c>
      <c r="D2189" t="str">
        <f t="shared" si="759"/>
        <v>Consumer</v>
      </c>
      <c r="E2189" t="s">
        <v>25</v>
      </c>
      <c r="F2189">
        <v>14</v>
      </c>
      <c r="G2189">
        <v>0.4</v>
      </c>
      <c r="H2189" s="2">
        <v>139.49120000000016</v>
      </c>
      <c r="I2189" s="2">
        <v>3365.0360000000001</v>
      </c>
    </row>
    <row r="2190" spans="1:9" x14ac:dyDescent="0.3">
      <c r="A2190" t="str">
        <f t="shared" si="757"/>
        <v>United States</v>
      </c>
      <c r="B2190" t="str">
        <f t="shared" si="751"/>
        <v>Jackson</v>
      </c>
      <c r="C2190" t="str">
        <f t="shared" si="758"/>
        <v>Standard Class</v>
      </c>
      <c r="D2190" t="s">
        <v>15</v>
      </c>
      <c r="E2190" t="s">
        <v>23</v>
      </c>
      <c r="F2190">
        <v>8</v>
      </c>
      <c r="G2190">
        <v>0</v>
      </c>
      <c r="H2190" s="2">
        <v>62.400000000000006</v>
      </c>
      <c r="I2190" s="2">
        <v>160</v>
      </c>
    </row>
    <row r="2191" spans="1:9" x14ac:dyDescent="0.3">
      <c r="A2191" t="str">
        <f t="shared" si="757"/>
        <v>United States</v>
      </c>
      <c r="B2191" t="str">
        <f t="shared" si="751"/>
        <v>Jackson</v>
      </c>
      <c r="C2191" t="str">
        <f t="shared" si="758"/>
        <v>Standard Class</v>
      </c>
      <c r="D2191" t="str">
        <f t="shared" ref="D2191:D2198" si="760">D2190</f>
        <v>Corporate</v>
      </c>
      <c r="E2191" t="s">
        <v>12</v>
      </c>
      <c r="F2191">
        <v>6</v>
      </c>
      <c r="G2191">
        <v>0.1</v>
      </c>
      <c r="H2191" s="2">
        <v>56.827799999999975</v>
      </c>
      <c r="I2191" s="2">
        <v>239.81400000000002</v>
      </c>
    </row>
    <row r="2192" spans="1:9" x14ac:dyDescent="0.3">
      <c r="A2192" t="str">
        <f t="shared" si="757"/>
        <v>United States</v>
      </c>
      <c r="B2192" t="str">
        <f t="shared" si="751"/>
        <v>Jackson</v>
      </c>
      <c r="C2192" t="str">
        <f t="shared" si="758"/>
        <v>Standard Class</v>
      </c>
      <c r="D2192" t="str">
        <f t="shared" si="760"/>
        <v>Corporate</v>
      </c>
      <c r="E2192" t="s">
        <v>19</v>
      </c>
      <c r="F2192">
        <v>13</v>
      </c>
      <c r="G2192">
        <v>0</v>
      </c>
      <c r="H2192" s="2">
        <v>66.613999999999976</v>
      </c>
      <c r="I2192" s="2">
        <v>226.01999999999998</v>
      </c>
    </row>
    <row r="2193" spans="1:9" x14ac:dyDescent="0.3">
      <c r="A2193" t="str">
        <f t="shared" si="757"/>
        <v>United States</v>
      </c>
      <c r="B2193" t="str">
        <f t="shared" si="751"/>
        <v>Jackson</v>
      </c>
      <c r="C2193" t="str">
        <f t="shared" si="758"/>
        <v>Standard Class</v>
      </c>
      <c r="D2193" t="str">
        <f t="shared" si="760"/>
        <v>Corporate</v>
      </c>
      <c r="E2193" t="s">
        <v>20</v>
      </c>
      <c r="F2193">
        <v>6</v>
      </c>
      <c r="G2193">
        <v>0</v>
      </c>
      <c r="H2193" s="2">
        <v>28.591700000000003</v>
      </c>
      <c r="I2193" s="2">
        <v>59.17</v>
      </c>
    </row>
    <row r="2194" spans="1:9" x14ac:dyDescent="0.3">
      <c r="A2194" t="str">
        <f t="shared" si="757"/>
        <v>United States</v>
      </c>
      <c r="B2194" t="str">
        <f t="shared" si="751"/>
        <v>Jackson</v>
      </c>
      <c r="C2194" t="str">
        <f t="shared" si="758"/>
        <v>Standard Class</v>
      </c>
      <c r="D2194" t="str">
        <f t="shared" si="760"/>
        <v>Corporate</v>
      </c>
      <c r="E2194" t="s">
        <v>33</v>
      </c>
      <c r="F2194">
        <v>2</v>
      </c>
      <c r="G2194">
        <v>0</v>
      </c>
      <c r="H2194" s="2">
        <v>32.633199999999988</v>
      </c>
      <c r="I2194" s="2">
        <v>191.96</v>
      </c>
    </row>
    <row r="2195" spans="1:9" x14ac:dyDescent="0.3">
      <c r="A2195" t="str">
        <f t="shared" si="757"/>
        <v>United States</v>
      </c>
      <c r="B2195" t="str">
        <f t="shared" si="751"/>
        <v>Jackson</v>
      </c>
      <c r="C2195" t="str">
        <f t="shared" si="758"/>
        <v>Standard Class</v>
      </c>
      <c r="D2195" t="str">
        <f t="shared" si="760"/>
        <v>Corporate</v>
      </c>
      <c r="E2195" t="s">
        <v>21</v>
      </c>
      <c r="F2195">
        <v>13</v>
      </c>
      <c r="G2195">
        <v>0.2</v>
      </c>
      <c r="H2195" s="2">
        <v>192.40100000000007</v>
      </c>
      <c r="I2195" s="2">
        <v>698.63199999999995</v>
      </c>
    </row>
    <row r="2196" spans="1:9" x14ac:dyDescent="0.3">
      <c r="A2196" t="str">
        <f t="shared" si="757"/>
        <v>United States</v>
      </c>
      <c r="B2196" t="str">
        <f t="shared" si="751"/>
        <v>Jackson</v>
      </c>
      <c r="C2196" t="str">
        <f t="shared" si="758"/>
        <v>Standard Class</v>
      </c>
      <c r="D2196" t="str">
        <f t="shared" si="760"/>
        <v>Corporate</v>
      </c>
      <c r="E2196" t="s">
        <v>43</v>
      </c>
      <c r="F2196">
        <v>3</v>
      </c>
      <c r="G2196">
        <v>0</v>
      </c>
      <c r="H2196" s="2">
        <v>97.544399999999996</v>
      </c>
      <c r="I2196" s="2">
        <v>199.23000000000002</v>
      </c>
    </row>
    <row r="2197" spans="1:9" x14ac:dyDescent="0.3">
      <c r="A2197" t="str">
        <f t="shared" si="757"/>
        <v>United States</v>
      </c>
      <c r="B2197" t="str">
        <f t="shared" si="751"/>
        <v>Jackson</v>
      </c>
      <c r="C2197" t="str">
        <f t="shared" si="758"/>
        <v>Standard Class</v>
      </c>
      <c r="D2197" t="str">
        <f t="shared" si="760"/>
        <v>Corporate</v>
      </c>
      <c r="E2197" t="s">
        <v>16</v>
      </c>
      <c r="F2197">
        <v>11</v>
      </c>
      <c r="G2197">
        <v>0</v>
      </c>
      <c r="H2197" s="2">
        <v>91.187999999999988</v>
      </c>
      <c r="I2197" s="2">
        <v>189.04000000000002</v>
      </c>
    </row>
    <row r="2198" spans="1:9" x14ac:dyDescent="0.3">
      <c r="A2198" t="str">
        <f t="shared" si="757"/>
        <v>United States</v>
      </c>
      <c r="B2198" t="str">
        <f t="shared" si="751"/>
        <v>Jackson</v>
      </c>
      <c r="C2198" t="str">
        <f t="shared" si="758"/>
        <v>Standard Class</v>
      </c>
      <c r="D2198" t="str">
        <f t="shared" si="760"/>
        <v>Corporate</v>
      </c>
      <c r="E2198" t="s">
        <v>25</v>
      </c>
      <c r="F2198">
        <v>11</v>
      </c>
      <c r="G2198">
        <v>0</v>
      </c>
      <c r="H2198" s="2">
        <v>529.8981</v>
      </c>
      <c r="I2198" s="2">
        <v>2370.5699999999997</v>
      </c>
    </row>
    <row r="2199" spans="1:9" x14ac:dyDescent="0.3">
      <c r="A2199" t="str">
        <f t="shared" si="757"/>
        <v>United States</v>
      </c>
      <c r="B2199" t="str">
        <f t="shared" si="751"/>
        <v>Jackson</v>
      </c>
      <c r="C2199" t="str">
        <f t="shared" si="758"/>
        <v>Standard Class</v>
      </c>
      <c r="D2199" t="s">
        <v>17</v>
      </c>
      <c r="E2199" t="s">
        <v>23</v>
      </c>
      <c r="F2199">
        <v>12</v>
      </c>
      <c r="G2199">
        <v>0</v>
      </c>
      <c r="H2199" s="2">
        <v>940.96640000000025</v>
      </c>
      <c r="I2199" s="2">
        <v>2548.73</v>
      </c>
    </row>
    <row r="2200" spans="1:9" x14ac:dyDescent="0.3">
      <c r="A2200" t="str">
        <f t="shared" si="757"/>
        <v>United States</v>
      </c>
      <c r="B2200" t="str">
        <f t="shared" si="751"/>
        <v>Jackson</v>
      </c>
      <c r="C2200" t="str">
        <f t="shared" si="758"/>
        <v>Standard Class</v>
      </c>
      <c r="D2200" t="str">
        <f t="shared" ref="D2200:D2208" si="761">D2199</f>
        <v>Home Office</v>
      </c>
      <c r="E2200" t="s">
        <v>19</v>
      </c>
      <c r="F2200">
        <v>14</v>
      </c>
      <c r="G2200">
        <v>0</v>
      </c>
      <c r="H2200" s="2">
        <v>32.550400000000003</v>
      </c>
      <c r="I2200" s="2">
        <v>117.83999999999999</v>
      </c>
    </row>
    <row r="2201" spans="1:9" x14ac:dyDescent="0.3">
      <c r="A2201" t="str">
        <f t="shared" si="757"/>
        <v>United States</v>
      </c>
      <c r="B2201" t="str">
        <f t="shared" si="751"/>
        <v>Jackson</v>
      </c>
      <c r="C2201" t="str">
        <f t="shared" si="758"/>
        <v>Standard Class</v>
      </c>
      <c r="D2201" t="str">
        <f t="shared" si="761"/>
        <v>Home Office</v>
      </c>
      <c r="E2201" t="s">
        <v>20</v>
      </c>
      <c r="F2201">
        <v>19</v>
      </c>
      <c r="G2201">
        <v>0</v>
      </c>
      <c r="H2201" s="2">
        <v>296.63420000000002</v>
      </c>
      <c r="I2201" s="2">
        <v>631.17999999999995</v>
      </c>
    </row>
    <row r="2202" spans="1:9" x14ac:dyDescent="0.3">
      <c r="A2202" t="str">
        <f t="shared" si="757"/>
        <v>United States</v>
      </c>
      <c r="B2202" t="str">
        <f t="shared" si="751"/>
        <v>Jackson</v>
      </c>
      <c r="C2202" t="str">
        <f t="shared" si="758"/>
        <v>Standard Class</v>
      </c>
      <c r="D2202" t="str">
        <f t="shared" si="761"/>
        <v>Home Office</v>
      </c>
      <c r="E2202" t="s">
        <v>18</v>
      </c>
      <c r="F2202">
        <v>3</v>
      </c>
      <c r="G2202">
        <v>0</v>
      </c>
      <c r="H2202" s="2">
        <v>0.23339999999999961</v>
      </c>
      <c r="I2202" s="2">
        <v>23.34</v>
      </c>
    </row>
    <row r="2203" spans="1:9" x14ac:dyDescent="0.3">
      <c r="A2203" t="str">
        <f t="shared" si="757"/>
        <v>United States</v>
      </c>
      <c r="B2203" t="str">
        <f t="shared" si="751"/>
        <v>Jackson</v>
      </c>
      <c r="C2203" t="str">
        <f t="shared" si="758"/>
        <v>Standard Class</v>
      </c>
      <c r="D2203" t="str">
        <f t="shared" si="761"/>
        <v>Home Office</v>
      </c>
      <c r="E2203" t="s">
        <v>21</v>
      </c>
      <c r="F2203">
        <v>8</v>
      </c>
      <c r="G2203">
        <v>0</v>
      </c>
      <c r="H2203" s="2">
        <v>16.083600000000001</v>
      </c>
      <c r="I2203" s="2">
        <v>52.4</v>
      </c>
    </row>
    <row r="2204" spans="1:9" x14ac:dyDescent="0.3">
      <c r="A2204" t="str">
        <f t="shared" si="757"/>
        <v>United States</v>
      </c>
      <c r="B2204" t="str">
        <f t="shared" si="751"/>
        <v>Jackson</v>
      </c>
      <c r="C2204" t="str">
        <f t="shared" si="758"/>
        <v>Standard Class</v>
      </c>
      <c r="D2204" t="str">
        <f t="shared" si="761"/>
        <v>Home Office</v>
      </c>
      <c r="E2204" t="s">
        <v>46</v>
      </c>
      <c r="F2204">
        <v>3</v>
      </c>
      <c r="G2204">
        <v>0.1</v>
      </c>
      <c r="H2204" s="2">
        <v>152.08829999999998</v>
      </c>
      <c r="I2204" s="2">
        <v>350.97300000000007</v>
      </c>
    </row>
    <row r="2205" spans="1:9" x14ac:dyDescent="0.3">
      <c r="A2205" t="str">
        <f t="shared" si="757"/>
        <v>United States</v>
      </c>
      <c r="B2205" t="str">
        <f t="shared" si="751"/>
        <v>Jackson</v>
      </c>
      <c r="C2205" t="str">
        <f t="shared" si="758"/>
        <v>Standard Class</v>
      </c>
      <c r="D2205" t="str">
        <f t="shared" si="761"/>
        <v>Home Office</v>
      </c>
      <c r="E2205" t="s">
        <v>16</v>
      </c>
      <c r="F2205">
        <v>21</v>
      </c>
      <c r="G2205">
        <v>0</v>
      </c>
      <c r="H2205" s="2">
        <v>186.14739999999998</v>
      </c>
      <c r="I2205" s="2">
        <v>403.42</v>
      </c>
    </row>
    <row r="2206" spans="1:9" x14ac:dyDescent="0.3">
      <c r="A2206" t="str">
        <f t="shared" si="757"/>
        <v>United States</v>
      </c>
      <c r="B2206" t="str">
        <f t="shared" si="751"/>
        <v>Jackson</v>
      </c>
      <c r="C2206" t="str">
        <f t="shared" si="758"/>
        <v>Standard Class</v>
      </c>
      <c r="D2206" t="str">
        <f t="shared" si="761"/>
        <v>Home Office</v>
      </c>
      <c r="E2206" t="s">
        <v>24</v>
      </c>
      <c r="F2206">
        <v>12</v>
      </c>
      <c r="G2206">
        <v>0</v>
      </c>
      <c r="H2206" s="2">
        <v>557.66339999999991</v>
      </c>
      <c r="I2206" s="2">
        <v>2022.7199999999998</v>
      </c>
    </row>
    <row r="2207" spans="1:9" x14ac:dyDescent="0.3">
      <c r="A2207" t="str">
        <f t="shared" si="757"/>
        <v>United States</v>
      </c>
      <c r="B2207" t="str">
        <f t="shared" si="751"/>
        <v>Jackson</v>
      </c>
      <c r="C2207" t="str">
        <f t="shared" si="758"/>
        <v>Standard Class</v>
      </c>
      <c r="D2207" t="str">
        <f t="shared" si="761"/>
        <v>Home Office</v>
      </c>
      <c r="E2207" t="s">
        <v>14</v>
      </c>
      <c r="F2207">
        <v>4</v>
      </c>
      <c r="G2207">
        <v>0</v>
      </c>
      <c r="H2207" s="2">
        <v>87.762399999999985</v>
      </c>
      <c r="I2207" s="2">
        <v>379.24</v>
      </c>
    </row>
    <row r="2208" spans="1:9" x14ac:dyDescent="0.3">
      <c r="A2208" t="str">
        <f t="shared" si="757"/>
        <v>United States</v>
      </c>
      <c r="B2208" t="str">
        <f t="shared" si="751"/>
        <v>Jackson</v>
      </c>
      <c r="C2208" t="str">
        <f t="shared" si="758"/>
        <v>Standard Class</v>
      </c>
      <c r="D2208" t="str">
        <f t="shared" si="761"/>
        <v>Home Office</v>
      </c>
      <c r="E2208" t="s">
        <v>9</v>
      </c>
      <c r="F2208">
        <v>4</v>
      </c>
      <c r="G2208">
        <v>0</v>
      </c>
      <c r="H2208" s="2">
        <v>21.035999999999994</v>
      </c>
      <c r="I2208" s="2">
        <v>70.12</v>
      </c>
    </row>
    <row r="2209" spans="1:9" x14ac:dyDescent="0.3">
      <c r="A2209" t="str">
        <f t="shared" si="757"/>
        <v>United States</v>
      </c>
      <c r="B2209" t="s">
        <v>246</v>
      </c>
      <c r="C2209" t="s">
        <v>11</v>
      </c>
      <c r="D2209" t="s">
        <v>8</v>
      </c>
      <c r="E2209" t="s">
        <v>23</v>
      </c>
      <c r="F2209">
        <v>3</v>
      </c>
      <c r="G2209">
        <v>0.2</v>
      </c>
      <c r="H2209" s="2">
        <v>-17.996400000000019</v>
      </c>
      <c r="I2209" s="2">
        <v>119.97600000000001</v>
      </c>
    </row>
    <row r="2210" spans="1:9" x14ac:dyDescent="0.3">
      <c r="A2210" t="str">
        <f t="shared" si="757"/>
        <v>United States</v>
      </c>
      <c r="B2210" t="str">
        <f t="shared" ref="B2210:B2241" si="762">B2209</f>
        <v>Jacksonville</v>
      </c>
      <c r="C2210" t="str">
        <f t="shared" ref="C2210:C2223" si="763">C2209</f>
        <v>First Class</v>
      </c>
      <c r="D2210" t="str">
        <f t="shared" ref="D2210:D2217" si="764">D2209</f>
        <v>Consumer</v>
      </c>
      <c r="E2210" t="s">
        <v>19</v>
      </c>
      <c r="F2210">
        <v>2</v>
      </c>
      <c r="G2210">
        <v>0.2</v>
      </c>
      <c r="H2210" s="2">
        <v>6.0059999999999993</v>
      </c>
      <c r="I2210" s="2">
        <v>18.48</v>
      </c>
    </row>
    <row r="2211" spans="1:9" x14ac:dyDescent="0.3">
      <c r="A2211" t="str">
        <f t="shared" si="757"/>
        <v>United States</v>
      </c>
      <c r="B2211" t="str">
        <f t="shared" si="762"/>
        <v>Jacksonville</v>
      </c>
      <c r="C2211" t="str">
        <f t="shared" si="763"/>
        <v>First Class</v>
      </c>
      <c r="D2211" t="str">
        <f t="shared" si="764"/>
        <v>Consumer</v>
      </c>
      <c r="E2211" t="s">
        <v>20</v>
      </c>
      <c r="F2211">
        <v>1</v>
      </c>
      <c r="G2211">
        <v>0.7</v>
      </c>
      <c r="H2211" s="2">
        <v>-13.363000000000003</v>
      </c>
      <c r="I2211" s="2">
        <v>17.430000000000003</v>
      </c>
    </row>
    <row r="2212" spans="1:9" x14ac:dyDescent="0.3">
      <c r="A2212" t="str">
        <f t="shared" si="757"/>
        <v>United States</v>
      </c>
      <c r="B2212" t="str">
        <f t="shared" si="762"/>
        <v>Jacksonville</v>
      </c>
      <c r="C2212" t="str">
        <f t="shared" si="763"/>
        <v>First Class</v>
      </c>
      <c r="D2212" t="str">
        <f t="shared" si="764"/>
        <v>Consumer</v>
      </c>
      <c r="E2212" t="s">
        <v>38</v>
      </c>
      <c r="F2212">
        <v>1</v>
      </c>
      <c r="G2212">
        <v>0.2</v>
      </c>
      <c r="H2212" s="2">
        <v>7.3385999999999996</v>
      </c>
      <c r="I2212" s="2">
        <v>21.744</v>
      </c>
    </row>
    <row r="2213" spans="1:9" x14ac:dyDescent="0.3">
      <c r="A2213" t="str">
        <f t="shared" si="757"/>
        <v>United States</v>
      </c>
      <c r="B2213" t="str">
        <f t="shared" si="762"/>
        <v>Jacksonville</v>
      </c>
      <c r="C2213" t="str">
        <f t="shared" si="763"/>
        <v>First Class</v>
      </c>
      <c r="D2213" t="str">
        <f t="shared" si="764"/>
        <v>Consumer</v>
      </c>
      <c r="E2213" t="s">
        <v>21</v>
      </c>
      <c r="F2213">
        <v>1</v>
      </c>
      <c r="G2213">
        <v>0.2</v>
      </c>
      <c r="H2213" s="2">
        <v>6.0381999999999998</v>
      </c>
      <c r="I2213" s="2">
        <v>34.504000000000005</v>
      </c>
    </row>
    <row r="2214" spans="1:9" x14ac:dyDescent="0.3">
      <c r="A2214" t="str">
        <f t="shared" si="757"/>
        <v>United States</v>
      </c>
      <c r="B2214" t="str">
        <f t="shared" si="762"/>
        <v>Jacksonville</v>
      </c>
      <c r="C2214" t="str">
        <f t="shared" si="763"/>
        <v>First Class</v>
      </c>
      <c r="D2214" t="str">
        <f t="shared" si="764"/>
        <v>Consumer</v>
      </c>
      <c r="E2214" t="s">
        <v>43</v>
      </c>
      <c r="F2214">
        <v>3</v>
      </c>
      <c r="G2214">
        <v>0.2</v>
      </c>
      <c r="H2214" s="2">
        <v>4.9139999999999988</v>
      </c>
      <c r="I2214" s="2">
        <v>15.120000000000001</v>
      </c>
    </row>
    <row r="2215" spans="1:9" x14ac:dyDescent="0.3">
      <c r="A2215" t="str">
        <f t="shared" si="757"/>
        <v>United States</v>
      </c>
      <c r="B2215" t="str">
        <f t="shared" si="762"/>
        <v>Jacksonville</v>
      </c>
      <c r="C2215" t="str">
        <f t="shared" si="763"/>
        <v>First Class</v>
      </c>
      <c r="D2215" t="str">
        <f t="shared" si="764"/>
        <v>Consumer</v>
      </c>
      <c r="E2215" t="s">
        <v>16</v>
      </c>
      <c r="F2215">
        <v>3</v>
      </c>
      <c r="G2215">
        <v>0.2</v>
      </c>
      <c r="H2215" s="2">
        <v>88.073999999999984</v>
      </c>
      <c r="I2215" s="2">
        <v>251.64</v>
      </c>
    </row>
    <row r="2216" spans="1:9" x14ac:dyDescent="0.3">
      <c r="A2216" t="str">
        <f t="shared" si="757"/>
        <v>United States</v>
      </c>
      <c r="B2216" t="str">
        <f t="shared" si="762"/>
        <v>Jacksonville</v>
      </c>
      <c r="C2216" t="str">
        <f t="shared" si="763"/>
        <v>First Class</v>
      </c>
      <c r="D2216" t="str">
        <f t="shared" si="764"/>
        <v>Consumer</v>
      </c>
      <c r="E2216" t="s">
        <v>24</v>
      </c>
      <c r="F2216">
        <v>8</v>
      </c>
      <c r="G2216">
        <v>0.4</v>
      </c>
      <c r="H2216" s="2">
        <v>5.4906000000000024</v>
      </c>
      <c r="I2216" s="2">
        <v>55.896000000000001</v>
      </c>
    </row>
    <row r="2217" spans="1:9" x14ac:dyDescent="0.3">
      <c r="A2217" t="str">
        <f t="shared" si="757"/>
        <v>United States</v>
      </c>
      <c r="B2217" t="str">
        <f t="shared" si="762"/>
        <v>Jacksonville</v>
      </c>
      <c r="C2217" t="str">
        <f t="shared" si="763"/>
        <v>First Class</v>
      </c>
      <c r="D2217" t="str">
        <f t="shared" si="764"/>
        <v>Consumer</v>
      </c>
      <c r="E2217" t="s">
        <v>14</v>
      </c>
      <c r="F2217">
        <v>5</v>
      </c>
      <c r="G2217">
        <v>0.2</v>
      </c>
      <c r="H2217" s="2">
        <v>5.9184999999999981</v>
      </c>
      <c r="I2217" s="2">
        <v>67.64</v>
      </c>
    </row>
    <row r="2218" spans="1:9" x14ac:dyDescent="0.3">
      <c r="A2218" t="str">
        <f t="shared" si="757"/>
        <v>United States</v>
      </c>
      <c r="B2218" t="str">
        <f t="shared" si="762"/>
        <v>Jacksonville</v>
      </c>
      <c r="C2218" t="str">
        <f t="shared" si="763"/>
        <v>First Class</v>
      </c>
      <c r="D2218" t="s">
        <v>15</v>
      </c>
      <c r="E2218" t="s">
        <v>20</v>
      </c>
      <c r="F2218">
        <v>11</v>
      </c>
      <c r="G2218">
        <v>1.4</v>
      </c>
      <c r="H2218" s="2">
        <v>-33.687599999999989</v>
      </c>
      <c r="I2218" s="2">
        <v>44.51400000000001</v>
      </c>
    </row>
    <row r="2219" spans="1:9" x14ac:dyDescent="0.3">
      <c r="A2219" t="str">
        <f t="shared" si="757"/>
        <v>United States</v>
      </c>
      <c r="B2219" t="str">
        <f t="shared" si="762"/>
        <v>Jacksonville</v>
      </c>
      <c r="C2219" t="str">
        <f t="shared" si="763"/>
        <v>First Class</v>
      </c>
      <c r="D2219" t="str">
        <f t="shared" ref="D2219:D2223" si="765">D2218</f>
        <v>Corporate</v>
      </c>
      <c r="E2219" t="s">
        <v>33</v>
      </c>
      <c r="F2219">
        <v>5</v>
      </c>
      <c r="G2219">
        <v>0.4</v>
      </c>
      <c r="H2219" s="2">
        <v>-2.722800000000035</v>
      </c>
      <c r="I2219" s="2">
        <v>414.98400000000004</v>
      </c>
    </row>
    <row r="2220" spans="1:9" x14ac:dyDescent="0.3">
      <c r="A2220" t="str">
        <f t="shared" si="757"/>
        <v>United States</v>
      </c>
      <c r="B2220" t="str">
        <f t="shared" si="762"/>
        <v>Jacksonville</v>
      </c>
      <c r="C2220" t="str">
        <f t="shared" si="763"/>
        <v>First Class</v>
      </c>
      <c r="D2220" t="str">
        <f t="shared" si="765"/>
        <v>Corporate</v>
      </c>
      <c r="E2220" t="s">
        <v>38</v>
      </c>
      <c r="F2220">
        <v>3</v>
      </c>
      <c r="G2220">
        <v>0.2</v>
      </c>
      <c r="H2220" s="2">
        <v>22.015799999999999</v>
      </c>
      <c r="I2220" s="2">
        <v>65.231999999999999</v>
      </c>
    </row>
    <row r="2221" spans="1:9" x14ac:dyDescent="0.3">
      <c r="A2221" t="str">
        <f t="shared" si="757"/>
        <v>United States</v>
      </c>
      <c r="B2221" t="str">
        <f t="shared" si="762"/>
        <v>Jacksonville</v>
      </c>
      <c r="C2221" t="str">
        <f t="shared" si="763"/>
        <v>First Class</v>
      </c>
      <c r="D2221" t="str">
        <f t="shared" si="765"/>
        <v>Corporate</v>
      </c>
      <c r="E2221" t="s">
        <v>21</v>
      </c>
      <c r="F2221">
        <v>4</v>
      </c>
      <c r="G2221">
        <v>0.4</v>
      </c>
      <c r="H2221" s="2">
        <v>6.8477999999999959</v>
      </c>
      <c r="I2221" s="2">
        <v>52.656000000000006</v>
      </c>
    </row>
    <row r="2222" spans="1:9" x14ac:dyDescent="0.3">
      <c r="A2222" t="str">
        <f t="shared" si="757"/>
        <v>United States</v>
      </c>
      <c r="B2222" t="str">
        <f t="shared" si="762"/>
        <v>Jacksonville</v>
      </c>
      <c r="C2222" t="str">
        <f t="shared" si="763"/>
        <v>First Class</v>
      </c>
      <c r="D2222" t="str">
        <f t="shared" si="765"/>
        <v>Corporate</v>
      </c>
      <c r="E2222" t="s">
        <v>46</v>
      </c>
      <c r="F2222">
        <v>2</v>
      </c>
      <c r="G2222">
        <v>0.5</v>
      </c>
      <c r="H2222" s="2">
        <v>-27.827999999999975</v>
      </c>
      <c r="I2222" s="2">
        <v>695.7</v>
      </c>
    </row>
    <row r="2223" spans="1:9" x14ac:dyDescent="0.3">
      <c r="A2223" t="str">
        <f t="shared" si="757"/>
        <v>United States</v>
      </c>
      <c r="B2223" t="str">
        <f t="shared" si="762"/>
        <v>Jacksonville</v>
      </c>
      <c r="C2223" t="str">
        <f t="shared" si="763"/>
        <v>First Class</v>
      </c>
      <c r="D2223" t="str">
        <f t="shared" si="765"/>
        <v>Corporate</v>
      </c>
      <c r="E2223" t="s">
        <v>16</v>
      </c>
      <c r="F2223">
        <v>4</v>
      </c>
      <c r="G2223">
        <v>0.4</v>
      </c>
      <c r="H2223" s="2">
        <v>43.707999999999998</v>
      </c>
      <c r="I2223" s="2">
        <v>124.88</v>
      </c>
    </row>
    <row r="2224" spans="1:9" x14ac:dyDescent="0.3">
      <c r="A2224" t="str">
        <f t="shared" si="757"/>
        <v>United States</v>
      </c>
      <c r="B2224" t="str">
        <f t="shared" si="762"/>
        <v>Jacksonville</v>
      </c>
      <c r="C2224" t="s">
        <v>27</v>
      </c>
      <c r="D2224" t="s">
        <v>8</v>
      </c>
      <c r="E2224" t="s">
        <v>19</v>
      </c>
      <c r="F2224">
        <v>2</v>
      </c>
      <c r="G2224">
        <v>0.2</v>
      </c>
      <c r="H2224" s="2">
        <v>1.1119999999999999</v>
      </c>
      <c r="I2224" s="2">
        <v>4.4479999999999995</v>
      </c>
    </row>
    <row r="2225" spans="1:9" x14ac:dyDescent="0.3">
      <c r="A2225" t="str">
        <f t="shared" si="757"/>
        <v>United States</v>
      </c>
      <c r="B2225" t="str">
        <f t="shared" si="762"/>
        <v>Jacksonville</v>
      </c>
      <c r="C2225" t="str">
        <f t="shared" ref="C2225:C2229" si="766">C2224</f>
        <v>Same Day</v>
      </c>
      <c r="D2225" t="str">
        <f t="shared" ref="D2225:D2228" si="767">D2224</f>
        <v>Consumer</v>
      </c>
      <c r="E2225" t="s">
        <v>21</v>
      </c>
      <c r="F2225">
        <v>4</v>
      </c>
      <c r="G2225">
        <v>0.2</v>
      </c>
      <c r="H2225" s="2">
        <v>6.0411999999999964</v>
      </c>
      <c r="I2225" s="2">
        <v>43.936000000000007</v>
      </c>
    </row>
    <row r="2226" spans="1:9" x14ac:dyDescent="0.3">
      <c r="A2226" t="str">
        <f t="shared" si="757"/>
        <v>United States</v>
      </c>
      <c r="B2226" t="str">
        <f t="shared" si="762"/>
        <v>Jacksonville</v>
      </c>
      <c r="C2226" t="str">
        <f t="shared" si="766"/>
        <v>Same Day</v>
      </c>
      <c r="D2226" t="str">
        <f t="shared" si="767"/>
        <v>Consumer</v>
      </c>
      <c r="E2226" t="s">
        <v>16</v>
      </c>
      <c r="F2226">
        <v>7</v>
      </c>
      <c r="G2226">
        <v>0.60000000000000009</v>
      </c>
      <c r="H2226" s="2">
        <v>16.684199999999997</v>
      </c>
      <c r="I2226" s="2">
        <v>48</v>
      </c>
    </row>
    <row r="2227" spans="1:9" x14ac:dyDescent="0.3">
      <c r="A2227" t="str">
        <f t="shared" si="757"/>
        <v>United States</v>
      </c>
      <c r="B2227" t="str">
        <f t="shared" si="762"/>
        <v>Jacksonville</v>
      </c>
      <c r="C2227" t="str">
        <f t="shared" si="766"/>
        <v>Same Day</v>
      </c>
      <c r="D2227" t="str">
        <f t="shared" si="767"/>
        <v>Consumer</v>
      </c>
      <c r="E2227" t="s">
        <v>24</v>
      </c>
      <c r="F2227">
        <v>5</v>
      </c>
      <c r="G2227">
        <v>0.2</v>
      </c>
      <c r="H2227" s="2">
        <v>51.497499999999974</v>
      </c>
      <c r="I2227" s="2">
        <v>823.96000000000015</v>
      </c>
    </row>
    <row r="2228" spans="1:9" x14ac:dyDescent="0.3">
      <c r="A2228" t="str">
        <f t="shared" si="757"/>
        <v>United States</v>
      </c>
      <c r="B2228" t="str">
        <f t="shared" si="762"/>
        <v>Jacksonville</v>
      </c>
      <c r="C2228" t="str">
        <f t="shared" si="766"/>
        <v>Same Day</v>
      </c>
      <c r="D2228" t="str">
        <f t="shared" si="767"/>
        <v>Consumer</v>
      </c>
      <c r="E2228" t="s">
        <v>14</v>
      </c>
      <c r="F2228">
        <v>2</v>
      </c>
      <c r="G2228">
        <v>0.2</v>
      </c>
      <c r="H2228" s="2">
        <v>-0.7748000000000006</v>
      </c>
      <c r="I2228" s="2">
        <v>4.7679999999999998</v>
      </c>
    </row>
    <row r="2229" spans="1:9" x14ac:dyDescent="0.3">
      <c r="A2229" t="str">
        <f t="shared" si="757"/>
        <v>United States</v>
      </c>
      <c r="B2229" t="str">
        <f t="shared" si="762"/>
        <v>Jacksonville</v>
      </c>
      <c r="C2229" t="str">
        <f t="shared" si="766"/>
        <v>Same Day</v>
      </c>
      <c r="D2229" t="s">
        <v>17</v>
      </c>
      <c r="E2229" t="s">
        <v>23</v>
      </c>
      <c r="F2229">
        <v>4</v>
      </c>
      <c r="G2229">
        <v>0.2</v>
      </c>
      <c r="H2229" s="2">
        <v>31.995999999999974</v>
      </c>
      <c r="I2229" s="2">
        <v>255.96799999999999</v>
      </c>
    </row>
    <row r="2230" spans="1:9" x14ac:dyDescent="0.3">
      <c r="A2230" t="str">
        <f t="shared" si="757"/>
        <v>United States</v>
      </c>
      <c r="B2230" t="str">
        <f t="shared" si="762"/>
        <v>Jacksonville</v>
      </c>
      <c r="C2230" t="s">
        <v>7</v>
      </c>
      <c r="D2230" t="s">
        <v>8</v>
      </c>
      <c r="E2230" t="s">
        <v>23</v>
      </c>
      <c r="F2230">
        <v>2</v>
      </c>
      <c r="G2230">
        <v>0.4</v>
      </c>
      <c r="H2230" s="2">
        <v>29.196599999999997</v>
      </c>
      <c r="I2230" s="2">
        <v>127.98400000000001</v>
      </c>
    </row>
    <row r="2231" spans="1:9" x14ac:dyDescent="0.3">
      <c r="A2231" t="str">
        <f t="shared" si="757"/>
        <v>United States</v>
      </c>
      <c r="B2231" t="str">
        <f t="shared" si="762"/>
        <v>Jacksonville</v>
      </c>
      <c r="C2231" t="str">
        <f t="shared" ref="C2231:C2249" si="768">C2230</f>
        <v>Second Class</v>
      </c>
      <c r="D2231" t="str">
        <f t="shared" ref="D2231:D2237" si="769">D2230</f>
        <v>Consumer</v>
      </c>
      <c r="E2231" t="s">
        <v>12</v>
      </c>
      <c r="F2231">
        <v>2</v>
      </c>
      <c r="G2231">
        <v>0.2</v>
      </c>
      <c r="H2231" s="2">
        <v>6.5339999999999971</v>
      </c>
      <c r="I2231" s="2">
        <v>34.848000000000006</v>
      </c>
    </row>
    <row r="2232" spans="1:9" x14ac:dyDescent="0.3">
      <c r="A2232" t="str">
        <f t="shared" si="757"/>
        <v>United States</v>
      </c>
      <c r="B2232" t="str">
        <f t="shared" si="762"/>
        <v>Jacksonville</v>
      </c>
      <c r="C2232" t="str">
        <f t="shared" si="768"/>
        <v>Second Class</v>
      </c>
      <c r="D2232" t="str">
        <f t="shared" si="769"/>
        <v>Consumer</v>
      </c>
      <c r="E2232" t="s">
        <v>19</v>
      </c>
      <c r="F2232">
        <v>3</v>
      </c>
      <c r="G2232">
        <v>0.2</v>
      </c>
      <c r="H2232" s="2">
        <v>0.3822000000000001</v>
      </c>
      <c r="I2232" s="2">
        <v>4.3680000000000003</v>
      </c>
    </row>
    <row r="2233" spans="1:9" x14ac:dyDescent="0.3">
      <c r="A2233" t="str">
        <f t="shared" si="757"/>
        <v>United States</v>
      </c>
      <c r="B2233" t="str">
        <f t="shared" si="762"/>
        <v>Jacksonville</v>
      </c>
      <c r="C2233" t="str">
        <f t="shared" si="768"/>
        <v>Second Class</v>
      </c>
      <c r="D2233" t="str">
        <f t="shared" si="769"/>
        <v>Consumer</v>
      </c>
      <c r="E2233" t="s">
        <v>20</v>
      </c>
      <c r="F2233">
        <v>8</v>
      </c>
      <c r="G2233">
        <v>0.7</v>
      </c>
      <c r="H2233" s="2">
        <v>-8.2367999999999988</v>
      </c>
      <c r="I2233" s="2">
        <v>11.232000000000001</v>
      </c>
    </row>
    <row r="2234" spans="1:9" x14ac:dyDescent="0.3">
      <c r="A2234" t="str">
        <f t="shared" si="757"/>
        <v>United States</v>
      </c>
      <c r="B2234" t="str">
        <f t="shared" si="762"/>
        <v>Jacksonville</v>
      </c>
      <c r="C2234" t="str">
        <f t="shared" si="768"/>
        <v>Second Class</v>
      </c>
      <c r="D2234" t="str">
        <f t="shared" si="769"/>
        <v>Consumer</v>
      </c>
      <c r="E2234" t="s">
        <v>34</v>
      </c>
      <c r="F2234">
        <v>4</v>
      </c>
      <c r="G2234">
        <v>0.2</v>
      </c>
      <c r="H2234" s="2">
        <v>-7.7727999999999895</v>
      </c>
      <c r="I2234" s="2">
        <v>155.45600000000002</v>
      </c>
    </row>
    <row r="2235" spans="1:9" x14ac:dyDescent="0.3">
      <c r="A2235" t="str">
        <f t="shared" si="757"/>
        <v>United States</v>
      </c>
      <c r="B2235" t="str">
        <f t="shared" si="762"/>
        <v>Jacksonville</v>
      </c>
      <c r="C2235" t="str">
        <f t="shared" si="768"/>
        <v>Second Class</v>
      </c>
      <c r="D2235" t="str">
        <f t="shared" si="769"/>
        <v>Consumer</v>
      </c>
      <c r="E2235" t="s">
        <v>21</v>
      </c>
      <c r="F2235">
        <v>3</v>
      </c>
      <c r="G2235">
        <v>0.2</v>
      </c>
      <c r="H2235" s="2">
        <v>-2.2758000000000109</v>
      </c>
      <c r="I2235" s="2">
        <v>91.032000000000011</v>
      </c>
    </row>
    <row r="2236" spans="1:9" x14ac:dyDescent="0.3">
      <c r="A2236" t="str">
        <f t="shared" si="757"/>
        <v>United States</v>
      </c>
      <c r="B2236" t="str">
        <f t="shared" si="762"/>
        <v>Jacksonville</v>
      </c>
      <c r="C2236" t="str">
        <f t="shared" si="768"/>
        <v>Second Class</v>
      </c>
      <c r="D2236" t="str">
        <f t="shared" si="769"/>
        <v>Consumer</v>
      </c>
      <c r="E2236" t="s">
        <v>16</v>
      </c>
      <c r="F2236">
        <v>3</v>
      </c>
      <c r="G2236">
        <v>0.2</v>
      </c>
      <c r="H2236" s="2">
        <v>3.2099999999999982</v>
      </c>
      <c r="I2236" s="2">
        <v>10.272000000000002</v>
      </c>
    </row>
    <row r="2237" spans="1:9" x14ac:dyDescent="0.3">
      <c r="A2237" t="str">
        <f t="shared" si="757"/>
        <v>United States</v>
      </c>
      <c r="B2237" t="str">
        <f t="shared" si="762"/>
        <v>Jacksonville</v>
      </c>
      <c r="C2237" t="str">
        <f t="shared" si="768"/>
        <v>Second Class</v>
      </c>
      <c r="D2237" t="str">
        <f t="shared" si="769"/>
        <v>Consumer</v>
      </c>
      <c r="E2237" t="s">
        <v>24</v>
      </c>
      <c r="F2237">
        <v>5</v>
      </c>
      <c r="G2237">
        <v>0.2</v>
      </c>
      <c r="H2237" s="2">
        <v>1.375</v>
      </c>
      <c r="I2237" s="2">
        <v>22</v>
      </c>
    </row>
    <row r="2238" spans="1:9" x14ac:dyDescent="0.3">
      <c r="A2238" t="str">
        <f t="shared" si="757"/>
        <v>United States</v>
      </c>
      <c r="B2238" t="str">
        <f t="shared" si="762"/>
        <v>Jacksonville</v>
      </c>
      <c r="C2238" t="str">
        <f t="shared" si="768"/>
        <v>Second Class</v>
      </c>
      <c r="D2238" t="s">
        <v>15</v>
      </c>
      <c r="E2238" t="s">
        <v>23</v>
      </c>
      <c r="F2238">
        <v>15</v>
      </c>
      <c r="G2238">
        <v>0.4</v>
      </c>
      <c r="H2238" s="2">
        <v>193.07579999999993</v>
      </c>
      <c r="I2238" s="2">
        <v>908.5920000000001</v>
      </c>
    </row>
    <row r="2239" spans="1:9" x14ac:dyDescent="0.3">
      <c r="A2239" t="str">
        <f t="shared" si="757"/>
        <v>United States</v>
      </c>
      <c r="B2239" t="str">
        <f t="shared" si="762"/>
        <v>Jacksonville</v>
      </c>
      <c r="C2239" t="str">
        <f t="shared" si="768"/>
        <v>Second Class</v>
      </c>
      <c r="D2239" t="str">
        <f t="shared" ref="D2239:D2245" si="770">D2238</f>
        <v>Corporate</v>
      </c>
      <c r="E2239" t="s">
        <v>12</v>
      </c>
      <c r="F2239">
        <v>3</v>
      </c>
      <c r="G2239">
        <v>0.2</v>
      </c>
      <c r="H2239" s="2">
        <v>1.8207000000000013</v>
      </c>
      <c r="I2239" s="2">
        <v>20.808</v>
      </c>
    </row>
    <row r="2240" spans="1:9" x14ac:dyDescent="0.3">
      <c r="A2240" t="str">
        <f t="shared" si="757"/>
        <v>United States</v>
      </c>
      <c r="B2240" t="str">
        <f t="shared" si="762"/>
        <v>Jacksonville</v>
      </c>
      <c r="C2240" t="str">
        <f t="shared" si="768"/>
        <v>Second Class</v>
      </c>
      <c r="D2240" t="str">
        <f t="shared" si="770"/>
        <v>Corporate</v>
      </c>
      <c r="E2240" t="s">
        <v>19</v>
      </c>
      <c r="F2240">
        <v>2</v>
      </c>
      <c r="G2240">
        <v>0.2</v>
      </c>
      <c r="H2240" s="2">
        <v>0.59039999999999915</v>
      </c>
      <c r="I2240" s="2">
        <v>5.2480000000000002</v>
      </c>
    </row>
    <row r="2241" spans="1:9" x14ac:dyDescent="0.3">
      <c r="A2241" t="str">
        <f t="shared" si="757"/>
        <v>United States</v>
      </c>
      <c r="B2241" t="str">
        <f t="shared" si="762"/>
        <v>Jacksonville</v>
      </c>
      <c r="C2241" t="str">
        <f t="shared" si="768"/>
        <v>Second Class</v>
      </c>
      <c r="D2241" t="str">
        <f t="shared" si="770"/>
        <v>Corporate</v>
      </c>
      <c r="E2241" t="s">
        <v>20</v>
      </c>
      <c r="F2241">
        <v>3</v>
      </c>
      <c r="G2241">
        <v>0.7</v>
      </c>
      <c r="H2241" s="2">
        <v>-3.0933000000000002</v>
      </c>
      <c r="I2241" s="2">
        <v>4.4190000000000005</v>
      </c>
    </row>
    <row r="2242" spans="1:9" x14ac:dyDescent="0.3">
      <c r="A2242" t="str">
        <f t="shared" si="757"/>
        <v>United States</v>
      </c>
      <c r="B2242" t="str">
        <f t="shared" ref="B2242:B2273" si="771">B2241</f>
        <v>Jacksonville</v>
      </c>
      <c r="C2242" t="str">
        <f t="shared" si="768"/>
        <v>Second Class</v>
      </c>
      <c r="D2242" t="str">
        <f t="shared" si="770"/>
        <v>Corporate</v>
      </c>
      <c r="E2242" t="s">
        <v>33</v>
      </c>
      <c r="F2242">
        <v>3</v>
      </c>
      <c r="G2242">
        <v>0.2</v>
      </c>
      <c r="H2242" s="2">
        <v>-19.105800000000016</v>
      </c>
      <c r="I2242" s="2">
        <v>218.35200000000003</v>
      </c>
    </row>
    <row r="2243" spans="1:9" x14ac:dyDescent="0.3">
      <c r="A2243" t="str">
        <f t="shared" si="757"/>
        <v>United States</v>
      </c>
      <c r="B2243" t="str">
        <f t="shared" si="771"/>
        <v>Jacksonville</v>
      </c>
      <c r="C2243" t="str">
        <f t="shared" si="768"/>
        <v>Second Class</v>
      </c>
      <c r="D2243" t="str">
        <f t="shared" si="770"/>
        <v>Corporate</v>
      </c>
      <c r="E2243" t="s">
        <v>21</v>
      </c>
      <c r="F2243">
        <v>5</v>
      </c>
      <c r="G2243">
        <v>0.2</v>
      </c>
      <c r="H2243" s="2">
        <v>1.8479999999999985</v>
      </c>
      <c r="I2243" s="2">
        <v>12.320000000000002</v>
      </c>
    </row>
    <row r="2244" spans="1:9" x14ac:dyDescent="0.3">
      <c r="A2244" t="str">
        <f t="shared" ref="A2244:A2307" si="772">A2243</f>
        <v>United States</v>
      </c>
      <c r="B2244" t="str">
        <f t="shared" si="771"/>
        <v>Jacksonville</v>
      </c>
      <c r="C2244" t="str">
        <f t="shared" si="768"/>
        <v>Second Class</v>
      </c>
      <c r="D2244" t="str">
        <f t="shared" si="770"/>
        <v>Corporate</v>
      </c>
      <c r="E2244" t="s">
        <v>43</v>
      </c>
      <c r="F2244">
        <v>3</v>
      </c>
      <c r="G2244">
        <v>0.2</v>
      </c>
      <c r="H2244" s="2">
        <v>2.0358000000000001</v>
      </c>
      <c r="I2244" s="2">
        <v>6.2640000000000002</v>
      </c>
    </row>
    <row r="2245" spans="1:9" x14ac:dyDescent="0.3">
      <c r="A2245" t="str">
        <f t="shared" si="772"/>
        <v>United States</v>
      </c>
      <c r="B2245" t="str">
        <f t="shared" si="771"/>
        <v>Jacksonville</v>
      </c>
      <c r="C2245" t="str">
        <f t="shared" si="768"/>
        <v>Second Class</v>
      </c>
      <c r="D2245" t="str">
        <f t="shared" si="770"/>
        <v>Corporate</v>
      </c>
      <c r="E2245" t="s">
        <v>24</v>
      </c>
      <c r="F2245">
        <v>5</v>
      </c>
      <c r="G2245">
        <v>0.4</v>
      </c>
      <c r="H2245" s="2">
        <v>-0.51569999999999983</v>
      </c>
      <c r="I2245" s="2">
        <v>83.160000000000011</v>
      </c>
    </row>
    <row r="2246" spans="1:9" x14ac:dyDescent="0.3">
      <c r="A2246" t="str">
        <f t="shared" si="772"/>
        <v>United States</v>
      </c>
      <c r="B2246" t="str">
        <f t="shared" si="771"/>
        <v>Jacksonville</v>
      </c>
      <c r="C2246" t="str">
        <f t="shared" si="768"/>
        <v>Second Class</v>
      </c>
      <c r="D2246" t="s">
        <v>17</v>
      </c>
      <c r="E2246" t="s">
        <v>23</v>
      </c>
      <c r="F2246">
        <v>7</v>
      </c>
      <c r="G2246">
        <v>0.2</v>
      </c>
      <c r="H2246" s="2">
        <v>50.383200000000016</v>
      </c>
      <c r="I2246" s="2">
        <v>167.94400000000002</v>
      </c>
    </row>
    <row r="2247" spans="1:9" x14ac:dyDescent="0.3">
      <c r="A2247" t="str">
        <f t="shared" si="772"/>
        <v>United States</v>
      </c>
      <c r="B2247" t="str">
        <f t="shared" si="771"/>
        <v>Jacksonville</v>
      </c>
      <c r="C2247" t="str">
        <f t="shared" si="768"/>
        <v>Second Class</v>
      </c>
      <c r="D2247" t="str">
        <f t="shared" ref="D2247:D2249" si="773">D2246</f>
        <v>Home Office</v>
      </c>
      <c r="E2247" t="s">
        <v>33</v>
      </c>
      <c r="F2247">
        <v>5</v>
      </c>
      <c r="G2247">
        <v>0.2</v>
      </c>
      <c r="H2247" s="2">
        <v>131.27849999999995</v>
      </c>
      <c r="I2247" s="2">
        <v>1166.92</v>
      </c>
    </row>
    <row r="2248" spans="1:9" x14ac:dyDescent="0.3">
      <c r="A2248" t="str">
        <f t="shared" si="772"/>
        <v>United States</v>
      </c>
      <c r="B2248" t="str">
        <f t="shared" si="771"/>
        <v>Jacksonville</v>
      </c>
      <c r="C2248" t="str">
        <f t="shared" si="768"/>
        <v>Second Class</v>
      </c>
      <c r="D2248" t="str">
        <f t="shared" si="773"/>
        <v>Home Office</v>
      </c>
      <c r="E2248" t="s">
        <v>38</v>
      </c>
      <c r="F2248">
        <v>2</v>
      </c>
      <c r="G2248">
        <v>0.2</v>
      </c>
      <c r="H2248" s="2">
        <v>4.4311999999999996</v>
      </c>
      <c r="I2248" s="2">
        <v>12.224</v>
      </c>
    </row>
    <row r="2249" spans="1:9" x14ac:dyDescent="0.3">
      <c r="A2249" t="str">
        <f t="shared" si="772"/>
        <v>United States</v>
      </c>
      <c r="B2249" t="str">
        <f t="shared" si="771"/>
        <v>Jacksonville</v>
      </c>
      <c r="C2249" t="str">
        <f t="shared" si="768"/>
        <v>Second Class</v>
      </c>
      <c r="D2249" t="str">
        <f t="shared" si="773"/>
        <v>Home Office</v>
      </c>
      <c r="E2249" t="s">
        <v>16</v>
      </c>
      <c r="F2249">
        <v>5</v>
      </c>
      <c r="G2249">
        <v>0.4</v>
      </c>
      <c r="H2249" s="2">
        <v>59.743199999999987</v>
      </c>
      <c r="I2249" s="2">
        <v>172</v>
      </c>
    </row>
    <row r="2250" spans="1:9" x14ac:dyDescent="0.3">
      <c r="A2250" t="str">
        <f t="shared" si="772"/>
        <v>United States</v>
      </c>
      <c r="B2250" t="str">
        <f t="shared" si="771"/>
        <v>Jacksonville</v>
      </c>
      <c r="C2250" t="s">
        <v>22</v>
      </c>
      <c r="D2250" t="s">
        <v>8</v>
      </c>
      <c r="E2250" t="s">
        <v>23</v>
      </c>
      <c r="F2250">
        <v>8</v>
      </c>
      <c r="G2250">
        <v>0.60000000000000009</v>
      </c>
      <c r="H2250" s="2">
        <v>-15.325199999999993</v>
      </c>
      <c r="I2250" s="2">
        <v>294.50400000000002</v>
      </c>
    </row>
    <row r="2251" spans="1:9" x14ac:dyDescent="0.3">
      <c r="A2251" t="str">
        <f t="shared" si="772"/>
        <v>United States</v>
      </c>
      <c r="B2251" t="str">
        <f t="shared" si="771"/>
        <v>Jacksonville</v>
      </c>
      <c r="C2251" t="str">
        <f t="shared" ref="C2251:C2279" si="774">C2250</f>
        <v>Standard Class</v>
      </c>
      <c r="D2251" t="str">
        <f t="shared" ref="D2251:D2262" si="775">D2250</f>
        <v>Consumer</v>
      </c>
      <c r="E2251" t="s">
        <v>12</v>
      </c>
      <c r="F2251">
        <v>4</v>
      </c>
      <c r="G2251">
        <v>0.2</v>
      </c>
      <c r="H2251" s="2">
        <v>156.33799999999997</v>
      </c>
      <c r="I2251" s="2">
        <v>962.07999999999993</v>
      </c>
    </row>
    <row r="2252" spans="1:9" x14ac:dyDescent="0.3">
      <c r="A2252" t="str">
        <f t="shared" si="772"/>
        <v>United States</v>
      </c>
      <c r="B2252" t="str">
        <f t="shared" si="771"/>
        <v>Jacksonville</v>
      </c>
      <c r="C2252" t="str">
        <f t="shared" si="774"/>
        <v>Standard Class</v>
      </c>
      <c r="D2252" t="str">
        <f t="shared" si="775"/>
        <v>Consumer</v>
      </c>
      <c r="E2252" t="s">
        <v>19</v>
      </c>
      <c r="F2252">
        <v>5</v>
      </c>
      <c r="G2252">
        <v>0.4</v>
      </c>
      <c r="H2252" s="2">
        <v>4.7392000000000003</v>
      </c>
      <c r="I2252" s="2">
        <v>56.96</v>
      </c>
    </row>
    <row r="2253" spans="1:9" x14ac:dyDescent="0.3">
      <c r="A2253" t="str">
        <f t="shared" si="772"/>
        <v>United States</v>
      </c>
      <c r="B2253" t="str">
        <f t="shared" si="771"/>
        <v>Jacksonville</v>
      </c>
      <c r="C2253" t="str">
        <f t="shared" si="774"/>
        <v>Standard Class</v>
      </c>
      <c r="D2253" t="str">
        <f t="shared" si="775"/>
        <v>Consumer</v>
      </c>
      <c r="E2253" t="s">
        <v>20</v>
      </c>
      <c r="F2253">
        <v>24</v>
      </c>
      <c r="G2253">
        <v>4.9000000000000004</v>
      </c>
      <c r="H2253" s="2">
        <v>-117.52669999999996</v>
      </c>
      <c r="I2253" s="2">
        <v>155.21100000000001</v>
      </c>
    </row>
    <row r="2254" spans="1:9" x14ac:dyDescent="0.3">
      <c r="A2254" t="str">
        <f t="shared" si="772"/>
        <v>United States</v>
      </c>
      <c r="B2254" t="str">
        <f t="shared" si="771"/>
        <v>Jacksonville</v>
      </c>
      <c r="C2254" t="str">
        <f t="shared" si="774"/>
        <v>Standard Class</v>
      </c>
      <c r="D2254" t="str">
        <f t="shared" si="775"/>
        <v>Consumer</v>
      </c>
      <c r="E2254" t="s">
        <v>33</v>
      </c>
      <c r="F2254">
        <v>6</v>
      </c>
      <c r="G2254">
        <v>0.4</v>
      </c>
      <c r="H2254" s="2">
        <v>10.2592</v>
      </c>
      <c r="I2254" s="2">
        <v>2906.5120000000002</v>
      </c>
    </row>
    <row r="2255" spans="1:9" x14ac:dyDescent="0.3">
      <c r="A2255" t="str">
        <f t="shared" si="772"/>
        <v>United States</v>
      </c>
      <c r="B2255" t="str">
        <f t="shared" si="771"/>
        <v>Jacksonville</v>
      </c>
      <c r="C2255" t="str">
        <f t="shared" si="774"/>
        <v>Standard Class</v>
      </c>
      <c r="D2255" t="str">
        <f t="shared" si="775"/>
        <v>Consumer</v>
      </c>
      <c r="E2255" t="s">
        <v>38</v>
      </c>
      <c r="F2255">
        <v>4</v>
      </c>
      <c r="G2255">
        <v>0.2</v>
      </c>
      <c r="H2255" s="2">
        <v>13.127999999999998</v>
      </c>
      <c r="I2255" s="2">
        <v>35.008000000000003</v>
      </c>
    </row>
    <row r="2256" spans="1:9" x14ac:dyDescent="0.3">
      <c r="A2256" t="str">
        <f t="shared" si="772"/>
        <v>United States</v>
      </c>
      <c r="B2256" t="str">
        <f t="shared" si="771"/>
        <v>Jacksonville</v>
      </c>
      <c r="C2256" t="str">
        <f t="shared" si="774"/>
        <v>Standard Class</v>
      </c>
      <c r="D2256" t="str">
        <f t="shared" si="775"/>
        <v>Consumer</v>
      </c>
      <c r="E2256" t="s">
        <v>21</v>
      </c>
      <c r="F2256">
        <v>6</v>
      </c>
      <c r="G2256">
        <v>0.4</v>
      </c>
      <c r="H2256" s="2">
        <v>-38.626800000000046</v>
      </c>
      <c r="I2256" s="2">
        <v>488.30399999999997</v>
      </c>
    </row>
    <row r="2257" spans="1:9" x14ac:dyDescent="0.3">
      <c r="A2257" t="str">
        <f t="shared" si="772"/>
        <v>United States</v>
      </c>
      <c r="B2257" t="str">
        <f t="shared" si="771"/>
        <v>Jacksonville</v>
      </c>
      <c r="C2257" t="str">
        <f t="shared" si="774"/>
        <v>Standard Class</v>
      </c>
      <c r="D2257" t="str">
        <f t="shared" si="775"/>
        <v>Consumer</v>
      </c>
      <c r="E2257" t="s">
        <v>43</v>
      </c>
      <c r="F2257">
        <v>1</v>
      </c>
      <c r="G2257">
        <v>0.2</v>
      </c>
      <c r="H2257" s="2">
        <v>1.0499999999999998</v>
      </c>
      <c r="I2257" s="2">
        <v>3</v>
      </c>
    </row>
    <row r="2258" spans="1:9" x14ac:dyDescent="0.3">
      <c r="A2258" t="str">
        <f t="shared" si="772"/>
        <v>United States</v>
      </c>
      <c r="B2258" t="str">
        <f t="shared" si="771"/>
        <v>Jacksonville</v>
      </c>
      <c r="C2258" t="str">
        <f t="shared" si="774"/>
        <v>Standard Class</v>
      </c>
      <c r="D2258" t="str">
        <f t="shared" si="775"/>
        <v>Consumer</v>
      </c>
      <c r="E2258" t="s">
        <v>16</v>
      </c>
      <c r="F2258">
        <v>31</v>
      </c>
      <c r="G2258">
        <v>1.4</v>
      </c>
      <c r="H2258" s="2">
        <v>231.66259999999994</v>
      </c>
      <c r="I2258" s="2">
        <v>676.37600000000009</v>
      </c>
    </row>
    <row r="2259" spans="1:9" x14ac:dyDescent="0.3">
      <c r="A2259" t="str">
        <f t="shared" si="772"/>
        <v>United States</v>
      </c>
      <c r="B2259" t="str">
        <f t="shared" si="771"/>
        <v>Jacksonville</v>
      </c>
      <c r="C2259" t="str">
        <f t="shared" si="774"/>
        <v>Standard Class</v>
      </c>
      <c r="D2259" t="str">
        <f t="shared" si="775"/>
        <v>Consumer</v>
      </c>
      <c r="E2259" t="s">
        <v>24</v>
      </c>
      <c r="F2259">
        <v>9</v>
      </c>
      <c r="G2259">
        <v>0.60000000000000009</v>
      </c>
      <c r="H2259" s="2">
        <v>126.82039999999996</v>
      </c>
      <c r="I2259" s="2">
        <v>1065.4319999999998</v>
      </c>
    </row>
    <row r="2260" spans="1:9" x14ac:dyDescent="0.3">
      <c r="A2260" t="str">
        <f t="shared" si="772"/>
        <v>United States</v>
      </c>
      <c r="B2260" t="str">
        <f t="shared" si="771"/>
        <v>Jacksonville</v>
      </c>
      <c r="C2260" t="str">
        <f t="shared" si="774"/>
        <v>Standard Class</v>
      </c>
      <c r="D2260" t="str">
        <f t="shared" si="775"/>
        <v>Consumer</v>
      </c>
      <c r="E2260" t="s">
        <v>14</v>
      </c>
      <c r="F2260">
        <v>8</v>
      </c>
      <c r="G2260">
        <v>0.4</v>
      </c>
      <c r="H2260" s="2">
        <v>-339.43000000000006</v>
      </c>
      <c r="I2260" s="2">
        <v>1827.616</v>
      </c>
    </row>
    <row r="2261" spans="1:9" x14ac:dyDescent="0.3">
      <c r="A2261" t="str">
        <f t="shared" si="772"/>
        <v>United States</v>
      </c>
      <c r="B2261" t="str">
        <f t="shared" si="771"/>
        <v>Jacksonville</v>
      </c>
      <c r="C2261" t="str">
        <f t="shared" si="774"/>
        <v>Standard Class</v>
      </c>
      <c r="D2261" t="str">
        <f t="shared" si="775"/>
        <v>Consumer</v>
      </c>
      <c r="E2261" t="s">
        <v>9</v>
      </c>
      <c r="F2261">
        <v>4</v>
      </c>
      <c r="G2261">
        <v>0.4</v>
      </c>
      <c r="H2261" s="2">
        <v>1.8523999999999987</v>
      </c>
      <c r="I2261" s="2">
        <v>16.096</v>
      </c>
    </row>
    <row r="2262" spans="1:9" x14ac:dyDescent="0.3">
      <c r="A2262" t="str">
        <f t="shared" si="772"/>
        <v>United States</v>
      </c>
      <c r="B2262" t="str">
        <f t="shared" si="771"/>
        <v>Jacksonville</v>
      </c>
      <c r="C2262" t="str">
        <f t="shared" si="774"/>
        <v>Standard Class</v>
      </c>
      <c r="D2262" t="str">
        <f t="shared" si="775"/>
        <v>Consumer</v>
      </c>
      <c r="E2262" t="s">
        <v>25</v>
      </c>
      <c r="F2262">
        <v>10</v>
      </c>
      <c r="G2262">
        <v>0.85000000000000009</v>
      </c>
      <c r="H2262" s="2">
        <v>-757.40820000000008</v>
      </c>
      <c r="I2262" s="2">
        <v>1878.2980000000002</v>
      </c>
    </row>
    <row r="2263" spans="1:9" x14ac:dyDescent="0.3">
      <c r="A2263" t="str">
        <f t="shared" si="772"/>
        <v>United States</v>
      </c>
      <c r="B2263" t="str">
        <f t="shared" si="771"/>
        <v>Jacksonville</v>
      </c>
      <c r="C2263" t="str">
        <f t="shared" si="774"/>
        <v>Standard Class</v>
      </c>
      <c r="D2263" t="s">
        <v>15</v>
      </c>
      <c r="E2263" t="s">
        <v>19</v>
      </c>
      <c r="F2263">
        <v>5</v>
      </c>
      <c r="G2263">
        <v>0.60000000000000009</v>
      </c>
      <c r="H2263" s="2">
        <v>2.7612000000000005</v>
      </c>
      <c r="I2263" s="2">
        <v>21.167999999999999</v>
      </c>
    </row>
    <row r="2264" spans="1:9" x14ac:dyDescent="0.3">
      <c r="A2264" t="str">
        <f t="shared" si="772"/>
        <v>United States</v>
      </c>
      <c r="B2264" t="str">
        <f t="shared" si="771"/>
        <v>Jacksonville</v>
      </c>
      <c r="C2264" t="str">
        <f t="shared" si="774"/>
        <v>Standard Class</v>
      </c>
      <c r="D2264" t="str">
        <f t="shared" ref="D2264:D2272" si="776">D2263</f>
        <v>Corporate</v>
      </c>
      <c r="E2264" t="s">
        <v>20</v>
      </c>
      <c r="F2264">
        <v>30</v>
      </c>
      <c r="G2264">
        <v>4.2</v>
      </c>
      <c r="H2264" s="2">
        <v>-139.79879999999994</v>
      </c>
      <c r="I2264" s="2">
        <v>191.14200000000002</v>
      </c>
    </row>
    <row r="2265" spans="1:9" x14ac:dyDescent="0.3">
      <c r="A2265" t="str">
        <f t="shared" si="772"/>
        <v>United States</v>
      </c>
      <c r="B2265" t="str">
        <f t="shared" si="771"/>
        <v>Jacksonville</v>
      </c>
      <c r="C2265" t="str">
        <f t="shared" si="774"/>
        <v>Standard Class</v>
      </c>
      <c r="D2265" t="str">
        <f t="shared" si="776"/>
        <v>Corporate</v>
      </c>
      <c r="E2265" t="s">
        <v>33</v>
      </c>
      <c r="F2265">
        <v>1</v>
      </c>
      <c r="G2265">
        <v>0.2</v>
      </c>
      <c r="H2265" s="2">
        <v>-12.147000000000009</v>
      </c>
      <c r="I2265" s="2">
        <v>64.784000000000006</v>
      </c>
    </row>
    <row r="2266" spans="1:9" x14ac:dyDescent="0.3">
      <c r="A2266" t="str">
        <f t="shared" si="772"/>
        <v>United States</v>
      </c>
      <c r="B2266" t="str">
        <f t="shared" si="771"/>
        <v>Jacksonville</v>
      </c>
      <c r="C2266" t="str">
        <f t="shared" si="774"/>
        <v>Standard Class</v>
      </c>
      <c r="D2266" t="str">
        <f t="shared" si="776"/>
        <v>Corporate</v>
      </c>
      <c r="E2266" t="s">
        <v>18</v>
      </c>
      <c r="F2266">
        <v>11</v>
      </c>
      <c r="G2266">
        <v>0.2</v>
      </c>
      <c r="H2266" s="2">
        <v>11.814</v>
      </c>
      <c r="I2266" s="2">
        <v>31.504000000000005</v>
      </c>
    </row>
    <row r="2267" spans="1:9" x14ac:dyDescent="0.3">
      <c r="A2267" t="str">
        <f t="shared" si="772"/>
        <v>United States</v>
      </c>
      <c r="B2267" t="str">
        <f t="shared" si="771"/>
        <v>Jacksonville</v>
      </c>
      <c r="C2267" t="str">
        <f t="shared" si="774"/>
        <v>Standard Class</v>
      </c>
      <c r="D2267" t="str">
        <f t="shared" si="776"/>
        <v>Corporate</v>
      </c>
      <c r="E2267" t="s">
        <v>21</v>
      </c>
      <c r="F2267">
        <v>4</v>
      </c>
      <c r="G2267">
        <v>0.4</v>
      </c>
      <c r="H2267" s="2">
        <v>9.7164000000000037</v>
      </c>
      <c r="I2267" s="2">
        <v>34.903999999999996</v>
      </c>
    </row>
    <row r="2268" spans="1:9" x14ac:dyDescent="0.3">
      <c r="A2268" t="str">
        <f t="shared" si="772"/>
        <v>United States</v>
      </c>
      <c r="B2268" t="str">
        <f t="shared" si="771"/>
        <v>Jacksonville</v>
      </c>
      <c r="C2268" t="str">
        <f t="shared" si="774"/>
        <v>Standard Class</v>
      </c>
      <c r="D2268" t="str">
        <f t="shared" si="776"/>
        <v>Corporate</v>
      </c>
      <c r="E2268" t="s">
        <v>43</v>
      </c>
      <c r="F2268">
        <v>3</v>
      </c>
      <c r="G2268">
        <v>0.4</v>
      </c>
      <c r="H2268" s="2">
        <v>3.3083999999999998</v>
      </c>
      <c r="I2268" s="2">
        <v>9.6479999999999997</v>
      </c>
    </row>
    <row r="2269" spans="1:9" x14ac:dyDescent="0.3">
      <c r="A2269" t="str">
        <f t="shared" si="772"/>
        <v>United States</v>
      </c>
      <c r="B2269" t="str">
        <f t="shared" si="771"/>
        <v>Jacksonville</v>
      </c>
      <c r="C2269" t="str">
        <f t="shared" si="774"/>
        <v>Standard Class</v>
      </c>
      <c r="D2269" t="str">
        <f t="shared" si="776"/>
        <v>Corporate</v>
      </c>
      <c r="E2269" t="s">
        <v>16</v>
      </c>
      <c r="F2269">
        <v>10</v>
      </c>
      <c r="G2269">
        <v>0.60000000000000009</v>
      </c>
      <c r="H2269" s="2">
        <v>45.583999999999996</v>
      </c>
      <c r="I2269" s="2">
        <v>130.24</v>
      </c>
    </row>
    <row r="2270" spans="1:9" x14ac:dyDescent="0.3">
      <c r="A2270" t="str">
        <f t="shared" si="772"/>
        <v>United States</v>
      </c>
      <c r="B2270" t="str">
        <f t="shared" si="771"/>
        <v>Jacksonville</v>
      </c>
      <c r="C2270" t="str">
        <f t="shared" si="774"/>
        <v>Standard Class</v>
      </c>
      <c r="D2270" t="str">
        <f t="shared" si="776"/>
        <v>Corporate</v>
      </c>
      <c r="E2270" t="s">
        <v>24</v>
      </c>
      <c r="F2270">
        <v>14</v>
      </c>
      <c r="G2270">
        <v>0.60000000000000009</v>
      </c>
      <c r="H2270" s="2">
        <v>15.793200000000002</v>
      </c>
      <c r="I2270" s="2">
        <v>197.12799999999999</v>
      </c>
    </row>
    <row r="2271" spans="1:9" x14ac:dyDescent="0.3">
      <c r="A2271" t="str">
        <f t="shared" si="772"/>
        <v>United States</v>
      </c>
      <c r="B2271" t="str">
        <f t="shared" si="771"/>
        <v>Jacksonville</v>
      </c>
      <c r="C2271" t="str">
        <f t="shared" si="774"/>
        <v>Standard Class</v>
      </c>
      <c r="D2271" t="str">
        <f t="shared" si="776"/>
        <v>Corporate</v>
      </c>
      <c r="E2271" t="s">
        <v>14</v>
      </c>
      <c r="F2271">
        <v>10</v>
      </c>
      <c r="G2271">
        <v>0.4</v>
      </c>
      <c r="H2271" s="2">
        <v>62.925999999999839</v>
      </c>
      <c r="I2271" s="2">
        <v>1461.0880000000002</v>
      </c>
    </row>
    <row r="2272" spans="1:9" x14ac:dyDescent="0.3">
      <c r="A2272" t="str">
        <f t="shared" si="772"/>
        <v>United States</v>
      </c>
      <c r="B2272" t="str">
        <f t="shared" si="771"/>
        <v>Jacksonville</v>
      </c>
      <c r="C2272" t="str">
        <f t="shared" si="774"/>
        <v>Standard Class</v>
      </c>
      <c r="D2272" t="str">
        <f t="shared" si="776"/>
        <v>Corporate</v>
      </c>
      <c r="E2272" t="s">
        <v>25</v>
      </c>
      <c r="F2272">
        <v>10</v>
      </c>
      <c r="G2272">
        <v>0.9</v>
      </c>
      <c r="H2272" s="2">
        <v>-587.3184</v>
      </c>
      <c r="I2272" s="2">
        <v>1105.3130000000001</v>
      </c>
    </row>
    <row r="2273" spans="1:9" x14ac:dyDescent="0.3">
      <c r="A2273" t="str">
        <f t="shared" si="772"/>
        <v>United States</v>
      </c>
      <c r="B2273" t="str">
        <f t="shared" si="771"/>
        <v>Jacksonville</v>
      </c>
      <c r="C2273" t="str">
        <f t="shared" si="774"/>
        <v>Standard Class</v>
      </c>
      <c r="D2273" t="s">
        <v>17</v>
      </c>
      <c r="E2273" t="s">
        <v>23</v>
      </c>
      <c r="F2273">
        <v>3</v>
      </c>
      <c r="G2273">
        <v>0.2</v>
      </c>
      <c r="H2273" s="2">
        <v>38.395199999999988</v>
      </c>
      <c r="I2273" s="2">
        <v>191.976</v>
      </c>
    </row>
    <row r="2274" spans="1:9" x14ac:dyDescent="0.3">
      <c r="A2274" t="str">
        <f t="shared" si="772"/>
        <v>United States</v>
      </c>
      <c r="B2274" t="str">
        <f t="shared" ref="B2274:B2279" si="777">B2273</f>
        <v>Jacksonville</v>
      </c>
      <c r="C2274" t="str">
        <f t="shared" si="774"/>
        <v>Standard Class</v>
      </c>
      <c r="D2274" t="str">
        <f t="shared" ref="D2274:D2279" si="778">D2273</f>
        <v>Home Office</v>
      </c>
      <c r="E2274" t="s">
        <v>19</v>
      </c>
      <c r="F2274">
        <v>5</v>
      </c>
      <c r="G2274">
        <v>0.4</v>
      </c>
      <c r="H2274" s="2">
        <v>2.2212000000000001</v>
      </c>
      <c r="I2274" s="2">
        <v>24.271999999999998</v>
      </c>
    </row>
    <row r="2275" spans="1:9" x14ac:dyDescent="0.3">
      <c r="A2275" t="str">
        <f t="shared" si="772"/>
        <v>United States</v>
      </c>
      <c r="B2275" t="str">
        <f t="shared" si="777"/>
        <v>Jacksonville</v>
      </c>
      <c r="C2275" t="str">
        <f t="shared" si="774"/>
        <v>Standard Class</v>
      </c>
      <c r="D2275" t="str">
        <f t="shared" si="778"/>
        <v>Home Office</v>
      </c>
      <c r="E2275" t="s">
        <v>18</v>
      </c>
      <c r="F2275">
        <v>3</v>
      </c>
      <c r="G2275">
        <v>0.2</v>
      </c>
      <c r="H2275" s="2">
        <v>5.9174999999999986</v>
      </c>
      <c r="I2275" s="2">
        <v>18.936</v>
      </c>
    </row>
    <row r="2276" spans="1:9" x14ac:dyDescent="0.3">
      <c r="A2276" t="str">
        <f t="shared" si="772"/>
        <v>United States</v>
      </c>
      <c r="B2276" t="str">
        <f t="shared" si="777"/>
        <v>Jacksonville</v>
      </c>
      <c r="C2276" t="str">
        <f t="shared" si="774"/>
        <v>Standard Class</v>
      </c>
      <c r="D2276" t="str">
        <f t="shared" si="778"/>
        <v>Home Office</v>
      </c>
      <c r="E2276" t="s">
        <v>21</v>
      </c>
      <c r="F2276">
        <v>5</v>
      </c>
      <c r="G2276">
        <v>0.4</v>
      </c>
      <c r="H2276" s="2">
        <v>23.370599999999992</v>
      </c>
      <c r="I2276" s="2">
        <v>153.12</v>
      </c>
    </row>
    <row r="2277" spans="1:9" x14ac:dyDescent="0.3">
      <c r="A2277" t="str">
        <f t="shared" si="772"/>
        <v>United States</v>
      </c>
      <c r="B2277" t="str">
        <f t="shared" si="777"/>
        <v>Jacksonville</v>
      </c>
      <c r="C2277" t="str">
        <f t="shared" si="774"/>
        <v>Standard Class</v>
      </c>
      <c r="D2277" t="str">
        <f t="shared" si="778"/>
        <v>Home Office</v>
      </c>
      <c r="E2277" t="s">
        <v>46</v>
      </c>
      <c r="F2277">
        <v>10</v>
      </c>
      <c r="G2277">
        <v>1</v>
      </c>
      <c r="H2277" s="2">
        <v>-1827.5044000000021</v>
      </c>
      <c r="I2277" s="2">
        <v>23459.78</v>
      </c>
    </row>
    <row r="2278" spans="1:9" x14ac:dyDescent="0.3">
      <c r="A2278" t="str">
        <f t="shared" si="772"/>
        <v>United States</v>
      </c>
      <c r="B2278" t="str">
        <f t="shared" si="777"/>
        <v>Jacksonville</v>
      </c>
      <c r="C2278" t="str">
        <f t="shared" si="774"/>
        <v>Standard Class</v>
      </c>
      <c r="D2278" t="str">
        <f t="shared" si="778"/>
        <v>Home Office</v>
      </c>
      <c r="E2278" t="s">
        <v>16</v>
      </c>
      <c r="F2278">
        <v>11</v>
      </c>
      <c r="G2278">
        <v>0.60000000000000009</v>
      </c>
      <c r="H2278" s="2">
        <v>41.002199999999995</v>
      </c>
      <c r="I2278" s="2">
        <v>117.512</v>
      </c>
    </row>
    <row r="2279" spans="1:9" x14ac:dyDescent="0.3">
      <c r="A2279" t="str">
        <f t="shared" si="772"/>
        <v>United States</v>
      </c>
      <c r="B2279" t="str">
        <f t="shared" si="777"/>
        <v>Jacksonville</v>
      </c>
      <c r="C2279" t="str">
        <f t="shared" si="774"/>
        <v>Standard Class</v>
      </c>
      <c r="D2279" t="str">
        <f t="shared" si="778"/>
        <v>Home Office</v>
      </c>
      <c r="E2279" t="s">
        <v>24</v>
      </c>
      <c r="F2279">
        <v>6</v>
      </c>
      <c r="G2279">
        <v>0.4</v>
      </c>
      <c r="H2279" s="2">
        <v>50.376599999999996</v>
      </c>
      <c r="I2279" s="2">
        <v>718.35200000000009</v>
      </c>
    </row>
    <row r="2280" spans="1:9" x14ac:dyDescent="0.3">
      <c r="A2280" t="str">
        <f t="shared" si="772"/>
        <v>United States</v>
      </c>
      <c r="B2280" t="s">
        <v>247</v>
      </c>
      <c r="C2280" t="s">
        <v>22</v>
      </c>
      <c r="D2280" t="s">
        <v>8</v>
      </c>
      <c r="E2280" t="s">
        <v>24</v>
      </c>
      <c r="F2280">
        <v>7</v>
      </c>
      <c r="G2280">
        <v>0</v>
      </c>
      <c r="H2280" s="2">
        <v>1228.1787000000004</v>
      </c>
      <c r="I2280" s="2">
        <v>4548.8100000000004</v>
      </c>
    </row>
    <row r="2281" spans="1:9" x14ac:dyDescent="0.3">
      <c r="A2281" t="str">
        <f t="shared" si="772"/>
        <v>United States</v>
      </c>
      <c r="B2281" t="str">
        <f>B2280</f>
        <v>Jamestown</v>
      </c>
      <c r="C2281" t="str">
        <f>C2280</f>
        <v>Standard Class</v>
      </c>
      <c r="D2281" t="s">
        <v>15</v>
      </c>
      <c r="E2281" t="s">
        <v>23</v>
      </c>
      <c r="F2281">
        <v>2</v>
      </c>
      <c r="G2281">
        <v>0</v>
      </c>
      <c r="H2281" s="2">
        <v>57.592799999999997</v>
      </c>
      <c r="I2281" s="2">
        <v>159.97999999999999</v>
      </c>
    </row>
    <row r="2282" spans="1:9" x14ac:dyDescent="0.3">
      <c r="A2282" t="str">
        <f t="shared" si="772"/>
        <v>United States</v>
      </c>
      <c r="B2282" t="s">
        <v>248</v>
      </c>
      <c r="C2282" t="s">
        <v>22</v>
      </c>
      <c r="D2282" t="s">
        <v>17</v>
      </c>
      <c r="E2282" t="s">
        <v>21</v>
      </c>
      <c r="F2282">
        <v>2</v>
      </c>
      <c r="G2282">
        <v>0</v>
      </c>
      <c r="H2282" s="2">
        <v>8.6619999999999919</v>
      </c>
      <c r="I2282" s="2">
        <v>86.62</v>
      </c>
    </row>
    <row r="2283" spans="1:9" x14ac:dyDescent="0.3">
      <c r="A2283" t="str">
        <f t="shared" si="772"/>
        <v>United States</v>
      </c>
      <c r="B2283" t="s">
        <v>249</v>
      </c>
      <c r="C2283" t="s">
        <v>7</v>
      </c>
      <c r="D2283" t="s">
        <v>8</v>
      </c>
      <c r="E2283" t="s">
        <v>20</v>
      </c>
      <c r="F2283">
        <v>7</v>
      </c>
      <c r="G2283">
        <v>0.7</v>
      </c>
      <c r="H2283" s="2">
        <v>-63.109199999999987</v>
      </c>
      <c r="I2283" s="2">
        <v>86.058000000000007</v>
      </c>
    </row>
    <row r="2284" spans="1:9" x14ac:dyDescent="0.3">
      <c r="A2284" t="str">
        <f t="shared" si="772"/>
        <v>United States</v>
      </c>
      <c r="B2284" t="str">
        <f t="shared" ref="B2284:B2292" si="779">B2283</f>
        <v>Johnson City</v>
      </c>
      <c r="C2284" t="str">
        <f t="shared" ref="C2284:C2286" si="780">C2283</f>
        <v>Second Class</v>
      </c>
      <c r="D2284" t="str">
        <f t="shared" ref="D2284:D2286" si="781">D2283</f>
        <v>Consumer</v>
      </c>
      <c r="E2284" t="s">
        <v>38</v>
      </c>
      <c r="F2284">
        <v>3</v>
      </c>
      <c r="G2284">
        <v>0.2</v>
      </c>
      <c r="H2284" s="2">
        <v>7.6283999999999974</v>
      </c>
      <c r="I2284" s="2">
        <v>23.472000000000001</v>
      </c>
    </row>
    <row r="2285" spans="1:9" x14ac:dyDescent="0.3">
      <c r="A2285" t="str">
        <f t="shared" si="772"/>
        <v>United States</v>
      </c>
      <c r="B2285" t="str">
        <f t="shared" si="779"/>
        <v>Johnson City</v>
      </c>
      <c r="C2285" t="str">
        <f t="shared" si="780"/>
        <v>Second Class</v>
      </c>
      <c r="D2285" t="str">
        <f t="shared" si="781"/>
        <v>Consumer</v>
      </c>
      <c r="E2285" t="s">
        <v>16</v>
      </c>
      <c r="F2285">
        <v>3</v>
      </c>
      <c r="G2285">
        <v>0.2</v>
      </c>
      <c r="H2285" s="2">
        <v>3.2099999999999982</v>
      </c>
      <c r="I2285" s="2">
        <v>10.272000000000002</v>
      </c>
    </row>
    <row r="2286" spans="1:9" x14ac:dyDescent="0.3">
      <c r="A2286" t="str">
        <f t="shared" si="772"/>
        <v>United States</v>
      </c>
      <c r="B2286" t="str">
        <f t="shared" si="779"/>
        <v>Johnson City</v>
      </c>
      <c r="C2286" t="str">
        <f t="shared" si="780"/>
        <v>Second Class</v>
      </c>
      <c r="D2286" t="str">
        <f t="shared" si="781"/>
        <v>Consumer</v>
      </c>
      <c r="E2286" t="s">
        <v>24</v>
      </c>
      <c r="F2286">
        <v>2</v>
      </c>
      <c r="G2286">
        <v>0.2</v>
      </c>
      <c r="H2286" s="2">
        <v>6.7990000000000066</v>
      </c>
      <c r="I2286" s="2">
        <v>108.78399999999999</v>
      </c>
    </row>
    <row r="2287" spans="1:9" x14ac:dyDescent="0.3">
      <c r="A2287" t="str">
        <f t="shared" si="772"/>
        <v>United States</v>
      </c>
      <c r="B2287" t="str">
        <f t="shared" si="779"/>
        <v>Johnson City</v>
      </c>
      <c r="C2287" t="s">
        <v>22</v>
      </c>
      <c r="D2287" t="s">
        <v>8</v>
      </c>
      <c r="E2287" t="s">
        <v>12</v>
      </c>
      <c r="F2287">
        <v>2</v>
      </c>
      <c r="G2287">
        <v>0.2</v>
      </c>
      <c r="H2287" s="2">
        <v>29.142400000000009</v>
      </c>
      <c r="I2287" s="2">
        <v>333.05600000000004</v>
      </c>
    </row>
    <row r="2288" spans="1:9" x14ac:dyDescent="0.3">
      <c r="A2288" t="str">
        <f t="shared" si="772"/>
        <v>United States</v>
      </c>
      <c r="B2288" t="str">
        <f t="shared" si="779"/>
        <v>Johnson City</v>
      </c>
      <c r="C2288" t="str">
        <f t="shared" ref="C2288:C2292" si="782">C2287</f>
        <v>Standard Class</v>
      </c>
      <c r="D2288" t="str">
        <f t="shared" ref="D2288:D2292" si="783">D2287</f>
        <v>Consumer</v>
      </c>
      <c r="E2288" t="s">
        <v>19</v>
      </c>
      <c r="F2288">
        <v>3</v>
      </c>
      <c r="G2288">
        <v>0.2</v>
      </c>
      <c r="H2288" s="2">
        <v>0.47519999999999984</v>
      </c>
      <c r="I2288" s="2">
        <v>4.2240000000000002</v>
      </c>
    </row>
    <row r="2289" spans="1:9" x14ac:dyDescent="0.3">
      <c r="A2289" t="str">
        <f t="shared" si="772"/>
        <v>United States</v>
      </c>
      <c r="B2289" t="str">
        <f t="shared" si="779"/>
        <v>Johnson City</v>
      </c>
      <c r="C2289" t="str">
        <f t="shared" si="782"/>
        <v>Standard Class</v>
      </c>
      <c r="D2289" t="str">
        <f t="shared" si="783"/>
        <v>Consumer</v>
      </c>
      <c r="E2289" t="s">
        <v>20</v>
      </c>
      <c r="F2289">
        <v>7</v>
      </c>
      <c r="G2289">
        <v>1.4</v>
      </c>
      <c r="H2289" s="2">
        <v>-6.4161999999999999</v>
      </c>
      <c r="I2289" s="2">
        <v>8.4780000000000015</v>
      </c>
    </row>
    <row r="2290" spans="1:9" x14ac:dyDescent="0.3">
      <c r="A2290" t="str">
        <f t="shared" si="772"/>
        <v>United States</v>
      </c>
      <c r="B2290" t="str">
        <f t="shared" si="779"/>
        <v>Johnson City</v>
      </c>
      <c r="C2290" t="str">
        <f t="shared" si="782"/>
        <v>Standard Class</v>
      </c>
      <c r="D2290" t="str">
        <f t="shared" si="783"/>
        <v>Consumer</v>
      </c>
      <c r="E2290" t="s">
        <v>38</v>
      </c>
      <c r="F2290">
        <v>3</v>
      </c>
      <c r="G2290">
        <v>0.2</v>
      </c>
      <c r="H2290" s="2">
        <v>6.6467999999999989</v>
      </c>
      <c r="I2290" s="2">
        <v>18.335999999999999</v>
      </c>
    </row>
    <row r="2291" spans="1:9" x14ac:dyDescent="0.3">
      <c r="A2291" t="str">
        <f t="shared" si="772"/>
        <v>United States</v>
      </c>
      <c r="B2291" t="str">
        <f t="shared" si="779"/>
        <v>Johnson City</v>
      </c>
      <c r="C2291" t="str">
        <f t="shared" si="782"/>
        <v>Standard Class</v>
      </c>
      <c r="D2291" t="str">
        <f t="shared" si="783"/>
        <v>Consumer</v>
      </c>
      <c r="E2291" t="s">
        <v>16</v>
      </c>
      <c r="F2291">
        <v>11</v>
      </c>
      <c r="G2291">
        <v>0.4</v>
      </c>
      <c r="H2291" s="2">
        <v>20.480799999999999</v>
      </c>
      <c r="I2291" s="2">
        <v>61.184000000000012</v>
      </c>
    </row>
    <row r="2292" spans="1:9" x14ac:dyDescent="0.3">
      <c r="A2292" t="str">
        <f t="shared" si="772"/>
        <v>United States</v>
      </c>
      <c r="B2292" t="str">
        <f t="shared" si="779"/>
        <v>Johnson City</v>
      </c>
      <c r="C2292" t="str">
        <f t="shared" si="782"/>
        <v>Standard Class</v>
      </c>
      <c r="D2292" t="str">
        <f t="shared" si="783"/>
        <v>Consumer</v>
      </c>
      <c r="E2292" t="s">
        <v>24</v>
      </c>
      <c r="F2292">
        <v>2</v>
      </c>
      <c r="G2292">
        <v>0.2</v>
      </c>
      <c r="H2292" s="2">
        <v>6.9990000000000059</v>
      </c>
      <c r="I2292" s="2">
        <v>111.98399999999999</v>
      </c>
    </row>
    <row r="2293" spans="1:9" x14ac:dyDescent="0.3">
      <c r="A2293" t="str">
        <f t="shared" si="772"/>
        <v>United States</v>
      </c>
      <c r="B2293" t="s">
        <v>250</v>
      </c>
      <c r="C2293" t="s">
        <v>11</v>
      </c>
      <c r="D2293" t="s">
        <v>8</v>
      </c>
      <c r="E2293" t="s">
        <v>24</v>
      </c>
      <c r="F2293">
        <v>2</v>
      </c>
      <c r="G2293">
        <v>0</v>
      </c>
      <c r="H2293" s="2">
        <v>17.993999999999993</v>
      </c>
      <c r="I2293" s="2">
        <v>59.98</v>
      </c>
    </row>
    <row r="2294" spans="1:9" x14ac:dyDescent="0.3">
      <c r="A2294" t="str">
        <f t="shared" si="772"/>
        <v>United States</v>
      </c>
      <c r="B2294" t="str">
        <f t="shared" ref="B2294:B2301" si="784">B2293</f>
        <v>Jonesboro</v>
      </c>
      <c r="C2294" t="s">
        <v>27</v>
      </c>
      <c r="D2294" t="s">
        <v>17</v>
      </c>
      <c r="E2294" t="s">
        <v>20</v>
      </c>
      <c r="F2294">
        <v>10</v>
      </c>
      <c r="G2294">
        <v>0</v>
      </c>
      <c r="H2294" s="2">
        <v>58.428399999999996</v>
      </c>
      <c r="I2294" s="2">
        <v>117.62</v>
      </c>
    </row>
    <row r="2295" spans="1:9" x14ac:dyDescent="0.3">
      <c r="A2295" t="str">
        <f t="shared" si="772"/>
        <v>United States</v>
      </c>
      <c r="B2295" t="str">
        <f t="shared" si="784"/>
        <v>Jonesboro</v>
      </c>
      <c r="C2295" t="s">
        <v>22</v>
      </c>
      <c r="D2295" t="s">
        <v>8</v>
      </c>
      <c r="E2295" t="s">
        <v>19</v>
      </c>
      <c r="F2295">
        <v>10</v>
      </c>
      <c r="G2295">
        <v>0</v>
      </c>
      <c r="H2295" s="2">
        <v>8.4484999999999975</v>
      </c>
      <c r="I2295" s="2">
        <v>29.589999999999996</v>
      </c>
    </row>
    <row r="2296" spans="1:9" x14ac:dyDescent="0.3">
      <c r="A2296" t="str">
        <f t="shared" si="772"/>
        <v>United States</v>
      </c>
      <c r="B2296" t="str">
        <f t="shared" si="784"/>
        <v>Jonesboro</v>
      </c>
      <c r="C2296" t="str">
        <f t="shared" ref="C2296:C2301" si="785">C2295</f>
        <v>Standard Class</v>
      </c>
      <c r="D2296" t="str">
        <f t="shared" ref="D2296:D2301" si="786">D2295</f>
        <v>Consumer</v>
      </c>
      <c r="E2296" t="s">
        <v>34</v>
      </c>
      <c r="F2296">
        <v>9</v>
      </c>
      <c r="G2296">
        <v>0</v>
      </c>
      <c r="H2296" s="2">
        <v>172.48140000000001</v>
      </c>
      <c r="I2296" s="2">
        <v>638.82000000000005</v>
      </c>
    </row>
    <row r="2297" spans="1:9" x14ac:dyDescent="0.3">
      <c r="A2297" t="str">
        <f t="shared" si="772"/>
        <v>United States</v>
      </c>
      <c r="B2297" t="str">
        <f t="shared" si="784"/>
        <v>Jonesboro</v>
      </c>
      <c r="C2297" t="str">
        <f t="shared" si="785"/>
        <v>Standard Class</v>
      </c>
      <c r="D2297" t="str">
        <f t="shared" si="786"/>
        <v>Consumer</v>
      </c>
      <c r="E2297" t="s">
        <v>33</v>
      </c>
      <c r="F2297">
        <v>3</v>
      </c>
      <c r="G2297">
        <v>0</v>
      </c>
      <c r="H2297" s="2">
        <v>224.2673999999999</v>
      </c>
      <c r="I2297" s="2">
        <v>1067.94</v>
      </c>
    </row>
    <row r="2298" spans="1:9" x14ac:dyDescent="0.3">
      <c r="A2298" t="str">
        <f t="shared" si="772"/>
        <v>United States</v>
      </c>
      <c r="B2298" t="str">
        <f t="shared" si="784"/>
        <v>Jonesboro</v>
      </c>
      <c r="C2298" t="str">
        <f t="shared" si="785"/>
        <v>Standard Class</v>
      </c>
      <c r="D2298" t="str">
        <f t="shared" si="786"/>
        <v>Consumer</v>
      </c>
      <c r="E2298" t="s">
        <v>38</v>
      </c>
      <c r="F2298">
        <v>3</v>
      </c>
      <c r="G2298">
        <v>0</v>
      </c>
      <c r="H2298" s="2">
        <v>10.969799999999999</v>
      </c>
      <c r="I2298" s="2">
        <v>23.34</v>
      </c>
    </row>
    <row r="2299" spans="1:9" x14ac:dyDescent="0.3">
      <c r="A2299" t="str">
        <f t="shared" si="772"/>
        <v>United States</v>
      </c>
      <c r="B2299" t="str">
        <f t="shared" si="784"/>
        <v>Jonesboro</v>
      </c>
      <c r="C2299" t="str">
        <f t="shared" si="785"/>
        <v>Standard Class</v>
      </c>
      <c r="D2299" t="str">
        <f t="shared" si="786"/>
        <v>Consumer</v>
      </c>
      <c r="E2299" t="s">
        <v>21</v>
      </c>
      <c r="F2299">
        <v>4</v>
      </c>
      <c r="G2299">
        <v>0</v>
      </c>
      <c r="H2299" s="2">
        <v>11.579999999999998</v>
      </c>
      <c r="I2299" s="2">
        <v>38.6</v>
      </c>
    </row>
    <row r="2300" spans="1:9" x14ac:dyDescent="0.3">
      <c r="A2300" t="str">
        <f t="shared" si="772"/>
        <v>United States</v>
      </c>
      <c r="B2300" t="str">
        <f t="shared" si="784"/>
        <v>Jonesboro</v>
      </c>
      <c r="C2300" t="str">
        <f t="shared" si="785"/>
        <v>Standard Class</v>
      </c>
      <c r="D2300" t="str">
        <f t="shared" si="786"/>
        <v>Consumer</v>
      </c>
      <c r="E2300" t="s">
        <v>16</v>
      </c>
      <c r="F2300">
        <v>5</v>
      </c>
      <c r="G2300">
        <v>0</v>
      </c>
      <c r="H2300" s="2">
        <v>114.95999999999998</v>
      </c>
      <c r="I2300" s="2">
        <v>239.5</v>
      </c>
    </row>
    <row r="2301" spans="1:9" x14ac:dyDescent="0.3">
      <c r="A2301" t="str">
        <f t="shared" si="772"/>
        <v>United States</v>
      </c>
      <c r="B2301" t="str">
        <f t="shared" si="784"/>
        <v>Jonesboro</v>
      </c>
      <c r="C2301" t="str">
        <f t="shared" si="785"/>
        <v>Standard Class</v>
      </c>
      <c r="D2301" t="str">
        <f t="shared" si="786"/>
        <v>Consumer</v>
      </c>
      <c r="E2301" t="s">
        <v>24</v>
      </c>
      <c r="F2301">
        <v>7</v>
      </c>
      <c r="G2301">
        <v>0</v>
      </c>
      <c r="H2301" s="2">
        <v>181.98179999999999</v>
      </c>
      <c r="I2301" s="2">
        <v>699.93</v>
      </c>
    </row>
    <row r="2302" spans="1:9" x14ac:dyDescent="0.3">
      <c r="A2302" t="str">
        <f t="shared" si="772"/>
        <v>United States</v>
      </c>
      <c r="B2302" t="s">
        <v>251</v>
      </c>
      <c r="C2302" t="s">
        <v>7</v>
      </c>
      <c r="D2302" t="s">
        <v>8</v>
      </c>
      <c r="E2302" t="s">
        <v>19</v>
      </c>
      <c r="F2302">
        <v>1</v>
      </c>
      <c r="G2302">
        <v>0.2</v>
      </c>
      <c r="H2302" s="2">
        <v>0.15480000000000005</v>
      </c>
      <c r="I2302" s="2">
        <v>2.0640000000000001</v>
      </c>
    </row>
    <row r="2303" spans="1:9" x14ac:dyDescent="0.3">
      <c r="A2303" t="str">
        <f t="shared" si="772"/>
        <v>United States</v>
      </c>
      <c r="B2303" t="s">
        <v>252</v>
      </c>
      <c r="C2303" t="s">
        <v>7</v>
      </c>
      <c r="D2303" t="s">
        <v>8</v>
      </c>
      <c r="E2303" t="s">
        <v>43</v>
      </c>
      <c r="F2303">
        <v>2</v>
      </c>
      <c r="G2303">
        <v>0.2</v>
      </c>
      <c r="H2303" s="2">
        <v>2.0999999999999996</v>
      </c>
      <c r="I2303" s="2">
        <v>6</v>
      </c>
    </row>
    <row r="2304" spans="1:9" x14ac:dyDescent="0.3">
      <c r="A2304" t="str">
        <f t="shared" si="772"/>
        <v>United States</v>
      </c>
      <c r="B2304" t="s">
        <v>253</v>
      </c>
      <c r="C2304" t="s">
        <v>27</v>
      </c>
      <c r="D2304" t="s">
        <v>8</v>
      </c>
      <c r="E2304" t="s">
        <v>23</v>
      </c>
      <c r="F2304">
        <v>2</v>
      </c>
      <c r="G2304">
        <v>0</v>
      </c>
      <c r="H2304" s="2">
        <v>15.1158</v>
      </c>
      <c r="I2304" s="2">
        <v>71.98</v>
      </c>
    </row>
    <row r="2305" spans="1:9" x14ac:dyDescent="0.3">
      <c r="A2305" t="str">
        <f t="shared" si="772"/>
        <v>United States</v>
      </c>
      <c r="B2305" t="str">
        <f>B2304</f>
        <v>Kenner</v>
      </c>
      <c r="C2305" t="str">
        <f>C2304</f>
        <v>Same Day</v>
      </c>
      <c r="D2305" t="str">
        <f>D2304</f>
        <v>Consumer</v>
      </c>
      <c r="E2305" t="s">
        <v>12</v>
      </c>
      <c r="F2305">
        <v>2</v>
      </c>
      <c r="G2305">
        <v>0</v>
      </c>
      <c r="H2305" s="2">
        <v>4.6818000000000008</v>
      </c>
      <c r="I2305" s="2">
        <v>17.34</v>
      </c>
    </row>
    <row r="2306" spans="1:9" x14ac:dyDescent="0.3">
      <c r="A2306" t="str">
        <f t="shared" si="772"/>
        <v>United States</v>
      </c>
      <c r="B2306" t="s">
        <v>254</v>
      </c>
      <c r="C2306" t="s">
        <v>11</v>
      </c>
      <c r="D2306" t="s">
        <v>17</v>
      </c>
      <c r="E2306" t="s">
        <v>23</v>
      </c>
      <c r="F2306">
        <v>5</v>
      </c>
      <c r="G2306">
        <v>0</v>
      </c>
      <c r="H2306" s="2">
        <v>143.982</v>
      </c>
      <c r="I2306" s="2">
        <v>399.95</v>
      </c>
    </row>
    <row r="2307" spans="1:9" x14ac:dyDescent="0.3">
      <c r="A2307" t="str">
        <f t="shared" si="772"/>
        <v>United States</v>
      </c>
      <c r="B2307" t="str">
        <f t="shared" ref="B2307:B2313" si="787">B2306</f>
        <v>Kenosha</v>
      </c>
      <c r="C2307" t="s">
        <v>22</v>
      </c>
      <c r="D2307" t="s">
        <v>8</v>
      </c>
      <c r="E2307" t="s">
        <v>19</v>
      </c>
      <c r="F2307">
        <v>1</v>
      </c>
      <c r="G2307">
        <v>0</v>
      </c>
      <c r="H2307" s="2">
        <v>4.4939999999999998</v>
      </c>
      <c r="I2307" s="2">
        <v>14.98</v>
      </c>
    </row>
    <row r="2308" spans="1:9" x14ac:dyDescent="0.3">
      <c r="A2308" t="str">
        <f t="shared" ref="A2308:A2371" si="788">A2307</f>
        <v>United States</v>
      </c>
      <c r="B2308" t="str">
        <f t="shared" si="787"/>
        <v>Kenosha</v>
      </c>
      <c r="C2308" t="str">
        <f t="shared" ref="C2308:C2313" si="789">C2307</f>
        <v>Standard Class</v>
      </c>
      <c r="D2308" t="str">
        <f t="shared" ref="D2308:D2311" si="790">D2307</f>
        <v>Consumer</v>
      </c>
      <c r="E2308" t="s">
        <v>34</v>
      </c>
      <c r="F2308">
        <v>3</v>
      </c>
      <c r="G2308">
        <v>0</v>
      </c>
      <c r="H2308" s="2">
        <v>97.45859999999999</v>
      </c>
      <c r="I2308" s="2">
        <v>512.93999999999994</v>
      </c>
    </row>
    <row r="2309" spans="1:9" x14ac:dyDescent="0.3">
      <c r="A2309" t="str">
        <f t="shared" si="788"/>
        <v>United States</v>
      </c>
      <c r="B2309" t="str">
        <f t="shared" si="787"/>
        <v>Kenosha</v>
      </c>
      <c r="C2309" t="str">
        <f t="shared" si="789"/>
        <v>Standard Class</v>
      </c>
      <c r="D2309" t="str">
        <f t="shared" si="790"/>
        <v>Consumer</v>
      </c>
      <c r="E2309" t="s">
        <v>33</v>
      </c>
      <c r="F2309">
        <v>7</v>
      </c>
      <c r="G2309">
        <v>0</v>
      </c>
      <c r="H2309" s="2">
        <v>189.40460000000002</v>
      </c>
      <c r="I2309" s="2">
        <v>860.93</v>
      </c>
    </row>
    <row r="2310" spans="1:9" x14ac:dyDescent="0.3">
      <c r="A2310" t="str">
        <f t="shared" si="788"/>
        <v>United States</v>
      </c>
      <c r="B2310" t="str">
        <f t="shared" si="787"/>
        <v>Kenosha</v>
      </c>
      <c r="C2310" t="str">
        <f t="shared" si="789"/>
        <v>Standard Class</v>
      </c>
      <c r="D2310" t="str">
        <f t="shared" si="790"/>
        <v>Consumer</v>
      </c>
      <c r="E2310" t="s">
        <v>21</v>
      </c>
      <c r="F2310">
        <v>6</v>
      </c>
      <c r="G2310">
        <v>0</v>
      </c>
      <c r="H2310" s="2">
        <v>82.077600000000004</v>
      </c>
      <c r="I2310" s="2">
        <v>373.08</v>
      </c>
    </row>
    <row r="2311" spans="1:9" x14ac:dyDescent="0.3">
      <c r="A2311" t="str">
        <f t="shared" si="788"/>
        <v>United States</v>
      </c>
      <c r="B2311" t="str">
        <f t="shared" si="787"/>
        <v>Kenosha</v>
      </c>
      <c r="C2311" t="str">
        <f t="shared" si="789"/>
        <v>Standard Class</v>
      </c>
      <c r="D2311" t="str">
        <f t="shared" si="790"/>
        <v>Consumer</v>
      </c>
      <c r="E2311" t="s">
        <v>24</v>
      </c>
      <c r="F2311">
        <v>5</v>
      </c>
      <c r="G2311">
        <v>0</v>
      </c>
      <c r="H2311" s="2">
        <v>223.28549999999993</v>
      </c>
      <c r="I2311" s="2">
        <v>769.95</v>
      </c>
    </row>
    <row r="2312" spans="1:9" x14ac:dyDescent="0.3">
      <c r="A2312" t="str">
        <f t="shared" si="788"/>
        <v>United States</v>
      </c>
      <c r="B2312" t="str">
        <f t="shared" si="787"/>
        <v>Kenosha</v>
      </c>
      <c r="C2312" t="str">
        <f t="shared" si="789"/>
        <v>Standard Class</v>
      </c>
      <c r="D2312" t="s">
        <v>15</v>
      </c>
      <c r="E2312" t="s">
        <v>23</v>
      </c>
      <c r="F2312">
        <v>5</v>
      </c>
      <c r="G2312">
        <v>0</v>
      </c>
      <c r="H2312" s="2">
        <v>26.590499999999988</v>
      </c>
      <c r="I2312" s="2">
        <v>139.94999999999999</v>
      </c>
    </row>
    <row r="2313" spans="1:9" x14ac:dyDescent="0.3">
      <c r="A2313" t="str">
        <f t="shared" si="788"/>
        <v>United States</v>
      </c>
      <c r="B2313" t="str">
        <f t="shared" si="787"/>
        <v>Kenosha</v>
      </c>
      <c r="C2313" t="str">
        <f t="shared" si="789"/>
        <v>Standard Class</v>
      </c>
      <c r="D2313" t="str">
        <f>D2312</f>
        <v>Corporate</v>
      </c>
      <c r="E2313" t="s">
        <v>24</v>
      </c>
      <c r="F2313">
        <v>5</v>
      </c>
      <c r="G2313">
        <v>0</v>
      </c>
      <c r="H2313" s="2">
        <v>260.78000000000003</v>
      </c>
      <c r="I2313" s="2">
        <v>834.95</v>
      </c>
    </row>
    <row r="2314" spans="1:9" x14ac:dyDescent="0.3">
      <c r="A2314" t="str">
        <f t="shared" si="788"/>
        <v>United States</v>
      </c>
      <c r="B2314" t="s">
        <v>255</v>
      </c>
      <c r="C2314" t="s">
        <v>7</v>
      </c>
      <c r="D2314" t="s">
        <v>8</v>
      </c>
      <c r="E2314" t="s">
        <v>23</v>
      </c>
      <c r="F2314">
        <v>3</v>
      </c>
      <c r="G2314">
        <v>0.2</v>
      </c>
      <c r="H2314" s="2">
        <v>-8.9970000000000034</v>
      </c>
      <c r="I2314" s="2">
        <v>71.975999999999999</v>
      </c>
    </row>
    <row r="2315" spans="1:9" x14ac:dyDescent="0.3">
      <c r="A2315" t="str">
        <f t="shared" si="788"/>
        <v>United States</v>
      </c>
      <c r="B2315" t="str">
        <f t="shared" ref="B2315:B2325" si="791">B2314</f>
        <v>Kent</v>
      </c>
      <c r="C2315" t="str">
        <f t="shared" ref="C2315:C2318" si="792">C2314</f>
        <v>Second Class</v>
      </c>
      <c r="D2315" t="str">
        <f t="shared" ref="D2315:D2318" si="793">D2314</f>
        <v>Consumer</v>
      </c>
      <c r="E2315" t="s">
        <v>12</v>
      </c>
      <c r="F2315">
        <v>5</v>
      </c>
      <c r="G2315">
        <v>0.2</v>
      </c>
      <c r="H2315" s="2">
        <v>6.0449999999999946</v>
      </c>
      <c r="I2315" s="2">
        <v>48.36</v>
      </c>
    </row>
    <row r="2316" spans="1:9" x14ac:dyDescent="0.3">
      <c r="A2316" t="str">
        <f t="shared" si="788"/>
        <v>United States</v>
      </c>
      <c r="B2316" t="str">
        <f t="shared" si="791"/>
        <v>Kent</v>
      </c>
      <c r="C2316" t="str">
        <f t="shared" si="792"/>
        <v>Second Class</v>
      </c>
      <c r="D2316" t="str">
        <f t="shared" si="793"/>
        <v>Consumer</v>
      </c>
      <c r="E2316" t="s">
        <v>19</v>
      </c>
      <c r="F2316">
        <v>3</v>
      </c>
      <c r="G2316">
        <v>0.2</v>
      </c>
      <c r="H2316" s="2">
        <v>1.7519999999999998</v>
      </c>
      <c r="I2316" s="2">
        <v>14.015999999999998</v>
      </c>
    </row>
    <row r="2317" spans="1:9" x14ac:dyDescent="0.3">
      <c r="A2317" t="str">
        <f t="shared" si="788"/>
        <v>United States</v>
      </c>
      <c r="B2317" t="str">
        <f t="shared" si="791"/>
        <v>Kent</v>
      </c>
      <c r="C2317" t="str">
        <f t="shared" si="792"/>
        <v>Second Class</v>
      </c>
      <c r="D2317" t="str">
        <f t="shared" si="793"/>
        <v>Consumer</v>
      </c>
      <c r="E2317" t="s">
        <v>16</v>
      </c>
      <c r="F2317">
        <v>3</v>
      </c>
      <c r="G2317">
        <v>0</v>
      </c>
      <c r="H2317" s="2">
        <v>9.3312000000000008</v>
      </c>
      <c r="I2317" s="2">
        <v>19.440000000000001</v>
      </c>
    </row>
    <row r="2318" spans="1:9" x14ac:dyDescent="0.3">
      <c r="A2318" t="str">
        <f t="shared" si="788"/>
        <v>United States</v>
      </c>
      <c r="B2318" t="str">
        <f t="shared" si="791"/>
        <v>Kent</v>
      </c>
      <c r="C2318" t="str">
        <f t="shared" si="792"/>
        <v>Second Class</v>
      </c>
      <c r="D2318" t="str">
        <f t="shared" si="793"/>
        <v>Consumer</v>
      </c>
      <c r="E2318" t="s">
        <v>24</v>
      </c>
      <c r="F2318">
        <v>6</v>
      </c>
      <c r="G2318">
        <v>0.60000000000000009</v>
      </c>
      <c r="H2318" s="2">
        <v>-17.998500000000003</v>
      </c>
      <c r="I2318" s="2">
        <v>179.958</v>
      </c>
    </row>
    <row r="2319" spans="1:9" x14ac:dyDescent="0.3">
      <c r="A2319" t="str">
        <f t="shared" si="788"/>
        <v>United States</v>
      </c>
      <c r="B2319" t="str">
        <f t="shared" si="791"/>
        <v>Kent</v>
      </c>
      <c r="C2319" t="s">
        <v>22</v>
      </c>
      <c r="D2319" t="s">
        <v>8</v>
      </c>
      <c r="E2319" t="s">
        <v>23</v>
      </c>
      <c r="F2319">
        <v>2</v>
      </c>
      <c r="G2319">
        <v>0</v>
      </c>
      <c r="H2319" s="2">
        <v>10.5</v>
      </c>
      <c r="I2319" s="2">
        <v>50</v>
      </c>
    </row>
    <row r="2320" spans="1:9" x14ac:dyDescent="0.3">
      <c r="A2320" t="str">
        <f t="shared" si="788"/>
        <v>United States</v>
      </c>
      <c r="B2320" t="str">
        <f t="shared" si="791"/>
        <v>Kent</v>
      </c>
      <c r="C2320" t="str">
        <f t="shared" ref="C2320:C2325" si="794">C2319</f>
        <v>Standard Class</v>
      </c>
      <c r="D2320" t="str">
        <f t="shared" ref="D2320:D2324" si="795">D2319</f>
        <v>Consumer</v>
      </c>
      <c r="E2320" t="s">
        <v>20</v>
      </c>
      <c r="F2320">
        <v>2</v>
      </c>
      <c r="G2320">
        <v>0.2</v>
      </c>
      <c r="H2320" s="2">
        <v>7.8191999999999995</v>
      </c>
      <c r="I2320" s="2">
        <v>23.168000000000003</v>
      </c>
    </row>
    <row r="2321" spans="1:9" x14ac:dyDescent="0.3">
      <c r="A2321" t="str">
        <f t="shared" si="788"/>
        <v>United States</v>
      </c>
      <c r="B2321" t="str">
        <f t="shared" si="791"/>
        <v>Kent</v>
      </c>
      <c r="C2321" t="str">
        <f t="shared" si="794"/>
        <v>Standard Class</v>
      </c>
      <c r="D2321" t="str">
        <f t="shared" si="795"/>
        <v>Consumer</v>
      </c>
      <c r="E2321" t="s">
        <v>38</v>
      </c>
      <c r="F2321">
        <v>3</v>
      </c>
      <c r="G2321">
        <v>0</v>
      </c>
      <c r="H2321" s="2">
        <v>77.483699999999999</v>
      </c>
      <c r="I2321" s="2">
        <v>158.13</v>
      </c>
    </row>
    <row r="2322" spans="1:9" x14ac:dyDescent="0.3">
      <c r="A2322" t="str">
        <f t="shared" si="788"/>
        <v>United States</v>
      </c>
      <c r="B2322" t="str">
        <f t="shared" si="791"/>
        <v>Kent</v>
      </c>
      <c r="C2322" t="str">
        <f t="shared" si="794"/>
        <v>Standard Class</v>
      </c>
      <c r="D2322" t="str">
        <f t="shared" si="795"/>
        <v>Consumer</v>
      </c>
      <c r="E2322" t="s">
        <v>21</v>
      </c>
      <c r="F2322">
        <v>2</v>
      </c>
      <c r="G2322">
        <v>0</v>
      </c>
      <c r="H2322" s="2">
        <v>99.23</v>
      </c>
      <c r="I2322" s="2">
        <v>198.46</v>
      </c>
    </row>
    <row r="2323" spans="1:9" x14ac:dyDescent="0.3">
      <c r="A2323" t="str">
        <f t="shared" si="788"/>
        <v>United States</v>
      </c>
      <c r="B2323" t="str">
        <f t="shared" si="791"/>
        <v>Kent</v>
      </c>
      <c r="C2323" t="str">
        <f t="shared" si="794"/>
        <v>Standard Class</v>
      </c>
      <c r="D2323" t="str">
        <f t="shared" si="795"/>
        <v>Consumer</v>
      </c>
      <c r="E2323" t="s">
        <v>43</v>
      </c>
      <c r="F2323">
        <v>8</v>
      </c>
      <c r="G2323">
        <v>0</v>
      </c>
      <c r="H2323" s="2">
        <v>385.37520000000001</v>
      </c>
      <c r="I2323" s="2">
        <v>786.48</v>
      </c>
    </row>
    <row r="2324" spans="1:9" x14ac:dyDescent="0.3">
      <c r="A2324" t="str">
        <f t="shared" si="788"/>
        <v>United States</v>
      </c>
      <c r="B2324" t="str">
        <f t="shared" si="791"/>
        <v>Kent</v>
      </c>
      <c r="C2324" t="str">
        <f t="shared" si="794"/>
        <v>Standard Class</v>
      </c>
      <c r="D2324" t="str">
        <f t="shared" si="795"/>
        <v>Consumer</v>
      </c>
      <c r="E2324" t="s">
        <v>24</v>
      </c>
      <c r="F2324">
        <v>5</v>
      </c>
      <c r="G2324">
        <v>0.2</v>
      </c>
      <c r="H2324" s="2">
        <v>4.3600000000000012</v>
      </c>
      <c r="I2324" s="2">
        <v>43.6</v>
      </c>
    </row>
    <row r="2325" spans="1:9" x14ac:dyDescent="0.3">
      <c r="A2325" t="str">
        <f t="shared" si="788"/>
        <v>United States</v>
      </c>
      <c r="B2325" t="str">
        <f t="shared" si="791"/>
        <v>Kent</v>
      </c>
      <c r="C2325" t="str">
        <f t="shared" si="794"/>
        <v>Standard Class</v>
      </c>
      <c r="D2325" t="s">
        <v>15</v>
      </c>
      <c r="E2325" t="s">
        <v>12</v>
      </c>
      <c r="F2325">
        <v>6</v>
      </c>
      <c r="G2325">
        <v>0.2</v>
      </c>
      <c r="H2325" s="2">
        <v>16.894799999999996</v>
      </c>
      <c r="I2325" s="2">
        <v>103.96799999999999</v>
      </c>
    </row>
    <row r="2326" spans="1:9" x14ac:dyDescent="0.3">
      <c r="A2326" t="str">
        <f t="shared" si="788"/>
        <v>United States</v>
      </c>
      <c r="B2326" t="s">
        <v>256</v>
      </c>
      <c r="C2326" t="s">
        <v>11</v>
      </c>
      <c r="D2326" t="s">
        <v>8</v>
      </c>
      <c r="E2326" t="s">
        <v>20</v>
      </c>
      <c r="F2326">
        <v>4</v>
      </c>
      <c r="G2326">
        <v>0</v>
      </c>
      <c r="H2326" s="2">
        <v>13.063999999999998</v>
      </c>
      <c r="I2326" s="2">
        <v>28.4</v>
      </c>
    </row>
    <row r="2327" spans="1:9" x14ac:dyDescent="0.3">
      <c r="A2327" t="str">
        <f t="shared" si="788"/>
        <v>United States</v>
      </c>
      <c r="B2327" t="str">
        <f>B2326</f>
        <v>Kirkwood</v>
      </c>
      <c r="C2327" t="str">
        <f>C2326</f>
        <v>First Class</v>
      </c>
      <c r="D2327" t="str">
        <f>D2326</f>
        <v>Consumer</v>
      </c>
      <c r="E2327" t="s">
        <v>21</v>
      </c>
      <c r="F2327">
        <v>3</v>
      </c>
      <c r="G2327">
        <v>0</v>
      </c>
      <c r="H2327" s="2">
        <v>34.070399999999999</v>
      </c>
      <c r="I2327" s="2">
        <v>212.94</v>
      </c>
    </row>
    <row r="2328" spans="1:9" x14ac:dyDescent="0.3">
      <c r="A2328" t="str">
        <f t="shared" si="788"/>
        <v>United States</v>
      </c>
      <c r="B2328" t="s">
        <v>257</v>
      </c>
      <c r="C2328" t="s">
        <v>22</v>
      </c>
      <c r="D2328" t="s">
        <v>8</v>
      </c>
      <c r="E2328" t="s">
        <v>24</v>
      </c>
      <c r="F2328">
        <v>2</v>
      </c>
      <c r="G2328">
        <v>0.2</v>
      </c>
      <c r="H2328" s="2">
        <v>84.598199999999878</v>
      </c>
      <c r="I2328" s="2">
        <v>751.98400000000004</v>
      </c>
    </row>
    <row r="2329" spans="1:9" x14ac:dyDescent="0.3">
      <c r="A2329" t="str">
        <f t="shared" si="788"/>
        <v>United States</v>
      </c>
      <c r="B2329" t="s">
        <v>258</v>
      </c>
      <c r="C2329" t="s">
        <v>11</v>
      </c>
      <c r="D2329" t="s">
        <v>8</v>
      </c>
      <c r="E2329" t="s">
        <v>21</v>
      </c>
      <c r="F2329">
        <v>5</v>
      </c>
      <c r="G2329">
        <v>0.2</v>
      </c>
      <c r="H2329" s="2">
        <v>14.449499999999986</v>
      </c>
      <c r="I2329" s="2">
        <v>88.920000000000016</v>
      </c>
    </row>
    <row r="2330" spans="1:9" x14ac:dyDescent="0.3">
      <c r="A2330" t="str">
        <f t="shared" si="788"/>
        <v>United States</v>
      </c>
      <c r="B2330" t="str">
        <f t="shared" ref="B2330:B2348" si="796">B2329</f>
        <v>Knoxville</v>
      </c>
      <c r="C2330" t="str">
        <f t="shared" ref="C2330:C2335" si="797">C2329</f>
        <v>First Class</v>
      </c>
      <c r="D2330" t="s">
        <v>15</v>
      </c>
      <c r="E2330" t="s">
        <v>14</v>
      </c>
      <c r="F2330">
        <v>3</v>
      </c>
      <c r="G2330">
        <v>0.2</v>
      </c>
      <c r="H2330" s="2">
        <v>-24.588000000000001</v>
      </c>
      <c r="I2330" s="2">
        <v>98.352000000000004</v>
      </c>
    </row>
    <row r="2331" spans="1:9" x14ac:dyDescent="0.3">
      <c r="A2331" t="str">
        <f t="shared" si="788"/>
        <v>United States</v>
      </c>
      <c r="B2331" t="str">
        <f t="shared" si="796"/>
        <v>Knoxville</v>
      </c>
      <c r="C2331" t="str">
        <f t="shared" si="797"/>
        <v>First Class</v>
      </c>
      <c r="D2331" t="str">
        <f>D2330</f>
        <v>Corporate</v>
      </c>
      <c r="E2331" t="s">
        <v>25</v>
      </c>
      <c r="F2331">
        <v>3</v>
      </c>
      <c r="G2331">
        <v>0.4</v>
      </c>
      <c r="H2331" s="2">
        <v>-147.8655</v>
      </c>
      <c r="I2331" s="2">
        <v>328.59000000000003</v>
      </c>
    </row>
    <row r="2332" spans="1:9" x14ac:dyDescent="0.3">
      <c r="A2332" t="str">
        <f t="shared" si="788"/>
        <v>United States</v>
      </c>
      <c r="B2332" t="str">
        <f t="shared" si="796"/>
        <v>Knoxville</v>
      </c>
      <c r="C2332" t="str">
        <f t="shared" si="797"/>
        <v>First Class</v>
      </c>
      <c r="D2332" t="s">
        <v>17</v>
      </c>
      <c r="E2332" t="s">
        <v>20</v>
      </c>
      <c r="F2332">
        <v>7</v>
      </c>
      <c r="G2332">
        <v>1.4</v>
      </c>
      <c r="H2332" s="2">
        <v>-48.13559999999999</v>
      </c>
      <c r="I2332" s="2">
        <v>61.596000000000004</v>
      </c>
    </row>
    <row r="2333" spans="1:9" x14ac:dyDescent="0.3">
      <c r="A2333" t="str">
        <f t="shared" si="788"/>
        <v>United States</v>
      </c>
      <c r="B2333" t="str">
        <f t="shared" si="796"/>
        <v>Knoxville</v>
      </c>
      <c r="C2333" t="str">
        <f t="shared" si="797"/>
        <v>First Class</v>
      </c>
      <c r="D2333" t="str">
        <f t="shared" ref="D2333:D2335" si="798">D2332</f>
        <v>Home Office</v>
      </c>
      <c r="E2333" t="s">
        <v>21</v>
      </c>
      <c r="F2333">
        <v>5</v>
      </c>
      <c r="G2333">
        <v>0.60000000000000009</v>
      </c>
      <c r="H2333" s="2">
        <v>8.8254999999999981</v>
      </c>
      <c r="I2333" s="2">
        <v>41.224000000000004</v>
      </c>
    </row>
    <row r="2334" spans="1:9" x14ac:dyDescent="0.3">
      <c r="A2334" t="str">
        <f t="shared" si="788"/>
        <v>United States</v>
      </c>
      <c r="B2334" t="str">
        <f t="shared" si="796"/>
        <v>Knoxville</v>
      </c>
      <c r="C2334" t="str">
        <f t="shared" si="797"/>
        <v>First Class</v>
      </c>
      <c r="D2334" t="str">
        <f t="shared" si="798"/>
        <v>Home Office</v>
      </c>
      <c r="E2334" t="s">
        <v>16</v>
      </c>
      <c r="F2334">
        <v>4</v>
      </c>
      <c r="G2334">
        <v>0.2</v>
      </c>
      <c r="H2334" s="2">
        <v>7.2576000000000001</v>
      </c>
      <c r="I2334" s="2">
        <v>20.736000000000004</v>
      </c>
    </row>
    <row r="2335" spans="1:9" x14ac:dyDescent="0.3">
      <c r="A2335" t="str">
        <f t="shared" si="788"/>
        <v>United States</v>
      </c>
      <c r="B2335" t="str">
        <f t="shared" si="796"/>
        <v>Knoxville</v>
      </c>
      <c r="C2335" t="str">
        <f t="shared" si="797"/>
        <v>First Class</v>
      </c>
      <c r="D2335" t="str">
        <f t="shared" si="798"/>
        <v>Home Office</v>
      </c>
      <c r="E2335" t="s">
        <v>25</v>
      </c>
      <c r="F2335">
        <v>7</v>
      </c>
      <c r="G2335">
        <v>0.4</v>
      </c>
      <c r="H2335" s="2">
        <v>-1002.7836000000001</v>
      </c>
      <c r="I2335" s="2">
        <v>2314.116</v>
      </c>
    </row>
    <row r="2336" spans="1:9" x14ac:dyDescent="0.3">
      <c r="A2336" t="str">
        <f t="shared" si="788"/>
        <v>United States</v>
      </c>
      <c r="B2336" t="str">
        <f t="shared" si="796"/>
        <v>Knoxville</v>
      </c>
      <c r="C2336" t="s">
        <v>7</v>
      </c>
      <c r="D2336" t="s">
        <v>8</v>
      </c>
      <c r="E2336" t="s">
        <v>12</v>
      </c>
      <c r="F2336">
        <v>2</v>
      </c>
      <c r="G2336">
        <v>0.2</v>
      </c>
      <c r="H2336" s="2">
        <v>8.7168000000000063</v>
      </c>
      <c r="I2336" s="2">
        <v>87.168000000000006</v>
      </c>
    </row>
    <row r="2337" spans="1:9" x14ac:dyDescent="0.3">
      <c r="A2337" t="str">
        <f t="shared" si="788"/>
        <v>United States</v>
      </c>
      <c r="B2337" t="str">
        <f t="shared" si="796"/>
        <v>Knoxville</v>
      </c>
      <c r="C2337" t="str">
        <f t="shared" ref="C2337:C2340" si="799">C2336</f>
        <v>Second Class</v>
      </c>
      <c r="D2337" t="str">
        <f t="shared" ref="D2337:D2338" si="800">D2336</f>
        <v>Consumer</v>
      </c>
      <c r="E2337" t="s">
        <v>19</v>
      </c>
      <c r="F2337">
        <v>2</v>
      </c>
      <c r="G2337">
        <v>0.2</v>
      </c>
      <c r="H2337" s="2">
        <v>8.3328000000000024</v>
      </c>
      <c r="I2337" s="2">
        <v>31.744</v>
      </c>
    </row>
    <row r="2338" spans="1:9" x14ac:dyDescent="0.3">
      <c r="A2338" t="str">
        <f t="shared" si="788"/>
        <v>United States</v>
      </c>
      <c r="B2338" t="str">
        <f t="shared" si="796"/>
        <v>Knoxville</v>
      </c>
      <c r="C2338" t="str">
        <f t="shared" si="799"/>
        <v>Second Class</v>
      </c>
      <c r="D2338" t="str">
        <f t="shared" si="800"/>
        <v>Consumer</v>
      </c>
      <c r="E2338" t="s">
        <v>16</v>
      </c>
      <c r="F2338">
        <v>3</v>
      </c>
      <c r="G2338">
        <v>0.2</v>
      </c>
      <c r="H2338" s="2">
        <v>4.1147999999999998</v>
      </c>
      <c r="I2338" s="2">
        <v>12.192</v>
      </c>
    </row>
    <row r="2339" spans="1:9" x14ac:dyDescent="0.3">
      <c r="A2339" t="str">
        <f t="shared" si="788"/>
        <v>United States</v>
      </c>
      <c r="B2339" t="str">
        <f t="shared" si="796"/>
        <v>Knoxville</v>
      </c>
      <c r="C2339" t="str">
        <f t="shared" si="799"/>
        <v>Second Class</v>
      </c>
      <c r="D2339" t="s">
        <v>15</v>
      </c>
      <c r="E2339" t="s">
        <v>33</v>
      </c>
      <c r="F2339">
        <v>3</v>
      </c>
      <c r="G2339">
        <v>0.2</v>
      </c>
      <c r="H2339" s="2">
        <v>-35.36460000000001</v>
      </c>
      <c r="I2339" s="2">
        <v>314.35199999999998</v>
      </c>
    </row>
    <row r="2340" spans="1:9" x14ac:dyDescent="0.3">
      <c r="A2340" t="str">
        <f t="shared" si="788"/>
        <v>United States</v>
      </c>
      <c r="B2340" t="str">
        <f t="shared" si="796"/>
        <v>Knoxville</v>
      </c>
      <c r="C2340" t="str">
        <f t="shared" si="799"/>
        <v>Second Class</v>
      </c>
      <c r="D2340" t="str">
        <f>D2339</f>
        <v>Corporate</v>
      </c>
      <c r="E2340" t="s">
        <v>16</v>
      </c>
      <c r="F2340">
        <v>7</v>
      </c>
      <c r="G2340">
        <v>0.2</v>
      </c>
      <c r="H2340" s="2">
        <v>10.109400000000001</v>
      </c>
      <c r="I2340" s="2">
        <v>27.888000000000002</v>
      </c>
    </row>
    <row r="2341" spans="1:9" x14ac:dyDescent="0.3">
      <c r="A2341" t="str">
        <f t="shared" si="788"/>
        <v>United States</v>
      </c>
      <c r="B2341" t="str">
        <f t="shared" si="796"/>
        <v>Knoxville</v>
      </c>
      <c r="C2341" t="s">
        <v>22</v>
      </c>
      <c r="D2341" t="s">
        <v>8</v>
      </c>
      <c r="E2341" t="s">
        <v>23</v>
      </c>
      <c r="F2341">
        <v>4</v>
      </c>
      <c r="G2341">
        <v>0.2</v>
      </c>
      <c r="H2341" s="2">
        <v>-1.119600000000009</v>
      </c>
      <c r="I2341" s="2">
        <v>89.567999999999998</v>
      </c>
    </row>
    <row r="2342" spans="1:9" x14ac:dyDescent="0.3">
      <c r="A2342" t="str">
        <f t="shared" si="788"/>
        <v>United States</v>
      </c>
      <c r="B2342" t="str">
        <f t="shared" si="796"/>
        <v>Knoxville</v>
      </c>
      <c r="C2342" t="str">
        <f t="shared" ref="C2342:C2348" si="801">C2341</f>
        <v>Standard Class</v>
      </c>
      <c r="D2342" t="str">
        <f t="shared" ref="D2342:D2346" si="802">D2341</f>
        <v>Consumer</v>
      </c>
      <c r="E2342" t="s">
        <v>19</v>
      </c>
      <c r="F2342">
        <v>7</v>
      </c>
      <c r="G2342">
        <v>0.4</v>
      </c>
      <c r="H2342" s="2">
        <v>7.6076000000000015</v>
      </c>
      <c r="I2342" s="2">
        <v>76.663999999999987</v>
      </c>
    </row>
    <row r="2343" spans="1:9" x14ac:dyDescent="0.3">
      <c r="A2343" t="str">
        <f t="shared" si="788"/>
        <v>United States</v>
      </c>
      <c r="B2343" t="str">
        <f t="shared" si="796"/>
        <v>Knoxville</v>
      </c>
      <c r="C2343" t="str">
        <f t="shared" si="801"/>
        <v>Standard Class</v>
      </c>
      <c r="D2343" t="str">
        <f t="shared" si="802"/>
        <v>Consumer</v>
      </c>
      <c r="E2343" t="s">
        <v>33</v>
      </c>
      <c r="F2343">
        <v>3</v>
      </c>
      <c r="G2343">
        <v>0.2</v>
      </c>
      <c r="H2343" s="2">
        <v>-10.918799999999983</v>
      </c>
      <c r="I2343" s="2">
        <v>218.376</v>
      </c>
    </row>
    <row r="2344" spans="1:9" x14ac:dyDescent="0.3">
      <c r="A2344" t="str">
        <f t="shared" si="788"/>
        <v>United States</v>
      </c>
      <c r="B2344" t="str">
        <f t="shared" si="796"/>
        <v>Knoxville</v>
      </c>
      <c r="C2344" t="str">
        <f t="shared" si="801"/>
        <v>Standard Class</v>
      </c>
      <c r="D2344" t="str">
        <f t="shared" si="802"/>
        <v>Consumer</v>
      </c>
      <c r="E2344" t="s">
        <v>21</v>
      </c>
      <c r="F2344">
        <v>3</v>
      </c>
      <c r="G2344">
        <v>0.2</v>
      </c>
      <c r="H2344" s="2">
        <v>6.5903999999999989</v>
      </c>
      <c r="I2344" s="2">
        <v>32.952000000000005</v>
      </c>
    </row>
    <row r="2345" spans="1:9" x14ac:dyDescent="0.3">
      <c r="A2345" t="str">
        <f t="shared" si="788"/>
        <v>United States</v>
      </c>
      <c r="B2345" t="str">
        <f t="shared" si="796"/>
        <v>Knoxville</v>
      </c>
      <c r="C2345" t="str">
        <f t="shared" si="801"/>
        <v>Standard Class</v>
      </c>
      <c r="D2345" t="str">
        <f t="shared" si="802"/>
        <v>Consumer</v>
      </c>
      <c r="E2345" t="s">
        <v>43</v>
      </c>
      <c r="F2345">
        <v>5</v>
      </c>
      <c r="G2345">
        <v>0.2</v>
      </c>
      <c r="H2345" s="2">
        <v>22.199999999999996</v>
      </c>
      <c r="I2345" s="2">
        <v>59.20000000000001</v>
      </c>
    </row>
    <row r="2346" spans="1:9" x14ac:dyDescent="0.3">
      <c r="A2346" t="str">
        <f t="shared" si="788"/>
        <v>United States</v>
      </c>
      <c r="B2346" t="str">
        <f t="shared" si="796"/>
        <v>Knoxville</v>
      </c>
      <c r="C2346" t="str">
        <f t="shared" si="801"/>
        <v>Standard Class</v>
      </c>
      <c r="D2346" t="str">
        <f t="shared" si="802"/>
        <v>Consumer</v>
      </c>
      <c r="E2346" t="s">
        <v>16</v>
      </c>
      <c r="F2346">
        <v>3</v>
      </c>
      <c r="G2346">
        <v>0.2</v>
      </c>
      <c r="H2346" s="2">
        <v>5.4432</v>
      </c>
      <c r="I2346" s="2">
        <v>15.552000000000003</v>
      </c>
    </row>
    <row r="2347" spans="1:9" x14ac:dyDescent="0.3">
      <c r="A2347" t="str">
        <f t="shared" si="788"/>
        <v>United States</v>
      </c>
      <c r="B2347" t="str">
        <f t="shared" si="796"/>
        <v>Knoxville</v>
      </c>
      <c r="C2347" t="str">
        <f t="shared" si="801"/>
        <v>Standard Class</v>
      </c>
      <c r="D2347" t="s">
        <v>15</v>
      </c>
      <c r="E2347" t="s">
        <v>19</v>
      </c>
      <c r="F2347">
        <v>3</v>
      </c>
      <c r="G2347">
        <v>0.2</v>
      </c>
      <c r="H2347" s="2">
        <v>0.3822000000000001</v>
      </c>
      <c r="I2347" s="2">
        <v>4.3680000000000003</v>
      </c>
    </row>
    <row r="2348" spans="1:9" x14ac:dyDescent="0.3">
      <c r="A2348" t="str">
        <f t="shared" si="788"/>
        <v>United States</v>
      </c>
      <c r="B2348" t="str">
        <f t="shared" si="796"/>
        <v>Knoxville</v>
      </c>
      <c r="C2348" t="str">
        <f t="shared" si="801"/>
        <v>Standard Class</v>
      </c>
      <c r="D2348" t="s">
        <v>17</v>
      </c>
      <c r="E2348" t="s">
        <v>43</v>
      </c>
      <c r="F2348">
        <v>2</v>
      </c>
      <c r="G2348">
        <v>0.2</v>
      </c>
      <c r="H2348" s="2">
        <v>1.6704000000000001</v>
      </c>
      <c r="I2348" s="2">
        <v>4.6079999999999997</v>
      </c>
    </row>
    <row r="2349" spans="1:9" x14ac:dyDescent="0.3">
      <c r="A2349" t="str">
        <f t="shared" si="788"/>
        <v>United States</v>
      </c>
      <c r="B2349" t="s">
        <v>259</v>
      </c>
      <c r="C2349" t="s">
        <v>7</v>
      </c>
      <c r="D2349" t="s">
        <v>8</v>
      </c>
      <c r="E2349" t="s">
        <v>20</v>
      </c>
      <c r="F2349">
        <v>3</v>
      </c>
      <c r="G2349">
        <v>0</v>
      </c>
      <c r="H2349" s="2">
        <v>28.410000000000004</v>
      </c>
      <c r="I2349" s="2">
        <v>56.820000000000007</v>
      </c>
    </row>
    <row r="2350" spans="1:9" x14ac:dyDescent="0.3">
      <c r="A2350" t="str">
        <f t="shared" si="788"/>
        <v>United States</v>
      </c>
      <c r="B2350" t="str">
        <f t="shared" ref="B2350:B2353" si="803">B2349</f>
        <v>La Crosse</v>
      </c>
      <c r="C2350" t="s">
        <v>22</v>
      </c>
      <c r="D2350" t="s">
        <v>15</v>
      </c>
      <c r="E2350" t="s">
        <v>23</v>
      </c>
      <c r="F2350">
        <v>5</v>
      </c>
      <c r="G2350">
        <v>0</v>
      </c>
      <c r="H2350" s="2">
        <v>174.98249999999999</v>
      </c>
      <c r="I2350" s="2">
        <v>499.95</v>
      </c>
    </row>
    <row r="2351" spans="1:9" x14ac:dyDescent="0.3">
      <c r="A2351" t="str">
        <f t="shared" si="788"/>
        <v>United States</v>
      </c>
      <c r="B2351" t="str">
        <f t="shared" si="803"/>
        <v>La Crosse</v>
      </c>
      <c r="C2351" t="str">
        <f t="shared" ref="C2351:C2353" si="804">C2350</f>
        <v>Standard Class</v>
      </c>
      <c r="D2351" t="str">
        <f t="shared" ref="D2351:D2353" si="805">D2350</f>
        <v>Corporate</v>
      </c>
      <c r="E2351" t="s">
        <v>19</v>
      </c>
      <c r="F2351">
        <v>1</v>
      </c>
      <c r="G2351">
        <v>0</v>
      </c>
      <c r="H2351" s="2">
        <v>1.0335999999999999</v>
      </c>
      <c r="I2351" s="2">
        <v>3.04</v>
      </c>
    </row>
    <row r="2352" spans="1:9" x14ac:dyDescent="0.3">
      <c r="A2352" t="str">
        <f t="shared" si="788"/>
        <v>United States</v>
      </c>
      <c r="B2352" t="str">
        <f t="shared" si="803"/>
        <v>La Crosse</v>
      </c>
      <c r="C2352" t="str">
        <f t="shared" si="804"/>
        <v>Standard Class</v>
      </c>
      <c r="D2352" t="str">
        <f t="shared" si="805"/>
        <v>Corporate</v>
      </c>
      <c r="E2352" t="s">
        <v>33</v>
      </c>
      <c r="F2352">
        <v>2</v>
      </c>
      <c r="G2352">
        <v>0</v>
      </c>
      <c r="H2352" s="2">
        <v>50.490000000000009</v>
      </c>
      <c r="I2352" s="2">
        <v>201.96</v>
      </c>
    </row>
    <row r="2353" spans="1:9" x14ac:dyDescent="0.3">
      <c r="A2353" t="str">
        <f t="shared" si="788"/>
        <v>United States</v>
      </c>
      <c r="B2353" t="str">
        <f t="shared" si="803"/>
        <v>La Crosse</v>
      </c>
      <c r="C2353" t="str">
        <f t="shared" si="804"/>
        <v>Standard Class</v>
      </c>
      <c r="D2353" t="str">
        <f t="shared" si="805"/>
        <v>Corporate</v>
      </c>
      <c r="E2353" t="s">
        <v>21</v>
      </c>
      <c r="F2353">
        <v>11</v>
      </c>
      <c r="G2353">
        <v>0</v>
      </c>
      <c r="H2353" s="2">
        <v>17.160000000000004</v>
      </c>
      <c r="I2353" s="2">
        <v>68.64</v>
      </c>
    </row>
    <row r="2354" spans="1:9" x14ac:dyDescent="0.3">
      <c r="A2354" t="str">
        <f t="shared" si="788"/>
        <v>United States</v>
      </c>
      <c r="B2354" t="s">
        <v>260</v>
      </c>
      <c r="C2354" t="s">
        <v>22</v>
      </c>
      <c r="D2354" t="s">
        <v>17</v>
      </c>
      <c r="E2354" t="s">
        <v>23</v>
      </c>
      <c r="F2354">
        <v>3</v>
      </c>
      <c r="G2354">
        <v>0</v>
      </c>
      <c r="H2354" s="2">
        <v>85.490999999999957</v>
      </c>
      <c r="I2354" s="2">
        <v>284.96999999999997</v>
      </c>
    </row>
    <row r="2355" spans="1:9" x14ac:dyDescent="0.3">
      <c r="A2355" t="str">
        <f t="shared" si="788"/>
        <v>United States</v>
      </c>
      <c r="B2355" t="str">
        <f>B2354</f>
        <v>La Mesa</v>
      </c>
      <c r="C2355" t="str">
        <f>C2354</f>
        <v>Standard Class</v>
      </c>
      <c r="D2355" t="str">
        <f>D2354</f>
        <v>Home Office</v>
      </c>
      <c r="E2355" t="s">
        <v>20</v>
      </c>
      <c r="F2355">
        <v>5</v>
      </c>
      <c r="G2355">
        <v>0.2</v>
      </c>
      <c r="H2355" s="2">
        <v>28.896000000000001</v>
      </c>
      <c r="I2355" s="2">
        <v>82.56</v>
      </c>
    </row>
    <row r="2356" spans="1:9" x14ac:dyDescent="0.3">
      <c r="A2356" t="str">
        <f t="shared" si="788"/>
        <v>United States</v>
      </c>
      <c r="B2356" t="s">
        <v>261</v>
      </c>
      <c r="C2356" t="s">
        <v>11</v>
      </c>
      <c r="D2356" t="s">
        <v>8</v>
      </c>
      <c r="E2356" t="s">
        <v>20</v>
      </c>
      <c r="F2356">
        <v>2</v>
      </c>
      <c r="G2356">
        <v>0.8</v>
      </c>
      <c r="H2356" s="2">
        <v>-26.227200000000003</v>
      </c>
      <c r="I2356" s="2">
        <v>16.391999999999996</v>
      </c>
    </row>
    <row r="2357" spans="1:9" x14ac:dyDescent="0.3">
      <c r="A2357" t="str">
        <f t="shared" si="788"/>
        <v>United States</v>
      </c>
      <c r="B2357" t="str">
        <f t="shared" ref="B2357:B2364" si="806">B2356</f>
        <v>La Porte</v>
      </c>
      <c r="C2357" t="str">
        <f t="shared" ref="C2357:C2358" si="807">C2356</f>
        <v>First Class</v>
      </c>
      <c r="D2357" t="str">
        <f t="shared" ref="D2357:D2358" si="808">D2356</f>
        <v>Consumer</v>
      </c>
      <c r="E2357" t="s">
        <v>21</v>
      </c>
      <c r="F2357">
        <v>9</v>
      </c>
      <c r="G2357">
        <v>0.6</v>
      </c>
      <c r="H2357" s="2">
        <v>4.5810000000000013</v>
      </c>
      <c r="I2357" s="2">
        <v>55.849999999999994</v>
      </c>
    </row>
    <row r="2358" spans="1:9" x14ac:dyDescent="0.3">
      <c r="A2358" t="str">
        <f t="shared" si="788"/>
        <v>United States</v>
      </c>
      <c r="B2358" t="str">
        <f t="shared" si="806"/>
        <v>La Porte</v>
      </c>
      <c r="C2358" t="str">
        <f t="shared" si="807"/>
        <v>First Class</v>
      </c>
      <c r="D2358" t="str">
        <f t="shared" si="808"/>
        <v>Consumer</v>
      </c>
      <c r="E2358" t="s">
        <v>24</v>
      </c>
      <c r="F2358">
        <v>2</v>
      </c>
      <c r="G2358">
        <v>0</v>
      </c>
      <c r="H2358" s="2">
        <v>18.873000000000005</v>
      </c>
      <c r="I2358" s="2">
        <v>69.900000000000006</v>
      </c>
    </row>
    <row r="2359" spans="1:9" x14ac:dyDescent="0.3">
      <c r="A2359" t="str">
        <f t="shared" si="788"/>
        <v>United States</v>
      </c>
      <c r="B2359" t="str">
        <f t="shared" si="806"/>
        <v>La Porte</v>
      </c>
      <c r="C2359" t="s">
        <v>7</v>
      </c>
      <c r="D2359" t="s">
        <v>15</v>
      </c>
      <c r="E2359" t="s">
        <v>12</v>
      </c>
      <c r="F2359">
        <v>2</v>
      </c>
      <c r="G2359">
        <v>0</v>
      </c>
      <c r="H2359" s="2">
        <v>10.5504</v>
      </c>
      <c r="I2359" s="2">
        <v>37.68</v>
      </c>
    </row>
    <row r="2360" spans="1:9" x14ac:dyDescent="0.3">
      <c r="A2360" t="str">
        <f t="shared" si="788"/>
        <v>United States</v>
      </c>
      <c r="B2360" t="str">
        <f t="shared" si="806"/>
        <v>La Porte</v>
      </c>
      <c r="C2360" t="str">
        <f t="shared" ref="C2360:C2363" si="809">C2359</f>
        <v>Second Class</v>
      </c>
      <c r="D2360" t="str">
        <f t="shared" ref="D2360:D2363" si="810">D2359</f>
        <v>Corporate</v>
      </c>
      <c r="E2360" t="s">
        <v>19</v>
      </c>
      <c r="F2360">
        <v>7</v>
      </c>
      <c r="G2360">
        <v>0</v>
      </c>
      <c r="H2360" s="2">
        <v>5.5566000000000004</v>
      </c>
      <c r="I2360" s="2">
        <v>20.58</v>
      </c>
    </row>
    <row r="2361" spans="1:9" x14ac:dyDescent="0.3">
      <c r="A2361" t="str">
        <f t="shared" si="788"/>
        <v>United States</v>
      </c>
      <c r="B2361" t="str">
        <f t="shared" si="806"/>
        <v>La Porte</v>
      </c>
      <c r="C2361" t="str">
        <f t="shared" si="809"/>
        <v>Second Class</v>
      </c>
      <c r="D2361" t="str">
        <f t="shared" si="810"/>
        <v>Corporate</v>
      </c>
      <c r="E2361" t="s">
        <v>20</v>
      </c>
      <c r="F2361">
        <v>2</v>
      </c>
      <c r="G2361">
        <v>0</v>
      </c>
      <c r="H2361" s="2">
        <v>8.69</v>
      </c>
      <c r="I2361" s="2">
        <v>17.38</v>
      </c>
    </row>
    <row r="2362" spans="1:9" x14ac:dyDescent="0.3">
      <c r="A2362" t="str">
        <f t="shared" si="788"/>
        <v>United States</v>
      </c>
      <c r="B2362" t="str">
        <f t="shared" si="806"/>
        <v>La Porte</v>
      </c>
      <c r="C2362" t="str">
        <f t="shared" si="809"/>
        <v>Second Class</v>
      </c>
      <c r="D2362" t="str">
        <f t="shared" si="810"/>
        <v>Corporate</v>
      </c>
      <c r="E2362" t="s">
        <v>38</v>
      </c>
      <c r="F2362">
        <v>8</v>
      </c>
      <c r="G2362">
        <v>0</v>
      </c>
      <c r="H2362" s="2">
        <v>129.38399999999999</v>
      </c>
      <c r="I2362" s="2">
        <v>287.52</v>
      </c>
    </row>
    <row r="2363" spans="1:9" x14ac:dyDescent="0.3">
      <c r="A2363" t="str">
        <f t="shared" si="788"/>
        <v>United States</v>
      </c>
      <c r="B2363" t="str">
        <f t="shared" si="806"/>
        <v>La Porte</v>
      </c>
      <c r="C2363" t="str">
        <f t="shared" si="809"/>
        <v>Second Class</v>
      </c>
      <c r="D2363" t="str">
        <f t="shared" si="810"/>
        <v>Corporate</v>
      </c>
      <c r="E2363" t="s">
        <v>16</v>
      </c>
      <c r="F2363">
        <v>2</v>
      </c>
      <c r="G2363">
        <v>0</v>
      </c>
      <c r="H2363" s="2">
        <v>8.9909999999999997</v>
      </c>
      <c r="I2363" s="2">
        <v>19.98</v>
      </c>
    </row>
    <row r="2364" spans="1:9" x14ac:dyDescent="0.3">
      <c r="A2364" t="str">
        <f t="shared" si="788"/>
        <v>United States</v>
      </c>
      <c r="B2364" t="str">
        <f t="shared" si="806"/>
        <v>La Porte</v>
      </c>
      <c r="C2364" t="s">
        <v>22</v>
      </c>
      <c r="D2364" t="s">
        <v>8</v>
      </c>
      <c r="E2364" t="s">
        <v>21</v>
      </c>
      <c r="F2364">
        <v>5</v>
      </c>
      <c r="G2364">
        <v>0</v>
      </c>
      <c r="H2364" s="2">
        <v>31.586999999999961</v>
      </c>
      <c r="I2364" s="2">
        <v>526.45000000000005</v>
      </c>
    </row>
    <row r="2365" spans="1:9" x14ac:dyDescent="0.3">
      <c r="A2365" t="str">
        <f t="shared" si="788"/>
        <v>United States</v>
      </c>
      <c r="B2365" t="s">
        <v>262</v>
      </c>
      <c r="C2365" t="s">
        <v>11</v>
      </c>
      <c r="D2365" t="s">
        <v>15</v>
      </c>
      <c r="E2365" t="s">
        <v>23</v>
      </c>
      <c r="F2365">
        <v>4</v>
      </c>
      <c r="G2365">
        <v>0</v>
      </c>
      <c r="H2365" s="2">
        <v>18.064800000000002</v>
      </c>
      <c r="I2365" s="2">
        <v>46.32</v>
      </c>
    </row>
    <row r="2366" spans="1:9" x14ac:dyDescent="0.3">
      <c r="A2366" t="str">
        <f t="shared" si="788"/>
        <v>United States</v>
      </c>
      <c r="B2366" t="s">
        <v>263</v>
      </c>
      <c r="C2366" t="s">
        <v>11</v>
      </c>
      <c r="D2366" t="s">
        <v>8</v>
      </c>
      <c r="E2366" t="s">
        <v>19</v>
      </c>
      <c r="F2366">
        <v>5</v>
      </c>
      <c r="G2366">
        <v>0</v>
      </c>
      <c r="H2366" s="2">
        <v>21.227999999999998</v>
      </c>
      <c r="I2366" s="2">
        <v>73.2</v>
      </c>
    </row>
    <row r="2367" spans="1:9" x14ac:dyDescent="0.3">
      <c r="A2367" t="str">
        <f t="shared" si="788"/>
        <v>United States</v>
      </c>
      <c r="B2367" t="str">
        <f t="shared" ref="B2367:B2390" si="811">B2366</f>
        <v>Lafayette</v>
      </c>
      <c r="C2367" t="str">
        <f t="shared" ref="C2367:C2373" si="812">C2366</f>
        <v>First Class</v>
      </c>
      <c r="D2367" t="str">
        <f t="shared" ref="D2367:D2373" si="813">D2366</f>
        <v>Consumer</v>
      </c>
      <c r="E2367" t="s">
        <v>20</v>
      </c>
      <c r="F2367">
        <v>1</v>
      </c>
      <c r="G2367">
        <v>0</v>
      </c>
      <c r="H2367" s="2">
        <v>1.8672</v>
      </c>
      <c r="I2367" s="2">
        <v>3.89</v>
      </c>
    </row>
    <row r="2368" spans="1:9" x14ac:dyDescent="0.3">
      <c r="A2368" t="str">
        <f t="shared" si="788"/>
        <v>United States</v>
      </c>
      <c r="B2368" t="str">
        <f t="shared" si="811"/>
        <v>Lafayette</v>
      </c>
      <c r="C2368" t="str">
        <f t="shared" si="812"/>
        <v>First Class</v>
      </c>
      <c r="D2368" t="str">
        <f t="shared" si="813"/>
        <v>Consumer</v>
      </c>
      <c r="E2368" t="s">
        <v>34</v>
      </c>
      <c r="F2368">
        <v>2</v>
      </c>
      <c r="G2368">
        <v>0</v>
      </c>
      <c r="H2368" s="2">
        <v>33.874400000000009</v>
      </c>
      <c r="I2368" s="2">
        <v>241.96</v>
      </c>
    </row>
    <row r="2369" spans="1:9" x14ac:dyDescent="0.3">
      <c r="A2369" t="str">
        <f t="shared" si="788"/>
        <v>United States</v>
      </c>
      <c r="B2369" t="str">
        <f t="shared" si="811"/>
        <v>Lafayette</v>
      </c>
      <c r="C2369" t="str">
        <f t="shared" si="812"/>
        <v>First Class</v>
      </c>
      <c r="D2369" t="str">
        <f t="shared" si="813"/>
        <v>Consumer</v>
      </c>
      <c r="E2369" t="s">
        <v>21</v>
      </c>
      <c r="F2369">
        <v>3</v>
      </c>
      <c r="G2369">
        <v>0</v>
      </c>
      <c r="H2369" s="2">
        <v>3.0438000000000001</v>
      </c>
      <c r="I2369" s="2">
        <v>8.01</v>
      </c>
    </row>
    <row r="2370" spans="1:9" x14ac:dyDescent="0.3">
      <c r="A2370" t="str">
        <f t="shared" si="788"/>
        <v>United States</v>
      </c>
      <c r="B2370" t="str">
        <f t="shared" si="811"/>
        <v>Lafayette</v>
      </c>
      <c r="C2370" t="str">
        <f t="shared" si="812"/>
        <v>First Class</v>
      </c>
      <c r="D2370" t="str">
        <f t="shared" si="813"/>
        <v>Consumer</v>
      </c>
      <c r="E2370" t="s">
        <v>43</v>
      </c>
      <c r="F2370">
        <v>3</v>
      </c>
      <c r="G2370">
        <v>0</v>
      </c>
      <c r="H2370" s="2">
        <v>5.2028999999999996</v>
      </c>
      <c r="I2370" s="2">
        <v>11.07</v>
      </c>
    </row>
    <row r="2371" spans="1:9" x14ac:dyDescent="0.3">
      <c r="A2371" t="str">
        <f t="shared" si="788"/>
        <v>United States</v>
      </c>
      <c r="B2371" t="str">
        <f t="shared" si="811"/>
        <v>Lafayette</v>
      </c>
      <c r="C2371" t="str">
        <f t="shared" si="812"/>
        <v>First Class</v>
      </c>
      <c r="D2371" t="str">
        <f t="shared" si="813"/>
        <v>Consumer</v>
      </c>
      <c r="E2371" t="s">
        <v>16</v>
      </c>
      <c r="F2371">
        <v>4</v>
      </c>
      <c r="G2371">
        <v>0</v>
      </c>
      <c r="H2371" s="2">
        <v>12.441600000000001</v>
      </c>
      <c r="I2371" s="2">
        <v>25.92</v>
      </c>
    </row>
    <row r="2372" spans="1:9" x14ac:dyDescent="0.3">
      <c r="A2372" t="str">
        <f t="shared" ref="A2372:A2435" si="814">A2371</f>
        <v>United States</v>
      </c>
      <c r="B2372" t="str">
        <f t="shared" si="811"/>
        <v>Lafayette</v>
      </c>
      <c r="C2372" t="str">
        <f t="shared" si="812"/>
        <v>First Class</v>
      </c>
      <c r="D2372" t="str">
        <f t="shared" si="813"/>
        <v>Consumer</v>
      </c>
      <c r="E2372" t="s">
        <v>9</v>
      </c>
      <c r="F2372">
        <v>2</v>
      </c>
      <c r="G2372">
        <v>0</v>
      </c>
      <c r="H2372" s="2">
        <v>33.312400000000025</v>
      </c>
      <c r="I2372" s="2">
        <v>1665.62</v>
      </c>
    </row>
    <row r="2373" spans="1:9" x14ac:dyDescent="0.3">
      <c r="A2373" t="str">
        <f t="shared" si="814"/>
        <v>United States</v>
      </c>
      <c r="B2373" t="str">
        <f t="shared" si="811"/>
        <v>Lafayette</v>
      </c>
      <c r="C2373" t="str">
        <f t="shared" si="812"/>
        <v>First Class</v>
      </c>
      <c r="D2373" t="str">
        <f t="shared" si="813"/>
        <v>Consumer</v>
      </c>
      <c r="E2373" t="s">
        <v>25</v>
      </c>
      <c r="F2373">
        <v>4</v>
      </c>
      <c r="G2373">
        <v>0</v>
      </c>
      <c r="H2373" s="2">
        <v>346.03960000000006</v>
      </c>
      <c r="I2373" s="2">
        <v>1504.52</v>
      </c>
    </row>
    <row r="2374" spans="1:9" x14ac:dyDescent="0.3">
      <c r="A2374" t="str">
        <f t="shared" si="814"/>
        <v>United States</v>
      </c>
      <c r="B2374" t="str">
        <f t="shared" si="811"/>
        <v>Lafayette</v>
      </c>
      <c r="C2374" t="s">
        <v>7</v>
      </c>
      <c r="D2374" t="s">
        <v>8</v>
      </c>
      <c r="E2374" t="s">
        <v>34</v>
      </c>
      <c r="F2374">
        <v>3</v>
      </c>
      <c r="G2374">
        <v>0</v>
      </c>
      <c r="H2374" s="2">
        <v>23.318400000000011</v>
      </c>
      <c r="I2374" s="2">
        <v>145.74</v>
      </c>
    </row>
    <row r="2375" spans="1:9" x14ac:dyDescent="0.3">
      <c r="A2375" t="str">
        <f t="shared" si="814"/>
        <v>United States</v>
      </c>
      <c r="B2375" t="str">
        <f t="shared" si="811"/>
        <v>Lafayette</v>
      </c>
      <c r="C2375" t="str">
        <f t="shared" ref="C2375:C2378" si="815">C2374</f>
        <v>Second Class</v>
      </c>
      <c r="D2375" t="str">
        <f t="shared" ref="D2375:D2378" si="816">D2374</f>
        <v>Consumer</v>
      </c>
      <c r="E2375" t="s">
        <v>21</v>
      </c>
      <c r="F2375">
        <v>5</v>
      </c>
      <c r="G2375">
        <v>0</v>
      </c>
      <c r="H2375" s="2">
        <v>7.3919999999999995</v>
      </c>
      <c r="I2375" s="2">
        <v>15.4</v>
      </c>
    </row>
    <row r="2376" spans="1:9" x14ac:dyDescent="0.3">
      <c r="A2376" t="str">
        <f t="shared" si="814"/>
        <v>United States</v>
      </c>
      <c r="B2376" t="str">
        <f t="shared" si="811"/>
        <v>Lafayette</v>
      </c>
      <c r="C2376" t="str">
        <f t="shared" si="815"/>
        <v>Second Class</v>
      </c>
      <c r="D2376" t="str">
        <f t="shared" si="816"/>
        <v>Consumer</v>
      </c>
      <c r="E2376" t="s">
        <v>24</v>
      </c>
      <c r="F2376">
        <v>3</v>
      </c>
      <c r="G2376">
        <v>0</v>
      </c>
      <c r="H2376" s="2">
        <v>8.4563999999999986</v>
      </c>
      <c r="I2376" s="2">
        <v>29.160000000000004</v>
      </c>
    </row>
    <row r="2377" spans="1:9" x14ac:dyDescent="0.3">
      <c r="A2377" t="str">
        <f t="shared" si="814"/>
        <v>United States</v>
      </c>
      <c r="B2377" t="str">
        <f t="shared" si="811"/>
        <v>Lafayette</v>
      </c>
      <c r="C2377" t="str">
        <f t="shared" si="815"/>
        <v>Second Class</v>
      </c>
      <c r="D2377" t="str">
        <f t="shared" si="816"/>
        <v>Consumer</v>
      </c>
      <c r="E2377" t="s">
        <v>14</v>
      </c>
      <c r="F2377">
        <v>5</v>
      </c>
      <c r="G2377">
        <v>0</v>
      </c>
      <c r="H2377" s="2">
        <v>21.164000000000005</v>
      </c>
      <c r="I2377" s="2">
        <v>81.400000000000006</v>
      </c>
    </row>
    <row r="2378" spans="1:9" x14ac:dyDescent="0.3">
      <c r="A2378" t="str">
        <f t="shared" si="814"/>
        <v>United States</v>
      </c>
      <c r="B2378" t="str">
        <f t="shared" si="811"/>
        <v>Lafayette</v>
      </c>
      <c r="C2378" t="str">
        <f t="shared" si="815"/>
        <v>Second Class</v>
      </c>
      <c r="D2378" t="str">
        <f t="shared" si="816"/>
        <v>Consumer</v>
      </c>
      <c r="E2378" t="s">
        <v>25</v>
      </c>
      <c r="F2378">
        <v>1</v>
      </c>
      <c r="G2378">
        <v>0</v>
      </c>
      <c r="H2378" s="2">
        <v>22.354800000000004</v>
      </c>
      <c r="I2378" s="2">
        <v>85.98</v>
      </c>
    </row>
    <row r="2379" spans="1:9" x14ac:dyDescent="0.3">
      <c r="A2379" t="str">
        <f t="shared" si="814"/>
        <v>United States</v>
      </c>
      <c r="B2379" t="str">
        <f t="shared" si="811"/>
        <v>Lafayette</v>
      </c>
      <c r="C2379" t="s">
        <v>22</v>
      </c>
      <c r="D2379" t="s">
        <v>8</v>
      </c>
      <c r="E2379" t="s">
        <v>33</v>
      </c>
      <c r="F2379">
        <v>10</v>
      </c>
      <c r="G2379">
        <v>0</v>
      </c>
      <c r="H2379" s="2">
        <v>215.79879999999994</v>
      </c>
      <c r="I2379" s="2">
        <v>750.38</v>
      </c>
    </row>
    <row r="2380" spans="1:9" x14ac:dyDescent="0.3">
      <c r="A2380" t="str">
        <f t="shared" si="814"/>
        <v>United States</v>
      </c>
      <c r="B2380" t="str">
        <f t="shared" si="811"/>
        <v>Lafayette</v>
      </c>
      <c r="C2380" t="str">
        <f t="shared" ref="C2380:C2390" si="817">C2379</f>
        <v>Standard Class</v>
      </c>
      <c r="D2380" t="str">
        <f t="shared" ref="D2380:D2383" si="818">D2379</f>
        <v>Consumer</v>
      </c>
      <c r="E2380" t="s">
        <v>18</v>
      </c>
      <c r="F2380">
        <v>3</v>
      </c>
      <c r="G2380">
        <v>0</v>
      </c>
      <c r="H2380" s="2">
        <v>0</v>
      </c>
      <c r="I2380" s="2">
        <v>5.9399999999999995</v>
      </c>
    </row>
    <row r="2381" spans="1:9" x14ac:dyDescent="0.3">
      <c r="A2381" t="str">
        <f t="shared" si="814"/>
        <v>United States</v>
      </c>
      <c r="B2381" t="str">
        <f t="shared" si="811"/>
        <v>Lafayette</v>
      </c>
      <c r="C2381" t="str">
        <f t="shared" si="817"/>
        <v>Standard Class</v>
      </c>
      <c r="D2381" t="str">
        <f t="shared" si="818"/>
        <v>Consumer</v>
      </c>
      <c r="E2381" t="s">
        <v>46</v>
      </c>
      <c r="F2381">
        <v>3</v>
      </c>
      <c r="G2381">
        <v>0</v>
      </c>
      <c r="H2381" s="2">
        <v>239.98500000000001</v>
      </c>
      <c r="I2381" s="2">
        <v>479.97</v>
      </c>
    </row>
    <row r="2382" spans="1:9" x14ac:dyDescent="0.3">
      <c r="A2382" t="str">
        <f t="shared" si="814"/>
        <v>United States</v>
      </c>
      <c r="B2382" t="str">
        <f t="shared" si="811"/>
        <v>Lafayette</v>
      </c>
      <c r="C2382" t="str">
        <f t="shared" si="817"/>
        <v>Standard Class</v>
      </c>
      <c r="D2382" t="str">
        <f t="shared" si="818"/>
        <v>Consumer</v>
      </c>
      <c r="E2382" t="s">
        <v>16</v>
      </c>
      <c r="F2382">
        <v>6</v>
      </c>
      <c r="G2382">
        <v>0</v>
      </c>
      <c r="H2382" s="2">
        <v>135.98419999999999</v>
      </c>
      <c r="I2382" s="2">
        <v>283.17999999999995</v>
      </c>
    </row>
    <row r="2383" spans="1:9" x14ac:dyDescent="0.3">
      <c r="A2383" t="str">
        <f t="shared" si="814"/>
        <v>United States</v>
      </c>
      <c r="B2383" t="str">
        <f t="shared" si="811"/>
        <v>Lafayette</v>
      </c>
      <c r="C2383" t="str">
        <f t="shared" si="817"/>
        <v>Standard Class</v>
      </c>
      <c r="D2383" t="str">
        <f t="shared" si="818"/>
        <v>Consumer</v>
      </c>
      <c r="E2383" t="s">
        <v>14</v>
      </c>
      <c r="F2383">
        <v>1</v>
      </c>
      <c r="G2383">
        <v>0</v>
      </c>
      <c r="H2383" s="2">
        <v>18.766999999999996</v>
      </c>
      <c r="I2383" s="2">
        <v>375.34</v>
      </c>
    </row>
    <row r="2384" spans="1:9" x14ac:dyDescent="0.3">
      <c r="A2384" t="str">
        <f t="shared" si="814"/>
        <v>United States</v>
      </c>
      <c r="B2384" t="str">
        <f t="shared" si="811"/>
        <v>Lafayette</v>
      </c>
      <c r="C2384" t="str">
        <f t="shared" si="817"/>
        <v>Standard Class</v>
      </c>
      <c r="D2384" t="s">
        <v>15</v>
      </c>
      <c r="E2384" t="s">
        <v>23</v>
      </c>
      <c r="F2384">
        <v>2</v>
      </c>
      <c r="G2384">
        <v>0</v>
      </c>
      <c r="H2384" s="2">
        <v>42.991400000000006</v>
      </c>
      <c r="I2384" s="2">
        <v>99.98</v>
      </c>
    </row>
    <row r="2385" spans="1:9" x14ac:dyDescent="0.3">
      <c r="A2385" t="str">
        <f t="shared" si="814"/>
        <v>United States</v>
      </c>
      <c r="B2385" t="str">
        <f t="shared" si="811"/>
        <v>Lafayette</v>
      </c>
      <c r="C2385" t="str">
        <f t="shared" si="817"/>
        <v>Standard Class</v>
      </c>
      <c r="D2385" t="str">
        <f t="shared" ref="D2385:D2389" si="819">D2384</f>
        <v>Corporate</v>
      </c>
      <c r="E2385" t="s">
        <v>19</v>
      </c>
      <c r="F2385">
        <v>7</v>
      </c>
      <c r="G2385">
        <v>0</v>
      </c>
      <c r="H2385" s="2">
        <v>15.714799999999999</v>
      </c>
      <c r="I2385" s="2">
        <v>55.36</v>
      </c>
    </row>
    <row r="2386" spans="1:9" x14ac:dyDescent="0.3">
      <c r="A2386" t="str">
        <f t="shared" si="814"/>
        <v>United States</v>
      </c>
      <c r="B2386" t="str">
        <f t="shared" si="811"/>
        <v>Lafayette</v>
      </c>
      <c r="C2386" t="str">
        <f t="shared" si="817"/>
        <v>Standard Class</v>
      </c>
      <c r="D2386" t="str">
        <f t="shared" si="819"/>
        <v>Corporate</v>
      </c>
      <c r="E2386" t="s">
        <v>20</v>
      </c>
      <c r="F2386">
        <v>9</v>
      </c>
      <c r="G2386">
        <v>0</v>
      </c>
      <c r="H2386" s="2">
        <v>348.03229999999996</v>
      </c>
      <c r="I2386" s="2">
        <v>770.35</v>
      </c>
    </row>
    <row r="2387" spans="1:9" x14ac:dyDescent="0.3">
      <c r="A2387" t="str">
        <f t="shared" si="814"/>
        <v>United States</v>
      </c>
      <c r="B2387" t="str">
        <f t="shared" si="811"/>
        <v>Lafayette</v>
      </c>
      <c r="C2387" t="str">
        <f t="shared" si="817"/>
        <v>Standard Class</v>
      </c>
      <c r="D2387" t="str">
        <f t="shared" si="819"/>
        <v>Corporate</v>
      </c>
      <c r="E2387" t="s">
        <v>45</v>
      </c>
      <c r="F2387">
        <v>5</v>
      </c>
      <c r="G2387">
        <v>0</v>
      </c>
      <c r="H2387" s="2">
        <v>8399.9759999999987</v>
      </c>
      <c r="I2387" s="2">
        <v>17499.949999999997</v>
      </c>
    </row>
    <row r="2388" spans="1:9" x14ac:dyDescent="0.3">
      <c r="A2388" t="str">
        <f t="shared" si="814"/>
        <v>United States</v>
      </c>
      <c r="B2388" t="str">
        <f t="shared" si="811"/>
        <v>Lafayette</v>
      </c>
      <c r="C2388" t="str">
        <f t="shared" si="817"/>
        <v>Standard Class</v>
      </c>
      <c r="D2388" t="str">
        <f t="shared" si="819"/>
        <v>Corporate</v>
      </c>
      <c r="E2388" t="s">
        <v>16</v>
      </c>
      <c r="F2388">
        <v>5</v>
      </c>
      <c r="G2388">
        <v>0</v>
      </c>
      <c r="H2388" s="2">
        <v>15.681600000000001</v>
      </c>
      <c r="I2388" s="2">
        <v>32.400000000000006</v>
      </c>
    </row>
    <row r="2389" spans="1:9" x14ac:dyDescent="0.3">
      <c r="A2389" t="str">
        <f t="shared" si="814"/>
        <v>United States</v>
      </c>
      <c r="B2389" t="str">
        <f t="shared" si="811"/>
        <v>Lafayette</v>
      </c>
      <c r="C2389" t="str">
        <f t="shared" si="817"/>
        <v>Standard Class</v>
      </c>
      <c r="D2389" t="str">
        <f t="shared" si="819"/>
        <v>Corporate</v>
      </c>
      <c r="E2389" t="s">
        <v>14</v>
      </c>
      <c r="F2389">
        <v>7</v>
      </c>
      <c r="G2389">
        <v>0</v>
      </c>
      <c r="H2389" s="2">
        <v>14.173999999999992</v>
      </c>
      <c r="I2389" s="2">
        <v>265.02999999999997</v>
      </c>
    </row>
    <row r="2390" spans="1:9" x14ac:dyDescent="0.3">
      <c r="A2390" t="str">
        <f t="shared" si="814"/>
        <v>United States</v>
      </c>
      <c r="B2390" t="str">
        <f t="shared" si="811"/>
        <v>Lafayette</v>
      </c>
      <c r="C2390" t="str">
        <f t="shared" si="817"/>
        <v>Standard Class</v>
      </c>
      <c r="D2390" t="s">
        <v>17</v>
      </c>
      <c r="E2390" t="s">
        <v>21</v>
      </c>
      <c r="F2390">
        <v>5</v>
      </c>
      <c r="G2390">
        <v>0</v>
      </c>
      <c r="H2390" s="2">
        <v>31.586999999999961</v>
      </c>
      <c r="I2390" s="2">
        <v>526.45000000000005</v>
      </c>
    </row>
    <row r="2391" spans="1:9" x14ac:dyDescent="0.3">
      <c r="A2391" t="str">
        <f t="shared" si="814"/>
        <v>United States</v>
      </c>
      <c r="B2391" t="s">
        <v>264</v>
      </c>
      <c r="C2391" t="s">
        <v>7</v>
      </c>
      <c r="D2391" t="s">
        <v>15</v>
      </c>
      <c r="E2391" t="s">
        <v>16</v>
      </c>
      <c r="F2391">
        <v>6</v>
      </c>
      <c r="G2391">
        <v>0</v>
      </c>
      <c r="H2391" s="2">
        <v>15.335999999999999</v>
      </c>
      <c r="I2391" s="2">
        <v>34.08</v>
      </c>
    </row>
    <row r="2392" spans="1:9" x14ac:dyDescent="0.3">
      <c r="A2392" t="str">
        <f t="shared" si="814"/>
        <v>United States</v>
      </c>
      <c r="B2392" t="str">
        <f t="shared" ref="B2392:B2394" si="820">B2391</f>
        <v>Laguna Niguel</v>
      </c>
      <c r="C2392" t="str">
        <f>C2391</f>
        <v>Second Class</v>
      </c>
      <c r="D2392" t="str">
        <f>D2391</f>
        <v>Corporate</v>
      </c>
      <c r="E2392" t="s">
        <v>24</v>
      </c>
      <c r="F2392">
        <v>5</v>
      </c>
      <c r="G2392">
        <v>0.2</v>
      </c>
      <c r="H2392" s="2">
        <v>3.4964999999999993</v>
      </c>
      <c r="I2392" s="2">
        <v>39.960000000000008</v>
      </c>
    </row>
    <row r="2393" spans="1:9" x14ac:dyDescent="0.3">
      <c r="A2393" t="str">
        <f t="shared" si="814"/>
        <v>United States</v>
      </c>
      <c r="B2393" t="str">
        <f t="shared" si="820"/>
        <v>Laguna Niguel</v>
      </c>
      <c r="C2393" t="s">
        <v>22</v>
      </c>
      <c r="D2393" t="s">
        <v>17</v>
      </c>
      <c r="E2393" t="s">
        <v>34</v>
      </c>
      <c r="F2393">
        <v>2</v>
      </c>
      <c r="G2393">
        <v>0.15</v>
      </c>
      <c r="H2393" s="2">
        <v>16.798599999999979</v>
      </c>
      <c r="I2393" s="2">
        <v>203.98299999999998</v>
      </c>
    </row>
    <row r="2394" spans="1:9" x14ac:dyDescent="0.3">
      <c r="A2394" t="str">
        <f t="shared" si="814"/>
        <v>United States</v>
      </c>
      <c r="B2394" t="str">
        <f t="shared" si="820"/>
        <v>Laguna Niguel</v>
      </c>
      <c r="C2394" t="str">
        <f>C2393</f>
        <v>Standard Class</v>
      </c>
      <c r="D2394" t="str">
        <f>D2393</f>
        <v>Home Office</v>
      </c>
      <c r="E2394" t="s">
        <v>16</v>
      </c>
      <c r="F2394">
        <v>2</v>
      </c>
      <c r="G2394">
        <v>0</v>
      </c>
      <c r="H2394" s="2">
        <v>6.3504000000000005</v>
      </c>
      <c r="I2394" s="2">
        <v>12.96</v>
      </c>
    </row>
    <row r="2395" spans="1:9" x14ac:dyDescent="0.3">
      <c r="A2395" t="str">
        <f t="shared" si="814"/>
        <v>United States</v>
      </c>
      <c r="B2395" t="s">
        <v>265</v>
      </c>
      <c r="C2395" t="s">
        <v>7</v>
      </c>
      <c r="D2395" t="s">
        <v>8</v>
      </c>
      <c r="E2395" t="s">
        <v>20</v>
      </c>
      <c r="F2395">
        <v>3</v>
      </c>
      <c r="G2395">
        <v>0</v>
      </c>
      <c r="H2395" s="2">
        <v>8.6112000000000002</v>
      </c>
      <c r="I2395" s="2">
        <v>17.940000000000001</v>
      </c>
    </row>
    <row r="2396" spans="1:9" x14ac:dyDescent="0.3">
      <c r="A2396" t="str">
        <f t="shared" si="814"/>
        <v>United States</v>
      </c>
      <c r="B2396" t="str">
        <f t="shared" ref="B2396:B2397" si="821">B2395</f>
        <v>Lake Charles</v>
      </c>
      <c r="C2396" t="str">
        <f t="shared" ref="C2396:C2397" si="822">C2395</f>
        <v>Second Class</v>
      </c>
      <c r="D2396" t="str">
        <f>D2395</f>
        <v>Consumer</v>
      </c>
      <c r="E2396" t="s">
        <v>33</v>
      </c>
      <c r="F2396">
        <v>2</v>
      </c>
      <c r="G2396">
        <v>0</v>
      </c>
      <c r="H2396" s="2">
        <v>12.990000000000002</v>
      </c>
      <c r="I2396" s="2">
        <v>51.96</v>
      </c>
    </row>
    <row r="2397" spans="1:9" x14ac:dyDescent="0.3">
      <c r="A2397" t="str">
        <f t="shared" si="814"/>
        <v>United States</v>
      </c>
      <c r="B2397" t="str">
        <f t="shared" si="821"/>
        <v>Lake Charles</v>
      </c>
      <c r="C2397" t="str">
        <f t="shared" si="822"/>
        <v>Second Class</v>
      </c>
      <c r="D2397" t="s">
        <v>17</v>
      </c>
      <c r="E2397" t="s">
        <v>20</v>
      </c>
      <c r="F2397">
        <v>11</v>
      </c>
      <c r="G2397">
        <v>0</v>
      </c>
      <c r="H2397" s="2">
        <v>219.65459999999999</v>
      </c>
      <c r="I2397" s="2">
        <v>477.51</v>
      </c>
    </row>
    <row r="2398" spans="1:9" x14ac:dyDescent="0.3">
      <c r="A2398" t="str">
        <f t="shared" si="814"/>
        <v>United States</v>
      </c>
      <c r="B2398" t="s">
        <v>266</v>
      </c>
      <c r="C2398" t="s">
        <v>22</v>
      </c>
      <c r="D2398" t="s">
        <v>8</v>
      </c>
      <c r="E2398" t="s">
        <v>33</v>
      </c>
      <c r="F2398">
        <v>5</v>
      </c>
      <c r="G2398">
        <v>0.2</v>
      </c>
      <c r="H2398" s="2">
        <v>17.745000000000019</v>
      </c>
      <c r="I2398" s="2">
        <v>283.92</v>
      </c>
    </row>
    <row r="2399" spans="1:9" x14ac:dyDescent="0.3">
      <c r="A2399" t="str">
        <f t="shared" si="814"/>
        <v>United States</v>
      </c>
      <c r="B2399" t="s">
        <v>267</v>
      </c>
      <c r="C2399" t="s">
        <v>11</v>
      </c>
      <c r="D2399" t="s">
        <v>8</v>
      </c>
      <c r="E2399" t="s">
        <v>12</v>
      </c>
      <c r="F2399">
        <v>3</v>
      </c>
      <c r="G2399">
        <v>0</v>
      </c>
      <c r="H2399" s="2">
        <v>152.02319999999997</v>
      </c>
      <c r="I2399" s="2">
        <v>542.93999999999994</v>
      </c>
    </row>
    <row r="2400" spans="1:9" x14ac:dyDescent="0.3">
      <c r="A2400" t="str">
        <f t="shared" si="814"/>
        <v>United States</v>
      </c>
      <c r="B2400" t="str">
        <f t="shared" ref="B2400:B2403" si="823">B2399</f>
        <v>Lake Forest</v>
      </c>
      <c r="C2400" t="str">
        <f>C2399</f>
        <v>First Class</v>
      </c>
      <c r="D2400" t="str">
        <f>D2399</f>
        <v>Consumer</v>
      </c>
      <c r="E2400" t="s">
        <v>21</v>
      </c>
      <c r="F2400">
        <v>4</v>
      </c>
      <c r="G2400">
        <v>0</v>
      </c>
      <c r="H2400" s="2">
        <v>19.7712</v>
      </c>
      <c r="I2400" s="2">
        <v>54.92</v>
      </c>
    </row>
    <row r="2401" spans="1:9" x14ac:dyDescent="0.3">
      <c r="A2401" t="str">
        <f t="shared" si="814"/>
        <v>United States</v>
      </c>
      <c r="B2401" t="str">
        <f t="shared" si="823"/>
        <v>Lake Forest</v>
      </c>
      <c r="C2401" t="s">
        <v>22</v>
      </c>
      <c r="D2401" t="s">
        <v>17</v>
      </c>
      <c r="E2401" t="s">
        <v>33</v>
      </c>
      <c r="F2401">
        <v>4</v>
      </c>
      <c r="G2401">
        <v>0.2</v>
      </c>
      <c r="H2401" s="2">
        <v>102.95279999999988</v>
      </c>
      <c r="I2401" s="2">
        <v>915.13600000000008</v>
      </c>
    </row>
    <row r="2402" spans="1:9" x14ac:dyDescent="0.3">
      <c r="A2402" t="str">
        <f t="shared" si="814"/>
        <v>United States</v>
      </c>
      <c r="B2402" t="str">
        <f t="shared" si="823"/>
        <v>Lake Forest</v>
      </c>
      <c r="C2402" t="str">
        <f t="shared" ref="C2402:C2403" si="824">C2401</f>
        <v>Standard Class</v>
      </c>
      <c r="D2402" t="str">
        <f t="shared" ref="D2402:D2403" si="825">D2401</f>
        <v>Home Office</v>
      </c>
      <c r="E2402" t="s">
        <v>43</v>
      </c>
      <c r="F2402">
        <v>2</v>
      </c>
      <c r="G2402">
        <v>0</v>
      </c>
      <c r="H2402" s="2">
        <v>2.9567999999999999</v>
      </c>
      <c r="I2402" s="2">
        <v>6.16</v>
      </c>
    </row>
    <row r="2403" spans="1:9" x14ac:dyDescent="0.3">
      <c r="A2403" t="str">
        <f t="shared" si="814"/>
        <v>United States</v>
      </c>
      <c r="B2403" t="str">
        <f t="shared" si="823"/>
        <v>Lake Forest</v>
      </c>
      <c r="C2403" t="str">
        <f t="shared" si="824"/>
        <v>Standard Class</v>
      </c>
      <c r="D2403" t="str">
        <f t="shared" si="825"/>
        <v>Home Office</v>
      </c>
      <c r="E2403" t="s">
        <v>16</v>
      </c>
      <c r="F2403">
        <v>4</v>
      </c>
      <c r="G2403">
        <v>0</v>
      </c>
      <c r="H2403" s="2">
        <v>49.82739999999999</v>
      </c>
      <c r="I2403" s="2">
        <v>106.38</v>
      </c>
    </row>
    <row r="2404" spans="1:9" x14ac:dyDescent="0.3">
      <c r="A2404" t="str">
        <f t="shared" si="814"/>
        <v>United States</v>
      </c>
      <c r="B2404" t="s">
        <v>268</v>
      </c>
      <c r="C2404" t="s">
        <v>11</v>
      </c>
      <c r="D2404" t="s">
        <v>15</v>
      </c>
      <c r="E2404" t="s">
        <v>23</v>
      </c>
      <c r="F2404">
        <v>2</v>
      </c>
      <c r="G2404">
        <v>0.2</v>
      </c>
      <c r="H2404" s="2">
        <v>53.199999999999989</v>
      </c>
      <c r="I2404" s="2">
        <v>170.24</v>
      </c>
    </row>
    <row r="2405" spans="1:9" x14ac:dyDescent="0.3">
      <c r="A2405" t="str">
        <f t="shared" si="814"/>
        <v>United States</v>
      </c>
      <c r="B2405" t="str">
        <f t="shared" ref="B2405:B2417" si="826">B2404</f>
        <v>Lakeland</v>
      </c>
      <c r="C2405" t="str">
        <f t="shared" ref="C2405:C2411" si="827">C2404</f>
        <v>First Class</v>
      </c>
      <c r="D2405" t="str">
        <f t="shared" ref="D2405:D2411" si="828">D2404</f>
        <v>Corporate</v>
      </c>
      <c r="E2405" t="s">
        <v>19</v>
      </c>
      <c r="F2405">
        <v>2</v>
      </c>
      <c r="G2405">
        <v>0.2</v>
      </c>
      <c r="H2405" s="2">
        <v>7.5959999999999894</v>
      </c>
      <c r="I2405" s="2">
        <v>60.768000000000001</v>
      </c>
    </row>
    <row r="2406" spans="1:9" x14ac:dyDescent="0.3">
      <c r="A2406" t="str">
        <f t="shared" si="814"/>
        <v>United States</v>
      </c>
      <c r="B2406" t="str">
        <f t="shared" si="826"/>
        <v>Lakeland</v>
      </c>
      <c r="C2406" t="str">
        <f t="shared" si="827"/>
        <v>First Class</v>
      </c>
      <c r="D2406" t="str">
        <f t="shared" si="828"/>
        <v>Corporate</v>
      </c>
      <c r="E2406" t="s">
        <v>20</v>
      </c>
      <c r="F2406">
        <v>12</v>
      </c>
      <c r="G2406">
        <v>2.0999999999999996</v>
      </c>
      <c r="H2406" s="2">
        <v>-91.757000000000005</v>
      </c>
      <c r="I2406" s="2">
        <v>115.93800000000002</v>
      </c>
    </row>
    <row r="2407" spans="1:9" x14ac:dyDescent="0.3">
      <c r="A2407" t="str">
        <f t="shared" si="814"/>
        <v>United States</v>
      </c>
      <c r="B2407" t="str">
        <f t="shared" si="826"/>
        <v>Lakeland</v>
      </c>
      <c r="C2407" t="str">
        <f t="shared" si="827"/>
        <v>First Class</v>
      </c>
      <c r="D2407" t="str">
        <f t="shared" si="828"/>
        <v>Corporate</v>
      </c>
      <c r="E2407" t="s">
        <v>33</v>
      </c>
      <c r="F2407">
        <v>5</v>
      </c>
      <c r="G2407">
        <v>0.2</v>
      </c>
      <c r="H2407" s="2">
        <v>-182.63700000000017</v>
      </c>
      <c r="I2407" s="2">
        <v>1123.92</v>
      </c>
    </row>
    <row r="2408" spans="1:9" x14ac:dyDescent="0.3">
      <c r="A2408" t="str">
        <f t="shared" si="814"/>
        <v>United States</v>
      </c>
      <c r="B2408" t="str">
        <f t="shared" si="826"/>
        <v>Lakeland</v>
      </c>
      <c r="C2408" t="str">
        <f t="shared" si="827"/>
        <v>First Class</v>
      </c>
      <c r="D2408" t="str">
        <f t="shared" si="828"/>
        <v>Corporate</v>
      </c>
      <c r="E2408" t="s">
        <v>21</v>
      </c>
      <c r="F2408">
        <v>9</v>
      </c>
      <c r="G2408">
        <v>0.60000000000000009</v>
      </c>
      <c r="H2408" s="2">
        <v>14.178000000000001</v>
      </c>
      <c r="I2408" s="2">
        <v>73.680000000000007</v>
      </c>
    </row>
    <row r="2409" spans="1:9" x14ac:dyDescent="0.3">
      <c r="A2409" t="str">
        <f t="shared" si="814"/>
        <v>United States</v>
      </c>
      <c r="B2409" t="str">
        <f t="shared" si="826"/>
        <v>Lakeland</v>
      </c>
      <c r="C2409" t="str">
        <f t="shared" si="827"/>
        <v>First Class</v>
      </c>
      <c r="D2409" t="str">
        <f t="shared" si="828"/>
        <v>Corporate</v>
      </c>
      <c r="E2409" t="s">
        <v>43</v>
      </c>
      <c r="F2409">
        <v>4</v>
      </c>
      <c r="G2409">
        <v>0.2</v>
      </c>
      <c r="H2409" s="2">
        <v>3.9851999999999999</v>
      </c>
      <c r="I2409" s="2">
        <v>11.808</v>
      </c>
    </row>
    <row r="2410" spans="1:9" x14ac:dyDescent="0.3">
      <c r="A2410" t="str">
        <f t="shared" si="814"/>
        <v>United States</v>
      </c>
      <c r="B2410" t="str">
        <f t="shared" si="826"/>
        <v>Lakeland</v>
      </c>
      <c r="C2410" t="str">
        <f t="shared" si="827"/>
        <v>First Class</v>
      </c>
      <c r="D2410" t="str">
        <f t="shared" si="828"/>
        <v>Corporate</v>
      </c>
      <c r="E2410" t="s">
        <v>24</v>
      </c>
      <c r="F2410">
        <v>5</v>
      </c>
      <c r="G2410">
        <v>0.4</v>
      </c>
      <c r="H2410" s="2">
        <v>59.545899999999968</v>
      </c>
      <c r="I2410" s="2">
        <v>573.56000000000006</v>
      </c>
    </row>
    <row r="2411" spans="1:9" x14ac:dyDescent="0.3">
      <c r="A2411" t="str">
        <f t="shared" si="814"/>
        <v>United States</v>
      </c>
      <c r="B2411" t="str">
        <f t="shared" si="826"/>
        <v>Lakeland</v>
      </c>
      <c r="C2411" t="str">
        <f t="shared" si="827"/>
        <v>First Class</v>
      </c>
      <c r="D2411" t="str">
        <f t="shared" si="828"/>
        <v>Corporate</v>
      </c>
      <c r="E2411" t="s">
        <v>14</v>
      </c>
      <c r="F2411">
        <v>9</v>
      </c>
      <c r="G2411">
        <v>0.60000000000000009</v>
      </c>
      <c r="H2411" s="2">
        <v>74.935999999999993</v>
      </c>
      <c r="I2411" s="2">
        <v>1626.5920000000001</v>
      </c>
    </row>
    <row r="2412" spans="1:9" x14ac:dyDescent="0.3">
      <c r="A2412" t="str">
        <f t="shared" si="814"/>
        <v>United States</v>
      </c>
      <c r="B2412" t="str">
        <f t="shared" si="826"/>
        <v>Lakeland</v>
      </c>
      <c r="C2412" t="s">
        <v>27</v>
      </c>
      <c r="D2412" t="s">
        <v>8</v>
      </c>
      <c r="E2412" t="s">
        <v>19</v>
      </c>
      <c r="F2412">
        <v>2</v>
      </c>
      <c r="G2412">
        <v>0.2</v>
      </c>
      <c r="H2412" s="2">
        <v>2.271199999999999</v>
      </c>
      <c r="I2412" s="2">
        <v>10.688000000000001</v>
      </c>
    </row>
    <row r="2413" spans="1:9" x14ac:dyDescent="0.3">
      <c r="A2413" t="str">
        <f t="shared" si="814"/>
        <v>United States</v>
      </c>
      <c r="B2413" t="str">
        <f t="shared" si="826"/>
        <v>Lakeland</v>
      </c>
      <c r="C2413" t="str">
        <f>C2412</f>
        <v>Same Day</v>
      </c>
      <c r="D2413" t="str">
        <f>D2412</f>
        <v>Consumer</v>
      </c>
      <c r="E2413" t="s">
        <v>24</v>
      </c>
      <c r="F2413">
        <v>9</v>
      </c>
      <c r="G2413">
        <v>0.4</v>
      </c>
      <c r="H2413" s="2">
        <v>-12.2521</v>
      </c>
      <c r="I2413" s="2">
        <v>67.768000000000001</v>
      </c>
    </row>
    <row r="2414" spans="1:9" x14ac:dyDescent="0.3">
      <c r="A2414" t="str">
        <f t="shared" si="814"/>
        <v>United States</v>
      </c>
      <c r="B2414" t="str">
        <f t="shared" si="826"/>
        <v>Lakeland</v>
      </c>
      <c r="C2414" t="s">
        <v>7</v>
      </c>
      <c r="D2414" t="s">
        <v>8</v>
      </c>
      <c r="E2414" t="s">
        <v>45</v>
      </c>
      <c r="F2414">
        <v>2</v>
      </c>
      <c r="G2414">
        <v>0.2</v>
      </c>
      <c r="H2414" s="2">
        <v>89.996999999999986</v>
      </c>
      <c r="I2414" s="2">
        <v>479.98400000000004</v>
      </c>
    </row>
    <row r="2415" spans="1:9" x14ac:dyDescent="0.3">
      <c r="A2415" t="str">
        <f t="shared" si="814"/>
        <v>United States</v>
      </c>
      <c r="B2415" t="str">
        <f t="shared" si="826"/>
        <v>Lakeland</v>
      </c>
      <c r="C2415" t="s">
        <v>22</v>
      </c>
      <c r="D2415" t="s">
        <v>15</v>
      </c>
      <c r="E2415" t="s">
        <v>25</v>
      </c>
      <c r="F2415">
        <v>7</v>
      </c>
      <c r="G2415">
        <v>0.45</v>
      </c>
      <c r="H2415" s="2">
        <v>-255.58750000000009</v>
      </c>
      <c r="I2415" s="2">
        <v>562.29250000000013</v>
      </c>
    </row>
    <row r="2416" spans="1:9" x14ac:dyDescent="0.3">
      <c r="A2416" t="str">
        <f t="shared" si="814"/>
        <v>United States</v>
      </c>
      <c r="B2416" t="str">
        <f t="shared" si="826"/>
        <v>Lakeland</v>
      </c>
      <c r="C2416" t="str">
        <f t="shared" ref="C2416:C2417" si="829">C2415</f>
        <v>Standard Class</v>
      </c>
      <c r="D2416" t="s">
        <v>17</v>
      </c>
      <c r="E2416" t="s">
        <v>33</v>
      </c>
      <c r="F2416">
        <v>3</v>
      </c>
      <c r="G2416">
        <v>0.2</v>
      </c>
      <c r="H2416" s="2">
        <v>42.746999999999986</v>
      </c>
      <c r="I2416" s="2">
        <v>683.95200000000011</v>
      </c>
    </row>
    <row r="2417" spans="1:9" x14ac:dyDescent="0.3">
      <c r="A2417" t="str">
        <f t="shared" si="814"/>
        <v>United States</v>
      </c>
      <c r="B2417" t="str">
        <f t="shared" si="826"/>
        <v>Lakeland</v>
      </c>
      <c r="C2417" t="str">
        <f t="shared" si="829"/>
        <v>Standard Class</v>
      </c>
      <c r="D2417" t="str">
        <f>D2416</f>
        <v>Home Office</v>
      </c>
      <c r="E2417" t="s">
        <v>21</v>
      </c>
      <c r="F2417">
        <v>3</v>
      </c>
      <c r="G2417">
        <v>0.2</v>
      </c>
      <c r="H2417" s="2">
        <v>5.1407999999999916</v>
      </c>
      <c r="I2417" s="2">
        <v>45.695999999999998</v>
      </c>
    </row>
    <row r="2418" spans="1:9" x14ac:dyDescent="0.3">
      <c r="A2418" t="str">
        <f t="shared" si="814"/>
        <v>United States</v>
      </c>
      <c r="B2418" t="s">
        <v>269</v>
      </c>
      <c r="C2418" t="s">
        <v>11</v>
      </c>
      <c r="D2418" t="s">
        <v>17</v>
      </c>
      <c r="E2418" t="s">
        <v>33</v>
      </c>
      <c r="F2418">
        <v>6</v>
      </c>
      <c r="G2418">
        <v>0</v>
      </c>
      <c r="H2418" s="2">
        <v>38.970000000000006</v>
      </c>
      <c r="I2418" s="2">
        <v>155.88</v>
      </c>
    </row>
    <row r="2419" spans="1:9" x14ac:dyDescent="0.3">
      <c r="A2419" t="str">
        <f t="shared" si="814"/>
        <v>United States</v>
      </c>
      <c r="B2419" t="str">
        <f t="shared" ref="B2419:B2429" si="830">B2418</f>
        <v>Lakeville</v>
      </c>
      <c r="C2419" t="s">
        <v>7</v>
      </c>
      <c r="D2419" t="s">
        <v>17</v>
      </c>
      <c r="E2419" t="s">
        <v>12</v>
      </c>
      <c r="F2419">
        <v>5</v>
      </c>
      <c r="G2419">
        <v>0</v>
      </c>
      <c r="H2419" s="2">
        <v>496.07249999999993</v>
      </c>
      <c r="I2419" s="2">
        <v>1503.25</v>
      </c>
    </row>
    <row r="2420" spans="1:9" x14ac:dyDescent="0.3">
      <c r="A2420" t="str">
        <f t="shared" si="814"/>
        <v>United States</v>
      </c>
      <c r="B2420" t="str">
        <f t="shared" si="830"/>
        <v>Lakeville</v>
      </c>
      <c r="C2420" t="str">
        <f t="shared" ref="C2420:C2422" si="831">C2419</f>
        <v>Second Class</v>
      </c>
      <c r="D2420" t="str">
        <f t="shared" ref="D2420:D2422" si="832">D2419</f>
        <v>Home Office</v>
      </c>
      <c r="E2420" t="s">
        <v>33</v>
      </c>
      <c r="F2420">
        <v>7</v>
      </c>
      <c r="G2420">
        <v>0</v>
      </c>
      <c r="H2420" s="2">
        <v>580.53939999999989</v>
      </c>
      <c r="I2420" s="2">
        <v>2001.8600000000001</v>
      </c>
    </row>
    <row r="2421" spans="1:9" x14ac:dyDescent="0.3">
      <c r="A2421" t="str">
        <f t="shared" si="814"/>
        <v>United States</v>
      </c>
      <c r="B2421" t="str">
        <f t="shared" si="830"/>
        <v>Lakeville</v>
      </c>
      <c r="C2421" t="str">
        <f t="shared" si="831"/>
        <v>Second Class</v>
      </c>
      <c r="D2421" t="str">
        <f t="shared" si="832"/>
        <v>Home Office</v>
      </c>
      <c r="E2421" t="s">
        <v>16</v>
      </c>
      <c r="F2421">
        <v>10</v>
      </c>
      <c r="G2421">
        <v>0</v>
      </c>
      <c r="H2421" s="2">
        <v>36.381600000000006</v>
      </c>
      <c r="I2421" s="2">
        <v>73.800000000000011</v>
      </c>
    </row>
    <row r="2422" spans="1:9" x14ac:dyDescent="0.3">
      <c r="A2422" t="str">
        <f t="shared" si="814"/>
        <v>United States</v>
      </c>
      <c r="B2422" t="str">
        <f t="shared" si="830"/>
        <v>Lakeville</v>
      </c>
      <c r="C2422" t="str">
        <f t="shared" si="831"/>
        <v>Second Class</v>
      </c>
      <c r="D2422" t="str">
        <f t="shared" si="832"/>
        <v>Home Office</v>
      </c>
      <c r="E2422" t="s">
        <v>14</v>
      </c>
      <c r="F2422">
        <v>2</v>
      </c>
      <c r="G2422">
        <v>0</v>
      </c>
      <c r="H2422" s="2">
        <v>41.680000000000007</v>
      </c>
      <c r="I2422" s="2">
        <v>166.72</v>
      </c>
    </row>
    <row r="2423" spans="1:9" x14ac:dyDescent="0.3">
      <c r="A2423" t="str">
        <f t="shared" si="814"/>
        <v>United States</v>
      </c>
      <c r="B2423" t="str">
        <f t="shared" si="830"/>
        <v>Lakeville</v>
      </c>
      <c r="C2423" t="s">
        <v>22</v>
      </c>
      <c r="D2423" t="s">
        <v>8</v>
      </c>
      <c r="E2423" t="s">
        <v>12</v>
      </c>
      <c r="F2423">
        <v>2</v>
      </c>
      <c r="G2423">
        <v>0</v>
      </c>
      <c r="H2423" s="2">
        <v>36.574200000000005</v>
      </c>
      <c r="I2423" s="2">
        <v>93.78</v>
      </c>
    </row>
    <row r="2424" spans="1:9" x14ac:dyDescent="0.3">
      <c r="A2424" t="str">
        <f t="shared" si="814"/>
        <v>United States</v>
      </c>
      <c r="B2424" t="str">
        <f t="shared" si="830"/>
        <v>Lakeville</v>
      </c>
      <c r="C2424" t="str">
        <f t="shared" ref="C2424:C2429" si="833">C2423</f>
        <v>Standard Class</v>
      </c>
      <c r="D2424" t="str">
        <f t="shared" ref="D2424:D2429" si="834">D2423</f>
        <v>Consumer</v>
      </c>
      <c r="E2424" t="s">
        <v>19</v>
      </c>
      <c r="F2424">
        <v>16</v>
      </c>
      <c r="G2424">
        <v>0</v>
      </c>
      <c r="H2424" s="2">
        <v>15.3872</v>
      </c>
      <c r="I2424" s="2">
        <v>41.68</v>
      </c>
    </row>
    <row r="2425" spans="1:9" x14ac:dyDescent="0.3">
      <c r="A2425" t="str">
        <f t="shared" si="814"/>
        <v>United States</v>
      </c>
      <c r="B2425" t="str">
        <f t="shared" si="830"/>
        <v>Lakeville</v>
      </c>
      <c r="C2425" t="str">
        <f t="shared" si="833"/>
        <v>Standard Class</v>
      </c>
      <c r="D2425" t="str">
        <f t="shared" si="834"/>
        <v>Consumer</v>
      </c>
      <c r="E2425" t="s">
        <v>20</v>
      </c>
      <c r="F2425">
        <v>16</v>
      </c>
      <c r="G2425">
        <v>0</v>
      </c>
      <c r="H2425" s="2">
        <v>42.320399999999999</v>
      </c>
      <c r="I2425" s="2">
        <v>89.28</v>
      </c>
    </row>
    <row r="2426" spans="1:9" x14ac:dyDescent="0.3">
      <c r="A2426" t="str">
        <f t="shared" si="814"/>
        <v>United States</v>
      </c>
      <c r="B2426" t="str">
        <f t="shared" si="830"/>
        <v>Lakeville</v>
      </c>
      <c r="C2426" t="str">
        <f t="shared" si="833"/>
        <v>Standard Class</v>
      </c>
      <c r="D2426" t="str">
        <f t="shared" si="834"/>
        <v>Consumer</v>
      </c>
      <c r="E2426" t="s">
        <v>38</v>
      </c>
      <c r="F2426">
        <v>2</v>
      </c>
      <c r="G2426">
        <v>0</v>
      </c>
      <c r="H2426" s="2">
        <v>7.4871999999999996</v>
      </c>
      <c r="I2426" s="2">
        <v>15.28</v>
      </c>
    </row>
    <row r="2427" spans="1:9" x14ac:dyDescent="0.3">
      <c r="A2427" t="str">
        <f t="shared" si="814"/>
        <v>United States</v>
      </c>
      <c r="B2427" t="str">
        <f t="shared" si="830"/>
        <v>Lakeville</v>
      </c>
      <c r="C2427" t="str">
        <f t="shared" si="833"/>
        <v>Standard Class</v>
      </c>
      <c r="D2427" t="str">
        <f t="shared" si="834"/>
        <v>Consumer</v>
      </c>
      <c r="E2427" t="s">
        <v>18</v>
      </c>
      <c r="F2427">
        <v>7</v>
      </c>
      <c r="G2427">
        <v>0</v>
      </c>
      <c r="H2427" s="2">
        <v>16.8</v>
      </c>
      <c r="I2427" s="2">
        <v>35</v>
      </c>
    </row>
    <row r="2428" spans="1:9" x14ac:dyDescent="0.3">
      <c r="A2428" t="str">
        <f t="shared" si="814"/>
        <v>United States</v>
      </c>
      <c r="B2428" t="str">
        <f t="shared" si="830"/>
        <v>Lakeville</v>
      </c>
      <c r="C2428" t="str">
        <f t="shared" si="833"/>
        <v>Standard Class</v>
      </c>
      <c r="D2428" t="str">
        <f t="shared" si="834"/>
        <v>Consumer</v>
      </c>
      <c r="E2428" t="s">
        <v>16</v>
      </c>
      <c r="F2428">
        <v>7</v>
      </c>
      <c r="G2428">
        <v>0</v>
      </c>
      <c r="H2428" s="2">
        <v>23.59</v>
      </c>
      <c r="I2428" s="2">
        <v>47.18</v>
      </c>
    </row>
    <row r="2429" spans="1:9" x14ac:dyDescent="0.3">
      <c r="A2429" t="str">
        <f t="shared" si="814"/>
        <v>United States</v>
      </c>
      <c r="B2429" t="str">
        <f t="shared" si="830"/>
        <v>Lakeville</v>
      </c>
      <c r="C2429" t="str">
        <f t="shared" si="833"/>
        <v>Standard Class</v>
      </c>
      <c r="D2429" t="str">
        <f t="shared" si="834"/>
        <v>Consumer</v>
      </c>
      <c r="E2429" t="s">
        <v>9</v>
      </c>
      <c r="F2429">
        <v>4</v>
      </c>
      <c r="G2429">
        <v>0</v>
      </c>
      <c r="H2429" s="2">
        <v>10.799599999999998</v>
      </c>
      <c r="I2429" s="2">
        <v>37.24</v>
      </c>
    </row>
    <row r="2430" spans="1:9" x14ac:dyDescent="0.3">
      <c r="A2430" t="str">
        <f t="shared" si="814"/>
        <v>United States</v>
      </c>
      <c r="B2430" t="s">
        <v>270</v>
      </c>
      <c r="C2430" t="s">
        <v>11</v>
      </c>
      <c r="D2430" t="s">
        <v>8</v>
      </c>
      <c r="E2430" t="s">
        <v>20</v>
      </c>
      <c r="F2430">
        <v>3</v>
      </c>
      <c r="G2430">
        <v>0.7</v>
      </c>
      <c r="H2430" s="2">
        <v>-5.5338000000000012</v>
      </c>
      <c r="I2430" s="2">
        <v>7.218</v>
      </c>
    </row>
    <row r="2431" spans="1:9" x14ac:dyDescent="0.3">
      <c r="A2431" t="str">
        <f t="shared" si="814"/>
        <v>United States</v>
      </c>
      <c r="B2431" t="str">
        <f t="shared" ref="B2431:B2467" si="835">B2430</f>
        <v>Lakewood</v>
      </c>
      <c r="C2431" t="str">
        <f t="shared" ref="C2431:C2436" si="836">C2430</f>
        <v>First Class</v>
      </c>
      <c r="D2431" t="str">
        <f t="shared" ref="D2431:D2432" si="837">D2430</f>
        <v>Consumer</v>
      </c>
      <c r="E2431" t="s">
        <v>18</v>
      </c>
      <c r="F2431">
        <v>4</v>
      </c>
      <c r="G2431">
        <v>0</v>
      </c>
      <c r="H2431" s="2">
        <v>0.2992000000000008</v>
      </c>
      <c r="I2431" s="2">
        <v>14.96</v>
      </c>
    </row>
    <row r="2432" spans="1:9" x14ac:dyDescent="0.3">
      <c r="A2432" t="str">
        <f t="shared" si="814"/>
        <v>United States</v>
      </c>
      <c r="B2432" t="str">
        <f t="shared" si="835"/>
        <v>Lakewood</v>
      </c>
      <c r="C2432" t="str">
        <f t="shared" si="836"/>
        <v>First Class</v>
      </c>
      <c r="D2432" t="str">
        <f t="shared" si="837"/>
        <v>Consumer</v>
      </c>
      <c r="E2432" t="s">
        <v>9</v>
      </c>
      <c r="F2432">
        <v>4</v>
      </c>
      <c r="G2432">
        <v>0.2</v>
      </c>
      <c r="H2432" s="2">
        <v>2.0399999999999991</v>
      </c>
      <c r="I2432" s="2">
        <v>27.200000000000003</v>
      </c>
    </row>
    <row r="2433" spans="1:9" x14ac:dyDescent="0.3">
      <c r="A2433" t="str">
        <f t="shared" si="814"/>
        <v>United States</v>
      </c>
      <c r="B2433" t="str">
        <f t="shared" si="835"/>
        <v>Lakewood</v>
      </c>
      <c r="C2433" t="str">
        <f t="shared" si="836"/>
        <v>First Class</v>
      </c>
      <c r="D2433" t="s">
        <v>15</v>
      </c>
      <c r="E2433" t="s">
        <v>19</v>
      </c>
      <c r="F2433">
        <v>3</v>
      </c>
      <c r="G2433">
        <v>0</v>
      </c>
      <c r="H2433" s="2">
        <v>2.4138000000000006</v>
      </c>
      <c r="I2433" s="2">
        <v>8.94</v>
      </c>
    </row>
    <row r="2434" spans="1:9" x14ac:dyDescent="0.3">
      <c r="A2434" t="str">
        <f t="shared" si="814"/>
        <v>United States</v>
      </c>
      <c r="B2434" t="str">
        <f t="shared" si="835"/>
        <v>Lakewood</v>
      </c>
      <c r="C2434" t="str">
        <f t="shared" si="836"/>
        <v>First Class</v>
      </c>
      <c r="D2434" t="str">
        <f t="shared" ref="D2434:D2435" si="838">D2433</f>
        <v>Corporate</v>
      </c>
      <c r="E2434" t="s">
        <v>21</v>
      </c>
      <c r="F2434">
        <v>4</v>
      </c>
      <c r="G2434">
        <v>0.2</v>
      </c>
      <c r="H2434" s="2">
        <v>9.1775999999999982</v>
      </c>
      <c r="I2434" s="2">
        <v>45.888000000000005</v>
      </c>
    </row>
    <row r="2435" spans="1:9" x14ac:dyDescent="0.3">
      <c r="A2435" t="str">
        <f t="shared" si="814"/>
        <v>United States</v>
      </c>
      <c r="B2435" t="str">
        <f t="shared" si="835"/>
        <v>Lakewood</v>
      </c>
      <c r="C2435" t="str">
        <f t="shared" si="836"/>
        <v>First Class</v>
      </c>
      <c r="D2435" t="str">
        <f t="shared" si="838"/>
        <v>Corporate</v>
      </c>
      <c r="E2435" t="s">
        <v>16</v>
      </c>
      <c r="F2435">
        <v>2</v>
      </c>
      <c r="G2435">
        <v>0</v>
      </c>
      <c r="H2435" s="2">
        <v>18.211199999999998</v>
      </c>
      <c r="I2435" s="2">
        <v>37.94</v>
      </c>
    </row>
    <row r="2436" spans="1:9" x14ac:dyDescent="0.3">
      <c r="A2436" t="str">
        <f t="shared" ref="A2436:A2499" si="839">A2435</f>
        <v>United States</v>
      </c>
      <c r="B2436" t="str">
        <f t="shared" si="835"/>
        <v>Lakewood</v>
      </c>
      <c r="C2436" t="str">
        <f t="shared" si="836"/>
        <v>First Class</v>
      </c>
      <c r="D2436" t="s">
        <v>17</v>
      </c>
      <c r="E2436" t="s">
        <v>20</v>
      </c>
      <c r="F2436">
        <v>4</v>
      </c>
      <c r="G2436">
        <v>0.7</v>
      </c>
      <c r="H2436" s="2">
        <v>-53.743199999999973</v>
      </c>
      <c r="I2436" s="2">
        <v>76.77600000000001</v>
      </c>
    </row>
    <row r="2437" spans="1:9" x14ac:dyDescent="0.3">
      <c r="A2437" t="str">
        <f t="shared" si="839"/>
        <v>United States</v>
      </c>
      <c r="B2437" t="str">
        <f t="shared" si="835"/>
        <v>Lakewood</v>
      </c>
      <c r="C2437" t="s">
        <v>7</v>
      </c>
      <c r="D2437" t="s">
        <v>8</v>
      </c>
      <c r="E2437" t="s">
        <v>21</v>
      </c>
      <c r="F2437">
        <v>5</v>
      </c>
      <c r="G2437">
        <v>0</v>
      </c>
      <c r="H2437" s="2">
        <v>39.564000000000007</v>
      </c>
      <c r="I2437" s="2">
        <v>94.2</v>
      </c>
    </row>
    <row r="2438" spans="1:9" x14ac:dyDescent="0.3">
      <c r="A2438" t="str">
        <f t="shared" si="839"/>
        <v>United States</v>
      </c>
      <c r="B2438" t="str">
        <f t="shared" si="835"/>
        <v>Lakewood</v>
      </c>
      <c r="C2438" t="str">
        <f t="shared" ref="C2438:C2441" si="840">C2437</f>
        <v>Second Class</v>
      </c>
      <c r="D2438" t="s">
        <v>15</v>
      </c>
      <c r="E2438" t="s">
        <v>20</v>
      </c>
      <c r="F2438">
        <v>1</v>
      </c>
      <c r="G2438">
        <v>0</v>
      </c>
      <c r="H2438" s="2">
        <v>9.4700000000000006</v>
      </c>
      <c r="I2438" s="2">
        <v>18.940000000000001</v>
      </c>
    </row>
    <row r="2439" spans="1:9" x14ac:dyDescent="0.3">
      <c r="A2439" t="str">
        <f t="shared" si="839"/>
        <v>United States</v>
      </c>
      <c r="B2439" t="str">
        <f t="shared" si="835"/>
        <v>Lakewood</v>
      </c>
      <c r="C2439" t="str">
        <f t="shared" si="840"/>
        <v>Second Class</v>
      </c>
      <c r="D2439" t="str">
        <f>D2438</f>
        <v>Corporate</v>
      </c>
      <c r="E2439" t="s">
        <v>33</v>
      </c>
      <c r="F2439">
        <v>2</v>
      </c>
      <c r="G2439">
        <v>0</v>
      </c>
      <c r="H2439" s="2">
        <v>27.057799999999986</v>
      </c>
      <c r="I2439" s="2">
        <v>245.98</v>
      </c>
    </row>
    <row r="2440" spans="1:9" x14ac:dyDescent="0.3">
      <c r="A2440" t="str">
        <f t="shared" si="839"/>
        <v>United States</v>
      </c>
      <c r="B2440" t="str">
        <f t="shared" si="835"/>
        <v>Lakewood</v>
      </c>
      <c r="C2440" t="str">
        <f t="shared" si="840"/>
        <v>Second Class</v>
      </c>
      <c r="D2440" t="s">
        <v>17</v>
      </c>
      <c r="E2440" t="s">
        <v>19</v>
      </c>
      <c r="F2440">
        <v>1</v>
      </c>
      <c r="G2440">
        <v>0.2</v>
      </c>
      <c r="H2440" s="2">
        <v>1.0269000000000001</v>
      </c>
      <c r="I2440" s="2">
        <v>3.9119999999999999</v>
      </c>
    </row>
    <row r="2441" spans="1:9" x14ac:dyDescent="0.3">
      <c r="A2441" t="str">
        <f t="shared" si="839"/>
        <v>United States</v>
      </c>
      <c r="B2441" t="str">
        <f t="shared" si="835"/>
        <v>Lakewood</v>
      </c>
      <c r="C2441" t="str">
        <f t="shared" si="840"/>
        <v>Second Class</v>
      </c>
      <c r="D2441" t="str">
        <f>D2440</f>
        <v>Home Office</v>
      </c>
      <c r="E2441" t="s">
        <v>24</v>
      </c>
      <c r="F2441">
        <v>8</v>
      </c>
      <c r="G2441">
        <v>0.4</v>
      </c>
      <c r="H2441" s="2">
        <v>-81.664000000000044</v>
      </c>
      <c r="I2441" s="2">
        <v>445.44</v>
      </c>
    </row>
    <row r="2442" spans="1:9" x14ac:dyDescent="0.3">
      <c r="A2442" t="str">
        <f t="shared" si="839"/>
        <v>United States</v>
      </c>
      <c r="B2442" t="str">
        <f t="shared" si="835"/>
        <v>Lakewood</v>
      </c>
      <c r="C2442" t="s">
        <v>22</v>
      </c>
      <c r="D2442" t="s">
        <v>8</v>
      </c>
      <c r="E2442" t="s">
        <v>23</v>
      </c>
      <c r="F2442">
        <v>3</v>
      </c>
      <c r="G2442">
        <v>0</v>
      </c>
      <c r="H2442" s="2">
        <v>4.9500000000000011</v>
      </c>
      <c r="I2442" s="2">
        <v>45</v>
      </c>
    </row>
    <row r="2443" spans="1:9" x14ac:dyDescent="0.3">
      <c r="A2443" t="str">
        <f t="shared" si="839"/>
        <v>United States</v>
      </c>
      <c r="B2443" t="str">
        <f t="shared" si="835"/>
        <v>Lakewood</v>
      </c>
      <c r="C2443" t="str">
        <f t="shared" ref="C2443:C2467" si="841">C2442</f>
        <v>Standard Class</v>
      </c>
      <c r="D2443" t="str">
        <f t="shared" ref="D2443:D2448" si="842">D2442</f>
        <v>Consumer</v>
      </c>
      <c r="E2443" t="s">
        <v>19</v>
      </c>
      <c r="F2443">
        <v>7</v>
      </c>
      <c r="G2443">
        <v>0</v>
      </c>
      <c r="H2443" s="2">
        <v>7.3433999999999999</v>
      </c>
      <c r="I2443" s="2">
        <v>20.659999999999997</v>
      </c>
    </row>
    <row r="2444" spans="1:9" x14ac:dyDescent="0.3">
      <c r="A2444" t="str">
        <f t="shared" si="839"/>
        <v>United States</v>
      </c>
      <c r="B2444" t="str">
        <f t="shared" si="835"/>
        <v>Lakewood</v>
      </c>
      <c r="C2444" t="str">
        <f t="shared" si="841"/>
        <v>Standard Class</v>
      </c>
      <c r="D2444" t="str">
        <f t="shared" si="842"/>
        <v>Consumer</v>
      </c>
      <c r="E2444" t="s">
        <v>20</v>
      </c>
      <c r="F2444">
        <v>3</v>
      </c>
      <c r="G2444">
        <v>0.7</v>
      </c>
      <c r="H2444" s="2">
        <v>-7.9067999999999969</v>
      </c>
      <c r="I2444" s="2">
        <v>10.782000000000002</v>
      </c>
    </row>
    <row r="2445" spans="1:9" x14ac:dyDescent="0.3">
      <c r="A2445" t="str">
        <f t="shared" si="839"/>
        <v>United States</v>
      </c>
      <c r="B2445" t="str">
        <f t="shared" si="835"/>
        <v>Lakewood</v>
      </c>
      <c r="C2445" t="str">
        <f t="shared" si="841"/>
        <v>Standard Class</v>
      </c>
      <c r="D2445" t="str">
        <f t="shared" si="842"/>
        <v>Consumer</v>
      </c>
      <c r="E2445" t="s">
        <v>34</v>
      </c>
      <c r="F2445">
        <v>8</v>
      </c>
      <c r="G2445">
        <v>0.15</v>
      </c>
      <c r="H2445" s="2">
        <v>153.52919999999983</v>
      </c>
      <c r="I2445" s="2">
        <v>2412.3990000000003</v>
      </c>
    </row>
    <row r="2446" spans="1:9" x14ac:dyDescent="0.3">
      <c r="A2446" t="str">
        <f t="shared" si="839"/>
        <v>United States</v>
      </c>
      <c r="B2446" t="str">
        <f t="shared" si="835"/>
        <v>Lakewood</v>
      </c>
      <c r="C2446" t="str">
        <f t="shared" si="841"/>
        <v>Standard Class</v>
      </c>
      <c r="D2446" t="str">
        <f t="shared" si="842"/>
        <v>Consumer</v>
      </c>
      <c r="E2446" t="s">
        <v>18</v>
      </c>
      <c r="F2446">
        <v>5</v>
      </c>
      <c r="G2446">
        <v>0</v>
      </c>
      <c r="H2446" s="2">
        <v>8.7710000000000008</v>
      </c>
      <c r="I2446" s="2">
        <v>17.899999999999999</v>
      </c>
    </row>
    <row r="2447" spans="1:9" x14ac:dyDescent="0.3">
      <c r="A2447" t="str">
        <f t="shared" si="839"/>
        <v>United States</v>
      </c>
      <c r="B2447" t="str">
        <f t="shared" si="835"/>
        <v>Lakewood</v>
      </c>
      <c r="C2447" t="str">
        <f t="shared" si="841"/>
        <v>Standard Class</v>
      </c>
      <c r="D2447" t="str">
        <f t="shared" si="842"/>
        <v>Consumer</v>
      </c>
      <c r="E2447" t="s">
        <v>21</v>
      </c>
      <c r="F2447">
        <v>8</v>
      </c>
      <c r="G2447">
        <v>0</v>
      </c>
      <c r="H2447" s="2">
        <v>26.435200000000002</v>
      </c>
      <c r="I2447" s="2">
        <v>65.56</v>
      </c>
    </row>
    <row r="2448" spans="1:9" x14ac:dyDescent="0.3">
      <c r="A2448" t="str">
        <f t="shared" si="839"/>
        <v>United States</v>
      </c>
      <c r="B2448" t="str">
        <f t="shared" si="835"/>
        <v>Lakewood</v>
      </c>
      <c r="C2448" t="str">
        <f t="shared" si="841"/>
        <v>Standard Class</v>
      </c>
      <c r="D2448" t="str">
        <f t="shared" si="842"/>
        <v>Consumer</v>
      </c>
      <c r="E2448" t="s">
        <v>24</v>
      </c>
      <c r="F2448">
        <v>7</v>
      </c>
      <c r="G2448">
        <v>0</v>
      </c>
      <c r="H2448" s="2">
        <v>357.19110000000001</v>
      </c>
      <c r="I2448" s="2">
        <v>1322.93</v>
      </c>
    </row>
    <row r="2449" spans="1:9" x14ac:dyDescent="0.3">
      <c r="A2449" t="str">
        <f t="shared" si="839"/>
        <v>United States</v>
      </c>
      <c r="B2449" t="str">
        <f t="shared" si="835"/>
        <v>Lakewood</v>
      </c>
      <c r="C2449" t="str">
        <f t="shared" si="841"/>
        <v>Standard Class</v>
      </c>
      <c r="D2449" t="s">
        <v>15</v>
      </c>
      <c r="E2449" t="s">
        <v>23</v>
      </c>
      <c r="F2449">
        <v>1</v>
      </c>
      <c r="G2449">
        <v>0</v>
      </c>
      <c r="H2449" s="2">
        <v>32.4</v>
      </c>
      <c r="I2449" s="2">
        <v>90</v>
      </c>
    </row>
    <row r="2450" spans="1:9" x14ac:dyDescent="0.3">
      <c r="A2450" t="str">
        <f t="shared" si="839"/>
        <v>United States</v>
      </c>
      <c r="B2450" t="str">
        <f t="shared" si="835"/>
        <v>Lakewood</v>
      </c>
      <c r="C2450" t="str">
        <f t="shared" si="841"/>
        <v>Standard Class</v>
      </c>
      <c r="D2450" t="str">
        <f t="shared" ref="D2450:D2459" si="843">D2449</f>
        <v>Corporate</v>
      </c>
      <c r="E2450" t="s">
        <v>19</v>
      </c>
      <c r="F2450">
        <v>16</v>
      </c>
      <c r="G2450">
        <v>0.4</v>
      </c>
      <c r="H2450" s="2">
        <v>9.4990000000000023</v>
      </c>
      <c r="I2450" s="2">
        <v>58.592000000000006</v>
      </c>
    </row>
    <row r="2451" spans="1:9" x14ac:dyDescent="0.3">
      <c r="A2451" t="str">
        <f t="shared" si="839"/>
        <v>United States</v>
      </c>
      <c r="B2451" t="str">
        <f t="shared" si="835"/>
        <v>Lakewood</v>
      </c>
      <c r="C2451" t="str">
        <f t="shared" si="841"/>
        <v>Standard Class</v>
      </c>
      <c r="D2451" t="str">
        <f t="shared" si="843"/>
        <v>Corporate</v>
      </c>
      <c r="E2451" t="s">
        <v>20</v>
      </c>
      <c r="F2451">
        <v>12</v>
      </c>
      <c r="G2451">
        <v>0</v>
      </c>
      <c r="H2451" s="2">
        <v>109.99600000000001</v>
      </c>
      <c r="I2451" s="2">
        <v>221.51</v>
      </c>
    </row>
    <row r="2452" spans="1:9" x14ac:dyDescent="0.3">
      <c r="A2452" t="str">
        <f t="shared" si="839"/>
        <v>United States</v>
      </c>
      <c r="B2452" t="str">
        <f t="shared" si="835"/>
        <v>Lakewood</v>
      </c>
      <c r="C2452" t="str">
        <f t="shared" si="841"/>
        <v>Standard Class</v>
      </c>
      <c r="D2452" t="str">
        <f t="shared" si="843"/>
        <v>Corporate</v>
      </c>
      <c r="E2452" t="s">
        <v>33</v>
      </c>
      <c r="F2452">
        <v>4</v>
      </c>
      <c r="G2452">
        <v>0</v>
      </c>
      <c r="H2452" s="2">
        <v>143.62880000000001</v>
      </c>
      <c r="I2452" s="2">
        <v>512.96</v>
      </c>
    </row>
    <row r="2453" spans="1:9" x14ac:dyDescent="0.3">
      <c r="A2453" t="str">
        <f t="shared" si="839"/>
        <v>United States</v>
      </c>
      <c r="B2453" t="str">
        <f t="shared" si="835"/>
        <v>Lakewood</v>
      </c>
      <c r="C2453" t="str">
        <f t="shared" si="841"/>
        <v>Standard Class</v>
      </c>
      <c r="D2453" t="str">
        <f t="shared" si="843"/>
        <v>Corporate</v>
      </c>
      <c r="E2453" t="s">
        <v>38</v>
      </c>
      <c r="F2453">
        <v>8</v>
      </c>
      <c r="G2453">
        <v>0.2</v>
      </c>
      <c r="H2453" s="2">
        <v>31.866399999999999</v>
      </c>
      <c r="I2453" s="2">
        <v>75.567999999999998</v>
      </c>
    </row>
    <row r="2454" spans="1:9" x14ac:dyDescent="0.3">
      <c r="A2454" t="str">
        <f t="shared" si="839"/>
        <v>United States</v>
      </c>
      <c r="B2454" t="str">
        <f t="shared" si="835"/>
        <v>Lakewood</v>
      </c>
      <c r="C2454" t="str">
        <f t="shared" si="841"/>
        <v>Standard Class</v>
      </c>
      <c r="D2454" t="str">
        <f t="shared" si="843"/>
        <v>Corporate</v>
      </c>
      <c r="E2454" t="s">
        <v>21</v>
      </c>
      <c r="F2454">
        <v>7</v>
      </c>
      <c r="G2454">
        <v>0</v>
      </c>
      <c r="H2454" s="2">
        <v>22.246800000000004</v>
      </c>
      <c r="I2454" s="2">
        <v>57.360000000000007</v>
      </c>
    </row>
    <row r="2455" spans="1:9" x14ac:dyDescent="0.3">
      <c r="A2455" t="str">
        <f t="shared" si="839"/>
        <v>United States</v>
      </c>
      <c r="B2455" t="str">
        <f t="shared" si="835"/>
        <v>Lakewood</v>
      </c>
      <c r="C2455" t="str">
        <f t="shared" si="841"/>
        <v>Standard Class</v>
      </c>
      <c r="D2455" t="str">
        <f t="shared" si="843"/>
        <v>Corporate</v>
      </c>
      <c r="E2455" t="s">
        <v>46</v>
      </c>
      <c r="F2455">
        <v>7</v>
      </c>
      <c r="G2455">
        <v>0</v>
      </c>
      <c r="H2455" s="2">
        <v>2365.9817999999996</v>
      </c>
      <c r="I2455" s="2">
        <v>9099.93</v>
      </c>
    </row>
    <row r="2456" spans="1:9" x14ac:dyDescent="0.3">
      <c r="A2456" t="str">
        <f t="shared" si="839"/>
        <v>United States</v>
      </c>
      <c r="B2456" t="str">
        <f t="shared" si="835"/>
        <v>Lakewood</v>
      </c>
      <c r="C2456" t="str">
        <f t="shared" si="841"/>
        <v>Standard Class</v>
      </c>
      <c r="D2456" t="str">
        <f t="shared" si="843"/>
        <v>Corporate</v>
      </c>
      <c r="E2456" t="s">
        <v>16</v>
      </c>
      <c r="F2456">
        <v>5</v>
      </c>
      <c r="G2456">
        <v>0</v>
      </c>
      <c r="H2456" s="2">
        <v>45.527999999999992</v>
      </c>
      <c r="I2456" s="2">
        <v>94.85</v>
      </c>
    </row>
    <row r="2457" spans="1:9" x14ac:dyDescent="0.3">
      <c r="A2457" t="str">
        <f t="shared" si="839"/>
        <v>United States</v>
      </c>
      <c r="B2457" t="str">
        <f t="shared" si="835"/>
        <v>Lakewood</v>
      </c>
      <c r="C2457" t="str">
        <f t="shared" si="841"/>
        <v>Standard Class</v>
      </c>
      <c r="D2457" t="str">
        <f t="shared" si="843"/>
        <v>Corporate</v>
      </c>
      <c r="E2457" t="s">
        <v>24</v>
      </c>
      <c r="F2457">
        <v>8</v>
      </c>
      <c r="G2457">
        <v>0.4</v>
      </c>
      <c r="H2457" s="2">
        <v>77.746400000000008</v>
      </c>
      <c r="I2457" s="2">
        <v>547.12799999999993</v>
      </c>
    </row>
    <row r="2458" spans="1:9" x14ac:dyDescent="0.3">
      <c r="A2458" t="str">
        <f t="shared" si="839"/>
        <v>United States</v>
      </c>
      <c r="B2458" t="str">
        <f t="shared" si="835"/>
        <v>Lakewood</v>
      </c>
      <c r="C2458" t="str">
        <f t="shared" si="841"/>
        <v>Standard Class</v>
      </c>
      <c r="D2458" t="str">
        <f t="shared" si="843"/>
        <v>Corporate</v>
      </c>
      <c r="E2458" t="s">
        <v>14</v>
      </c>
      <c r="F2458">
        <v>2</v>
      </c>
      <c r="G2458">
        <v>0</v>
      </c>
      <c r="H2458" s="2">
        <v>0</v>
      </c>
      <c r="I2458" s="2">
        <v>81.96</v>
      </c>
    </row>
    <row r="2459" spans="1:9" x14ac:dyDescent="0.3">
      <c r="A2459" t="str">
        <f t="shared" si="839"/>
        <v>United States</v>
      </c>
      <c r="B2459" t="str">
        <f t="shared" si="835"/>
        <v>Lakewood</v>
      </c>
      <c r="C2459" t="str">
        <f t="shared" si="841"/>
        <v>Standard Class</v>
      </c>
      <c r="D2459" t="str">
        <f t="shared" si="843"/>
        <v>Corporate</v>
      </c>
      <c r="E2459" t="s">
        <v>25</v>
      </c>
      <c r="F2459">
        <v>2</v>
      </c>
      <c r="G2459">
        <v>0.4</v>
      </c>
      <c r="H2459" s="2">
        <v>-231.41160000000008</v>
      </c>
      <c r="I2459" s="2">
        <v>661.17600000000004</v>
      </c>
    </row>
    <row r="2460" spans="1:9" x14ac:dyDescent="0.3">
      <c r="A2460" t="str">
        <f t="shared" si="839"/>
        <v>United States</v>
      </c>
      <c r="B2460" t="str">
        <f t="shared" si="835"/>
        <v>Lakewood</v>
      </c>
      <c r="C2460" t="str">
        <f t="shared" si="841"/>
        <v>Standard Class</v>
      </c>
      <c r="D2460" t="s">
        <v>17</v>
      </c>
      <c r="E2460" t="s">
        <v>12</v>
      </c>
      <c r="F2460">
        <v>2</v>
      </c>
      <c r="G2460">
        <v>0.2</v>
      </c>
      <c r="H2460" s="2">
        <v>16.156799999999997</v>
      </c>
      <c r="I2460" s="2">
        <v>161.56800000000001</v>
      </c>
    </row>
    <row r="2461" spans="1:9" x14ac:dyDescent="0.3">
      <c r="A2461" t="str">
        <f t="shared" si="839"/>
        <v>United States</v>
      </c>
      <c r="B2461" t="str">
        <f t="shared" si="835"/>
        <v>Lakewood</v>
      </c>
      <c r="C2461" t="str">
        <f t="shared" si="841"/>
        <v>Standard Class</v>
      </c>
      <c r="D2461" t="str">
        <f t="shared" ref="D2461:D2467" si="844">D2460</f>
        <v>Home Office</v>
      </c>
      <c r="E2461" t="s">
        <v>19</v>
      </c>
      <c r="F2461">
        <v>6</v>
      </c>
      <c r="G2461">
        <v>0</v>
      </c>
      <c r="H2461" s="2">
        <v>83.867999999999967</v>
      </c>
      <c r="I2461" s="2">
        <v>289.20000000000005</v>
      </c>
    </row>
    <row r="2462" spans="1:9" x14ac:dyDescent="0.3">
      <c r="A2462" t="str">
        <f t="shared" si="839"/>
        <v>United States</v>
      </c>
      <c r="B2462" t="str">
        <f t="shared" si="835"/>
        <v>Lakewood</v>
      </c>
      <c r="C2462" t="str">
        <f t="shared" si="841"/>
        <v>Standard Class</v>
      </c>
      <c r="D2462" t="str">
        <f t="shared" si="844"/>
        <v>Home Office</v>
      </c>
      <c r="E2462" t="s">
        <v>20</v>
      </c>
      <c r="F2462">
        <v>7</v>
      </c>
      <c r="G2462">
        <v>0.7</v>
      </c>
      <c r="H2462" s="2">
        <v>15.948</v>
      </c>
      <c r="I2462" s="2">
        <v>51.696000000000005</v>
      </c>
    </row>
    <row r="2463" spans="1:9" x14ac:dyDescent="0.3">
      <c r="A2463" t="str">
        <f t="shared" si="839"/>
        <v>United States</v>
      </c>
      <c r="B2463" t="str">
        <f t="shared" si="835"/>
        <v>Lakewood</v>
      </c>
      <c r="C2463" t="str">
        <f t="shared" si="841"/>
        <v>Standard Class</v>
      </c>
      <c r="D2463" t="str">
        <f t="shared" si="844"/>
        <v>Home Office</v>
      </c>
      <c r="E2463" t="s">
        <v>33</v>
      </c>
      <c r="F2463">
        <v>8</v>
      </c>
      <c r="G2463">
        <v>0.2</v>
      </c>
      <c r="H2463" s="2">
        <v>-97.176000000000073</v>
      </c>
      <c r="I2463" s="2">
        <v>518.27200000000005</v>
      </c>
    </row>
    <row r="2464" spans="1:9" x14ac:dyDescent="0.3">
      <c r="A2464" t="str">
        <f t="shared" si="839"/>
        <v>United States</v>
      </c>
      <c r="B2464" t="str">
        <f t="shared" si="835"/>
        <v>Lakewood</v>
      </c>
      <c r="C2464" t="str">
        <f t="shared" si="841"/>
        <v>Standard Class</v>
      </c>
      <c r="D2464" t="str">
        <f t="shared" si="844"/>
        <v>Home Office</v>
      </c>
      <c r="E2464" t="s">
        <v>21</v>
      </c>
      <c r="F2464">
        <v>1</v>
      </c>
      <c r="G2464">
        <v>0</v>
      </c>
      <c r="H2464" s="2">
        <v>3.3504</v>
      </c>
      <c r="I2464" s="2">
        <v>6.98</v>
      </c>
    </row>
    <row r="2465" spans="1:9" x14ac:dyDescent="0.3">
      <c r="A2465" t="str">
        <f t="shared" si="839"/>
        <v>United States</v>
      </c>
      <c r="B2465" t="str">
        <f t="shared" si="835"/>
        <v>Lakewood</v>
      </c>
      <c r="C2465" t="str">
        <f t="shared" si="841"/>
        <v>Standard Class</v>
      </c>
      <c r="D2465" t="str">
        <f t="shared" si="844"/>
        <v>Home Office</v>
      </c>
      <c r="E2465" t="s">
        <v>46</v>
      </c>
      <c r="F2465">
        <v>1</v>
      </c>
      <c r="G2465">
        <v>0.2</v>
      </c>
      <c r="H2465" s="2">
        <v>38.609999999999957</v>
      </c>
      <c r="I2465" s="2">
        <v>343.20000000000005</v>
      </c>
    </row>
    <row r="2466" spans="1:9" x14ac:dyDescent="0.3">
      <c r="A2466" t="str">
        <f t="shared" si="839"/>
        <v>United States</v>
      </c>
      <c r="B2466" t="str">
        <f t="shared" si="835"/>
        <v>Lakewood</v>
      </c>
      <c r="C2466" t="str">
        <f t="shared" si="841"/>
        <v>Standard Class</v>
      </c>
      <c r="D2466" t="str">
        <f t="shared" si="844"/>
        <v>Home Office</v>
      </c>
      <c r="E2466" t="s">
        <v>16</v>
      </c>
      <c r="F2466">
        <v>19</v>
      </c>
      <c r="G2466">
        <v>0.60000000000000009</v>
      </c>
      <c r="H2466" s="2">
        <v>27.059400000000004</v>
      </c>
      <c r="I2466" s="2">
        <v>75.920000000000016</v>
      </c>
    </row>
    <row r="2467" spans="1:9" x14ac:dyDescent="0.3">
      <c r="A2467" t="str">
        <f t="shared" si="839"/>
        <v>United States</v>
      </c>
      <c r="B2467" t="str">
        <f t="shared" si="835"/>
        <v>Lakewood</v>
      </c>
      <c r="C2467" t="str">
        <f t="shared" si="841"/>
        <v>Standard Class</v>
      </c>
      <c r="D2467" t="str">
        <f t="shared" si="844"/>
        <v>Home Office</v>
      </c>
      <c r="E2467" t="s">
        <v>24</v>
      </c>
      <c r="F2467">
        <v>6</v>
      </c>
      <c r="G2467">
        <v>0.2</v>
      </c>
      <c r="H2467" s="2">
        <v>20.097000000000008</v>
      </c>
      <c r="I2467" s="2">
        <v>321.55200000000002</v>
      </c>
    </row>
    <row r="2468" spans="1:9" x14ac:dyDescent="0.3">
      <c r="A2468" t="str">
        <f t="shared" si="839"/>
        <v>United States</v>
      </c>
      <c r="B2468" t="s">
        <v>271</v>
      </c>
      <c r="C2468" t="s">
        <v>11</v>
      </c>
      <c r="D2468" t="s">
        <v>8</v>
      </c>
      <c r="E2468" t="s">
        <v>33</v>
      </c>
      <c r="F2468">
        <v>1</v>
      </c>
      <c r="G2468">
        <v>0.3</v>
      </c>
      <c r="H2468" s="2">
        <v>0</v>
      </c>
      <c r="I2468" s="2">
        <v>170.78599999999997</v>
      </c>
    </row>
    <row r="2469" spans="1:9" x14ac:dyDescent="0.3">
      <c r="A2469" t="str">
        <f t="shared" si="839"/>
        <v>United States</v>
      </c>
      <c r="B2469" t="str">
        <f t="shared" ref="B2469:B2498" si="845">B2468</f>
        <v>Lancaster</v>
      </c>
      <c r="C2469" t="str">
        <f t="shared" ref="C2469:C2473" si="846">C2468</f>
        <v>First Class</v>
      </c>
      <c r="D2469" t="str">
        <f t="shared" ref="D2469:D2471" si="847">D2468</f>
        <v>Consumer</v>
      </c>
      <c r="E2469" t="s">
        <v>18</v>
      </c>
      <c r="F2469">
        <v>5</v>
      </c>
      <c r="G2469">
        <v>0</v>
      </c>
      <c r="H2469" s="2">
        <v>3.5970000000000004</v>
      </c>
      <c r="I2469" s="2">
        <v>10.9</v>
      </c>
    </row>
    <row r="2470" spans="1:9" x14ac:dyDescent="0.3">
      <c r="A2470" t="str">
        <f t="shared" si="839"/>
        <v>United States</v>
      </c>
      <c r="B2470" t="str">
        <f t="shared" si="845"/>
        <v>Lancaster</v>
      </c>
      <c r="C2470" t="str">
        <f t="shared" si="846"/>
        <v>First Class</v>
      </c>
      <c r="D2470" t="str">
        <f t="shared" si="847"/>
        <v>Consumer</v>
      </c>
      <c r="E2470" t="s">
        <v>16</v>
      </c>
      <c r="F2470">
        <v>10</v>
      </c>
      <c r="G2470">
        <v>0.60000000000000009</v>
      </c>
      <c r="H2470" s="2">
        <v>77.904799999999994</v>
      </c>
      <c r="I2470" s="2">
        <v>216.99200000000002</v>
      </c>
    </row>
    <row r="2471" spans="1:9" x14ac:dyDescent="0.3">
      <c r="A2471" t="str">
        <f t="shared" si="839"/>
        <v>United States</v>
      </c>
      <c r="B2471" t="str">
        <f t="shared" si="845"/>
        <v>Lancaster</v>
      </c>
      <c r="C2471" t="str">
        <f t="shared" si="846"/>
        <v>First Class</v>
      </c>
      <c r="D2471" t="str">
        <f t="shared" si="847"/>
        <v>Consumer</v>
      </c>
      <c r="E2471" t="s">
        <v>14</v>
      </c>
      <c r="F2471">
        <v>9</v>
      </c>
      <c r="G2471">
        <v>0.4</v>
      </c>
      <c r="H2471" s="2">
        <v>-28.924199999999995</v>
      </c>
      <c r="I2471" s="2">
        <v>212.43200000000002</v>
      </c>
    </row>
    <row r="2472" spans="1:9" x14ac:dyDescent="0.3">
      <c r="A2472" t="str">
        <f t="shared" si="839"/>
        <v>United States</v>
      </c>
      <c r="B2472" t="str">
        <f t="shared" si="845"/>
        <v>Lancaster</v>
      </c>
      <c r="C2472" t="str">
        <f t="shared" si="846"/>
        <v>First Class</v>
      </c>
      <c r="D2472" t="s">
        <v>17</v>
      </c>
      <c r="E2472" t="s">
        <v>19</v>
      </c>
      <c r="F2472">
        <v>9</v>
      </c>
      <c r="G2472">
        <v>0.2</v>
      </c>
      <c r="H2472" s="2">
        <v>2.6964000000000006</v>
      </c>
      <c r="I2472" s="2">
        <v>30.816000000000003</v>
      </c>
    </row>
    <row r="2473" spans="1:9" x14ac:dyDescent="0.3">
      <c r="A2473" t="str">
        <f t="shared" si="839"/>
        <v>United States</v>
      </c>
      <c r="B2473" t="str">
        <f t="shared" si="845"/>
        <v>Lancaster</v>
      </c>
      <c r="C2473" t="str">
        <f t="shared" si="846"/>
        <v>First Class</v>
      </c>
      <c r="D2473" t="str">
        <f>D2472</f>
        <v>Home Office</v>
      </c>
      <c r="E2473" t="s">
        <v>21</v>
      </c>
      <c r="F2473">
        <v>6</v>
      </c>
      <c r="G2473">
        <v>0.2</v>
      </c>
      <c r="H2473" s="2">
        <v>12.892799999999998</v>
      </c>
      <c r="I2473" s="2">
        <v>60.672000000000011</v>
      </c>
    </row>
    <row r="2474" spans="1:9" x14ac:dyDescent="0.3">
      <c r="A2474" t="str">
        <f t="shared" si="839"/>
        <v>United States</v>
      </c>
      <c r="B2474" t="str">
        <f t="shared" si="845"/>
        <v>Lancaster</v>
      </c>
      <c r="C2474" t="s">
        <v>7</v>
      </c>
      <c r="D2474" t="s">
        <v>8</v>
      </c>
      <c r="E2474" t="s">
        <v>23</v>
      </c>
      <c r="F2474">
        <v>2</v>
      </c>
      <c r="G2474">
        <v>0.2</v>
      </c>
      <c r="H2474" s="2">
        <v>0.5</v>
      </c>
      <c r="I2474" s="2">
        <v>40</v>
      </c>
    </row>
    <row r="2475" spans="1:9" x14ac:dyDescent="0.3">
      <c r="A2475" t="str">
        <f t="shared" si="839"/>
        <v>United States</v>
      </c>
      <c r="B2475" t="str">
        <f t="shared" si="845"/>
        <v>Lancaster</v>
      </c>
      <c r="C2475" t="str">
        <f t="shared" ref="C2475:C2482" si="848">C2474</f>
        <v>Second Class</v>
      </c>
      <c r="D2475" t="str">
        <f t="shared" ref="D2475:D2478" si="849">D2474</f>
        <v>Consumer</v>
      </c>
      <c r="E2475" t="s">
        <v>12</v>
      </c>
      <c r="F2475">
        <v>8</v>
      </c>
      <c r="G2475">
        <v>0.2</v>
      </c>
      <c r="H2475" s="2">
        <v>64.627199999999988</v>
      </c>
      <c r="I2475" s="2">
        <v>646.27200000000005</v>
      </c>
    </row>
    <row r="2476" spans="1:9" x14ac:dyDescent="0.3">
      <c r="A2476" t="str">
        <f t="shared" si="839"/>
        <v>United States</v>
      </c>
      <c r="B2476" t="str">
        <f t="shared" si="845"/>
        <v>Lancaster</v>
      </c>
      <c r="C2476" t="str">
        <f t="shared" si="848"/>
        <v>Second Class</v>
      </c>
      <c r="D2476" t="str">
        <f t="shared" si="849"/>
        <v>Consumer</v>
      </c>
      <c r="E2476" t="s">
        <v>20</v>
      </c>
      <c r="F2476">
        <v>2</v>
      </c>
      <c r="G2476">
        <v>0.2</v>
      </c>
      <c r="H2476" s="2">
        <v>5.8914</v>
      </c>
      <c r="I2476" s="2">
        <v>17.456</v>
      </c>
    </row>
    <row r="2477" spans="1:9" x14ac:dyDescent="0.3">
      <c r="A2477" t="str">
        <f t="shared" si="839"/>
        <v>United States</v>
      </c>
      <c r="B2477" t="str">
        <f t="shared" si="845"/>
        <v>Lancaster</v>
      </c>
      <c r="C2477" t="str">
        <f t="shared" si="848"/>
        <v>Second Class</v>
      </c>
      <c r="D2477" t="str">
        <f t="shared" si="849"/>
        <v>Consumer</v>
      </c>
      <c r="E2477" t="s">
        <v>16</v>
      </c>
      <c r="F2477">
        <v>2</v>
      </c>
      <c r="G2477">
        <v>0.2</v>
      </c>
      <c r="H2477" s="2">
        <v>3.7584</v>
      </c>
      <c r="I2477" s="2">
        <v>10.368000000000002</v>
      </c>
    </row>
    <row r="2478" spans="1:9" x14ac:dyDescent="0.3">
      <c r="A2478" t="str">
        <f t="shared" si="839"/>
        <v>United States</v>
      </c>
      <c r="B2478" t="str">
        <f t="shared" si="845"/>
        <v>Lancaster</v>
      </c>
      <c r="C2478" t="str">
        <f t="shared" si="848"/>
        <v>Second Class</v>
      </c>
      <c r="D2478" t="str">
        <f t="shared" si="849"/>
        <v>Consumer</v>
      </c>
      <c r="E2478" t="s">
        <v>14</v>
      </c>
      <c r="F2478">
        <v>2</v>
      </c>
      <c r="G2478">
        <v>0.2</v>
      </c>
      <c r="H2478" s="2">
        <v>-55.256</v>
      </c>
      <c r="I2478" s="2">
        <v>221.024</v>
      </c>
    </row>
    <row r="2479" spans="1:9" x14ac:dyDescent="0.3">
      <c r="A2479" t="str">
        <f t="shared" si="839"/>
        <v>United States</v>
      </c>
      <c r="B2479" t="str">
        <f t="shared" si="845"/>
        <v>Lancaster</v>
      </c>
      <c r="C2479" t="str">
        <f t="shared" si="848"/>
        <v>Second Class</v>
      </c>
      <c r="D2479" t="s">
        <v>17</v>
      </c>
      <c r="E2479" t="s">
        <v>20</v>
      </c>
      <c r="F2479">
        <v>13</v>
      </c>
      <c r="G2479">
        <v>1.1000000000000001</v>
      </c>
      <c r="H2479" s="2">
        <v>25.295200000000001</v>
      </c>
      <c r="I2479" s="2">
        <v>112.36100000000002</v>
      </c>
    </row>
    <row r="2480" spans="1:9" x14ac:dyDescent="0.3">
      <c r="A2480" t="str">
        <f t="shared" si="839"/>
        <v>United States</v>
      </c>
      <c r="B2480" t="str">
        <f t="shared" si="845"/>
        <v>Lancaster</v>
      </c>
      <c r="C2480" t="str">
        <f t="shared" si="848"/>
        <v>Second Class</v>
      </c>
      <c r="D2480" t="str">
        <f t="shared" ref="D2480:D2482" si="850">D2479</f>
        <v>Home Office</v>
      </c>
      <c r="E2480" t="s">
        <v>21</v>
      </c>
      <c r="F2480">
        <v>4</v>
      </c>
      <c r="G2480">
        <v>0.2</v>
      </c>
      <c r="H2480" s="2">
        <v>7.7000000000000028</v>
      </c>
      <c r="I2480" s="2">
        <v>28</v>
      </c>
    </row>
    <row r="2481" spans="1:9" x14ac:dyDescent="0.3">
      <c r="A2481" t="str">
        <f t="shared" si="839"/>
        <v>United States</v>
      </c>
      <c r="B2481" t="str">
        <f t="shared" si="845"/>
        <v>Lancaster</v>
      </c>
      <c r="C2481" t="str">
        <f t="shared" si="848"/>
        <v>Second Class</v>
      </c>
      <c r="D2481" t="str">
        <f t="shared" si="850"/>
        <v>Home Office</v>
      </c>
      <c r="E2481" t="s">
        <v>16</v>
      </c>
      <c r="F2481">
        <v>13</v>
      </c>
      <c r="G2481">
        <v>0.60000000000000009</v>
      </c>
      <c r="H2481" s="2">
        <v>26.359199999999994</v>
      </c>
      <c r="I2481" s="2">
        <v>75.808000000000007</v>
      </c>
    </row>
    <row r="2482" spans="1:9" x14ac:dyDescent="0.3">
      <c r="A2482" t="str">
        <f t="shared" si="839"/>
        <v>United States</v>
      </c>
      <c r="B2482" t="str">
        <f t="shared" si="845"/>
        <v>Lancaster</v>
      </c>
      <c r="C2482" t="str">
        <f t="shared" si="848"/>
        <v>Second Class</v>
      </c>
      <c r="D2482" t="str">
        <f t="shared" si="850"/>
        <v>Home Office</v>
      </c>
      <c r="E2482" t="s">
        <v>25</v>
      </c>
      <c r="F2482">
        <v>2</v>
      </c>
      <c r="G2482">
        <v>0.4</v>
      </c>
      <c r="H2482" s="2">
        <v>-103.98819999999998</v>
      </c>
      <c r="I2482" s="2">
        <v>215.148</v>
      </c>
    </row>
    <row r="2483" spans="1:9" x14ac:dyDescent="0.3">
      <c r="A2483" t="str">
        <f t="shared" si="839"/>
        <v>United States</v>
      </c>
      <c r="B2483" t="str">
        <f t="shared" si="845"/>
        <v>Lancaster</v>
      </c>
      <c r="C2483" t="s">
        <v>22</v>
      </c>
      <c r="D2483" t="s">
        <v>8</v>
      </c>
      <c r="E2483" t="s">
        <v>23</v>
      </c>
      <c r="F2483">
        <v>5</v>
      </c>
      <c r="G2483">
        <v>0.4</v>
      </c>
      <c r="H2483" s="2">
        <v>7.2491999999999956</v>
      </c>
      <c r="I2483" s="2">
        <v>87.096000000000004</v>
      </c>
    </row>
    <row r="2484" spans="1:9" x14ac:dyDescent="0.3">
      <c r="A2484" t="str">
        <f t="shared" si="839"/>
        <v>United States</v>
      </c>
      <c r="B2484" t="str">
        <f t="shared" si="845"/>
        <v>Lancaster</v>
      </c>
      <c r="C2484" t="str">
        <f t="shared" ref="C2484:C2498" si="851">C2483</f>
        <v>Standard Class</v>
      </c>
      <c r="D2484" t="str">
        <f t="shared" ref="D2484:D2489" si="852">D2483</f>
        <v>Consumer</v>
      </c>
      <c r="E2484" t="s">
        <v>20</v>
      </c>
      <c r="F2484">
        <v>15</v>
      </c>
      <c r="G2484">
        <v>2.8</v>
      </c>
      <c r="H2484" s="2">
        <v>-323.10890000000006</v>
      </c>
      <c r="I2484" s="2">
        <v>480.1110000000001</v>
      </c>
    </row>
    <row r="2485" spans="1:9" x14ac:dyDescent="0.3">
      <c r="A2485" t="str">
        <f t="shared" si="839"/>
        <v>United States</v>
      </c>
      <c r="B2485" t="str">
        <f t="shared" si="845"/>
        <v>Lancaster</v>
      </c>
      <c r="C2485" t="str">
        <f t="shared" si="851"/>
        <v>Standard Class</v>
      </c>
      <c r="D2485" t="str">
        <f t="shared" si="852"/>
        <v>Consumer</v>
      </c>
      <c r="E2485" t="s">
        <v>33</v>
      </c>
      <c r="F2485">
        <v>4</v>
      </c>
      <c r="G2485">
        <v>0.5</v>
      </c>
      <c r="H2485" s="2">
        <v>33.674999999999976</v>
      </c>
      <c r="I2485" s="2">
        <v>434.17400000000004</v>
      </c>
    </row>
    <row r="2486" spans="1:9" x14ac:dyDescent="0.3">
      <c r="A2486" t="str">
        <f t="shared" si="839"/>
        <v>United States</v>
      </c>
      <c r="B2486" t="str">
        <f t="shared" si="845"/>
        <v>Lancaster</v>
      </c>
      <c r="C2486" t="str">
        <f t="shared" si="851"/>
        <v>Standard Class</v>
      </c>
      <c r="D2486" t="str">
        <f t="shared" si="852"/>
        <v>Consumer</v>
      </c>
      <c r="E2486" t="s">
        <v>21</v>
      </c>
      <c r="F2486">
        <v>1</v>
      </c>
      <c r="G2486">
        <v>0.2</v>
      </c>
      <c r="H2486" s="2">
        <v>1.7591000000000001</v>
      </c>
      <c r="I2486" s="2">
        <v>20.103999999999999</v>
      </c>
    </row>
    <row r="2487" spans="1:9" x14ac:dyDescent="0.3">
      <c r="A2487" t="str">
        <f t="shared" si="839"/>
        <v>United States</v>
      </c>
      <c r="B2487" t="str">
        <f t="shared" si="845"/>
        <v>Lancaster</v>
      </c>
      <c r="C2487" t="str">
        <f t="shared" si="851"/>
        <v>Standard Class</v>
      </c>
      <c r="D2487" t="str">
        <f t="shared" si="852"/>
        <v>Consumer</v>
      </c>
      <c r="E2487" t="s">
        <v>46</v>
      </c>
      <c r="F2487">
        <v>5</v>
      </c>
      <c r="G2487">
        <v>0.7</v>
      </c>
      <c r="H2487" s="2">
        <v>-6599.978000000001</v>
      </c>
      <c r="I2487" s="2">
        <v>4499.9850000000006</v>
      </c>
    </row>
    <row r="2488" spans="1:9" x14ac:dyDescent="0.3">
      <c r="A2488" t="str">
        <f t="shared" si="839"/>
        <v>United States</v>
      </c>
      <c r="B2488" t="str">
        <f t="shared" si="845"/>
        <v>Lancaster</v>
      </c>
      <c r="C2488" t="str">
        <f t="shared" si="851"/>
        <v>Standard Class</v>
      </c>
      <c r="D2488" t="str">
        <f t="shared" si="852"/>
        <v>Consumer</v>
      </c>
      <c r="E2488" t="s">
        <v>14</v>
      </c>
      <c r="F2488">
        <v>2</v>
      </c>
      <c r="G2488">
        <v>0.2</v>
      </c>
      <c r="H2488" s="2">
        <v>1.4672000000000001</v>
      </c>
      <c r="I2488" s="2">
        <v>16.768000000000001</v>
      </c>
    </row>
    <row r="2489" spans="1:9" x14ac:dyDescent="0.3">
      <c r="A2489" t="str">
        <f t="shared" si="839"/>
        <v>United States</v>
      </c>
      <c r="B2489" t="str">
        <f t="shared" si="845"/>
        <v>Lancaster</v>
      </c>
      <c r="C2489" t="str">
        <f t="shared" si="851"/>
        <v>Standard Class</v>
      </c>
      <c r="D2489" t="str">
        <f t="shared" si="852"/>
        <v>Consumer</v>
      </c>
      <c r="E2489" t="s">
        <v>9</v>
      </c>
      <c r="F2489">
        <v>3</v>
      </c>
      <c r="G2489">
        <v>0.2</v>
      </c>
      <c r="H2489" s="2">
        <v>-64.427400000000006</v>
      </c>
      <c r="I2489" s="2">
        <v>286.34400000000005</v>
      </c>
    </row>
    <row r="2490" spans="1:9" x14ac:dyDescent="0.3">
      <c r="A2490" t="str">
        <f t="shared" si="839"/>
        <v>United States</v>
      </c>
      <c r="B2490" t="str">
        <f t="shared" si="845"/>
        <v>Lancaster</v>
      </c>
      <c r="C2490" t="str">
        <f t="shared" si="851"/>
        <v>Standard Class</v>
      </c>
      <c r="D2490" t="s">
        <v>15</v>
      </c>
      <c r="E2490" t="s">
        <v>23</v>
      </c>
      <c r="F2490">
        <v>4</v>
      </c>
      <c r="G2490">
        <v>0.2</v>
      </c>
      <c r="H2490" s="2">
        <v>-6.1879999999999988</v>
      </c>
      <c r="I2490" s="2">
        <v>70.720000000000013</v>
      </c>
    </row>
    <row r="2491" spans="1:9" x14ac:dyDescent="0.3">
      <c r="A2491" t="str">
        <f t="shared" si="839"/>
        <v>United States</v>
      </c>
      <c r="B2491" t="str">
        <f t="shared" si="845"/>
        <v>Lancaster</v>
      </c>
      <c r="C2491" t="str">
        <f t="shared" si="851"/>
        <v>Standard Class</v>
      </c>
      <c r="D2491" t="str">
        <f t="shared" ref="D2491:D2494" si="853">D2490</f>
        <v>Corporate</v>
      </c>
      <c r="E2491" t="s">
        <v>20</v>
      </c>
      <c r="F2491">
        <v>16</v>
      </c>
      <c r="G2491">
        <v>2.0999999999999996</v>
      </c>
      <c r="H2491" s="2">
        <v>-103.11329999999998</v>
      </c>
      <c r="I2491" s="2">
        <v>129.25500000000002</v>
      </c>
    </row>
    <row r="2492" spans="1:9" x14ac:dyDescent="0.3">
      <c r="A2492" t="str">
        <f t="shared" si="839"/>
        <v>United States</v>
      </c>
      <c r="B2492" t="str">
        <f t="shared" si="845"/>
        <v>Lancaster</v>
      </c>
      <c r="C2492" t="str">
        <f t="shared" si="851"/>
        <v>Standard Class</v>
      </c>
      <c r="D2492" t="str">
        <f t="shared" si="853"/>
        <v>Corporate</v>
      </c>
      <c r="E2492" t="s">
        <v>16</v>
      </c>
      <c r="F2492">
        <v>7</v>
      </c>
      <c r="G2492">
        <v>0.2</v>
      </c>
      <c r="H2492" s="2">
        <v>83.209699999999998</v>
      </c>
      <c r="I2492" s="2">
        <v>229.54400000000001</v>
      </c>
    </row>
    <row r="2493" spans="1:9" x14ac:dyDescent="0.3">
      <c r="A2493" t="str">
        <f t="shared" si="839"/>
        <v>United States</v>
      </c>
      <c r="B2493" t="str">
        <f t="shared" si="845"/>
        <v>Lancaster</v>
      </c>
      <c r="C2493" t="str">
        <f t="shared" si="851"/>
        <v>Standard Class</v>
      </c>
      <c r="D2493" t="str">
        <f t="shared" si="853"/>
        <v>Corporate</v>
      </c>
      <c r="E2493" t="s">
        <v>24</v>
      </c>
      <c r="F2493">
        <v>3</v>
      </c>
      <c r="G2493">
        <v>0.8</v>
      </c>
      <c r="H2493" s="2">
        <v>-28.332100000000011</v>
      </c>
      <c r="I2493" s="2">
        <v>151.52999999999997</v>
      </c>
    </row>
    <row r="2494" spans="1:9" x14ac:dyDescent="0.3">
      <c r="A2494" t="str">
        <f t="shared" si="839"/>
        <v>United States</v>
      </c>
      <c r="B2494" t="str">
        <f t="shared" si="845"/>
        <v>Lancaster</v>
      </c>
      <c r="C2494" t="str">
        <f t="shared" si="851"/>
        <v>Standard Class</v>
      </c>
      <c r="D2494" t="str">
        <f t="shared" si="853"/>
        <v>Corporate</v>
      </c>
      <c r="E2494" t="s">
        <v>14</v>
      </c>
      <c r="F2494">
        <v>3</v>
      </c>
      <c r="G2494">
        <v>0.2</v>
      </c>
      <c r="H2494" s="2">
        <v>-43.729199999999992</v>
      </c>
      <c r="I2494" s="2">
        <v>194.35200000000003</v>
      </c>
    </row>
    <row r="2495" spans="1:9" x14ac:dyDescent="0.3">
      <c r="A2495" t="str">
        <f t="shared" si="839"/>
        <v>United States</v>
      </c>
      <c r="B2495" t="str">
        <f t="shared" si="845"/>
        <v>Lancaster</v>
      </c>
      <c r="C2495" t="str">
        <f t="shared" si="851"/>
        <v>Standard Class</v>
      </c>
      <c r="D2495" t="s">
        <v>17</v>
      </c>
      <c r="E2495" t="s">
        <v>23</v>
      </c>
      <c r="F2495">
        <v>2</v>
      </c>
      <c r="G2495">
        <v>0.2</v>
      </c>
      <c r="H2495" s="2">
        <v>0.47279999999999966</v>
      </c>
      <c r="I2495" s="2">
        <v>3.1520000000000001</v>
      </c>
    </row>
    <row r="2496" spans="1:9" x14ac:dyDescent="0.3">
      <c r="A2496" t="str">
        <f t="shared" si="839"/>
        <v>United States</v>
      </c>
      <c r="B2496" t="str">
        <f t="shared" si="845"/>
        <v>Lancaster</v>
      </c>
      <c r="C2496" t="str">
        <f t="shared" si="851"/>
        <v>Standard Class</v>
      </c>
      <c r="D2496" t="str">
        <f t="shared" ref="D2496:D2498" si="854">D2495</f>
        <v>Home Office</v>
      </c>
      <c r="E2496" t="s">
        <v>12</v>
      </c>
      <c r="F2496">
        <v>6</v>
      </c>
      <c r="G2496">
        <v>0.2</v>
      </c>
      <c r="H2496" s="2">
        <v>1.2527999999999988</v>
      </c>
      <c r="I2496" s="2">
        <v>16.704000000000001</v>
      </c>
    </row>
    <row r="2497" spans="1:9" x14ac:dyDescent="0.3">
      <c r="A2497" t="str">
        <f t="shared" si="839"/>
        <v>United States</v>
      </c>
      <c r="B2497" t="str">
        <f t="shared" si="845"/>
        <v>Lancaster</v>
      </c>
      <c r="C2497" t="str">
        <f t="shared" si="851"/>
        <v>Standard Class</v>
      </c>
      <c r="D2497" t="str">
        <f t="shared" si="854"/>
        <v>Home Office</v>
      </c>
      <c r="E2497" t="s">
        <v>16</v>
      </c>
      <c r="F2497">
        <v>4</v>
      </c>
      <c r="G2497">
        <v>0.2</v>
      </c>
      <c r="H2497" s="2">
        <v>11.102399999999996</v>
      </c>
      <c r="I2497" s="2">
        <v>32.896000000000001</v>
      </c>
    </row>
    <row r="2498" spans="1:9" x14ac:dyDescent="0.3">
      <c r="A2498" t="str">
        <f t="shared" si="839"/>
        <v>United States</v>
      </c>
      <c r="B2498" t="str">
        <f t="shared" si="845"/>
        <v>Lancaster</v>
      </c>
      <c r="C2498" t="str">
        <f t="shared" si="851"/>
        <v>Standard Class</v>
      </c>
      <c r="D2498" t="str">
        <f t="shared" si="854"/>
        <v>Home Office</v>
      </c>
      <c r="E2498" t="s">
        <v>24</v>
      </c>
      <c r="F2498">
        <v>3</v>
      </c>
      <c r="G2498">
        <v>0.4</v>
      </c>
      <c r="H2498" s="2">
        <v>-253.43369999999993</v>
      </c>
      <c r="I2498" s="2">
        <v>1169.694</v>
      </c>
    </row>
    <row r="2499" spans="1:9" x14ac:dyDescent="0.3">
      <c r="A2499" t="str">
        <f t="shared" si="839"/>
        <v>United States</v>
      </c>
      <c r="B2499" t="s">
        <v>272</v>
      </c>
      <c r="C2499" t="s">
        <v>11</v>
      </c>
      <c r="D2499" t="s">
        <v>8</v>
      </c>
      <c r="E2499" t="s">
        <v>21</v>
      </c>
      <c r="F2499">
        <v>5</v>
      </c>
      <c r="G2499">
        <v>0</v>
      </c>
      <c r="H2499" s="2">
        <v>32.159999999999997</v>
      </c>
      <c r="I2499" s="2">
        <v>67</v>
      </c>
    </row>
    <row r="2500" spans="1:9" x14ac:dyDescent="0.3">
      <c r="A2500" t="str">
        <f t="shared" ref="A2500:A2563" si="855">A2499</f>
        <v>United States</v>
      </c>
      <c r="B2500" t="str">
        <f t="shared" ref="B2500:B2506" si="856">B2499</f>
        <v>Lansing</v>
      </c>
      <c r="C2500" t="s">
        <v>27</v>
      </c>
      <c r="D2500" t="s">
        <v>8</v>
      </c>
      <c r="E2500" t="s">
        <v>12</v>
      </c>
      <c r="F2500">
        <v>2</v>
      </c>
      <c r="G2500">
        <v>0.1</v>
      </c>
      <c r="H2500" s="2">
        <v>107.34599999999996</v>
      </c>
      <c r="I2500" s="2">
        <v>644.07600000000002</v>
      </c>
    </row>
    <row r="2501" spans="1:9" x14ac:dyDescent="0.3">
      <c r="A2501" t="str">
        <f t="shared" si="855"/>
        <v>United States</v>
      </c>
      <c r="B2501" t="str">
        <f t="shared" si="856"/>
        <v>Lansing</v>
      </c>
      <c r="C2501" t="str">
        <f t="shared" ref="C2501:C2504" si="857">C2500</f>
        <v>Same Day</v>
      </c>
      <c r="D2501" t="str">
        <f t="shared" ref="D2501:D2504" si="858">D2500</f>
        <v>Consumer</v>
      </c>
      <c r="E2501" t="s">
        <v>20</v>
      </c>
      <c r="F2501">
        <v>2</v>
      </c>
      <c r="G2501">
        <v>0</v>
      </c>
      <c r="H2501" s="2">
        <v>5.8695999999999993</v>
      </c>
      <c r="I2501" s="2">
        <v>12.76</v>
      </c>
    </row>
    <row r="2502" spans="1:9" x14ac:dyDescent="0.3">
      <c r="A2502" t="str">
        <f t="shared" si="855"/>
        <v>United States</v>
      </c>
      <c r="B2502" t="str">
        <f t="shared" si="856"/>
        <v>Lansing</v>
      </c>
      <c r="C2502" t="str">
        <f t="shared" si="857"/>
        <v>Same Day</v>
      </c>
      <c r="D2502" t="str">
        <f t="shared" si="858"/>
        <v>Consumer</v>
      </c>
      <c r="E2502" t="s">
        <v>45</v>
      </c>
      <c r="F2502">
        <v>2</v>
      </c>
      <c r="G2502">
        <v>0</v>
      </c>
      <c r="H2502" s="2">
        <v>209.99299999999999</v>
      </c>
      <c r="I2502" s="2">
        <v>599.98</v>
      </c>
    </row>
    <row r="2503" spans="1:9" x14ac:dyDescent="0.3">
      <c r="A2503" t="str">
        <f t="shared" si="855"/>
        <v>United States</v>
      </c>
      <c r="B2503" t="str">
        <f t="shared" si="856"/>
        <v>Lansing</v>
      </c>
      <c r="C2503" t="str">
        <f t="shared" si="857"/>
        <v>Same Day</v>
      </c>
      <c r="D2503" t="str">
        <f t="shared" si="858"/>
        <v>Consumer</v>
      </c>
      <c r="E2503" t="s">
        <v>18</v>
      </c>
      <c r="F2503">
        <v>2</v>
      </c>
      <c r="G2503">
        <v>0</v>
      </c>
      <c r="H2503" s="2">
        <v>2.6279999999999997</v>
      </c>
      <c r="I2503" s="2">
        <v>5.84</v>
      </c>
    </row>
    <row r="2504" spans="1:9" x14ac:dyDescent="0.3">
      <c r="A2504" t="str">
        <f t="shared" si="855"/>
        <v>United States</v>
      </c>
      <c r="B2504" t="str">
        <f t="shared" si="856"/>
        <v>Lansing</v>
      </c>
      <c r="C2504" t="str">
        <f t="shared" si="857"/>
        <v>Same Day</v>
      </c>
      <c r="D2504" t="str">
        <f t="shared" si="858"/>
        <v>Consumer</v>
      </c>
      <c r="E2504" t="s">
        <v>24</v>
      </c>
      <c r="F2504">
        <v>1</v>
      </c>
      <c r="G2504">
        <v>0</v>
      </c>
      <c r="H2504" s="2">
        <v>0.43799999999999883</v>
      </c>
      <c r="I2504" s="2">
        <v>10.95</v>
      </c>
    </row>
    <row r="2505" spans="1:9" x14ac:dyDescent="0.3">
      <c r="A2505" t="str">
        <f t="shared" si="855"/>
        <v>United States</v>
      </c>
      <c r="B2505" t="str">
        <f t="shared" si="856"/>
        <v>Lansing</v>
      </c>
      <c r="C2505" t="s">
        <v>7</v>
      </c>
      <c r="D2505" t="s">
        <v>17</v>
      </c>
      <c r="E2505" t="s">
        <v>34</v>
      </c>
      <c r="F2505">
        <v>2</v>
      </c>
      <c r="G2505">
        <v>0</v>
      </c>
      <c r="H2505" s="2">
        <v>41.133199999999988</v>
      </c>
      <c r="I2505" s="2">
        <v>241.96</v>
      </c>
    </row>
    <row r="2506" spans="1:9" x14ac:dyDescent="0.3">
      <c r="A2506" t="str">
        <f t="shared" si="855"/>
        <v>United States</v>
      </c>
      <c r="B2506" t="str">
        <f t="shared" si="856"/>
        <v>Lansing</v>
      </c>
      <c r="C2506" t="str">
        <f>C2505</f>
        <v>Second Class</v>
      </c>
      <c r="D2506" t="str">
        <f>D2505</f>
        <v>Home Office</v>
      </c>
      <c r="E2506" t="s">
        <v>43</v>
      </c>
      <c r="F2506">
        <v>9</v>
      </c>
      <c r="G2506">
        <v>0</v>
      </c>
      <c r="H2506" s="2">
        <v>13.3056</v>
      </c>
      <c r="I2506" s="2">
        <v>27.72</v>
      </c>
    </row>
    <row r="2507" spans="1:9" x14ac:dyDescent="0.3">
      <c r="A2507" t="str">
        <f t="shared" si="855"/>
        <v>United States</v>
      </c>
      <c r="B2507" t="s">
        <v>273</v>
      </c>
      <c r="C2507" t="s">
        <v>27</v>
      </c>
      <c r="D2507" t="s">
        <v>8</v>
      </c>
      <c r="E2507" t="s">
        <v>43</v>
      </c>
      <c r="F2507">
        <v>1</v>
      </c>
      <c r="G2507">
        <v>0.2</v>
      </c>
      <c r="H2507" s="2">
        <v>4.4399999999999995</v>
      </c>
      <c r="I2507" s="2">
        <v>11.840000000000002</v>
      </c>
    </row>
    <row r="2508" spans="1:9" x14ac:dyDescent="0.3">
      <c r="A2508" t="str">
        <f t="shared" si="855"/>
        <v>United States</v>
      </c>
      <c r="B2508" t="str">
        <f t="shared" ref="B2508:B2516" si="859">B2507</f>
        <v>Laredo</v>
      </c>
      <c r="C2508" t="s">
        <v>7</v>
      </c>
      <c r="D2508" t="s">
        <v>15</v>
      </c>
      <c r="E2508" t="s">
        <v>23</v>
      </c>
      <c r="F2508">
        <v>2</v>
      </c>
      <c r="G2508">
        <v>0.2</v>
      </c>
      <c r="H2508" s="2">
        <v>14.395200000000004</v>
      </c>
      <c r="I2508" s="2">
        <v>47.984000000000002</v>
      </c>
    </row>
    <row r="2509" spans="1:9" x14ac:dyDescent="0.3">
      <c r="A2509" t="str">
        <f t="shared" si="855"/>
        <v>United States</v>
      </c>
      <c r="B2509" t="str">
        <f t="shared" si="859"/>
        <v>Laredo</v>
      </c>
      <c r="C2509" t="str">
        <f t="shared" ref="C2509:C2511" si="860">C2508</f>
        <v>Second Class</v>
      </c>
      <c r="D2509" t="str">
        <f t="shared" ref="D2509:D2511" si="861">D2508</f>
        <v>Corporate</v>
      </c>
      <c r="E2509" t="s">
        <v>20</v>
      </c>
      <c r="F2509">
        <v>3</v>
      </c>
      <c r="G2509">
        <v>0.8</v>
      </c>
      <c r="H2509" s="2">
        <v>-3.6576000000000004</v>
      </c>
      <c r="I2509" s="2">
        <v>2.2859999999999996</v>
      </c>
    </row>
    <row r="2510" spans="1:9" x14ac:dyDescent="0.3">
      <c r="A2510" t="str">
        <f t="shared" si="855"/>
        <v>United States</v>
      </c>
      <c r="B2510" t="str">
        <f t="shared" si="859"/>
        <v>Laredo</v>
      </c>
      <c r="C2510" t="str">
        <f t="shared" si="860"/>
        <v>Second Class</v>
      </c>
      <c r="D2510" t="str">
        <f t="shared" si="861"/>
        <v>Corporate</v>
      </c>
      <c r="E2510" t="s">
        <v>38</v>
      </c>
      <c r="F2510">
        <v>3</v>
      </c>
      <c r="G2510">
        <v>0.2</v>
      </c>
      <c r="H2510" s="2">
        <v>4.7066999999999997</v>
      </c>
      <c r="I2510" s="2">
        <v>12.984000000000002</v>
      </c>
    </row>
    <row r="2511" spans="1:9" x14ac:dyDescent="0.3">
      <c r="A2511" t="str">
        <f t="shared" si="855"/>
        <v>United States</v>
      </c>
      <c r="B2511" t="str">
        <f t="shared" si="859"/>
        <v>Laredo</v>
      </c>
      <c r="C2511" t="str">
        <f t="shared" si="860"/>
        <v>Second Class</v>
      </c>
      <c r="D2511" t="str">
        <f t="shared" si="861"/>
        <v>Corporate</v>
      </c>
      <c r="E2511" t="s">
        <v>24</v>
      </c>
      <c r="F2511">
        <v>5</v>
      </c>
      <c r="G2511">
        <v>0.4</v>
      </c>
      <c r="H2511" s="2">
        <v>47.806500000000007</v>
      </c>
      <c r="I2511" s="2">
        <v>546.36000000000013</v>
      </c>
    </row>
    <row r="2512" spans="1:9" x14ac:dyDescent="0.3">
      <c r="A2512" t="str">
        <f t="shared" si="855"/>
        <v>United States</v>
      </c>
      <c r="B2512" t="str">
        <f t="shared" si="859"/>
        <v>Laredo</v>
      </c>
      <c r="C2512" t="s">
        <v>22</v>
      </c>
      <c r="D2512" t="s">
        <v>8</v>
      </c>
      <c r="E2512" t="s">
        <v>23</v>
      </c>
      <c r="F2512">
        <v>6</v>
      </c>
      <c r="G2512">
        <v>0.4</v>
      </c>
      <c r="H2512" s="2">
        <v>33.746999999999986</v>
      </c>
      <c r="I2512" s="2">
        <v>223.17599999999999</v>
      </c>
    </row>
    <row r="2513" spans="1:9" x14ac:dyDescent="0.3">
      <c r="A2513" t="str">
        <f t="shared" si="855"/>
        <v>United States</v>
      </c>
      <c r="B2513" t="str">
        <f t="shared" si="859"/>
        <v>Laredo</v>
      </c>
      <c r="C2513" t="str">
        <f t="shared" ref="C2513:C2516" si="862">C2512</f>
        <v>Standard Class</v>
      </c>
      <c r="D2513" t="str">
        <f t="shared" ref="D2513:D2516" si="863">D2512</f>
        <v>Consumer</v>
      </c>
      <c r="E2513" t="s">
        <v>19</v>
      </c>
      <c r="F2513">
        <v>3</v>
      </c>
      <c r="G2513">
        <v>0.4</v>
      </c>
      <c r="H2513" s="2">
        <v>2.3584000000000001</v>
      </c>
      <c r="I2513" s="2">
        <v>25.216000000000001</v>
      </c>
    </row>
    <row r="2514" spans="1:9" x14ac:dyDescent="0.3">
      <c r="A2514" t="str">
        <f t="shared" si="855"/>
        <v>United States</v>
      </c>
      <c r="B2514" t="str">
        <f t="shared" si="859"/>
        <v>Laredo</v>
      </c>
      <c r="C2514" t="str">
        <f t="shared" si="862"/>
        <v>Standard Class</v>
      </c>
      <c r="D2514" t="str">
        <f t="shared" si="863"/>
        <v>Consumer</v>
      </c>
      <c r="E2514" t="s">
        <v>20</v>
      </c>
      <c r="F2514">
        <v>7</v>
      </c>
      <c r="G2514">
        <v>0.8</v>
      </c>
      <c r="H2514" s="2">
        <v>-11.000500000000008</v>
      </c>
      <c r="I2514" s="2">
        <v>6.2859999999999987</v>
      </c>
    </row>
    <row r="2515" spans="1:9" x14ac:dyDescent="0.3">
      <c r="A2515" t="str">
        <f t="shared" si="855"/>
        <v>United States</v>
      </c>
      <c r="B2515" t="str">
        <f t="shared" si="859"/>
        <v>Laredo</v>
      </c>
      <c r="C2515" t="str">
        <f t="shared" si="862"/>
        <v>Standard Class</v>
      </c>
      <c r="D2515" t="str">
        <f t="shared" si="863"/>
        <v>Consumer</v>
      </c>
      <c r="E2515" t="s">
        <v>21</v>
      </c>
      <c r="F2515">
        <v>5</v>
      </c>
      <c r="G2515">
        <v>0.6</v>
      </c>
      <c r="H2515" s="2">
        <v>-150.41399999999999</v>
      </c>
      <c r="I2515" s="2">
        <v>139.91999999999999</v>
      </c>
    </row>
    <row r="2516" spans="1:9" x14ac:dyDescent="0.3">
      <c r="A2516" t="str">
        <f t="shared" si="855"/>
        <v>United States</v>
      </c>
      <c r="B2516" t="str">
        <f t="shared" si="859"/>
        <v>Laredo</v>
      </c>
      <c r="C2516" t="str">
        <f t="shared" si="862"/>
        <v>Standard Class</v>
      </c>
      <c r="D2516" t="str">
        <f t="shared" si="863"/>
        <v>Consumer</v>
      </c>
      <c r="E2516" t="s">
        <v>16</v>
      </c>
      <c r="F2516">
        <v>2</v>
      </c>
      <c r="G2516">
        <v>0.2</v>
      </c>
      <c r="H2516" s="2">
        <v>3.0043999999999995</v>
      </c>
      <c r="I2516" s="2">
        <v>8.2880000000000003</v>
      </c>
    </row>
    <row r="2517" spans="1:9" x14ac:dyDescent="0.3">
      <c r="A2517" t="str">
        <f t="shared" si="855"/>
        <v>United States</v>
      </c>
      <c r="B2517" t="s">
        <v>274</v>
      </c>
      <c r="C2517" t="s">
        <v>7</v>
      </c>
      <c r="D2517" t="s">
        <v>8</v>
      </c>
      <c r="E2517" t="s">
        <v>16</v>
      </c>
      <c r="F2517">
        <v>4</v>
      </c>
      <c r="G2517">
        <v>0</v>
      </c>
      <c r="H2517" s="2">
        <v>23.086399999999998</v>
      </c>
      <c r="I2517" s="2">
        <v>49.12</v>
      </c>
    </row>
    <row r="2518" spans="1:9" x14ac:dyDescent="0.3">
      <c r="A2518" t="str">
        <f t="shared" si="855"/>
        <v>United States</v>
      </c>
      <c r="B2518" t="str">
        <f t="shared" ref="B2518:B2519" si="864">B2517</f>
        <v>Las Cruces</v>
      </c>
      <c r="C2518" t="s">
        <v>22</v>
      </c>
      <c r="D2518" t="s">
        <v>8</v>
      </c>
      <c r="E2518" t="s">
        <v>21</v>
      </c>
      <c r="F2518">
        <v>3</v>
      </c>
      <c r="G2518">
        <v>0</v>
      </c>
      <c r="H2518" s="2">
        <v>17.375399999999999</v>
      </c>
      <c r="I2518" s="2">
        <v>41.37</v>
      </c>
    </row>
    <row r="2519" spans="1:9" x14ac:dyDescent="0.3">
      <c r="A2519" t="str">
        <f t="shared" si="855"/>
        <v>United States</v>
      </c>
      <c r="B2519" t="str">
        <f t="shared" si="864"/>
        <v>Las Cruces</v>
      </c>
      <c r="C2519" t="str">
        <f>C2518</f>
        <v>Standard Class</v>
      </c>
      <c r="D2519" t="s">
        <v>17</v>
      </c>
      <c r="E2519" t="s">
        <v>19</v>
      </c>
      <c r="F2519">
        <v>2</v>
      </c>
      <c r="G2519">
        <v>0</v>
      </c>
      <c r="H2519" s="2">
        <v>3.4775999999999998</v>
      </c>
      <c r="I2519" s="2">
        <v>8.2799999999999994</v>
      </c>
    </row>
    <row r="2520" spans="1:9" x14ac:dyDescent="0.3">
      <c r="A2520" t="str">
        <f t="shared" si="855"/>
        <v>United States</v>
      </c>
      <c r="B2520" t="s">
        <v>275</v>
      </c>
      <c r="C2520" t="s">
        <v>7</v>
      </c>
      <c r="D2520" t="s">
        <v>8</v>
      </c>
      <c r="E2520" t="s">
        <v>21</v>
      </c>
      <c r="F2520">
        <v>4</v>
      </c>
      <c r="G2520">
        <v>0</v>
      </c>
      <c r="H2520" s="2">
        <v>29.145599999999995</v>
      </c>
      <c r="I2520" s="2">
        <v>80.959999999999994</v>
      </c>
    </row>
    <row r="2521" spans="1:9" x14ac:dyDescent="0.3">
      <c r="A2521" t="str">
        <f t="shared" si="855"/>
        <v>United States</v>
      </c>
      <c r="B2521" t="str">
        <f t="shared" ref="B2521:B2529" si="865">B2520</f>
        <v>Las Vegas</v>
      </c>
      <c r="C2521" t="str">
        <f t="shared" ref="C2521:C2522" si="866">C2520</f>
        <v>Second Class</v>
      </c>
      <c r="D2521" t="str">
        <f>D2520</f>
        <v>Consumer</v>
      </c>
      <c r="E2521" t="s">
        <v>16</v>
      </c>
      <c r="F2521">
        <v>4</v>
      </c>
      <c r="G2521">
        <v>0</v>
      </c>
      <c r="H2521" s="2">
        <v>12.441600000000001</v>
      </c>
      <c r="I2521" s="2">
        <v>25.92</v>
      </c>
    </row>
    <row r="2522" spans="1:9" x14ac:dyDescent="0.3">
      <c r="A2522" t="str">
        <f t="shared" si="855"/>
        <v>United States</v>
      </c>
      <c r="B2522" t="str">
        <f t="shared" si="865"/>
        <v>Las Vegas</v>
      </c>
      <c r="C2522" t="str">
        <f t="shared" si="866"/>
        <v>Second Class</v>
      </c>
      <c r="D2522" t="s">
        <v>15</v>
      </c>
      <c r="E2522" t="s">
        <v>16</v>
      </c>
      <c r="F2522">
        <v>7</v>
      </c>
      <c r="G2522">
        <v>0</v>
      </c>
      <c r="H2522" s="2">
        <v>64.816000000000003</v>
      </c>
      <c r="I2522" s="2">
        <v>130.28</v>
      </c>
    </row>
    <row r="2523" spans="1:9" x14ac:dyDescent="0.3">
      <c r="A2523" t="str">
        <f t="shared" si="855"/>
        <v>United States</v>
      </c>
      <c r="B2523" t="str">
        <f t="shared" si="865"/>
        <v>Las Vegas</v>
      </c>
      <c r="C2523" t="s">
        <v>22</v>
      </c>
      <c r="D2523" t="s">
        <v>8</v>
      </c>
      <c r="E2523" t="s">
        <v>12</v>
      </c>
      <c r="F2523">
        <v>5</v>
      </c>
      <c r="G2523">
        <v>0</v>
      </c>
      <c r="H2523" s="2">
        <v>18.820999999999994</v>
      </c>
      <c r="I2523" s="2">
        <v>64.900000000000006</v>
      </c>
    </row>
    <row r="2524" spans="1:9" x14ac:dyDescent="0.3">
      <c r="A2524" t="str">
        <f t="shared" si="855"/>
        <v>United States</v>
      </c>
      <c r="B2524" t="str">
        <f t="shared" si="865"/>
        <v>Las Vegas</v>
      </c>
      <c r="C2524" t="str">
        <f t="shared" ref="C2524:C2529" si="867">C2523</f>
        <v>Standard Class</v>
      </c>
      <c r="D2524" t="str">
        <f t="shared" ref="D2524:D2527" si="868">D2523</f>
        <v>Consumer</v>
      </c>
      <c r="E2524" t="s">
        <v>20</v>
      </c>
      <c r="F2524">
        <v>17</v>
      </c>
      <c r="G2524">
        <v>0.60000000000000009</v>
      </c>
      <c r="H2524" s="2">
        <v>42.645399999999988</v>
      </c>
      <c r="I2524" s="2">
        <v>119.92</v>
      </c>
    </row>
    <row r="2525" spans="1:9" x14ac:dyDescent="0.3">
      <c r="A2525" t="str">
        <f t="shared" si="855"/>
        <v>United States</v>
      </c>
      <c r="B2525" t="str">
        <f t="shared" si="865"/>
        <v>Las Vegas</v>
      </c>
      <c r="C2525" t="str">
        <f t="shared" si="867"/>
        <v>Standard Class</v>
      </c>
      <c r="D2525" t="str">
        <f t="shared" si="868"/>
        <v>Consumer</v>
      </c>
      <c r="E2525" t="s">
        <v>34</v>
      </c>
      <c r="F2525">
        <v>2</v>
      </c>
      <c r="G2525">
        <v>0</v>
      </c>
      <c r="H2525" s="2">
        <v>41.168399999999991</v>
      </c>
      <c r="I2525" s="2">
        <v>141.96</v>
      </c>
    </row>
    <row r="2526" spans="1:9" x14ac:dyDescent="0.3">
      <c r="A2526" t="str">
        <f t="shared" si="855"/>
        <v>United States</v>
      </c>
      <c r="B2526" t="str">
        <f t="shared" si="865"/>
        <v>Las Vegas</v>
      </c>
      <c r="C2526" t="str">
        <f t="shared" si="867"/>
        <v>Standard Class</v>
      </c>
      <c r="D2526" t="str">
        <f t="shared" si="868"/>
        <v>Consumer</v>
      </c>
      <c r="E2526" t="s">
        <v>16</v>
      </c>
      <c r="F2526">
        <v>6</v>
      </c>
      <c r="G2526">
        <v>0</v>
      </c>
      <c r="H2526" s="2">
        <v>19.238399999999999</v>
      </c>
      <c r="I2526" s="2">
        <v>40.08</v>
      </c>
    </row>
    <row r="2527" spans="1:9" x14ac:dyDescent="0.3">
      <c r="A2527" t="str">
        <f t="shared" si="855"/>
        <v>United States</v>
      </c>
      <c r="B2527" t="str">
        <f t="shared" si="865"/>
        <v>Las Vegas</v>
      </c>
      <c r="C2527" t="str">
        <f t="shared" si="867"/>
        <v>Standard Class</v>
      </c>
      <c r="D2527" t="str">
        <f t="shared" si="868"/>
        <v>Consumer</v>
      </c>
      <c r="E2527" t="s">
        <v>24</v>
      </c>
      <c r="F2527">
        <v>9</v>
      </c>
      <c r="G2527">
        <v>0.2</v>
      </c>
      <c r="H2527" s="2">
        <v>70.195499999999981</v>
      </c>
      <c r="I2527" s="2">
        <v>1123.1280000000002</v>
      </c>
    </row>
    <row r="2528" spans="1:9" x14ac:dyDescent="0.3">
      <c r="A2528" t="str">
        <f t="shared" si="855"/>
        <v>United States</v>
      </c>
      <c r="B2528" t="str">
        <f t="shared" si="865"/>
        <v>Las Vegas</v>
      </c>
      <c r="C2528" t="str">
        <f t="shared" si="867"/>
        <v>Standard Class</v>
      </c>
      <c r="D2528" t="s">
        <v>15</v>
      </c>
      <c r="E2528" t="s">
        <v>12</v>
      </c>
      <c r="F2528">
        <v>4</v>
      </c>
      <c r="G2528">
        <v>0</v>
      </c>
      <c r="H2528" s="2">
        <v>8.3916000000000004</v>
      </c>
      <c r="I2528" s="2">
        <v>31.08</v>
      </c>
    </row>
    <row r="2529" spans="1:9" x14ac:dyDescent="0.3">
      <c r="A2529" t="str">
        <f t="shared" si="855"/>
        <v>United States</v>
      </c>
      <c r="B2529" t="str">
        <f t="shared" si="865"/>
        <v>Las Vegas</v>
      </c>
      <c r="C2529" t="str">
        <f t="shared" si="867"/>
        <v>Standard Class</v>
      </c>
      <c r="D2529" t="s">
        <v>17</v>
      </c>
      <c r="E2529" t="s">
        <v>20</v>
      </c>
      <c r="F2529">
        <v>3</v>
      </c>
      <c r="G2529">
        <v>0.2</v>
      </c>
      <c r="H2529" s="2">
        <v>25.579799999999992</v>
      </c>
      <c r="I2529" s="2">
        <v>75.792000000000002</v>
      </c>
    </row>
    <row r="2530" spans="1:9" x14ac:dyDescent="0.3">
      <c r="A2530" t="str">
        <f t="shared" si="855"/>
        <v>United States</v>
      </c>
      <c r="B2530" t="s">
        <v>276</v>
      </c>
      <c r="C2530" t="s">
        <v>22</v>
      </c>
      <c r="D2530" t="s">
        <v>15</v>
      </c>
      <c r="E2530" t="s">
        <v>12</v>
      </c>
      <c r="F2530">
        <v>3</v>
      </c>
      <c r="G2530">
        <v>0</v>
      </c>
      <c r="H2530" s="2">
        <v>36.287699999999987</v>
      </c>
      <c r="I2530" s="2">
        <v>125.13</v>
      </c>
    </row>
    <row r="2531" spans="1:9" x14ac:dyDescent="0.3">
      <c r="A2531" t="str">
        <f t="shared" si="855"/>
        <v>United States</v>
      </c>
      <c r="B2531" t="str">
        <f>B2530</f>
        <v>Laurel</v>
      </c>
      <c r="C2531" t="str">
        <f>C2530</f>
        <v>Standard Class</v>
      </c>
      <c r="D2531" t="str">
        <f>D2530</f>
        <v>Corporate</v>
      </c>
      <c r="E2531" t="s">
        <v>21</v>
      </c>
      <c r="F2531">
        <v>2</v>
      </c>
      <c r="G2531">
        <v>0</v>
      </c>
      <c r="H2531" s="2">
        <v>9.8856000000000002</v>
      </c>
      <c r="I2531" s="2">
        <v>27.46</v>
      </c>
    </row>
    <row r="2532" spans="1:9" x14ac:dyDescent="0.3">
      <c r="A2532" t="str">
        <f t="shared" si="855"/>
        <v>United States</v>
      </c>
      <c r="B2532" t="s">
        <v>277</v>
      </c>
      <c r="C2532" t="s">
        <v>11</v>
      </c>
      <c r="D2532" t="s">
        <v>8</v>
      </c>
      <c r="E2532" t="s">
        <v>20</v>
      </c>
      <c r="F2532">
        <v>6</v>
      </c>
      <c r="G2532">
        <v>0</v>
      </c>
      <c r="H2532" s="2">
        <v>16.955999999999996</v>
      </c>
      <c r="I2532" s="2">
        <v>37.68</v>
      </c>
    </row>
    <row r="2533" spans="1:9" x14ac:dyDescent="0.3">
      <c r="A2533" t="str">
        <f t="shared" si="855"/>
        <v>United States</v>
      </c>
      <c r="B2533" t="str">
        <f t="shared" ref="B2533:B2564" si="869">B2532</f>
        <v>Lawrence</v>
      </c>
      <c r="C2533" t="str">
        <f>C2532</f>
        <v>First Class</v>
      </c>
      <c r="D2533" t="s">
        <v>15</v>
      </c>
      <c r="E2533" t="s">
        <v>19</v>
      </c>
      <c r="F2533">
        <v>2</v>
      </c>
      <c r="G2533">
        <v>0</v>
      </c>
      <c r="H2533" s="2">
        <v>3.7200000000000006</v>
      </c>
      <c r="I2533" s="2">
        <v>14.88</v>
      </c>
    </row>
    <row r="2534" spans="1:9" x14ac:dyDescent="0.3">
      <c r="A2534" t="str">
        <f t="shared" si="855"/>
        <v>United States</v>
      </c>
      <c r="B2534" t="str">
        <f t="shared" si="869"/>
        <v>Lawrence</v>
      </c>
      <c r="C2534" t="s">
        <v>27</v>
      </c>
      <c r="D2534" t="s">
        <v>15</v>
      </c>
      <c r="E2534" t="s">
        <v>24</v>
      </c>
      <c r="F2534">
        <v>5</v>
      </c>
      <c r="G2534">
        <v>0</v>
      </c>
      <c r="H2534" s="2">
        <v>241.10939999999999</v>
      </c>
      <c r="I2534" s="2">
        <v>829.82999999999993</v>
      </c>
    </row>
    <row r="2535" spans="1:9" x14ac:dyDescent="0.3">
      <c r="A2535" t="str">
        <f t="shared" si="855"/>
        <v>United States</v>
      </c>
      <c r="B2535" t="str">
        <f t="shared" si="869"/>
        <v>Lawrence</v>
      </c>
      <c r="C2535" t="str">
        <f>C2534</f>
        <v>Same Day</v>
      </c>
      <c r="D2535" t="s">
        <v>17</v>
      </c>
      <c r="E2535" t="s">
        <v>20</v>
      </c>
      <c r="F2535">
        <v>3</v>
      </c>
      <c r="G2535">
        <v>0</v>
      </c>
      <c r="H2535" s="2">
        <v>5.1551999999999998</v>
      </c>
      <c r="I2535" s="2">
        <v>10.74</v>
      </c>
    </row>
    <row r="2536" spans="1:9" x14ac:dyDescent="0.3">
      <c r="A2536" t="str">
        <f t="shared" si="855"/>
        <v>United States</v>
      </c>
      <c r="B2536" t="str">
        <f t="shared" si="869"/>
        <v>Lawrence</v>
      </c>
      <c r="C2536" t="s">
        <v>7</v>
      </c>
      <c r="D2536" t="s">
        <v>8</v>
      </c>
      <c r="E2536" t="s">
        <v>23</v>
      </c>
      <c r="F2536">
        <v>9</v>
      </c>
      <c r="G2536">
        <v>0</v>
      </c>
      <c r="H2536" s="2">
        <v>221.20920000000001</v>
      </c>
      <c r="I2536" s="2">
        <v>548.88</v>
      </c>
    </row>
    <row r="2537" spans="1:9" x14ac:dyDescent="0.3">
      <c r="A2537" t="str">
        <f t="shared" si="855"/>
        <v>United States</v>
      </c>
      <c r="B2537" t="str">
        <f t="shared" si="869"/>
        <v>Lawrence</v>
      </c>
      <c r="C2537" t="str">
        <f t="shared" ref="C2537:C2540" si="870">C2536</f>
        <v>Second Class</v>
      </c>
      <c r="D2537" t="str">
        <f t="shared" ref="D2537:D2540" si="871">D2536</f>
        <v>Consumer</v>
      </c>
      <c r="E2537" t="s">
        <v>12</v>
      </c>
      <c r="F2537">
        <v>7</v>
      </c>
      <c r="G2537">
        <v>0</v>
      </c>
      <c r="H2537" s="2">
        <v>38.171799999999983</v>
      </c>
      <c r="I2537" s="2">
        <v>133.67000000000002</v>
      </c>
    </row>
    <row r="2538" spans="1:9" x14ac:dyDescent="0.3">
      <c r="A2538" t="str">
        <f t="shared" si="855"/>
        <v>United States</v>
      </c>
      <c r="B2538" t="str">
        <f t="shared" si="869"/>
        <v>Lawrence</v>
      </c>
      <c r="C2538" t="str">
        <f t="shared" si="870"/>
        <v>Second Class</v>
      </c>
      <c r="D2538" t="str">
        <f t="shared" si="871"/>
        <v>Consumer</v>
      </c>
      <c r="E2538" t="s">
        <v>19</v>
      </c>
      <c r="F2538">
        <v>8</v>
      </c>
      <c r="G2538">
        <v>0</v>
      </c>
      <c r="H2538" s="2">
        <v>16.811999999999998</v>
      </c>
      <c r="I2538" s="2">
        <v>50.58</v>
      </c>
    </row>
    <row r="2539" spans="1:9" x14ac:dyDescent="0.3">
      <c r="A2539" t="str">
        <f t="shared" si="855"/>
        <v>United States</v>
      </c>
      <c r="B2539" t="str">
        <f t="shared" si="869"/>
        <v>Lawrence</v>
      </c>
      <c r="C2539" t="str">
        <f t="shared" si="870"/>
        <v>Second Class</v>
      </c>
      <c r="D2539" t="str">
        <f t="shared" si="871"/>
        <v>Consumer</v>
      </c>
      <c r="E2539" t="s">
        <v>20</v>
      </c>
      <c r="F2539">
        <v>7</v>
      </c>
      <c r="G2539">
        <v>0</v>
      </c>
      <c r="H2539" s="2">
        <v>210.49419999999998</v>
      </c>
      <c r="I2539" s="2">
        <v>447.85999999999996</v>
      </c>
    </row>
    <row r="2540" spans="1:9" x14ac:dyDescent="0.3">
      <c r="A2540" t="str">
        <f t="shared" si="855"/>
        <v>United States</v>
      </c>
      <c r="B2540" t="str">
        <f t="shared" si="869"/>
        <v>Lawrence</v>
      </c>
      <c r="C2540" t="str">
        <f t="shared" si="870"/>
        <v>Second Class</v>
      </c>
      <c r="D2540" t="str">
        <f t="shared" si="871"/>
        <v>Consumer</v>
      </c>
      <c r="E2540" t="s">
        <v>46</v>
      </c>
      <c r="F2540">
        <v>2</v>
      </c>
      <c r="G2540">
        <v>0</v>
      </c>
      <c r="H2540" s="2">
        <v>22.653000000000006</v>
      </c>
      <c r="I2540" s="2">
        <v>83.9</v>
      </c>
    </row>
    <row r="2541" spans="1:9" x14ac:dyDescent="0.3">
      <c r="A2541" t="str">
        <f t="shared" si="855"/>
        <v>United States</v>
      </c>
      <c r="B2541" t="str">
        <f t="shared" si="869"/>
        <v>Lawrence</v>
      </c>
      <c r="C2541" t="s">
        <v>22</v>
      </c>
      <c r="D2541" t="s">
        <v>8</v>
      </c>
      <c r="E2541" t="s">
        <v>12</v>
      </c>
      <c r="F2541">
        <v>9</v>
      </c>
      <c r="G2541">
        <v>0</v>
      </c>
      <c r="H2541" s="2">
        <v>166.06979999999999</v>
      </c>
      <c r="I2541" s="2">
        <v>638.73</v>
      </c>
    </row>
    <row r="2542" spans="1:9" x14ac:dyDescent="0.3">
      <c r="A2542" t="str">
        <f t="shared" si="855"/>
        <v>United States</v>
      </c>
      <c r="B2542" t="str">
        <f t="shared" si="869"/>
        <v>Lawrence</v>
      </c>
      <c r="C2542" t="str">
        <f t="shared" ref="C2542:C2564" si="872">C2541</f>
        <v>Standard Class</v>
      </c>
      <c r="D2542" t="str">
        <f t="shared" ref="D2542:D2548" si="873">D2541</f>
        <v>Consumer</v>
      </c>
      <c r="E2542" t="s">
        <v>19</v>
      </c>
      <c r="F2542">
        <v>3</v>
      </c>
      <c r="G2542">
        <v>0</v>
      </c>
      <c r="H2542" s="2">
        <v>2.5055999999999998</v>
      </c>
      <c r="I2542" s="2">
        <v>8.64</v>
      </c>
    </row>
    <row r="2543" spans="1:9" x14ac:dyDescent="0.3">
      <c r="A2543" t="str">
        <f t="shared" si="855"/>
        <v>United States</v>
      </c>
      <c r="B2543" t="str">
        <f t="shared" si="869"/>
        <v>Lawrence</v>
      </c>
      <c r="C2543" t="str">
        <f t="shared" si="872"/>
        <v>Standard Class</v>
      </c>
      <c r="D2543" t="str">
        <f t="shared" si="873"/>
        <v>Consumer</v>
      </c>
      <c r="E2543" t="s">
        <v>20</v>
      </c>
      <c r="F2543">
        <v>3</v>
      </c>
      <c r="G2543">
        <v>0</v>
      </c>
      <c r="H2543" s="2">
        <v>7.9085999999999999</v>
      </c>
      <c r="I2543" s="2">
        <v>16.14</v>
      </c>
    </row>
    <row r="2544" spans="1:9" x14ac:dyDescent="0.3">
      <c r="A2544" t="str">
        <f t="shared" si="855"/>
        <v>United States</v>
      </c>
      <c r="B2544" t="str">
        <f t="shared" si="869"/>
        <v>Lawrence</v>
      </c>
      <c r="C2544" t="str">
        <f t="shared" si="872"/>
        <v>Standard Class</v>
      </c>
      <c r="D2544" t="str">
        <f t="shared" si="873"/>
        <v>Consumer</v>
      </c>
      <c r="E2544" t="s">
        <v>33</v>
      </c>
      <c r="F2544">
        <v>4</v>
      </c>
      <c r="G2544">
        <v>0</v>
      </c>
      <c r="H2544" s="2">
        <v>244.24959999999999</v>
      </c>
      <c r="I2544" s="2">
        <v>872.32</v>
      </c>
    </row>
    <row r="2545" spans="1:9" x14ac:dyDescent="0.3">
      <c r="A2545" t="str">
        <f t="shared" si="855"/>
        <v>United States</v>
      </c>
      <c r="B2545" t="str">
        <f t="shared" si="869"/>
        <v>Lawrence</v>
      </c>
      <c r="C2545" t="str">
        <f t="shared" si="872"/>
        <v>Standard Class</v>
      </c>
      <c r="D2545" t="str">
        <f t="shared" si="873"/>
        <v>Consumer</v>
      </c>
      <c r="E2545" t="s">
        <v>18</v>
      </c>
      <c r="F2545">
        <v>5</v>
      </c>
      <c r="G2545">
        <v>0</v>
      </c>
      <c r="H2545" s="2">
        <v>10.434000000000001</v>
      </c>
      <c r="I2545" s="2">
        <v>22.200000000000003</v>
      </c>
    </row>
    <row r="2546" spans="1:9" x14ac:dyDescent="0.3">
      <c r="A2546" t="str">
        <f t="shared" si="855"/>
        <v>United States</v>
      </c>
      <c r="B2546" t="str">
        <f t="shared" si="869"/>
        <v>Lawrence</v>
      </c>
      <c r="C2546" t="str">
        <f t="shared" si="872"/>
        <v>Standard Class</v>
      </c>
      <c r="D2546" t="str">
        <f t="shared" si="873"/>
        <v>Consumer</v>
      </c>
      <c r="E2546" t="s">
        <v>43</v>
      </c>
      <c r="F2546">
        <v>5</v>
      </c>
      <c r="G2546">
        <v>0</v>
      </c>
      <c r="H2546" s="2">
        <v>57.909500000000001</v>
      </c>
      <c r="I2546" s="2">
        <v>125.81</v>
      </c>
    </row>
    <row r="2547" spans="1:9" x14ac:dyDescent="0.3">
      <c r="A2547" t="str">
        <f t="shared" si="855"/>
        <v>United States</v>
      </c>
      <c r="B2547" t="str">
        <f t="shared" si="869"/>
        <v>Lawrence</v>
      </c>
      <c r="C2547" t="str">
        <f t="shared" si="872"/>
        <v>Standard Class</v>
      </c>
      <c r="D2547" t="str">
        <f t="shared" si="873"/>
        <v>Consumer</v>
      </c>
      <c r="E2547" t="s">
        <v>16</v>
      </c>
      <c r="F2547">
        <v>9</v>
      </c>
      <c r="G2547">
        <v>0</v>
      </c>
      <c r="H2547" s="2">
        <v>25.477200000000003</v>
      </c>
      <c r="I2547" s="2">
        <v>55.320000000000007</v>
      </c>
    </row>
    <row r="2548" spans="1:9" x14ac:dyDescent="0.3">
      <c r="A2548" t="str">
        <f t="shared" si="855"/>
        <v>United States</v>
      </c>
      <c r="B2548" t="str">
        <f t="shared" si="869"/>
        <v>Lawrence</v>
      </c>
      <c r="C2548" t="str">
        <f t="shared" si="872"/>
        <v>Standard Class</v>
      </c>
      <c r="D2548" t="str">
        <f t="shared" si="873"/>
        <v>Consumer</v>
      </c>
      <c r="E2548" t="s">
        <v>25</v>
      </c>
      <c r="F2548">
        <v>2</v>
      </c>
      <c r="G2548">
        <v>0.3</v>
      </c>
      <c r="H2548" s="2">
        <v>-38.849999999999994</v>
      </c>
      <c r="I2548" s="2">
        <v>194.25</v>
      </c>
    </row>
    <row r="2549" spans="1:9" x14ac:dyDescent="0.3">
      <c r="A2549" t="str">
        <f t="shared" si="855"/>
        <v>United States</v>
      </c>
      <c r="B2549" t="str">
        <f t="shared" si="869"/>
        <v>Lawrence</v>
      </c>
      <c r="C2549" t="str">
        <f t="shared" si="872"/>
        <v>Standard Class</v>
      </c>
      <c r="D2549" t="s">
        <v>15</v>
      </c>
      <c r="E2549" t="s">
        <v>19</v>
      </c>
      <c r="F2549">
        <v>2</v>
      </c>
      <c r="G2549">
        <v>0</v>
      </c>
      <c r="H2549" s="2">
        <v>2.0039999999999996</v>
      </c>
      <c r="I2549" s="2">
        <v>6.68</v>
      </c>
    </row>
    <row r="2550" spans="1:9" x14ac:dyDescent="0.3">
      <c r="A2550" t="str">
        <f t="shared" si="855"/>
        <v>United States</v>
      </c>
      <c r="B2550" t="str">
        <f t="shared" si="869"/>
        <v>Lawrence</v>
      </c>
      <c r="C2550" t="str">
        <f t="shared" si="872"/>
        <v>Standard Class</v>
      </c>
      <c r="D2550" t="str">
        <f t="shared" ref="D2550:D2554" si="874">D2549</f>
        <v>Corporate</v>
      </c>
      <c r="E2550" t="s">
        <v>20</v>
      </c>
      <c r="F2550">
        <v>1</v>
      </c>
      <c r="G2550">
        <v>0</v>
      </c>
      <c r="H2550" s="2">
        <v>182.3553</v>
      </c>
      <c r="I2550" s="2">
        <v>387.99</v>
      </c>
    </row>
    <row r="2551" spans="1:9" x14ac:dyDescent="0.3">
      <c r="A2551" t="str">
        <f t="shared" si="855"/>
        <v>United States</v>
      </c>
      <c r="B2551" t="str">
        <f t="shared" si="869"/>
        <v>Lawrence</v>
      </c>
      <c r="C2551" t="str">
        <f t="shared" si="872"/>
        <v>Standard Class</v>
      </c>
      <c r="D2551" t="str">
        <f t="shared" si="874"/>
        <v>Corporate</v>
      </c>
      <c r="E2551" t="s">
        <v>21</v>
      </c>
      <c r="F2551">
        <v>15</v>
      </c>
      <c r="G2551">
        <v>0</v>
      </c>
      <c r="H2551" s="2">
        <v>42.134600000000006</v>
      </c>
      <c r="I2551" s="2">
        <v>121.74000000000001</v>
      </c>
    </row>
    <row r="2552" spans="1:9" x14ac:dyDescent="0.3">
      <c r="A2552" t="str">
        <f t="shared" si="855"/>
        <v>United States</v>
      </c>
      <c r="B2552" t="str">
        <f t="shared" si="869"/>
        <v>Lawrence</v>
      </c>
      <c r="C2552" t="str">
        <f t="shared" si="872"/>
        <v>Standard Class</v>
      </c>
      <c r="D2552" t="str">
        <f t="shared" si="874"/>
        <v>Corporate</v>
      </c>
      <c r="E2552" t="s">
        <v>16</v>
      </c>
      <c r="F2552">
        <v>1</v>
      </c>
      <c r="G2552">
        <v>0</v>
      </c>
      <c r="H2552" s="2">
        <v>3.1104000000000003</v>
      </c>
      <c r="I2552" s="2">
        <v>6.48</v>
      </c>
    </row>
    <row r="2553" spans="1:9" x14ac:dyDescent="0.3">
      <c r="A2553" t="str">
        <f t="shared" si="855"/>
        <v>United States</v>
      </c>
      <c r="B2553" t="str">
        <f t="shared" si="869"/>
        <v>Lawrence</v>
      </c>
      <c r="C2553" t="str">
        <f t="shared" si="872"/>
        <v>Standard Class</v>
      </c>
      <c r="D2553" t="str">
        <f t="shared" si="874"/>
        <v>Corporate</v>
      </c>
      <c r="E2553" t="s">
        <v>24</v>
      </c>
      <c r="F2553">
        <v>10</v>
      </c>
      <c r="G2553">
        <v>0</v>
      </c>
      <c r="H2553" s="2">
        <v>58.66</v>
      </c>
      <c r="I2553" s="2">
        <v>209.5</v>
      </c>
    </row>
    <row r="2554" spans="1:9" x14ac:dyDescent="0.3">
      <c r="A2554" t="str">
        <f t="shared" si="855"/>
        <v>United States</v>
      </c>
      <c r="B2554" t="str">
        <f t="shared" si="869"/>
        <v>Lawrence</v>
      </c>
      <c r="C2554" t="str">
        <f t="shared" si="872"/>
        <v>Standard Class</v>
      </c>
      <c r="D2554" t="str">
        <f t="shared" si="874"/>
        <v>Corporate</v>
      </c>
      <c r="E2554" t="s">
        <v>14</v>
      </c>
      <c r="F2554">
        <v>6</v>
      </c>
      <c r="G2554">
        <v>0</v>
      </c>
      <c r="H2554" s="2">
        <v>20.992200000000004</v>
      </c>
      <c r="I2554" s="2">
        <v>78.960000000000008</v>
      </c>
    </row>
    <row r="2555" spans="1:9" x14ac:dyDescent="0.3">
      <c r="A2555" t="str">
        <f t="shared" si="855"/>
        <v>United States</v>
      </c>
      <c r="B2555" t="str">
        <f t="shared" si="869"/>
        <v>Lawrence</v>
      </c>
      <c r="C2555" t="str">
        <f t="shared" si="872"/>
        <v>Standard Class</v>
      </c>
      <c r="D2555" t="s">
        <v>17</v>
      </c>
      <c r="E2555" t="s">
        <v>12</v>
      </c>
      <c r="F2555">
        <v>6</v>
      </c>
      <c r="G2555">
        <v>0</v>
      </c>
      <c r="H2555" s="2">
        <v>68.846399999999988</v>
      </c>
      <c r="I2555" s="2">
        <v>245.88</v>
      </c>
    </row>
    <row r="2556" spans="1:9" x14ac:dyDescent="0.3">
      <c r="A2556" t="str">
        <f t="shared" si="855"/>
        <v>United States</v>
      </c>
      <c r="B2556" t="str">
        <f t="shared" si="869"/>
        <v>Lawrence</v>
      </c>
      <c r="C2556" t="str">
        <f t="shared" si="872"/>
        <v>Standard Class</v>
      </c>
      <c r="D2556" t="str">
        <f t="shared" ref="D2556:D2564" si="875">D2555</f>
        <v>Home Office</v>
      </c>
      <c r="E2556" t="s">
        <v>19</v>
      </c>
      <c r="F2556">
        <v>2</v>
      </c>
      <c r="G2556">
        <v>0</v>
      </c>
      <c r="H2556" s="2">
        <v>16.268800000000002</v>
      </c>
      <c r="I2556" s="2">
        <v>39.68</v>
      </c>
    </row>
    <row r="2557" spans="1:9" x14ac:dyDescent="0.3">
      <c r="A2557" t="str">
        <f t="shared" si="855"/>
        <v>United States</v>
      </c>
      <c r="B2557" t="str">
        <f t="shared" si="869"/>
        <v>Lawrence</v>
      </c>
      <c r="C2557" t="str">
        <f t="shared" si="872"/>
        <v>Standard Class</v>
      </c>
      <c r="D2557" t="str">
        <f t="shared" si="875"/>
        <v>Home Office</v>
      </c>
      <c r="E2557" t="s">
        <v>20</v>
      </c>
      <c r="F2557">
        <v>12</v>
      </c>
      <c r="G2557">
        <v>0</v>
      </c>
      <c r="H2557" s="2">
        <v>269.80340000000001</v>
      </c>
      <c r="I2557" s="2">
        <v>552.76</v>
      </c>
    </row>
    <row r="2558" spans="1:9" x14ac:dyDescent="0.3">
      <c r="A2558" t="str">
        <f t="shared" si="855"/>
        <v>United States</v>
      </c>
      <c r="B2558" t="str">
        <f t="shared" si="869"/>
        <v>Lawrence</v>
      </c>
      <c r="C2558" t="str">
        <f t="shared" si="872"/>
        <v>Standard Class</v>
      </c>
      <c r="D2558" t="str">
        <f t="shared" si="875"/>
        <v>Home Office</v>
      </c>
      <c r="E2558" t="s">
        <v>45</v>
      </c>
      <c r="F2558">
        <v>2</v>
      </c>
      <c r="G2558">
        <v>0</v>
      </c>
      <c r="H2558" s="2">
        <v>467.99220000000003</v>
      </c>
      <c r="I2558" s="2">
        <v>1199.98</v>
      </c>
    </row>
    <row r="2559" spans="1:9" x14ac:dyDescent="0.3">
      <c r="A2559" t="str">
        <f t="shared" si="855"/>
        <v>United States</v>
      </c>
      <c r="B2559" t="str">
        <f t="shared" si="869"/>
        <v>Lawrence</v>
      </c>
      <c r="C2559" t="str">
        <f t="shared" si="872"/>
        <v>Standard Class</v>
      </c>
      <c r="D2559" t="str">
        <f t="shared" si="875"/>
        <v>Home Office</v>
      </c>
      <c r="E2559" t="s">
        <v>18</v>
      </c>
      <c r="F2559">
        <v>6</v>
      </c>
      <c r="G2559">
        <v>0</v>
      </c>
      <c r="H2559" s="2">
        <v>8.121599999999999</v>
      </c>
      <c r="I2559" s="2">
        <v>17.28</v>
      </c>
    </row>
    <row r="2560" spans="1:9" x14ac:dyDescent="0.3">
      <c r="A2560" t="str">
        <f t="shared" si="855"/>
        <v>United States</v>
      </c>
      <c r="B2560" t="str">
        <f t="shared" si="869"/>
        <v>Lawrence</v>
      </c>
      <c r="C2560" t="str">
        <f t="shared" si="872"/>
        <v>Standard Class</v>
      </c>
      <c r="D2560" t="str">
        <f t="shared" si="875"/>
        <v>Home Office</v>
      </c>
      <c r="E2560" t="s">
        <v>43</v>
      </c>
      <c r="F2560">
        <v>5</v>
      </c>
      <c r="G2560">
        <v>0</v>
      </c>
      <c r="H2560" s="2">
        <v>24.84</v>
      </c>
      <c r="I2560" s="2">
        <v>51.75</v>
      </c>
    </row>
    <row r="2561" spans="1:9" x14ac:dyDescent="0.3">
      <c r="A2561" t="str">
        <f t="shared" si="855"/>
        <v>United States</v>
      </c>
      <c r="B2561" t="str">
        <f t="shared" si="869"/>
        <v>Lawrence</v>
      </c>
      <c r="C2561" t="str">
        <f t="shared" si="872"/>
        <v>Standard Class</v>
      </c>
      <c r="D2561" t="str">
        <f t="shared" si="875"/>
        <v>Home Office</v>
      </c>
      <c r="E2561" t="s">
        <v>16</v>
      </c>
      <c r="F2561">
        <v>3</v>
      </c>
      <c r="G2561">
        <v>0</v>
      </c>
      <c r="H2561" s="2">
        <v>8.7906000000000013</v>
      </c>
      <c r="I2561" s="2">
        <v>17.940000000000001</v>
      </c>
    </row>
    <row r="2562" spans="1:9" x14ac:dyDescent="0.3">
      <c r="A2562" t="str">
        <f t="shared" si="855"/>
        <v>United States</v>
      </c>
      <c r="B2562" t="str">
        <f t="shared" si="869"/>
        <v>Lawrence</v>
      </c>
      <c r="C2562" t="str">
        <f t="shared" si="872"/>
        <v>Standard Class</v>
      </c>
      <c r="D2562" t="str">
        <f t="shared" si="875"/>
        <v>Home Office</v>
      </c>
      <c r="E2562" t="s">
        <v>14</v>
      </c>
      <c r="F2562">
        <v>1</v>
      </c>
      <c r="G2562">
        <v>0</v>
      </c>
      <c r="H2562" s="2">
        <v>2.2155000000000058</v>
      </c>
      <c r="I2562" s="2">
        <v>73.849999999999994</v>
      </c>
    </row>
    <row r="2563" spans="1:9" x14ac:dyDescent="0.3">
      <c r="A2563" t="str">
        <f t="shared" si="855"/>
        <v>United States</v>
      </c>
      <c r="B2563" t="str">
        <f t="shared" si="869"/>
        <v>Lawrence</v>
      </c>
      <c r="C2563" t="str">
        <f t="shared" si="872"/>
        <v>Standard Class</v>
      </c>
      <c r="D2563" t="str">
        <f t="shared" si="875"/>
        <v>Home Office</v>
      </c>
      <c r="E2563" t="s">
        <v>9</v>
      </c>
      <c r="F2563">
        <v>3</v>
      </c>
      <c r="G2563">
        <v>0</v>
      </c>
      <c r="H2563" s="2">
        <v>6.6846000000000005</v>
      </c>
      <c r="I2563" s="2">
        <v>25.71</v>
      </c>
    </row>
    <row r="2564" spans="1:9" x14ac:dyDescent="0.3">
      <c r="A2564" t="str">
        <f t="shared" ref="A2564:A2627" si="876">A2563</f>
        <v>United States</v>
      </c>
      <c r="B2564" t="str">
        <f t="shared" si="869"/>
        <v>Lawrence</v>
      </c>
      <c r="C2564" t="str">
        <f t="shared" si="872"/>
        <v>Standard Class</v>
      </c>
      <c r="D2564" t="str">
        <f t="shared" si="875"/>
        <v>Home Office</v>
      </c>
      <c r="E2564" t="s">
        <v>25</v>
      </c>
      <c r="F2564">
        <v>2</v>
      </c>
      <c r="G2564">
        <v>0.3</v>
      </c>
      <c r="H2564" s="2">
        <v>-52.658199999999965</v>
      </c>
      <c r="I2564" s="2">
        <v>526.58199999999999</v>
      </c>
    </row>
    <row r="2565" spans="1:9" x14ac:dyDescent="0.3">
      <c r="A2565" t="str">
        <f t="shared" si="876"/>
        <v>United States</v>
      </c>
      <c r="B2565" t="s">
        <v>278</v>
      </c>
      <c r="C2565" t="s">
        <v>27</v>
      </c>
      <c r="D2565" t="s">
        <v>8</v>
      </c>
      <c r="E2565" t="s">
        <v>14</v>
      </c>
      <c r="F2565">
        <v>3</v>
      </c>
      <c r="G2565">
        <v>0</v>
      </c>
      <c r="H2565" s="2">
        <v>23.316299999999984</v>
      </c>
      <c r="I2565" s="2">
        <v>333.09000000000003</v>
      </c>
    </row>
    <row r="2566" spans="1:9" x14ac:dyDescent="0.3">
      <c r="A2566" t="str">
        <f t="shared" si="876"/>
        <v>United States</v>
      </c>
      <c r="B2566" t="str">
        <f t="shared" ref="B2566:B2568" si="877">B2565</f>
        <v>Lawton</v>
      </c>
      <c r="C2566" t="str">
        <f>C2565</f>
        <v>Same Day</v>
      </c>
      <c r="D2566" t="str">
        <f>D2565</f>
        <v>Consumer</v>
      </c>
      <c r="E2566" t="s">
        <v>25</v>
      </c>
      <c r="F2566">
        <v>2</v>
      </c>
      <c r="G2566">
        <v>0</v>
      </c>
      <c r="H2566" s="2">
        <v>54.775599999999997</v>
      </c>
      <c r="I2566" s="2">
        <v>248.98</v>
      </c>
    </row>
    <row r="2567" spans="1:9" x14ac:dyDescent="0.3">
      <c r="A2567" t="str">
        <f t="shared" si="876"/>
        <v>United States</v>
      </c>
      <c r="B2567" t="str">
        <f t="shared" si="877"/>
        <v>Lawton</v>
      </c>
      <c r="C2567" t="s">
        <v>22</v>
      </c>
      <c r="D2567" t="s">
        <v>8</v>
      </c>
      <c r="E2567" t="s">
        <v>12</v>
      </c>
      <c r="F2567">
        <v>6</v>
      </c>
      <c r="G2567">
        <v>0</v>
      </c>
      <c r="H2567" s="2">
        <v>155.72699999999998</v>
      </c>
      <c r="I2567" s="2">
        <v>471.90000000000003</v>
      </c>
    </row>
    <row r="2568" spans="1:9" x14ac:dyDescent="0.3">
      <c r="A2568" t="str">
        <f t="shared" si="876"/>
        <v>United States</v>
      </c>
      <c r="B2568" t="str">
        <f t="shared" si="877"/>
        <v>Lawton</v>
      </c>
      <c r="C2568" t="str">
        <f>C2567</f>
        <v>Standard Class</v>
      </c>
      <c r="D2568" t="str">
        <f>D2567</f>
        <v>Consumer</v>
      </c>
      <c r="E2568" t="s">
        <v>19</v>
      </c>
      <c r="F2568">
        <v>2</v>
      </c>
      <c r="G2568">
        <v>0</v>
      </c>
      <c r="H2568" s="2">
        <v>1.6896</v>
      </c>
      <c r="I2568" s="2">
        <v>3.52</v>
      </c>
    </row>
    <row r="2569" spans="1:9" x14ac:dyDescent="0.3">
      <c r="A2569" t="str">
        <f t="shared" si="876"/>
        <v>United States</v>
      </c>
      <c r="B2569" t="s">
        <v>279</v>
      </c>
      <c r="C2569" t="s">
        <v>7</v>
      </c>
      <c r="D2569" t="s">
        <v>8</v>
      </c>
      <c r="E2569" t="s">
        <v>18</v>
      </c>
      <c r="F2569">
        <v>4</v>
      </c>
      <c r="G2569">
        <v>0</v>
      </c>
      <c r="H2569" s="2">
        <v>2.3311999999999999</v>
      </c>
      <c r="I2569" s="2">
        <v>4.96</v>
      </c>
    </row>
    <row r="2570" spans="1:9" x14ac:dyDescent="0.3">
      <c r="A2570" t="str">
        <f t="shared" si="876"/>
        <v>United States</v>
      </c>
      <c r="B2570" t="s">
        <v>280</v>
      </c>
      <c r="C2570" t="s">
        <v>7</v>
      </c>
      <c r="D2570" t="s">
        <v>8</v>
      </c>
      <c r="E2570" t="s">
        <v>19</v>
      </c>
      <c r="F2570">
        <v>7</v>
      </c>
      <c r="G2570">
        <v>0.2</v>
      </c>
      <c r="H2570" s="2">
        <v>5.8750999999999962</v>
      </c>
      <c r="I2570" s="2">
        <v>67.144000000000005</v>
      </c>
    </row>
    <row r="2571" spans="1:9" x14ac:dyDescent="0.3">
      <c r="A2571" t="str">
        <f t="shared" si="876"/>
        <v>United States</v>
      </c>
      <c r="B2571" t="str">
        <f t="shared" ref="B2571:B2575" si="878">B2570</f>
        <v>League City</v>
      </c>
      <c r="C2571" t="str">
        <f>C2570</f>
        <v>Second Class</v>
      </c>
      <c r="D2571" t="str">
        <f>D2570</f>
        <v>Consumer</v>
      </c>
      <c r="E2571" t="s">
        <v>33</v>
      </c>
      <c r="F2571">
        <v>3</v>
      </c>
      <c r="G2571">
        <v>0.3</v>
      </c>
      <c r="H2571" s="2">
        <v>-32.664599999999993</v>
      </c>
      <c r="I2571" s="2">
        <v>254.05799999999999</v>
      </c>
    </row>
    <row r="2572" spans="1:9" x14ac:dyDescent="0.3">
      <c r="A2572" t="str">
        <f t="shared" si="876"/>
        <v>United States</v>
      </c>
      <c r="B2572" t="str">
        <f t="shared" si="878"/>
        <v>League City</v>
      </c>
      <c r="C2572" t="s">
        <v>22</v>
      </c>
      <c r="D2572" t="s">
        <v>17</v>
      </c>
      <c r="E2572" t="s">
        <v>19</v>
      </c>
      <c r="F2572">
        <v>7</v>
      </c>
      <c r="G2572">
        <v>0.2</v>
      </c>
      <c r="H2572" s="2">
        <v>3.9003999999999985</v>
      </c>
      <c r="I2572" s="2">
        <v>22.288</v>
      </c>
    </row>
    <row r="2573" spans="1:9" x14ac:dyDescent="0.3">
      <c r="A2573" t="str">
        <f t="shared" si="876"/>
        <v>United States</v>
      </c>
      <c r="B2573" t="str">
        <f t="shared" si="878"/>
        <v>League City</v>
      </c>
      <c r="C2573" t="str">
        <f t="shared" ref="C2573:C2575" si="879">C2572</f>
        <v>Standard Class</v>
      </c>
      <c r="D2573" t="str">
        <f t="shared" ref="D2573:D2575" si="880">D2572</f>
        <v>Home Office</v>
      </c>
      <c r="E2573" t="s">
        <v>33</v>
      </c>
      <c r="F2573">
        <v>3</v>
      </c>
      <c r="G2573">
        <v>0.3</v>
      </c>
      <c r="H2573" s="2">
        <v>-14.638799999999947</v>
      </c>
      <c r="I2573" s="2">
        <v>512.35799999999995</v>
      </c>
    </row>
    <row r="2574" spans="1:9" x14ac:dyDescent="0.3">
      <c r="A2574" t="str">
        <f t="shared" si="876"/>
        <v>United States</v>
      </c>
      <c r="B2574" t="str">
        <f t="shared" si="878"/>
        <v>League City</v>
      </c>
      <c r="C2574" t="str">
        <f t="shared" si="879"/>
        <v>Standard Class</v>
      </c>
      <c r="D2574" t="str">
        <f t="shared" si="880"/>
        <v>Home Office</v>
      </c>
      <c r="E2574" t="s">
        <v>18</v>
      </c>
      <c r="F2574">
        <v>2</v>
      </c>
      <c r="G2574">
        <v>0.2</v>
      </c>
      <c r="H2574" s="2">
        <v>0.56679999999999997</v>
      </c>
      <c r="I2574" s="2">
        <v>3.4880000000000004</v>
      </c>
    </row>
    <row r="2575" spans="1:9" x14ac:dyDescent="0.3">
      <c r="A2575" t="str">
        <f t="shared" si="876"/>
        <v>United States</v>
      </c>
      <c r="B2575" t="str">
        <f t="shared" si="878"/>
        <v>League City</v>
      </c>
      <c r="C2575" t="str">
        <f t="shared" si="879"/>
        <v>Standard Class</v>
      </c>
      <c r="D2575" t="str">
        <f t="shared" si="880"/>
        <v>Home Office</v>
      </c>
      <c r="E2575" t="s">
        <v>16</v>
      </c>
      <c r="F2575">
        <v>3</v>
      </c>
      <c r="G2575">
        <v>0.2</v>
      </c>
      <c r="H2575" s="2">
        <v>5.6111999999999993</v>
      </c>
      <c r="I2575" s="2">
        <v>16.032</v>
      </c>
    </row>
    <row r="2576" spans="1:9" x14ac:dyDescent="0.3">
      <c r="A2576" t="str">
        <f t="shared" si="876"/>
        <v>United States</v>
      </c>
      <c r="B2576" t="s">
        <v>281</v>
      </c>
      <c r="C2576" t="s">
        <v>22</v>
      </c>
      <c r="D2576" t="s">
        <v>8</v>
      </c>
      <c r="E2576" t="s">
        <v>16</v>
      </c>
      <c r="F2576">
        <v>5</v>
      </c>
      <c r="G2576">
        <v>0.2</v>
      </c>
      <c r="H2576" s="2">
        <v>59.435499999999998</v>
      </c>
      <c r="I2576" s="2">
        <v>163.96</v>
      </c>
    </row>
    <row r="2577" spans="1:9" x14ac:dyDescent="0.3">
      <c r="A2577" t="str">
        <f t="shared" si="876"/>
        <v>United States</v>
      </c>
      <c r="B2577" t="str">
        <f t="shared" ref="B2577:B2578" si="881">B2576</f>
        <v>Lebanon</v>
      </c>
      <c r="C2577" t="str">
        <f t="shared" ref="C2577:C2578" si="882">C2576</f>
        <v>Standard Class</v>
      </c>
      <c r="D2577" t="str">
        <f>D2576</f>
        <v>Consumer</v>
      </c>
      <c r="E2577" t="s">
        <v>14</v>
      </c>
      <c r="F2577">
        <v>6</v>
      </c>
      <c r="G2577">
        <v>0.2</v>
      </c>
      <c r="H2577" s="2">
        <v>6.3719999999999999</v>
      </c>
      <c r="I2577" s="2">
        <v>84.960000000000008</v>
      </c>
    </row>
    <row r="2578" spans="1:9" x14ac:dyDescent="0.3">
      <c r="A2578" t="str">
        <f t="shared" si="876"/>
        <v>United States</v>
      </c>
      <c r="B2578" t="str">
        <f t="shared" si="881"/>
        <v>Lebanon</v>
      </c>
      <c r="C2578" t="str">
        <f t="shared" si="882"/>
        <v>Standard Class</v>
      </c>
      <c r="D2578" t="s">
        <v>17</v>
      </c>
      <c r="E2578" t="s">
        <v>24</v>
      </c>
      <c r="F2578">
        <v>3</v>
      </c>
      <c r="G2578">
        <v>0.2</v>
      </c>
      <c r="H2578" s="2">
        <v>17.998199999999997</v>
      </c>
      <c r="I2578" s="2">
        <v>239.976</v>
      </c>
    </row>
    <row r="2579" spans="1:9" x14ac:dyDescent="0.3">
      <c r="A2579" t="str">
        <f t="shared" si="876"/>
        <v>United States</v>
      </c>
      <c r="B2579" t="s">
        <v>282</v>
      </c>
      <c r="C2579" t="s">
        <v>11</v>
      </c>
      <c r="D2579" t="s">
        <v>17</v>
      </c>
      <c r="E2579" t="s">
        <v>45</v>
      </c>
      <c r="F2579">
        <v>5</v>
      </c>
      <c r="G2579">
        <v>0</v>
      </c>
      <c r="H2579" s="2">
        <v>449.9849999999999</v>
      </c>
      <c r="I2579" s="2">
        <v>1499.95</v>
      </c>
    </row>
    <row r="2580" spans="1:9" x14ac:dyDescent="0.3">
      <c r="A2580" t="str">
        <f t="shared" si="876"/>
        <v>United States</v>
      </c>
      <c r="B2580" t="str">
        <f>B2579</f>
        <v>Lehi</v>
      </c>
      <c r="C2580" t="s">
        <v>22</v>
      </c>
      <c r="D2580" t="s">
        <v>15</v>
      </c>
      <c r="E2580" t="s">
        <v>24</v>
      </c>
      <c r="F2580">
        <v>3</v>
      </c>
      <c r="G2580">
        <v>0.2</v>
      </c>
      <c r="H2580" s="2">
        <v>1.6776</v>
      </c>
      <c r="I2580" s="2">
        <v>16.776000000000003</v>
      </c>
    </row>
    <row r="2581" spans="1:9" x14ac:dyDescent="0.3">
      <c r="A2581" t="str">
        <f t="shared" si="876"/>
        <v>United States</v>
      </c>
      <c r="B2581" t="s">
        <v>283</v>
      </c>
      <c r="C2581" t="s">
        <v>22</v>
      </c>
      <c r="D2581" t="s">
        <v>8</v>
      </c>
      <c r="E2581" t="s">
        <v>43</v>
      </c>
      <c r="F2581">
        <v>1</v>
      </c>
      <c r="G2581">
        <v>0</v>
      </c>
      <c r="H2581" s="2">
        <v>1.512</v>
      </c>
      <c r="I2581" s="2">
        <v>3.15</v>
      </c>
    </row>
    <row r="2582" spans="1:9" x14ac:dyDescent="0.3">
      <c r="A2582" t="str">
        <f t="shared" si="876"/>
        <v>United States</v>
      </c>
      <c r="B2582" t="str">
        <f t="shared" ref="B2582:B2585" si="883">B2581</f>
        <v>Leominster</v>
      </c>
      <c r="C2582" t="str">
        <f t="shared" ref="C2582:C2585" si="884">C2581</f>
        <v>Standard Class</v>
      </c>
      <c r="D2582" t="str">
        <f>D2581</f>
        <v>Consumer</v>
      </c>
      <c r="E2582" t="s">
        <v>16</v>
      </c>
      <c r="F2582">
        <v>4</v>
      </c>
      <c r="G2582">
        <v>0</v>
      </c>
      <c r="H2582" s="2">
        <v>10.223999999999998</v>
      </c>
      <c r="I2582" s="2">
        <v>22.72</v>
      </c>
    </row>
    <row r="2583" spans="1:9" x14ac:dyDescent="0.3">
      <c r="A2583" t="str">
        <f t="shared" si="876"/>
        <v>United States</v>
      </c>
      <c r="B2583" t="str">
        <f t="shared" si="883"/>
        <v>Leominster</v>
      </c>
      <c r="C2583" t="str">
        <f t="shared" si="884"/>
        <v>Standard Class</v>
      </c>
      <c r="D2583" t="s">
        <v>15</v>
      </c>
      <c r="E2583" t="s">
        <v>20</v>
      </c>
      <c r="F2583">
        <v>7</v>
      </c>
      <c r="G2583">
        <v>0</v>
      </c>
      <c r="H2583" s="2">
        <v>37.443100000000001</v>
      </c>
      <c r="I2583" s="2">
        <v>75.77</v>
      </c>
    </row>
    <row r="2584" spans="1:9" x14ac:dyDescent="0.3">
      <c r="A2584" t="str">
        <f t="shared" si="876"/>
        <v>United States</v>
      </c>
      <c r="B2584" t="str">
        <f t="shared" si="883"/>
        <v>Leominster</v>
      </c>
      <c r="C2584" t="str">
        <f t="shared" si="884"/>
        <v>Standard Class</v>
      </c>
      <c r="D2584" t="str">
        <f t="shared" ref="D2584:D2585" si="885">D2583</f>
        <v>Corporate</v>
      </c>
      <c r="E2584" t="s">
        <v>16</v>
      </c>
      <c r="F2584">
        <v>3</v>
      </c>
      <c r="G2584">
        <v>0</v>
      </c>
      <c r="H2584" s="2">
        <v>5.1464999999999996</v>
      </c>
      <c r="I2584" s="2">
        <v>10.95</v>
      </c>
    </row>
    <row r="2585" spans="1:9" x14ac:dyDescent="0.3">
      <c r="A2585" t="str">
        <f t="shared" si="876"/>
        <v>United States</v>
      </c>
      <c r="B2585" t="str">
        <f t="shared" si="883"/>
        <v>Leominster</v>
      </c>
      <c r="C2585" t="str">
        <f t="shared" si="884"/>
        <v>Standard Class</v>
      </c>
      <c r="D2585" t="str">
        <f t="shared" si="885"/>
        <v>Corporate</v>
      </c>
      <c r="E2585" t="s">
        <v>14</v>
      </c>
      <c r="F2585">
        <v>5</v>
      </c>
      <c r="G2585">
        <v>0</v>
      </c>
      <c r="H2585" s="2">
        <v>25.175999999999998</v>
      </c>
      <c r="I2585" s="2">
        <v>104.9</v>
      </c>
    </row>
    <row r="2586" spans="1:9" x14ac:dyDescent="0.3">
      <c r="A2586" t="str">
        <f t="shared" si="876"/>
        <v>United States</v>
      </c>
      <c r="B2586" t="s">
        <v>284</v>
      </c>
      <c r="C2586" t="s">
        <v>22</v>
      </c>
      <c r="D2586" t="s">
        <v>8</v>
      </c>
      <c r="E2586" t="s">
        <v>20</v>
      </c>
      <c r="F2586">
        <v>1</v>
      </c>
      <c r="G2586">
        <v>0.2</v>
      </c>
      <c r="H2586" s="2">
        <v>3.3543999999999996</v>
      </c>
      <c r="I2586" s="2">
        <v>9.5840000000000014</v>
      </c>
    </row>
    <row r="2587" spans="1:9" x14ac:dyDescent="0.3">
      <c r="A2587" t="str">
        <f t="shared" si="876"/>
        <v>United States</v>
      </c>
      <c r="B2587" t="str">
        <f t="shared" ref="B2587:B2588" si="886">B2586</f>
        <v>Lewiston</v>
      </c>
      <c r="C2587" t="str">
        <f t="shared" ref="C2587:C2588" si="887">C2586</f>
        <v>Standard Class</v>
      </c>
      <c r="D2587" t="s">
        <v>17</v>
      </c>
      <c r="E2587" t="s">
        <v>23</v>
      </c>
      <c r="F2587">
        <v>2</v>
      </c>
      <c r="G2587">
        <v>0</v>
      </c>
      <c r="H2587" s="2">
        <v>14.955599999999997</v>
      </c>
      <c r="I2587" s="2">
        <v>67.98</v>
      </c>
    </row>
    <row r="2588" spans="1:9" x14ac:dyDescent="0.3">
      <c r="A2588" t="str">
        <f t="shared" si="876"/>
        <v>United States</v>
      </c>
      <c r="B2588" t="str">
        <f t="shared" si="886"/>
        <v>Lewiston</v>
      </c>
      <c r="C2588" t="str">
        <f t="shared" si="887"/>
        <v>Standard Class</v>
      </c>
      <c r="D2588" t="str">
        <f>D2587</f>
        <v>Home Office</v>
      </c>
      <c r="E2588" t="s">
        <v>20</v>
      </c>
      <c r="F2588">
        <v>4</v>
      </c>
      <c r="G2588">
        <v>0</v>
      </c>
      <c r="H2588" s="2">
        <v>17.310199999999998</v>
      </c>
      <c r="I2588" s="2">
        <v>38.1</v>
      </c>
    </row>
    <row r="2589" spans="1:9" x14ac:dyDescent="0.3">
      <c r="A2589" t="str">
        <f t="shared" si="876"/>
        <v>United States</v>
      </c>
      <c r="B2589" t="s">
        <v>285</v>
      </c>
      <c r="C2589" t="s">
        <v>11</v>
      </c>
      <c r="D2589" t="s">
        <v>15</v>
      </c>
      <c r="E2589" t="s">
        <v>12</v>
      </c>
      <c r="F2589">
        <v>6</v>
      </c>
      <c r="G2589">
        <v>0.1</v>
      </c>
      <c r="H2589" s="2">
        <v>29.7408</v>
      </c>
      <c r="I2589" s="2">
        <v>167.292</v>
      </c>
    </row>
    <row r="2590" spans="1:9" x14ac:dyDescent="0.3">
      <c r="A2590" t="str">
        <f t="shared" si="876"/>
        <v>United States</v>
      </c>
      <c r="B2590" t="str">
        <f t="shared" ref="B2590:B2591" si="888">B2589</f>
        <v>Lincoln Park</v>
      </c>
      <c r="C2590" t="s">
        <v>22</v>
      </c>
      <c r="D2590" t="s">
        <v>15</v>
      </c>
      <c r="E2590" t="s">
        <v>19</v>
      </c>
      <c r="F2590">
        <v>1</v>
      </c>
      <c r="G2590">
        <v>0</v>
      </c>
      <c r="H2590" s="2">
        <v>7.5370999999999988</v>
      </c>
      <c r="I2590" s="2">
        <v>25.99</v>
      </c>
    </row>
    <row r="2591" spans="1:9" x14ac:dyDescent="0.3">
      <c r="A2591" t="str">
        <f t="shared" si="876"/>
        <v>United States</v>
      </c>
      <c r="B2591" t="str">
        <f t="shared" si="888"/>
        <v>Lincoln Park</v>
      </c>
      <c r="C2591" t="str">
        <f>C2590</f>
        <v>Standard Class</v>
      </c>
      <c r="D2591" t="str">
        <f>D2590</f>
        <v>Corporate</v>
      </c>
      <c r="E2591" t="s">
        <v>34</v>
      </c>
      <c r="F2591">
        <v>4</v>
      </c>
      <c r="G2591">
        <v>0</v>
      </c>
      <c r="H2591" s="2">
        <v>31.091200000000015</v>
      </c>
      <c r="I2591" s="2">
        <v>194.32</v>
      </c>
    </row>
    <row r="2592" spans="1:9" x14ac:dyDescent="0.3">
      <c r="A2592" t="str">
        <f t="shared" si="876"/>
        <v>United States</v>
      </c>
      <c r="B2592" t="s">
        <v>286</v>
      </c>
      <c r="C2592" t="s">
        <v>22</v>
      </c>
      <c r="D2592" t="s">
        <v>15</v>
      </c>
      <c r="E2592" t="s">
        <v>23</v>
      </c>
      <c r="F2592">
        <v>7</v>
      </c>
      <c r="G2592">
        <v>0</v>
      </c>
      <c r="H2592" s="2">
        <v>49.604800000000012</v>
      </c>
      <c r="I2592" s="2">
        <v>115.36</v>
      </c>
    </row>
    <row r="2593" spans="1:9" x14ac:dyDescent="0.3">
      <c r="A2593" t="str">
        <f t="shared" si="876"/>
        <v>United States</v>
      </c>
      <c r="B2593" t="s">
        <v>287</v>
      </c>
      <c r="C2593" t="s">
        <v>22</v>
      </c>
      <c r="D2593" t="s">
        <v>15</v>
      </c>
      <c r="E2593" t="s">
        <v>16</v>
      </c>
      <c r="F2593">
        <v>1</v>
      </c>
      <c r="G2593">
        <v>0</v>
      </c>
      <c r="H2593" s="2">
        <v>26.630399999999998</v>
      </c>
      <c r="I2593" s="2">
        <v>55.48</v>
      </c>
    </row>
    <row r="2594" spans="1:9" x14ac:dyDescent="0.3">
      <c r="A2594" t="str">
        <f t="shared" si="876"/>
        <v>United States</v>
      </c>
      <c r="B2594" t="s">
        <v>288</v>
      </c>
      <c r="C2594" t="s">
        <v>11</v>
      </c>
      <c r="D2594" t="s">
        <v>8</v>
      </c>
      <c r="E2594" t="s">
        <v>23</v>
      </c>
      <c r="F2594">
        <v>12</v>
      </c>
      <c r="G2594">
        <v>0</v>
      </c>
      <c r="H2594" s="2">
        <v>210.02430000000004</v>
      </c>
      <c r="I2594" s="2">
        <v>530.16</v>
      </c>
    </row>
    <row r="2595" spans="1:9" x14ac:dyDescent="0.3">
      <c r="A2595" t="str">
        <f t="shared" si="876"/>
        <v>United States</v>
      </c>
      <c r="B2595" t="str">
        <f t="shared" ref="B2595:B2611" si="889">B2594</f>
        <v>Little Rock</v>
      </c>
      <c r="C2595" t="str">
        <f t="shared" ref="C2595:C2596" si="890">C2594</f>
        <v>First Class</v>
      </c>
      <c r="D2595" t="str">
        <f t="shared" ref="D2595:D2596" si="891">D2594</f>
        <v>Consumer</v>
      </c>
      <c r="E2595" t="s">
        <v>20</v>
      </c>
      <c r="F2595">
        <v>6</v>
      </c>
      <c r="G2595">
        <v>0</v>
      </c>
      <c r="H2595" s="2">
        <v>36.388799999999996</v>
      </c>
      <c r="I2595" s="2">
        <v>75.81</v>
      </c>
    </row>
    <row r="2596" spans="1:9" x14ac:dyDescent="0.3">
      <c r="A2596" t="str">
        <f t="shared" si="876"/>
        <v>United States</v>
      </c>
      <c r="B2596" t="str">
        <f t="shared" si="889"/>
        <v>Little Rock</v>
      </c>
      <c r="C2596" t="str">
        <f t="shared" si="890"/>
        <v>First Class</v>
      </c>
      <c r="D2596" t="str">
        <f t="shared" si="891"/>
        <v>Consumer</v>
      </c>
      <c r="E2596" t="s">
        <v>16</v>
      </c>
      <c r="F2596">
        <v>5</v>
      </c>
      <c r="G2596">
        <v>0</v>
      </c>
      <c r="H2596" s="2">
        <v>34.392600000000002</v>
      </c>
      <c r="I2596" s="2">
        <v>72.900000000000006</v>
      </c>
    </row>
    <row r="2597" spans="1:9" x14ac:dyDescent="0.3">
      <c r="A2597" t="str">
        <f t="shared" si="876"/>
        <v>United States</v>
      </c>
      <c r="B2597" t="str">
        <f t="shared" si="889"/>
        <v>Little Rock</v>
      </c>
      <c r="C2597" t="s">
        <v>7</v>
      </c>
      <c r="D2597" t="s">
        <v>8</v>
      </c>
      <c r="E2597" t="s">
        <v>19</v>
      </c>
      <c r="F2597">
        <v>2</v>
      </c>
      <c r="G2597">
        <v>0</v>
      </c>
      <c r="H2597" s="2">
        <v>4.3524000000000003</v>
      </c>
      <c r="I2597" s="2">
        <v>11.16</v>
      </c>
    </row>
    <row r="2598" spans="1:9" x14ac:dyDescent="0.3">
      <c r="A2598" t="str">
        <f t="shared" si="876"/>
        <v>United States</v>
      </c>
      <c r="B2598" t="str">
        <f t="shared" si="889"/>
        <v>Little Rock</v>
      </c>
      <c r="C2598" t="str">
        <f t="shared" ref="C2598:C2602" si="892">C2597</f>
        <v>Second Class</v>
      </c>
      <c r="D2598" t="str">
        <f>D2597</f>
        <v>Consumer</v>
      </c>
      <c r="E2598" t="s">
        <v>16</v>
      </c>
      <c r="F2598">
        <v>5</v>
      </c>
      <c r="G2598">
        <v>0</v>
      </c>
      <c r="H2598" s="2">
        <v>63.192</v>
      </c>
      <c r="I2598" s="2">
        <v>129.36000000000001</v>
      </c>
    </row>
    <row r="2599" spans="1:9" x14ac:dyDescent="0.3">
      <c r="A2599" t="str">
        <f t="shared" si="876"/>
        <v>United States</v>
      </c>
      <c r="B2599" t="str">
        <f t="shared" si="889"/>
        <v>Little Rock</v>
      </c>
      <c r="C2599" t="str">
        <f t="shared" si="892"/>
        <v>Second Class</v>
      </c>
      <c r="D2599" t="s">
        <v>15</v>
      </c>
      <c r="E2599" t="s">
        <v>38</v>
      </c>
      <c r="F2599">
        <v>3</v>
      </c>
      <c r="G2599">
        <v>0</v>
      </c>
      <c r="H2599" s="2">
        <v>85.981799999999993</v>
      </c>
      <c r="I2599" s="2">
        <v>182.94</v>
      </c>
    </row>
    <row r="2600" spans="1:9" x14ac:dyDescent="0.3">
      <c r="A2600" t="str">
        <f t="shared" si="876"/>
        <v>United States</v>
      </c>
      <c r="B2600" t="str">
        <f t="shared" si="889"/>
        <v>Little Rock</v>
      </c>
      <c r="C2600" t="str">
        <f t="shared" si="892"/>
        <v>Second Class</v>
      </c>
      <c r="D2600" t="str">
        <f t="shared" ref="D2600:D2602" si="893">D2599</f>
        <v>Corporate</v>
      </c>
      <c r="E2600" t="s">
        <v>16</v>
      </c>
      <c r="F2600">
        <v>2</v>
      </c>
      <c r="G2600">
        <v>0</v>
      </c>
      <c r="H2600" s="2">
        <v>20.6816</v>
      </c>
      <c r="I2600" s="2">
        <v>44.96</v>
      </c>
    </row>
    <row r="2601" spans="1:9" x14ac:dyDescent="0.3">
      <c r="A2601" t="str">
        <f t="shared" si="876"/>
        <v>United States</v>
      </c>
      <c r="B2601" t="str">
        <f t="shared" si="889"/>
        <v>Little Rock</v>
      </c>
      <c r="C2601" t="str">
        <f t="shared" si="892"/>
        <v>Second Class</v>
      </c>
      <c r="D2601" t="str">
        <f t="shared" si="893"/>
        <v>Corporate</v>
      </c>
      <c r="E2601" t="s">
        <v>24</v>
      </c>
      <c r="F2601">
        <v>3</v>
      </c>
      <c r="G2601">
        <v>0</v>
      </c>
      <c r="H2601" s="2">
        <v>148.49099999999996</v>
      </c>
      <c r="I2601" s="2">
        <v>494.97</v>
      </c>
    </row>
    <row r="2602" spans="1:9" x14ac:dyDescent="0.3">
      <c r="A2602" t="str">
        <f t="shared" si="876"/>
        <v>United States</v>
      </c>
      <c r="B2602" t="str">
        <f t="shared" si="889"/>
        <v>Little Rock</v>
      </c>
      <c r="C2602" t="str">
        <f t="shared" si="892"/>
        <v>Second Class</v>
      </c>
      <c r="D2602" t="str">
        <f t="shared" si="893"/>
        <v>Corporate</v>
      </c>
      <c r="E2602" t="s">
        <v>14</v>
      </c>
      <c r="F2602">
        <v>8</v>
      </c>
      <c r="G2602">
        <v>0</v>
      </c>
      <c r="H2602" s="2">
        <v>32.089599999999976</v>
      </c>
      <c r="I2602" s="2">
        <v>430</v>
      </c>
    </row>
    <row r="2603" spans="1:9" x14ac:dyDescent="0.3">
      <c r="A2603" t="str">
        <f t="shared" si="876"/>
        <v>United States</v>
      </c>
      <c r="B2603" t="str">
        <f t="shared" si="889"/>
        <v>Little Rock</v>
      </c>
      <c r="C2603" t="s">
        <v>22</v>
      </c>
      <c r="D2603" t="s">
        <v>8</v>
      </c>
      <c r="E2603" t="s">
        <v>19</v>
      </c>
      <c r="F2603">
        <v>4</v>
      </c>
      <c r="G2603">
        <v>0</v>
      </c>
      <c r="H2603" s="2">
        <v>4.1415999999999986</v>
      </c>
      <c r="I2603" s="2">
        <v>13.36</v>
      </c>
    </row>
    <row r="2604" spans="1:9" x14ac:dyDescent="0.3">
      <c r="A2604" t="str">
        <f t="shared" si="876"/>
        <v>United States</v>
      </c>
      <c r="B2604" t="str">
        <f t="shared" si="889"/>
        <v>Little Rock</v>
      </c>
      <c r="C2604" t="str">
        <f t="shared" ref="C2604:C2611" si="894">C2603</f>
        <v>Standard Class</v>
      </c>
      <c r="D2604" t="str">
        <f t="shared" ref="D2604:D2607" si="895">D2603</f>
        <v>Consumer</v>
      </c>
      <c r="E2604" t="s">
        <v>20</v>
      </c>
      <c r="F2604">
        <v>5</v>
      </c>
      <c r="G2604">
        <v>0</v>
      </c>
      <c r="H2604" s="2">
        <v>70.007999999999996</v>
      </c>
      <c r="I2604" s="2">
        <v>145.85000000000002</v>
      </c>
    </row>
    <row r="2605" spans="1:9" x14ac:dyDescent="0.3">
      <c r="A2605" t="str">
        <f t="shared" si="876"/>
        <v>United States</v>
      </c>
      <c r="B2605" t="str">
        <f t="shared" si="889"/>
        <v>Little Rock</v>
      </c>
      <c r="C2605" t="str">
        <f t="shared" si="894"/>
        <v>Standard Class</v>
      </c>
      <c r="D2605" t="str">
        <f t="shared" si="895"/>
        <v>Consumer</v>
      </c>
      <c r="E2605" t="s">
        <v>21</v>
      </c>
      <c r="F2605">
        <v>6</v>
      </c>
      <c r="G2605">
        <v>0</v>
      </c>
      <c r="H2605" s="2">
        <v>9.1020000000000021</v>
      </c>
      <c r="I2605" s="2">
        <v>22.200000000000003</v>
      </c>
    </row>
    <row r="2606" spans="1:9" x14ac:dyDescent="0.3">
      <c r="A2606" t="str">
        <f t="shared" si="876"/>
        <v>United States</v>
      </c>
      <c r="B2606" t="str">
        <f t="shared" si="889"/>
        <v>Little Rock</v>
      </c>
      <c r="C2606" t="str">
        <f t="shared" si="894"/>
        <v>Standard Class</v>
      </c>
      <c r="D2606" t="str">
        <f t="shared" si="895"/>
        <v>Consumer</v>
      </c>
      <c r="E2606" t="s">
        <v>16</v>
      </c>
      <c r="F2606">
        <v>2</v>
      </c>
      <c r="G2606">
        <v>0</v>
      </c>
      <c r="H2606" s="2">
        <v>18.781199999999998</v>
      </c>
      <c r="I2606" s="2">
        <v>39.96</v>
      </c>
    </row>
    <row r="2607" spans="1:9" x14ac:dyDescent="0.3">
      <c r="A2607" t="str">
        <f t="shared" si="876"/>
        <v>United States</v>
      </c>
      <c r="B2607" t="str">
        <f t="shared" si="889"/>
        <v>Little Rock</v>
      </c>
      <c r="C2607" t="str">
        <f t="shared" si="894"/>
        <v>Standard Class</v>
      </c>
      <c r="D2607" t="str">
        <f t="shared" si="895"/>
        <v>Consumer</v>
      </c>
      <c r="E2607" t="s">
        <v>24</v>
      </c>
      <c r="F2607">
        <v>7</v>
      </c>
      <c r="G2607">
        <v>0</v>
      </c>
      <c r="H2607" s="2">
        <v>229.30180000000001</v>
      </c>
      <c r="I2607" s="2">
        <v>881.93</v>
      </c>
    </row>
    <row r="2608" spans="1:9" x14ac:dyDescent="0.3">
      <c r="A2608" t="str">
        <f t="shared" si="876"/>
        <v>United States</v>
      </c>
      <c r="B2608" t="str">
        <f t="shared" si="889"/>
        <v>Little Rock</v>
      </c>
      <c r="C2608" t="str">
        <f t="shared" si="894"/>
        <v>Standard Class</v>
      </c>
      <c r="D2608" t="s">
        <v>15</v>
      </c>
      <c r="E2608" t="s">
        <v>23</v>
      </c>
      <c r="F2608">
        <v>4</v>
      </c>
      <c r="G2608">
        <v>0</v>
      </c>
      <c r="H2608" s="2">
        <v>122.38559999999998</v>
      </c>
      <c r="I2608" s="2">
        <v>339.96</v>
      </c>
    </row>
    <row r="2609" spans="1:9" x14ac:dyDescent="0.3">
      <c r="A2609" t="str">
        <f t="shared" si="876"/>
        <v>United States</v>
      </c>
      <c r="B2609" t="str">
        <f t="shared" si="889"/>
        <v>Little Rock</v>
      </c>
      <c r="C2609" t="str">
        <f t="shared" si="894"/>
        <v>Standard Class</v>
      </c>
      <c r="D2609" t="str">
        <f t="shared" ref="D2609:D2611" si="896">D2608</f>
        <v>Corporate</v>
      </c>
      <c r="E2609" t="s">
        <v>20</v>
      </c>
      <c r="F2609">
        <v>4</v>
      </c>
      <c r="G2609">
        <v>0</v>
      </c>
      <c r="H2609" s="2">
        <v>8.2615999999999996</v>
      </c>
      <c r="I2609" s="2">
        <v>17.96</v>
      </c>
    </row>
    <row r="2610" spans="1:9" x14ac:dyDescent="0.3">
      <c r="A2610" t="str">
        <f t="shared" si="876"/>
        <v>United States</v>
      </c>
      <c r="B2610" t="str">
        <f t="shared" si="889"/>
        <v>Little Rock</v>
      </c>
      <c r="C2610" t="str">
        <f t="shared" si="894"/>
        <v>Standard Class</v>
      </c>
      <c r="D2610" t="str">
        <f t="shared" si="896"/>
        <v>Corporate</v>
      </c>
      <c r="E2610" t="s">
        <v>18</v>
      </c>
      <c r="F2610">
        <v>7</v>
      </c>
      <c r="G2610">
        <v>0</v>
      </c>
      <c r="H2610" s="2">
        <v>4.5611999999999995</v>
      </c>
      <c r="I2610" s="2">
        <v>12.67</v>
      </c>
    </row>
    <row r="2611" spans="1:9" x14ac:dyDescent="0.3">
      <c r="A2611" t="str">
        <f t="shared" si="876"/>
        <v>United States</v>
      </c>
      <c r="B2611" t="str">
        <f t="shared" si="889"/>
        <v>Little Rock</v>
      </c>
      <c r="C2611" t="str">
        <f t="shared" si="894"/>
        <v>Standard Class</v>
      </c>
      <c r="D2611" t="str">
        <f t="shared" si="896"/>
        <v>Corporate</v>
      </c>
      <c r="E2611" t="s">
        <v>16</v>
      </c>
      <c r="F2611">
        <v>5</v>
      </c>
      <c r="G2611">
        <v>0</v>
      </c>
      <c r="H2611" s="2">
        <v>52.531999999999996</v>
      </c>
      <c r="I2611" s="2">
        <v>114.2</v>
      </c>
    </row>
    <row r="2612" spans="1:9" x14ac:dyDescent="0.3">
      <c r="A2612" t="str">
        <f t="shared" si="876"/>
        <v>United States</v>
      </c>
      <c r="B2612" t="s">
        <v>289</v>
      </c>
      <c r="C2612" t="s">
        <v>7</v>
      </c>
      <c r="D2612" t="s">
        <v>8</v>
      </c>
      <c r="E2612" t="s">
        <v>34</v>
      </c>
      <c r="F2612">
        <v>1</v>
      </c>
      <c r="G2612">
        <v>0.7</v>
      </c>
      <c r="H2612" s="2">
        <v>-98.801799999999986</v>
      </c>
      <c r="I2612" s="2">
        <v>72.294000000000011</v>
      </c>
    </row>
    <row r="2613" spans="1:9" x14ac:dyDescent="0.3">
      <c r="A2613" t="str">
        <f t="shared" si="876"/>
        <v>United States</v>
      </c>
      <c r="B2613" t="s">
        <v>290</v>
      </c>
      <c r="C2613" t="s">
        <v>22</v>
      </c>
      <c r="D2613" t="s">
        <v>8</v>
      </c>
      <c r="E2613" t="s">
        <v>9</v>
      </c>
      <c r="F2613">
        <v>7</v>
      </c>
      <c r="G2613">
        <v>0</v>
      </c>
      <c r="H2613" s="2">
        <v>28.216999999999992</v>
      </c>
      <c r="I2613" s="2">
        <v>97.3</v>
      </c>
    </row>
    <row r="2614" spans="1:9" x14ac:dyDescent="0.3">
      <c r="A2614" t="str">
        <f t="shared" si="876"/>
        <v>United States</v>
      </c>
      <c r="B2614" t="str">
        <f>B2613</f>
        <v>Lodi</v>
      </c>
      <c r="C2614" t="str">
        <f>C2613</f>
        <v>Standard Class</v>
      </c>
      <c r="D2614" t="s">
        <v>15</v>
      </c>
      <c r="E2614" t="s">
        <v>19</v>
      </c>
      <c r="F2614">
        <v>2</v>
      </c>
      <c r="G2614">
        <v>0</v>
      </c>
      <c r="H2614" s="2">
        <v>16.268800000000002</v>
      </c>
      <c r="I2614" s="2">
        <v>39.68</v>
      </c>
    </row>
    <row r="2615" spans="1:9" x14ac:dyDescent="0.3">
      <c r="A2615" t="str">
        <f t="shared" si="876"/>
        <v>United States</v>
      </c>
      <c r="B2615" t="s">
        <v>291</v>
      </c>
      <c r="C2615" t="s">
        <v>22</v>
      </c>
      <c r="D2615" t="s">
        <v>8</v>
      </c>
      <c r="E2615" t="s">
        <v>23</v>
      </c>
      <c r="F2615">
        <v>12</v>
      </c>
      <c r="G2615">
        <v>0</v>
      </c>
      <c r="H2615" s="2">
        <v>6.6239999999999952</v>
      </c>
      <c r="I2615" s="2">
        <v>82.800000000000011</v>
      </c>
    </row>
    <row r="2616" spans="1:9" x14ac:dyDescent="0.3">
      <c r="A2616" t="str">
        <f t="shared" si="876"/>
        <v>United States</v>
      </c>
      <c r="B2616" t="str">
        <f t="shared" ref="B2616:B2617" si="897">B2615</f>
        <v>Logan</v>
      </c>
      <c r="C2616" t="str">
        <f t="shared" ref="C2616:C2617" si="898">C2615</f>
        <v>Standard Class</v>
      </c>
      <c r="D2616" t="str">
        <f t="shared" ref="D2616:D2617" si="899">D2615</f>
        <v>Consumer</v>
      </c>
      <c r="E2616" t="s">
        <v>20</v>
      </c>
      <c r="F2616">
        <v>6</v>
      </c>
      <c r="G2616">
        <v>0.4</v>
      </c>
      <c r="H2616" s="2">
        <v>31.332799999999999</v>
      </c>
      <c r="I2616" s="2">
        <v>95.135999999999996</v>
      </c>
    </row>
    <row r="2617" spans="1:9" x14ac:dyDescent="0.3">
      <c r="A2617" t="str">
        <f t="shared" si="876"/>
        <v>United States</v>
      </c>
      <c r="B2617" t="str">
        <f t="shared" si="897"/>
        <v>Logan</v>
      </c>
      <c r="C2617" t="str">
        <f t="shared" si="898"/>
        <v>Standard Class</v>
      </c>
      <c r="D2617" t="str">
        <f t="shared" si="899"/>
        <v>Consumer</v>
      </c>
      <c r="E2617" t="s">
        <v>14</v>
      </c>
      <c r="F2617">
        <v>3</v>
      </c>
      <c r="G2617">
        <v>0</v>
      </c>
      <c r="H2617" s="2">
        <v>9.0063999999999975</v>
      </c>
      <c r="I2617" s="2">
        <v>102.34</v>
      </c>
    </row>
    <row r="2618" spans="1:9" x14ac:dyDescent="0.3">
      <c r="A2618" t="str">
        <f t="shared" si="876"/>
        <v>United States</v>
      </c>
      <c r="B2618" t="s">
        <v>292</v>
      </c>
      <c r="C2618" t="s">
        <v>11</v>
      </c>
      <c r="D2618" t="s">
        <v>15</v>
      </c>
      <c r="E2618" t="s">
        <v>33</v>
      </c>
      <c r="F2618">
        <v>16</v>
      </c>
      <c r="G2618">
        <v>0.30000000000000004</v>
      </c>
      <c r="H2618" s="2">
        <v>175.20359999999991</v>
      </c>
      <c r="I2618" s="2">
        <v>1789.5240000000003</v>
      </c>
    </row>
    <row r="2619" spans="1:9" x14ac:dyDescent="0.3">
      <c r="A2619" t="str">
        <f t="shared" si="876"/>
        <v>United States</v>
      </c>
      <c r="B2619" t="str">
        <f t="shared" ref="B2619:B2655" si="900">B2618</f>
        <v>Long Beach</v>
      </c>
      <c r="C2619" t="str">
        <f>C2618</f>
        <v>First Class</v>
      </c>
      <c r="D2619" t="s">
        <v>17</v>
      </c>
      <c r="E2619" t="s">
        <v>16</v>
      </c>
      <c r="F2619">
        <v>12</v>
      </c>
      <c r="G2619">
        <v>0</v>
      </c>
      <c r="H2619" s="2">
        <v>36.928799999999995</v>
      </c>
      <c r="I2619" s="2">
        <v>80.28</v>
      </c>
    </row>
    <row r="2620" spans="1:9" x14ac:dyDescent="0.3">
      <c r="A2620" t="str">
        <f t="shared" si="876"/>
        <v>United States</v>
      </c>
      <c r="B2620" t="str">
        <f t="shared" si="900"/>
        <v>Long Beach</v>
      </c>
      <c r="C2620" t="s">
        <v>27</v>
      </c>
      <c r="D2620" t="s">
        <v>8</v>
      </c>
      <c r="E2620" t="s">
        <v>24</v>
      </c>
      <c r="F2620">
        <v>3</v>
      </c>
      <c r="G2620">
        <v>0</v>
      </c>
      <c r="H2620" s="2">
        <v>352.30649999999997</v>
      </c>
      <c r="I2620" s="2">
        <v>1214.8499999999999</v>
      </c>
    </row>
    <row r="2621" spans="1:9" x14ac:dyDescent="0.3">
      <c r="A2621" t="str">
        <f t="shared" si="876"/>
        <v>United States</v>
      </c>
      <c r="B2621" t="str">
        <f t="shared" si="900"/>
        <v>Long Beach</v>
      </c>
      <c r="C2621" t="str">
        <f t="shared" ref="C2621:C2623" si="901">C2620</f>
        <v>Same Day</v>
      </c>
      <c r="D2621" t="s">
        <v>17</v>
      </c>
      <c r="E2621" t="s">
        <v>33</v>
      </c>
      <c r="F2621">
        <v>8</v>
      </c>
      <c r="G2621">
        <v>0.2</v>
      </c>
      <c r="H2621" s="2">
        <v>256.78399999999976</v>
      </c>
      <c r="I2621" s="2">
        <v>2054.2720000000004</v>
      </c>
    </row>
    <row r="2622" spans="1:9" x14ac:dyDescent="0.3">
      <c r="A2622" t="str">
        <f t="shared" si="876"/>
        <v>United States</v>
      </c>
      <c r="B2622" t="str">
        <f t="shared" si="900"/>
        <v>Long Beach</v>
      </c>
      <c r="C2622" t="str">
        <f t="shared" si="901"/>
        <v>Same Day</v>
      </c>
      <c r="D2622" t="str">
        <f t="shared" ref="D2622:D2623" si="902">D2621</f>
        <v>Home Office</v>
      </c>
      <c r="E2622" t="s">
        <v>38</v>
      </c>
      <c r="F2622">
        <v>2</v>
      </c>
      <c r="G2622">
        <v>0</v>
      </c>
      <c r="H2622" s="2">
        <v>10.8682</v>
      </c>
      <c r="I2622" s="2">
        <v>22.18</v>
      </c>
    </row>
    <row r="2623" spans="1:9" x14ac:dyDescent="0.3">
      <c r="A2623" t="str">
        <f t="shared" si="876"/>
        <v>United States</v>
      </c>
      <c r="B2623" t="str">
        <f t="shared" si="900"/>
        <v>Long Beach</v>
      </c>
      <c r="C2623" t="str">
        <f t="shared" si="901"/>
        <v>Same Day</v>
      </c>
      <c r="D2623" t="str">
        <f t="shared" si="902"/>
        <v>Home Office</v>
      </c>
      <c r="E2623" t="s">
        <v>16</v>
      </c>
      <c r="F2623">
        <v>2</v>
      </c>
      <c r="G2623">
        <v>0</v>
      </c>
      <c r="H2623" s="2">
        <v>6.2208000000000006</v>
      </c>
      <c r="I2623" s="2">
        <v>12.96</v>
      </c>
    </row>
    <row r="2624" spans="1:9" x14ac:dyDescent="0.3">
      <c r="A2624" t="str">
        <f t="shared" si="876"/>
        <v>United States</v>
      </c>
      <c r="B2624" t="str">
        <f t="shared" si="900"/>
        <v>Long Beach</v>
      </c>
      <c r="C2624" t="s">
        <v>7</v>
      </c>
      <c r="D2624" t="s">
        <v>8</v>
      </c>
      <c r="E2624" t="s">
        <v>20</v>
      </c>
      <c r="F2624">
        <v>3</v>
      </c>
      <c r="G2624">
        <v>0.2</v>
      </c>
      <c r="H2624" s="2">
        <v>6.3336000000000006</v>
      </c>
      <c r="I2624" s="2">
        <v>17.472000000000001</v>
      </c>
    </row>
    <row r="2625" spans="1:9" x14ac:dyDescent="0.3">
      <c r="A2625" t="str">
        <f t="shared" si="876"/>
        <v>United States</v>
      </c>
      <c r="B2625" t="str">
        <f t="shared" si="900"/>
        <v>Long Beach</v>
      </c>
      <c r="C2625" t="str">
        <f t="shared" ref="C2625:C2632" si="903">C2624</f>
        <v>Second Class</v>
      </c>
      <c r="D2625" t="str">
        <f t="shared" ref="D2625:D2629" si="904">D2624</f>
        <v>Consumer</v>
      </c>
      <c r="E2625" t="s">
        <v>18</v>
      </c>
      <c r="F2625">
        <v>1</v>
      </c>
      <c r="G2625">
        <v>0</v>
      </c>
      <c r="H2625" s="2">
        <v>3.5504999999999995</v>
      </c>
      <c r="I2625" s="2">
        <v>7.89</v>
      </c>
    </row>
    <row r="2626" spans="1:9" x14ac:dyDescent="0.3">
      <c r="A2626" t="str">
        <f t="shared" si="876"/>
        <v>United States</v>
      </c>
      <c r="B2626" t="str">
        <f t="shared" si="900"/>
        <v>Long Beach</v>
      </c>
      <c r="C2626" t="str">
        <f t="shared" si="903"/>
        <v>Second Class</v>
      </c>
      <c r="D2626" t="str">
        <f t="shared" si="904"/>
        <v>Consumer</v>
      </c>
      <c r="E2626" t="s">
        <v>16</v>
      </c>
      <c r="F2626">
        <v>18</v>
      </c>
      <c r="G2626">
        <v>0</v>
      </c>
      <c r="H2626" s="2">
        <v>88.513600000000011</v>
      </c>
      <c r="I2626" s="2">
        <v>180.64</v>
      </c>
    </row>
    <row r="2627" spans="1:9" x14ac:dyDescent="0.3">
      <c r="A2627" t="str">
        <f t="shared" si="876"/>
        <v>United States</v>
      </c>
      <c r="B2627" t="str">
        <f t="shared" si="900"/>
        <v>Long Beach</v>
      </c>
      <c r="C2627" t="str">
        <f t="shared" si="903"/>
        <v>Second Class</v>
      </c>
      <c r="D2627" t="str">
        <f t="shared" si="904"/>
        <v>Consumer</v>
      </c>
      <c r="E2627" t="s">
        <v>24</v>
      </c>
      <c r="F2627">
        <v>5</v>
      </c>
      <c r="G2627">
        <v>0</v>
      </c>
      <c r="H2627" s="2">
        <v>43.175999999999995</v>
      </c>
      <c r="I2627" s="2">
        <v>89.949999999999989</v>
      </c>
    </row>
    <row r="2628" spans="1:9" x14ac:dyDescent="0.3">
      <c r="A2628" t="str">
        <f t="shared" ref="A2628:A2691" si="905">A2627</f>
        <v>United States</v>
      </c>
      <c r="B2628" t="str">
        <f t="shared" si="900"/>
        <v>Long Beach</v>
      </c>
      <c r="C2628" t="str">
        <f t="shared" si="903"/>
        <v>Second Class</v>
      </c>
      <c r="D2628" t="str">
        <f t="shared" si="904"/>
        <v>Consumer</v>
      </c>
      <c r="E2628" t="s">
        <v>14</v>
      </c>
      <c r="F2628">
        <v>14</v>
      </c>
      <c r="G2628">
        <v>0</v>
      </c>
      <c r="H2628" s="2">
        <v>45.206399999999988</v>
      </c>
      <c r="I2628" s="2">
        <v>214.8</v>
      </c>
    </row>
    <row r="2629" spans="1:9" x14ac:dyDescent="0.3">
      <c r="A2629" t="str">
        <f t="shared" si="905"/>
        <v>United States</v>
      </c>
      <c r="B2629" t="str">
        <f t="shared" si="900"/>
        <v>Long Beach</v>
      </c>
      <c r="C2629" t="str">
        <f t="shared" si="903"/>
        <v>Second Class</v>
      </c>
      <c r="D2629" t="str">
        <f t="shared" si="904"/>
        <v>Consumer</v>
      </c>
      <c r="E2629" t="s">
        <v>9</v>
      </c>
      <c r="F2629">
        <v>9</v>
      </c>
      <c r="G2629">
        <v>0</v>
      </c>
      <c r="H2629" s="2">
        <v>34.121899999999989</v>
      </c>
      <c r="I2629" s="2">
        <v>117.41</v>
      </c>
    </row>
    <row r="2630" spans="1:9" x14ac:dyDescent="0.3">
      <c r="A2630" t="str">
        <f t="shared" si="905"/>
        <v>United States</v>
      </c>
      <c r="B2630" t="str">
        <f t="shared" si="900"/>
        <v>Long Beach</v>
      </c>
      <c r="C2630" t="str">
        <f t="shared" si="903"/>
        <v>Second Class</v>
      </c>
      <c r="D2630" t="s">
        <v>15</v>
      </c>
      <c r="E2630" t="s">
        <v>43</v>
      </c>
      <c r="F2630">
        <v>3</v>
      </c>
      <c r="G2630">
        <v>0</v>
      </c>
      <c r="H2630" s="2">
        <v>4.0749000000000004</v>
      </c>
      <c r="I2630" s="2">
        <v>8.67</v>
      </c>
    </row>
    <row r="2631" spans="1:9" x14ac:dyDescent="0.3">
      <c r="A2631" t="str">
        <f t="shared" si="905"/>
        <v>United States</v>
      </c>
      <c r="B2631" t="str">
        <f t="shared" si="900"/>
        <v>Long Beach</v>
      </c>
      <c r="C2631" t="str">
        <f t="shared" si="903"/>
        <v>Second Class</v>
      </c>
      <c r="D2631" t="str">
        <f>D2630</f>
        <v>Corporate</v>
      </c>
      <c r="E2631" t="s">
        <v>9</v>
      </c>
      <c r="F2631">
        <v>3</v>
      </c>
      <c r="G2631">
        <v>0</v>
      </c>
      <c r="H2631" s="2">
        <v>6.6846000000000005</v>
      </c>
      <c r="I2631" s="2">
        <v>25.71</v>
      </c>
    </row>
    <row r="2632" spans="1:9" x14ac:dyDescent="0.3">
      <c r="A2632" t="str">
        <f t="shared" si="905"/>
        <v>United States</v>
      </c>
      <c r="B2632" t="str">
        <f t="shared" si="900"/>
        <v>Long Beach</v>
      </c>
      <c r="C2632" t="str">
        <f t="shared" si="903"/>
        <v>Second Class</v>
      </c>
      <c r="D2632" t="s">
        <v>17</v>
      </c>
      <c r="E2632" t="s">
        <v>18</v>
      </c>
      <c r="F2632">
        <v>6</v>
      </c>
      <c r="G2632">
        <v>0</v>
      </c>
      <c r="H2632" s="2">
        <v>0.3024</v>
      </c>
      <c r="I2632" s="2">
        <v>7.5600000000000005</v>
      </c>
    </row>
    <row r="2633" spans="1:9" x14ac:dyDescent="0.3">
      <c r="A2633" t="str">
        <f t="shared" si="905"/>
        <v>United States</v>
      </c>
      <c r="B2633" t="str">
        <f t="shared" si="900"/>
        <v>Long Beach</v>
      </c>
      <c r="C2633" t="s">
        <v>22</v>
      </c>
      <c r="D2633" t="s">
        <v>8</v>
      </c>
      <c r="E2633" t="s">
        <v>23</v>
      </c>
      <c r="F2633">
        <v>4</v>
      </c>
      <c r="G2633">
        <v>0</v>
      </c>
      <c r="H2633" s="2">
        <v>39.5428</v>
      </c>
      <c r="I2633" s="2">
        <v>91.96</v>
      </c>
    </row>
    <row r="2634" spans="1:9" x14ac:dyDescent="0.3">
      <c r="A2634" t="str">
        <f t="shared" si="905"/>
        <v>United States</v>
      </c>
      <c r="B2634" t="str">
        <f t="shared" si="900"/>
        <v>Long Beach</v>
      </c>
      <c r="C2634" t="str">
        <f t="shared" ref="C2634:C2655" si="906">C2633</f>
        <v>Standard Class</v>
      </c>
      <c r="D2634" t="str">
        <f t="shared" ref="D2634:D2647" si="907">D2633</f>
        <v>Consumer</v>
      </c>
      <c r="E2634" t="s">
        <v>12</v>
      </c>
      <c r="F2634">
        <v>8</v>
      </c>
      <c r="G2634">
        <v>0</v>
      </c>
      <c r="H2634" s="2">
        <v>175.51099999999997</v>
      </c>
      <c r="I2634" s="2">
        <v>595.24</v>
      </c>
    </row>
    <row r="2635" spans="1:9" x14ac:dyDescent="0.3">
      <c r="A2635" t="str">
        <f t="shared" si="905"/>
        <v>United States</v>
      </c>
      <c r="B2635" t="str">
        <f t="shared" si="900"/>
        <v>Long Beach</v>
      </c>
      <c r="C2635" t="str">
        <f t="shared" si="906"/>
        <v>Standard Class</v>
      </c>
      <c r="D2635" t="str">
        <f t="shared" si="907"/>
        <v>Consumer</v>
      </c>
      <c r="E2635" t="s">
        <v>19</v>
      </c>
      <c r="F2635">
        <v>19</v>
      </c>
      <c r="G2635">
        <v>0</v>
      </c>
      <c r="H2635" s="2">
        <v>54.213000000000008</v>
      </c>
      <c r="I2635" s="2">
        <v>171.89</v>
      </c>
    </row>
    <row r="2636" spans="1:9" x14ac:dyDescent="0.3">
      <c r="A2636" t="str">
        <f t="shared" si="905"/>
        <v>United States</v>
      </c>
      <c r="B2636" t="str">
        <f t="shared" si="900"/>
        <v>Long Beach</v>
      </c>
      <c r="C2636" t="str">
        <f t="shared" si="906"/>
        <v>Standard Class</v>
      </c>
      <c r="D2636" t="str">
        <f t="shared" si="907"/>
        <v>Consumer</v>
      </c>
      <c r="E2636" t="s">
        <v>20</v>
      </c>
      <c r="F2636">
        <v>4</v>
      </c>
      <c r="G2636">
        <v>0.4</v>
      </c>
      <c r="H2636" s="2">
        <v>278.26799999999997</v>
      </c>
      <c r="I2636" s="2">
        <v>742.04800000000012</v>
      </c>
    </row>
    <row r="2637" spans="1:9" x14ac:dyDescent="0.3">
      <c r="A2637" t="str">
        <f t="shared" si="905"/>
        <v>United States</v>
      </c>
      <c r="B2637" t="str">
        <f t="shared" si="900"/>
        <v>Long Beach</v>
      </c>
      <c r="C2637" t="str">
        <f t="shared" si="906"/>
        <v>Standard Class</v>
      </c>
      <c r="D2637" t="str">
        <f t="shared" si="907"/>
        <v>Consumer</v>
      </c>
      <c r="E2637" t="s">
        <v>34</v>
      </c>
      <c r="F2637">
        <v>1</v>
      </c>
      <c r="G2637">
        <v>0.2</v>
      </c>
      <c r="H2637" s="2">
        <v>-22.098000000000013</v>
      </c>
      <c r="I2637" s="2">
        <v>176.78399999999999</v>
      </c>
    </row>
    <row r="2638" spans="1:9" x14ac:dyDescent="0.3">
      <c r="A2638" t="str">
        <f t="shared" si="905"/>
        <v>United States</v>
      </c>
      <c r="B2638" t="str">
        <f t="shared" si="900"/>
        <v>Long Beach</v>
      </c>
      <c r="C2638" t="str">
        <f t="shared" si="906"/>
        <v>Standard Class</v>
      </c>
      <c r="D2638" t="str">
        <f t="shared" si="907"/>
        <v>Consumer</v>
      </c>
      <c r="E2638" t="s">
        <v>33</v>
      </c>
      <c r="F2638">
        <v>4</v>
      </c>
      <c r="G2638">
        <v>0.2</v>
      </c>
      <c r="H2638" s="2">
        <v>60.391999999999939</v>
      </c>
      <c r="I2638" s="2">
        <v>483.13599999999997</v>
      </c>
    </row>
    <row r="2639" spans="1:9" x14ac:dyDescent="0.3">
      <c r="A2639" t="str">
        <f t="shared" si="905"/>
        <v>United States</v>
      </c>
      <c r="B2639" t="str">
        <f t="shared" si="900"/>
        <v>Long Beach</v>
      </c>
      <c r="C2639" t="str">
        <f t="shared" si="906"/>
        <v>Standard Class</v>
      </c>
      <c r="D2639" t="str">
        <f t="shared" si="907"/>
        <v>Consumer</v>
      </c>
      <c r="E2639" t="s">
        <v>45</v>
      </c>
      <c r="F2639">
        <v>3</v>
      </c>
      <c r="G2639">
        <v>0.2</v>
      </c>
      <c r="H2639" s="2">
        <v>161.99189999999999</v>
      </c>
      <c r="I2639" s="2">
        <v>479.97600000000006</v>
      </c>
    </row>
    <row r="2640" spans="1:9" x14ac:dyDescent="0.3">
      <c r="A2640" t="str">
        <f t="shared" si="905"/>
        <v>United States</v>
      </c>
      <c r="B2640" t="str">
        <f t="shared" si="900"/>
        <v>Long Beach</v>
      </c>
      <c r="C2640" t="str">
        <f t="shared" si="906"/>
        <v>Standard Class</v>
      </c>
      <c r="D2640" t="str">
        <f t="shared" si="907"/>
        <v>Consumer</v>
      </c>
      <c r="E2640" t="s">
        <v>18</v>
      </c>
      <c r="F2640">
        <v>3</v>
      </c>
      <c r="G2640">
        <v>0</v>
      </c>
      <c r="H2640" s="2">
        <v>1.7918999999999998</v>
      </c>
      <c r="I2640" s="2">
        <v>5.43</v>
      </c>
    </row>
    <row r="2641" spans="1:9" x14ac:dyDescent="0.3">
      <c r="A2641" t="str">
        <f t="shared" si="905"/>
        <v>United States</v>
      </c>
      <c r="B2641" t="str">
        <f t="shared" si="900"/>
        <v>Long Beach</v>
      </c>
      <c r="C2641" t="str">
        <f t="shared" si="906"/>
        <v>Standard Class</v>
      </c>
      <c r="D2641" t="str">
        <f t="shared" si="907"/>
        <v>Consumer</v>
      </c>
      <c r="E2641" t="s">
        <v>21</v>
      </c>
      <c r="F2641">
        <v>6</v>
      </c>
      <c r="G2641">
        <v>0</v>
      </c>
      <c r="H2641" s="2">
        <v>9.8207999999999984</v>
      </c>
      <c r="I2641" s="2">
        <v>31.68</v>
      </c>
    </row>
    <row r="2642" spans="1:9" x14ac:dyDescent="0.3">
      <c r="A2642" t="str">
        <f t="shared" si="905"/>
        <v>United States</v>
      </c>
      <c r="B2642" t="str">
        <f t="shared" si="900"/>
        <v>Long Beach</v>
      </c>
      <c r="C2642" t="str">
        <f t="shared" si="906"/>
        <v>Standard Class</v>
      </c>
      <c r="D2642" t="str">
        <f t="shared" si="907"/>
        <v>Consumer</v>
      </c>
      <c r="E2642" t="s">
        <v>43</v>
      </c>
      <c r="F2642">
        <v>15</v>
      </c>
      <c r="G2642">
        <v>0</v>
      </c>
      <c r="H2642" s="2">
        <v>60.298400000000001</v>
      </c>
      <c r="I2642" s="2">
        <v>127.14</v>
      </c>
    </row>
    <row r="2643" spans="1:9" x14ac:dyDescent="0.3">
      <c r="A2643" t="str">
        <f t="shared" si="905"/>
        <v>United States</v>
      </c>
      <c r="B2643" t="str">
        <f t="shared" si="900"/>
        <v>Long Beach</v>
      </c>
      <c r="C2643" t="str">
        <f t="shared" si="906"/>
        <v>Standard Class</v>
      </c>
      <c r="D2643" t="str">
        <f t="shared" si="907"/>
        <v>Consumer</v>
      </c>
      <c r="E2643" t="s">
        <v>16</v>
      </c>
      <c r="F2643">
        <v>16</v>
      </c>
      <c r="G2643">
        <v>0</v>
      </c>
      <c r="H2643" s="2">
        <v>149.82159999999999</v>
      </c>
      <c r="I2643" s="2">
        <v>316.52999999999997</v>
      </c>
    </row>
    <row r="2644" spans="1:9" x14ac:dyDescent="0.3">
      <c r="A2644" t="str">
        <f t="shared" si="905"/>
        <v>United States</v>
      </c>
      <c r="B2644" t="str">
        <f t="shared" si="900"/>
        <v>Long Beach</v>
      </c>
      <c r="C2644" t="str">
        <f t="shared" si="906"/>
        <v>Standard Class</v>
      </c>
      <c r="D2644" t="str">
        <f t="shared" si="907"/>
        <v>Consumer</v>
      </c>
      <c r="E2644" t="s">
        <v>24</v>
      </c>
      <c r="F2644">
        <v>21</v>
      </c>
      <c r="G2644">
        <v>0.60000000000000009</v>
      </c>
      <c r="H2644" s="2">
        <v>200.59119999999999</v>
      </c>
      <c r="I2644" s="2">
        <v>919.096</v>
      </c>
    </row>
    <row r="2645" spans="1:9" x14ac:dyDescent="0.3">
      <c r="A2645" t="str">
        <f t="shared" si="905"/>
        <v>United States</v>
      </c>
      <c r="B2645" t="str">
        <f t="shared" si="900"/>
        <v>Long Beach</v>
      </c>
      <c r="C2645" t="str">
        <f t="shared" si="906"/>
        <v>Standard Class</v>
      </c>
      <c r="D2645" t="str">
        <f t="shared" si="907"/>
        <v>Consumer</v>
      </c>
      <c r="E2645" t="s">
        <v>14</v>
      </c>
      <c r="F2645">
        <v>6</v>
      </c>
      <c r="G2645">
        <v>0</v>
      </c>
      <c r="H2645" s="2">
        <v>83.843999999999937</v>
      </c>
      <c r="I2645" s="2">
        <v>1676.88</v>
      </c>
    </row>
    <row r="2646" spans="1:9" x14ac:dyDescent="0.3">
      <c r="A2646" t="str">
        <f t="shared" si="905"/>
        <v>United States</v>
      </c>
      <c r="B2646" t="str">
        <f t="shared" si="900"/>
        <v>Long Beach</v>
      </c>
      <c r="C2646" t="str">
        <f t="shared" si="906"/>
        <v>Standard Class</v>
      </c>
      <c r="D2646" t="str">
        <f t="shared" si="907"/>
        <v>Consumer</v>
      </c>
      <c r="E2646" t="s">
        <v>9</v>
      </c>
      <c r="F2646">
        <v>4</v>
      </c>
      <c r="G2646">
        <v>0</v>
      </c>
      <c r="H2646" s="2">
        <v>16.123999999999995</v>
      </c>
      <c r="I2646" s="2">
        <v>55.6</v>
      </c>
    </row>
    <row r="2647" spans="1:9" x14ac:dyDescent="0.3">
      <c r="A2647" t="str">
        <f t="shared" si="905"/>
        <v>United States</v>
      </c>
      <c r="B2647" t="str">
        <f t="shared" si="900"/>
        <v>Long Beach</v>
      </c>
      <c r="C2647" t="str">
        <f t="shared" si="906"/>
        <v>Standard Class</v>
      </c>
      <c r="D2647" t="str">
        <f t="shared" si="907"/>
        <v>Consumer</v>
      </c>
      <c r="E2647" t="s">
        <v>25</v>
      </c>
      <c r="F2647">
        <v>4</v>
      </c>
      <c r="G2647">
        <v>0.4</v>
      </c>
      <c r="H2647" s="2">
        <v>-14.760300000000049</v>
      </c>
      <c r="I2647" s="2">
        <v>405.45600000000002</v>
      </c>
    </row>
    <row r="2648" spans="1:9" x14ac:dyDescent="0.3">
      <c r="A2648" t="str">
        <f t="shared" si="905"/>
        <v>United States</v>
      </c>
      <c r="B2648" t="str">
        <f t="shared" si="900"/>
        <v>Long Beach</v>
      </c>
      <c r="C2648" t="str">
        <f t="shared" si="906"/>
        <v>Standard Class</v>
      </c>
      <c r="D2648" t="s">
        <v>15</v>
      </c>
      <c r="E2648" t="s">
        <v>12</v>
      </c>
      <c r="F2648">
        <v>2</v>
      </c>
      <c r="G2648">
        <v>0</v>
      </c>
      <c r="H2648" s="2">
        <v>4.1950000000000003</v>
      </c>
      <c r="I2648" s="2">
        <v>16.78</v>
      </c>
    </row>
    <row r="2649" spans="1:9" x14ac:dyDescent="0.3">
      <c r="A2649" t="str">
        <f t="shared" si="905"/>
        <v>United States</v>
      </c>
      <c r="B2649" t="str">
        <f t="shared" si="900"/>
        <v>Long Beach</v>
      </c>
      <c r="C2649" t="str">
        <f t="shared" si="906"/>
        <v>Standard Class</v>
      </c>
      <c r="D2649" t="str">
        <f t="shared" ref="D2649:D2655" si="908">D2648</f>
        <v>Corporate</v>
      </c>
      <c r="E2649" t="s">
        <v>19</v>
      </c>
      <c r="F2649">
        <v>1</v>
      </c>
      <c r="G2649">
        <v>0</v>
      </c>
      <c r="H2649" s="2">
        <v>0.79380000000000006</v>
      </c>
      <c r="I2649" s="2">
        <v>2.94</v>
      </c>
    </row>
    <row r="2650" spans="1:9" x14ac:dyDescent="0.3">
      <c r="A2650" t="str">
        <f t="shared" si="905"/>
        <v>United States</v>
      </c>
      <c r="B2650" t="str">
        <f t="shared" si="900"/>
        <v>Long Beach</v>
      </c>
      <c r="C2650" t="str">
        <f t="shared" si="906"/>
        <v>Standard Class</v>
      </c>
      <c r="D2650" t="str">
        <f t="shared" si="908"/>
        <v>Corporate</v>
      </c>
      <c r="E2650" t="s">
        <v>20</v>
      </c>
      <c r="F2650">
        <v>11</v>
      </c>
      <c r="G2650">
        <v>0.4</v>
      </c>
      <c r="H2650" s="2">
        <v>59.333499999999994</v>
      </c>
      <c r="I2650" s="2">
        <v>173.99199999999999</v>
      </c>
    </row>
    <row r="2651" spans="1:9" x14ac:dyDescent="0.3">
      <c r="A2651" t="str">
        <f t="shared" si="905"/>
        <v>United States</v>
      </c>
      <c r="B2651" t="str">
        <f t="shared" si="900"/>
        <v>Long Beach</v>
      </c>
      <c r="C2651" t="str">
        <f t="shared" si="906"/>
        <v>Standard Class</v>
      </c>
      <c r="D2651" t="str">
        <f t="shared" si="908"/>
        <v>Corporate</v>
      </c>
      <c r="E2651" t="s">
        <v>18</v>
      </c>
      <c r="F2651">
        <v>2</v>
      </c>
      <c r="G2651">
        <v>0</v>
      </c>
      <c r="H2651" s="2">
        <v>3.58</v>
      </c>
      <c r="I2651" s="2">
        <v>7.16</v>
      </c>
    </row>
    <row r="2652" spans="1:9" x14ac:dyDescent="0.3">
      <c r="A2652" t="str">
        <f t="shared" si="905"/>
        <v>United States</v>
      </c>
      <c r="B2652" t="str">
        <f t="shared" si="900"/>
        <v>Long Beach</v>
      </c>
      <c r="C2652" t="str">
        <f t="shared" si="906"/>
        <v>Standard Class</v>
      </c>
      <c r="D2652" t="str">
        <f t="shared" si="908"/>
        <v>Corporate</v>
      </c>
      <c r="E2652" t="s">
        <v>43</v>
      </c>
      <c r="F2652">
        <v>4</v>
      </c>
      <c r="G2652">
        <v>0</v>
      </c>
      <c r="H2652" s="2">
        <v>19.872</v>
      </c>
      <c r="I2652" s="2">
        <v>41.4</v>
      </c>
    </row>
    <row r="2653" spans="1:9" x14ac:dyDescent="0.3">
      <c r="A2653" t="str">
        <f t="shared" si="905"/>
        <v>United States</v>
      </c>
      <c r="B2653" t="str">
        <f t="shared" si="900"/>
        <v>Long Beach</v>
      </c>
      <c r="C2653" t="str">
        <f t="shared" si="906"/>
        <v>Standard Class</v>
      </c>
      <c r="D2653" t="str">
        <f t="shared" si="908"/>
        <v>Corporate</v>
      </c>
      <c r="E2653" t="s">
        <v>16</v>
      </c>
      <c r="F2653">
        <v>8</v>
      </c>
      <c r="G2653">
        <v>0</v>
      </c>
      <c r="H2653" s="2">
        <v>38.1892</v>
      </c>
      <c r="I2653" s="2">
        <v>80.84</v>
      </c>
    </row>
    <row r="2654" spans="1:9" x14ac:dyDescent="0.3">
      <c r="A2654" t="str">
        <f t="shared" si="905"/>
        <v>United States</v>
      </c>
      <c r="B2654" t="str">
        <f t="shared" si="900"/>
        <v>Long Beach</v>
      </c>
      <c r="C2654" t="str">
        <f t="shared" si="906"/>
        <v>Standard Class</v>
      </c>
      <c r="D2654" t="str">
        <f t="shared" si="908"/>
        <v>Corporate</v>
      </c>
      <c r="E2654" t="s">
        <v>9</v>
      </c>
      <c r="F2654">
        <v>2</v>
      </c>
      <c r="G2654">
        <v>0</v>
      </c>
      <c r="H2654" s="2">
        <v>4.4564000000000004</v>
      </c>
      <c r="I2654" s="2">
        <v>17.14</v>
      </c>
    </row>
    <row r="2655" spans="1:9" x14ac:dyDescent="0.3">
      <c r="A2655" t="str">
        <f t="shared" si="905"/>
        <v>United States</v>
      </c>
      <c r="B2655" t="str">
        <f t="shared" si="900"/>
        <v>Long Beach</v>
      </c>
      <c r="C2655" t="str">
        <f t="shared" si="906"/>
        <v>Standard Class</v>
      </c>
      <c r="D2655" t="str">
        <f t="shared" si="908"/>
        <v>Corporate</v>
      </c>
      <c r="E2655" t="s">
        <v>25</v>
      </c>
      <c r="F2655">
        <v>3</v>
      </c>
      <c r="G2655">
        <v>0.4</v>
      </c>
      <c r="H2655" s="2">
        <v>-347.11740000000009</v>
      </c>
      <c r="I2655" s="2">
        <v>991.76400000000012</v>
      </c>
    </row>
    <row r="2656" spans="1:9" x14ac:dyDescent="0.3">
      <c r="A2656" t="str">
        <f t="shared" si="905"/>
        <v>United States</v>
      </c>
      <c r="B2656" t="s">
        <v>293</v>
      </c>
      <c r="C2656" t="s">
        <v>11</v>
      </c>
      <c r="D2656" t="s">
        <v>8</v>
      </c>
      <c r="E2656" t="s">
        <v>33</v>
      </c>
      <c r="F2656">
        <v>4</v>
      </c>
      <c r="G2656">
        <v>0.2</v>
      </c>
      <c r="H2656" s="2">
        <v>54.352799999999945</v>
      </c>
      <c r="I2656" s="2">
        <v>483.13599999999997</v>
      </c>
    </row>
    <row r="2657" spans="1:9" x14ac:dyDescent="0.3">
      <c r="A2657" t="str">
        <f t="shared" si="905"/>
        <v>United States</v>
      </c>
      <c r="B2657" t="str">
        <f t="shared" ref="B2657:B2658" si="909">B2656</f>
        <v>Longmont</v>
      </c>
      <c r="C2657" t="str">
        <f>C2656</f>
        <v>First Class</v>
      </c>
      <c r="D2657" t="str">
        <f>D2656</f>
        <v>Consumer</v>
      </c>
      <c r="E2657" t="s">
        <v>21</v>
      </c>
      <c r="F2657">
        <v>3</v>
      </c>
      <c r="G2657">
        <v>0.2</v>
      </c>
      <c r="H2657" s="2">
        <v>-13.317600000000013</v>
      </c>
      <c r="I2657" s="2">
        <v>266.35200000000003</v>
      </c>
    </row>
    <row r="2658" spans="1:9" x14ac:dyDescent="0.3">
      <c r="A2658" t="str">
        <f t="shared" si="905"/>
        <v>United States</v>
      </c>
      <c r="B2658" t="str">
        <f t="shared" si="909"/>
        <v>Longmont</v>
      </c>
      <c r="C2658" t="s">
        <v>22</v>
      </c>
      <c r="D2658" t="s">
        <v>15</v>
      </c>
      <c r="E2658" t="s">
        <v>23</v>
      </c>
      <c r="F2658">
        <v>3</v>
      </c>
      <c r="G2658">
        <v>0.2</v>
      </c>
      <c r="H2658" s="2">
        <v>-6.2100000000000151</v>
      </c>
      <c r="I2658" s="2">
        <v>165.60000000000002</v>
      </c>
    </row>
    <row r="2659" spans="1:9" x14ac:dyDescent="0.3">
      <c r="A2659" t="str">
        <f t="shared" si="905"/>
        <v>United States</v>
      </c>
      <c r="B2659" t="s">
        <v>294</v>
      </c>
      <c r="C2659" t="s">
        <v>7</v>
      </c>
      <c r="D2659" t="s">
        <v>8</v>
      </c>
      <c r="E2659" t="s">
        <v>12</v>
      </c>
      <c r="F2659">
        <v>2</v>
      </c>
      <c r="G2659">
        <v>0</v>
      </c>
      <c r="H2659" s="2">
        <v>22.074799999999996</v>
      </c>
      <c r="I2659" s="2">
        <v>76.12</v>
      </c>
    </row>
    <row r="2660" spans="1:9" x14ac:dyDescent="0.3">
      <c r="A2660" t="str">
        <f t="shared" si="905"/>
        <v>United States</v>
      </c>
      <c r="B2660" t="str">
        <f t="shared" ref="B2660:B2661" si="910">B2659</f>
        <v>Longview</v>
      </c>
      <c r="C2660" t="str">
        <f t="shared" ref="C2660:C2661" si="911">C2659</f>
        <v>Second Class</v>
      </c>
      <c r="D2660" t="str">
        <f t="shared" ref="D2660:D2661" si="912">D2659</f>
        <v>Consumer</v>
      </c>
      <c r="E2660" t="s">
        <v>18</v>
      </c>
      <c r="F2660">
        <v>3</v>
      </c>
      <c r="G2660">
        <v>0</v>
      </c>
      <c r="H2660" s="2">
        <v>9.120000000000001</v>
      </c>
      <c r="I2660" s="2">
        <v>18.240000000000002</v>
      </c>
    </row>
    <row r="2661" spans="1:9" x14ac:dyDescent="0.3">
      <c r="A2661" t="str">
        <f t="shared" si="905"/>
        <v>United States</v>
      </c>
      <c r="B2661" t="str">
        <f t="shared" si="910"/>
        <v>Longview</v>
      </c>
      <c r="C2661" t="str">
        <f t="shared" si="911"/>
        <v>Second Class</v>
      </c>
      <c r="D2661" t="str">
        <f t="shared" si="912"/>
        <v>Consumer</v>
      </c>
      <c r="E2661" t="s">
        <v>21</v>
      </c>
      <c r="F2661">
        <v>5</v>
      </c>
      <c r="G2661">
        <v>0</v>
      </c>
      <c r="H2661" s="2">
        <v>7.7034999999999982</v>
      </c>
      <c r="I2661" s="2">
        <v>24.849999999999998</v>
      </c>
    </row>
    <row r="2662" spans="1:9" x14ac:dyDescent="0.3">
      <c r="A2662" t="str">
        <f t="shared" si="905"/>
        <v>United States</v>
      </c>
      <c r="B2662" t="s">
        <v>295</v>
      </c>
      <c r="C2662" t="s">
        <v>27</v>
      </c>
      <c r="D2662" t="s">
        <v>15</v>
      </c>
      <c r="E2662" t="s">
        <v>23</v>
      </c>
      <c r="F2662">
        <v>6</v>
      </c>
      <c r="G2662">
        <v>0.2</v>
      </c>
      <c r="H2662" s="2">
        <v>76.790399999999977</v>
      </c>
      <c r="I2662" s="2">
        <v>383.952</v>
      </c>
    </row>
    <row r="2663" spans="1:9" x14ac:dyDescent="0.3">
      <c r="A2663" t="str">
        <f t="shared" si="905"/>
        <v>United States</v>
      </c>
      <c r="B2663" t="str">
        <f t="shared" ref="B2663:B2670" si="913">B2662</f>
        <v>Lorain</v>
      </c>
      <c r="C2663" t="str">
        <f>C2662</f>
        <v>Same Day</v>
      </c>
      <c r="D2663" t="str">
        <f>D2662</f>
        <v>Corporate</v>
      </c>
      <c r="E2663" t="s">
        <v>20</v>
      </c>
      <c r="F2663">
        <v>3</v>
      </c>
      <c r="G2663">
        <v>0.7</v>
      </c>
      <c r="H2663" s="2">
        <v>-14.331299999999992</v>
      </c>
      <c r="I2663" s="2">
        <v>18.693000000000001</v>
      </c>
    </row>
    <row r="2664" spans="1:9" x14ac:dyDescent="0.3">
      <c r="A2664" t="str">
        <f t="shared" si="905"/>
        <v>United States</v>
      </c>
      <c r="B2664" t="str">
        <f t="shared" si="913"/>
        <v>Lorain</v>
      </c>
      <c r="C2664" t="s">
        <v>7</v>
      </c>
      <c r="D2664" t="s">
        <v>15</v>
      </c>
      <c r="E2664" t="s">
        <v>25</v>
      </c>
      <c r="F2664">
        <v>8</v>
      </c>
      <c r="G2664">
        <v>0.4</v>
      </c>
      <c r="H2664" s="2">
        <v>-734.52639999999997</v>
      </c>
      <c r="I2664" s="2">
        <v>1421.664</v>
      </c>
    </row>
    <row r="2665" spans="1:9" x14ac:dyDescent="0.3">
      <c r="A2665" t="str">
        <f t="shared" si="905"/>
        <v>United States</v>
      </c>
      <c r="B2665" t="str">
        <f t="shared" si="913"/>
        <v>Lorain</v>
      </c>
      <c r="C2665" t="s">
        <v>22</v>
      </c>
      <c r="D2665" t="s">
        <v>8</v>
      </c>
      <c r="E2665" t="s">
        <v>21</v>
      </c>
      <c r="F2665">
        <v>4</v>
      </c>
      <c r="G2665">
        <v>0.2</v>
      </c>
      <c r="H2665" s="2">
        <v>8.5567999999999991</v>
      </c>
      <c r="I2665" s="2">
        <v>48.896000000000001</v>
      </c>
    </row>
    <row r="2666" spans="1:9" x14ac:dyDescent="0.3">
      <c r="A2666" t="str">
        <f t="shared" si="905"/>
        <v>United States</v>
      </c>
      <c r="B2666" t="str">
        <f t="shared" si="913"/>
        <v>Lorain</v>
      </c>
      <c r="C2666" t="str">
        <f t="shared" ref="C2666:C2670" si="914">C2665</f>
        <v>Standard Class</v>
      </c>
      <c r="D2666" t="s">
        <v>17</v>
      </c>
      <c r="E2666" t="s">
        <v>18</v>
      </c>
      <c r="F2666">
        <v>2</v>
      </c>
      <c r="G2666">
        <v>0.2</v>
      </c>
      <c r="H2666" s="2">
        <v>1.7138000000000002</v>
      </c>
      <c r="I2666" s="2">
        <v>7.2160000000000002</v>
      </c>
    </row>
    <row r="2667" spans="1:9" x14ac:dyDescent="0.3">
      <c r="A2667" t="str">
        <f t="shared" si="905"/>
        <v>United States</v>
      </c>
      <c r="B2667" t="str">
        <f t="shared" si="913"/>
        <v>Lorain</v>
      </c>
      <c r="C2667" t="str">
        <f t="shared" si="914"/>
        <v>Standard Class</v>
      </c>
      <c r="D2667" t="str">
        <f t="shared" ref="D2667:D2670" si="915">D2666</f>
        <v>Home Office</v>
      </c>
      <c r="E2667" t="s">
        <v>21</v>
      </c>
      <c r="F2667">
        <v>7</v>
      </c>
      <c r="G2667">
        <v>0.2</v>
      </c>
      <c r="H2667" s="2">
        <v>11.626299999999999</v>
      </c>
      <c r="I2667" s="2">
        <v>54.711999999999996</v>
      </c>
    </row>
    <row r="2668" spans="1:9" x14ac:dyDescent="0.3">
      <c r="A2668" t="str">
        <f t="shared" si="905"/>
        <v>United States</v>
      </c>
      <c r="B2668" t="str">
        <f t="shared" si="913"/>
        <v>Lorain</v>
      </c>
      <c r="C2668" t="str">
        <f t="shared" si="914"/>
        <v>Standard Class</v>
      </c>
      <c r="D2668" t="str">
        <f t="shared" si="915"/>
        <v>Home Office</v>
      </c>
      <c r="E2668" t="s">
        <v>16</v>
      </c>
      <c r="F2668">
        <v>2</v>
      </c>
      <c r="G2668">
        <v>0.2</v>
      </c>
      <c r="H2668" s="2">
        <v>15.489999999999997</v>
      </c>
      <c r="I2668" s="2">
        <v>49.568000000000005</v>
      </c>
    </row>
    <row r="2669" spans="1:9" x14ac:dyDescent="0.3">
      <c r="A2669" t="str">
        <f t="shared" si="905"/>
        <v>United States</v>
      </c>
      <c r="B2669" t="str">
        <f t="shared" si="913"/>
        <v>Lorain</v>
      </c>
      <c r="C2669" t="str">
        <f t="shared" si="914"/>
        <v>Standard Class</v>
      </c>
      <c r="D2669" t="str">
        <f t="shared" si="915"/>
        <v>Home Office</v>
      </c>
      <c r="E2669" t="s">
        <v>24</v>
      </c>
      <c r="F2669">
        <v>1</v>
      </c>
      <c r="G2669">
        <v>0.4</v>
      </c>
      <c r="H2669" s="2">
        <v>-0.64350000000000018</v>
      </c>
      <c r="I2669" s="2">
        <v>2.97</v>
      </c>
    </row>
    <row r="2670" spans="1:9" x14ac:dyDescent="0.3">
      <c r="A2670" t="str">
        <f t="shared" si="905"/>
        <v>United States</v>
      </c>
      <c r="B2670" t="str">
        <f t="shared" si="913"/>
        <v>Lorain</v>
      </c>
      <c r="C2670" t="str">
        <f t="shared" si="914"/>
        <v>Standard Class</v>
      </c>
      <c r="D2670" t="str">
        <f t="shared" si="915"/>
        <v>Home Office</v>
      </c>
      <c r="E2670" t="s">
        <v>14</v>
      </c>
      <c r="F2670">
        <v>2</v>
      </c>
      <c r="G2670">
        <v>0.2</v>
      </c>
      <c r="H2670" s="2">
        <v>2.4009999999999998</v>
      </c>
      <c r="I2670" s="2">
        <v>27.439999999999998</v>
      </c>
    </row>
    <row r="2671" spans="1:9" x14ac:dyDescent="0.3">
      <c r="A2671" t="str">
        <f t="shared" si="905"/>
        <v>United States</v>
      </c>
      <c r="B2671" t="s">
        <v>296</v>
      </c>
      <c r="C2671" t="s">
        <v>11</v>
      </c>
      <c r="D2671" t="s">
        <v>8</v>
      </c>
      <c r="E2671" t="s">
        <v>23</v>
      </c>
      <c r="F2671">
        <v>30</v>
      </c>
      <c r="G2671">
        <v>0</v>
      </c>
      <c r="H2671" s="2">
        <v>1163.1370999999999</v>
      </c>
      <c r="I2671" s="2">
        <v>3438.82</v>
      </c>
    </row>
    <row r="2672" spans="1:9" x14ac:dyDescent="0.3">
      <c r="A2672" t="str">
        <f t="shared" si="905"/>
        <v>United States</v>
      </c>
      <c r="B2672" t="str">
        <f t="shared" ref="B2672:B2703" si="916">B2671</f>
        <v>Los Angeles</v>
      </c>
      <c r="C2672" t="str">
        <f t="shared" ref="C2672:C2707" si="917">C2671</f>
        <v>First Class</v>
      </c>
      <c r="D2672" t="str">
        <f t="shared" ref="D2672:D2684" si="918">D2671</f>
        <v>Consumer</v>
      </c>
      <c r="E2672" t="s">
        <v>12</v>
      </c>
      <c r="F2672">
        <v>13</v>
      </c>
      <c r="G2672">
        <v>0</v>
      </c>
      <c r="H2672" s="2">
        <v>518.7414</v>
      </c>
      <c r="I2672" s="2">
        <v>1413.18</v>
      </c>
    </row>
    <row r="2673" spans="1:9" x14ac:dyDescent="0.3">
      <c r="A2673" t="str">
        <f t="shared" si="905"/>
        <v>United States</v>
      </c>
      <c r="B2673" t="str">
        <f t="shared" si="916"/>
        <v>Los Angeles</v>
      </c>
      <c r="C2673" t="str">
        <f t="shared" si="917"/>
        <v>First Class</v>
      </c>
      <c r="D2673" t="str">
        <f t="shared" si="918"/>
        <v>Consumer</v>
      </c>
      <c r="E2673" t="s">
        <v>19</v>
      </c>
      <c r="F2673">
        <v>37</v>
      </c>
      <c r="G2673">
        <v>0</v>
      </c>
      <c r="H2673" s="2">
        <v>110.9363</v>
      </c>
      <c r="I2673" s="2">
        <v>385.56</v>
      </c>
    </row>
    <row r="2674" spans="1:9" x14ac:dyDescent="0.3">
      <c r="A2674" t="str">
        <f t="shared" si="905"/>
        <v>United States</v>
      </c>
      <c r="B2674" t="str">
        <f t="shared" si="916"/>
        <v>Los Angeles</v>
      </c>
      <c r="C2674" t="str">
        <f t="shared" si="917"/>
        <v>First Class</v>
      </c>
      <c r="D2674" t="str">
        <f t="shared" si="918"/>
        <v>Consumer</v>
      </c>
      <c r="E2674" t="s">
        <v>20</v>
      </c>
      <c r="F2674">
        <v>21</v>
      </c>
      <c r="G2674">
        <v>1.2</v>
      </c>
      <c r="H2674" s="2">
        <v>358.89929999999987</v>
      </c>
      <c r="I2674" s="2">
        <v>1049.7359999999999</v>
      </c>
    </row>
    <row r="2675" spans="1:9" x14ac:dyDescent="0.3">
      <c r="A2675" t="str">
        <f t="shared" si="905"/>
        <v>United States</v>
      </c>
      <c r="B2675" t="str">
        <f t="shared" si="916"/>
        <v>Los Angeles</v>
      </c>
      <c r="C2675" t="str">
        <f t="shared" si="917"/>
        <v>First Class</v>
      </c>
      <c r="D2675" t="str">
        <f t="shared" si="918"/>
        <v>Consumer</v>
      </c>
      <c r="E2675" t="s">
        <v>34</v>
      </c>
      <c r="F2675">
        <v>2</v>
      </c>
      <c r="G2675">
        <v>0.15</v>
      </c>
      <c r="H2675" s="2">
        <v>14.097999999999999</v>
      </c>
      <c r="I2675" s="2">
        <v>239.66599999999997</v>
      </c>
    </row>
    <row r="2676" spans="1:9" x14ac:dyDescent="0.3">
      <c r="A2676" t="str">
        <f t="shared" si="905"/>
        <v>United States</v>
      </c>
      <c r="B2676" t="str">
        <f t="shared" si="916"/>
        <v>Los Angeles</v>
      </c>
      <c r="C2676" t="str">
        <f t="shared" si="917"/>
        <v>First Class</v>
      </c>
      <c r="D2676" t="str">
        <f t="shared" si="918"/>
        <v>Consumer</v>
      </c>
      <c r="E2676" t="s">
        <v>33</v>
      </c>
      <c r="F2676">
        <v>17</v>
      </c>
      <c r="G2676">
        <v>1</v>
      </c>
      <c r="H2676" s="2">
        <v>-110.45980000000009</v>
      </c>
      <c r="I2676" s="2">
        <v>4201.2160000000003</v>
      </c>
    </row>
    <row r="2677" spans="1:9" x14ac:dyDescent="0.3">
      <c r="A2677" t="str">
        <f t="shared" si="905"/>
        <v>United States</v>
      </c>
      <c r="B2677" t="str">
        <f t="shared" si="916"/>
        <v>Los Angeles</v>
      </c>
      <c r="C2677" t="str">
        <f t="shared" si="917"/>
        <v>First Class</v>
      </c>
      <c r="D2677" t="str">
        <f t="shared" si="918"/>
        <v>Consumer</v>
      </c>
      <c r="E2677" t="s">
        <v>38</v>
      </c>
      <c r="F2677">
        <v>3</v>
      </c>
      <c r="G2677">
        <v>0</v>
      </c>
      <c r="H2677" s="2">
        <v>10.4832</v>
      </c>
      <c r="I2677" s="2">
        <v>21.84</v>
      </c>
    </row>
    <row r="2678" spans="1:9" x14ac:dyDescent="0.3">
      <c r="A2678" t="str">
        <f t="shared" si="905"/>
        <v>United States</v>
      </c>
      <c r="B2678" t="str">
        <f t="shared" si="916"/>
        <v>Los Angeles</v>
      </c>
      <c r="C2678" t="str">
        <f t="shared" si="917"/>
        <v>First Class</v>
      </c>
      <c r="D2678" t="str">
        <f t="shared" si="918"/>
        <v>Consumer</v>
      </c>
      <c r="E2678" t="s">
        <v>18</v>
      </c>
      <c r="F2678">
        <v>2</v>
      </c>
      <c r="G2678">
        <v>0</v>
      </c>
      <c r="H2678" s="2">
        <v>7.9200000000000159E-2</v>
      </c>
      <c r="I2678" s="2">
        <v>3.96</v>
      </c>
    </row>
    <row r="2679" spans="1:9" x14ac:dyDescent="0.3">
      <c r="A2679" t="str">
        <f t="shared" si="905"/>
        <v>United States</v>
      </c>
      <c r="B2679" t="str">
        <f t="shared" si="916"/>
        <v>Los Angeles</v>
      </c>
      <c r="C2679" t="str">
        <f t="shared" si="917"/>
        <v>First Class</v>
      </c>
      <c r="D2679" t="str">
        <f t="shared" si="918"/>
        <v>Consumer</v>
      </c>
      <c r="E2679" t="s">
        <v>21</v>
      </c>
      <c r="F2679">
        <v>11</v>
      </c>
      <c r="G2679">
        <v>0</v>
      </c>
      <c r="H2679" s="2">
        <v>57.718799999999987</v>
      </c>
      <c r="I2679" s="2">
        <v>130.37</v>
      </c>
    </row>
    <row r="2680" spans="1:9" x14ac:dyDescent="0.3">
      <c r="A2680" t="str">
        <f t="shared" si="905"/>
        <v>United States</v>
      </c>
      <c r="B2680" t="str">
        <f t="shared" si="916"/>
        <v>Los Angeles</v>
      </c>
      <c r="C2680" t="str">
        <f t="shared" si="917"/>
        <v>First Class</v>
      </c>
      <c r="D2680" t="str">
        <f t="shared" si="918"/>
        <v>Consumer</v>
      </c>
      <c r="E2680" t="s">
        <v>43</v>
      </c>
      <c r="F2680">
        <v>13</v>
      </c>
      <c r="G2680">
        <v>0</v>
      </c>
      <c r="H2680" s="2">
        <v>52.023699999999991</v>
      </c>
      <c r="I2680" s="2">
        <v>110.21</v>
      </c>
    </row>
    <row r="2681" spans="1:9" x14ac:dyDescent="0.3">
      <c r="A2681" t="str">
        <f t="shared" si="905"/>
        <v>United States</v>
      </c>
      <c r="B2681" t="str">
        <f t="shared" si="916"/>
        <v>Los Angeles</v>
      </c>
      <c r="C2681" t="str">
        <f t="shared" si="917"/>
        <v>First Class</v>
      </c>
      <c r="D2681" t="str">
        <f t="shared" si="918"/>
        <v>Consumer</v>
      </c>
      <c r="E2681" t="s">
        <v>16</v>
      </c>
      <c r="F2681">
        <v>34</v>
      </c>
      <c r="G2681">
        <v>0</v>
      </c>
      <c r="H2681" s="2">
        <v>200.34799999999996</v>
      </c>
      <c r="I2681" s="2">
        <v>415.04</v>
      </c>
    </row>
    <row r="2682" spans="1:9" x14ac:dyDescent="0.3">
      <c r="A2682" t="str">
        <f t="shared" si="905"/>
        <v>United States</v>
      </c>
      <c r="B2682" t="str">
        <f t="shared" si="916"/>
        <v>Los Angeles</v>
      </c>
      <c r="C2682" t="str">
        <f t="shared" si="917"/>
        <v>First Class</v>
      </c>
      <c r="D2682" t="str">
        <f t="shared" si="918"/>
        <v>Consumer</v>
      </c>
      <c r="E2682" t="s">
        <v>24</v>
      </c>
      <c r="F2682">
        <v>11</v>
      </c>
      <c r="G2682">
        <v>0.60000000000000009</v>
      </c>
      <c r="H2682" s="2">
        <v>84.778400000000005</v>
      </c>
      <c r="I2682" s="2">
        <v>933.51200000000006</v>
      </c>
    </row>
    <row r="2683" spans="1:9" x14ac:dyDescent="0.3">
      <c r="A2683" t="str">
        <f t="shared" si="905"/>
        <v>United States</v>
      </c>
      <c r="B2683" t="str">
        <f t="shared" si="916"/>
        <v>Los Angeles</v>
      </c>
      <c r="C2683" t="str">
        <f t="shared" si="917"/>
        <v>First Class</v>
      </c>
      <c r="D2683" t="str">
        <f t="shared" si="918"/>
        <v>Consumer</v>
      </c>
      <c r="E2683" t="s">
        <v>14</v>
      </c>
      <c r="F2683">
        <v>5</v>
      </c>
      <c r="G2683">
        <v>0</v>
      </c>
      <c r="H2683" s="2">
        <v>67.827999999999989</v>
      </c>
      <c r="I2683" s="2">
        <v>245.17000000000002</v>
      </c>
    </row>
    <row r="2684" spans="1:9" x14ac:dyDescent="0.3">
      <c r="A2684" t="str">
        <f t="shared" si="905"/>
        <v>United States</v>
      </c>
      <c r="B2684" t="str">
        <f t="shared" si="916"/>
        <v>Los Angeles</v>
      </c>
      <c r="C2684" t="str">
        <f t="shared" si="917"/>
        <v>First Class</v>
      </c>
      <c r="D2684" t="str">
        <f t="shared" si="918"/>
        <v>Consumer</v>
      </c>
      <c r="E2684" t="s">
        <v>9</v>
      </c>
      <c r="F2684">
        <v>9</v>
      </c>
      <c r="G2684">
        <v>0</v>
      </c>
      <c r="H2684" s="2">
        <v>5.8348000000000004</v>
      </c>
      <c r="I2684" s="2">
        <v>46.22</v>
      </c>
    </row>
    <row r="2685" spans="1:9" x14ac:dyDescent="0.3">
      <c r="A2685" t="str">
        <f t="shared" si="905"/>
        <v>United States</v>
      </c>
      <c r="B2685" t="str">
        <f t="shared" si="916"/>
        <v>Los Angeles</v>
      </c>
      <c r="C2685" t="str">
        <f t="shared" si="917"/>
        <v>First Class</v>
      </c>
      <c r="D2685" t="s">
        <v>15</v>
      </c>
      <c r="E2685" t="s">
        <v>23</v>
      </c>
      <c r="F2685">
        <v>10</v>
      </c>
      <c r="G2685">
        <v>0</v>
      </c>
      <c r="H2685" s="2">
        <v>162.66119999999995</v>
      </c>
      <c r="I2685" s="2">
        <v>494.21</v>
      </c>
    </row>
    <row r="2686" spans="1:9" x14ac:dyDescent="0.3">
      <c r="A2686" t="str">
        <f t="shared" si="905"/>
        <v>United States</v>
      </c>
      <c r="B2686" t="str">
        <f t="shared" si="916"/>
        <v>Los Angeles</v>
      </c>
      <c r="C2686" t="str">
        <f t="shared" si="917"/>
        <v>First Class</v>
      </c>
      <c r="D2686" t="str">
        <f t="shared" ref="D2686:D2695" si="919">D2685</f>
        <v>Corporate</v>
      </c>
      <c r="E2686" t="s">
        <v>20</v>
      </c>
      <c r="F2686">
        <v>19</v>
      </c>
      <c r="G2686">
        <v>1.2</v>
      </c>
      <c r="H2686" s="2">
        <v>35.892799999999994</v>
      </c>
      <c r="I2686" s="2">
        <v>112.096</v>
      </c>
    </row>
    <row r="2687" spans="1:9" x14ac:dyDescent="0.3">
      <c r="A2687" t="str">
        <f t="shared" si="905"/>
        <v>United States</v>
      </c>
      <c r="B2687" t="str">
        <f t="shared" si="916"/>
        <v>Los Angeles</v>
      </c>
      <c r="C2687" t="str">
        <f t="shared" si="917"/>
        <v>First Class</v>
      </c>
      <c r="D2687" t="str">
        <f t="shared" si="919"/>
        <v>Corporate</v>
      </c>
      <c r="E2687" t="s">
        <v>34</v>
      </c>
      <c r="F2687">
        <v>9</v>
      </c>
      <c r="G2687">
        <v>0.3</v>
      </c>
      <c r="H2687" s="2">
        <v>-11.096100000000028</v>
      </c>
      <c r="I2687" s="2">
        <v>922.97250000000008</v>
      </c>
    </row>
    <row r="2688" spans="1:9" x14ac:dyDescent="0.3">
      <c r="A2688" t="str">
        <f t="shared" si="905"/>
        <v>United States</v>
      </c>
      <c r="B2688" t="str">
        <f t="shared" si="916"/>
        <v>Los Angeles</v>
      </c>
      <c r="C2688" t="str">
        <f t="shared" si="917"/>
        <v>First Class</v>
      </c>
      <c r="D2688" t="str">
        <f t="shared" si="919"/>
        <v>Corporate</v>
      </c>
      <c r="E2688" t="s">
        <v>18</v>
      </c>
      <c r="F2688">
        <v>5</v>
      </c>
      <c r="G2688">
        <v>0</v>
      </c>
      <c r="H2688" s="2">
        <v>8.7945000000000011</v>
      </c>
      <c r="I2688" s="2">
        <v>22.549999999999997</v>
      </c>
    </row>
    <row r="2689" spans="1:9" x14ac:dyDescent="0.3">
      <c r="A2689" t="str">
        <f t="shared" si="905"/>
        <v>United States</v>
      </c>
      <c r="B2689" t="str">
        <f t="shared" si="916"/>
        <v>Los Angeles</v>
      </c>
      <c r="C2689" t="str">
        <f t="shared" si="917"/>
        <v>First Class</v>
      </c>
      <c r="D2689" t="str">
        <f t="shared" si="919"/>
        <v>Corporate</v>
      </c>
      <c r="E2689" t="s">
        <v>21</v>
      </c>
      <c r="F2689">
        <v>4</v>
      </c>
      <c r="G2689">
        <v>0</v>
      </c>
      <c r="H2689" s="2">
        <v>41.075999999999993</v>
      </c>
      <c r="I2689" s="2">
        <v>136.91999999999999</v>
      </c>
    </row>
    <row r="2690" spans="1:9" x14ac:dyDescent="0.3">
      <c r="A2690" t="str">
        <f t="shared" si="905"/>
        <v>United States</v>
      </c>
      <c r="B2690" t="str">
        <f t="shared" si="916"/>
        <v>Los Angeles</v>
      </c>
      <c r="C2690" t="str">
        <f t="shared" si="917"/>
        <v>First Class</v>
      </c>
      <c r="D2690" t="str">
        <f t="shared" si="919"/>
        <v>Corporate</v>
      </c>
      <c r="E2690" t="s">
        <v>43</v>
      </c>
      <c r="F2690">
        <v>4</v>
      </c>
      <c r="G2690">
        <v>0</v>
      </c>
      <c r="H2690" s="2">
        <v>13.742799999999999</v>
      </c>
      <c r="I2690" s="2">
        <v>29.24</v>
      </c>
    </row>
    <row r="2691" spans="1:9" x14ac:dyDescent="0.3">
      <c r="A2691" t="str">
        <f t="shared" si="905"/>
        <v>United States</v>
      </c>
      <c r="B2691" t="str">
        <f t="shared" si="916"/>
        <v>Los Angeles</v>
      </c>
      <c r="C2691" t="str">
        <f t="shared" si="917"/>
        <v>First Class</v>
      </c>
      <c r="D2691" t="str">
        <f t="shared" si="919"/>
        <v>Corporate</v>
      </c>
      <c r="E2691" t="s">
        <v>16</v>
      </c>
      <c r="F2691">
        <v>30</v>
      </c>
      <c r="G2691">
        <v>0</v>
      </c>
      <c r="H2691" s="2">
        <v>227.53130000000002</v>
      </c>
      <c r="I2691" s="2">
        <v>470.49</v>
      </c>
    </row>
    <row r="2692" spans="1:9" x14ac:dyDescent="0.3">
      <c r="A2692" t="str">
        <f t="shared" ref="A2692:A2755" si="920">A2691</f>
        <v>United States</v>
      </c>
      <c r="B2692" t="str">
        <f t="shared" si="916"/>
        <v>Los Angeles</v>
      </c>
      <c r="C2692" t="str">
        <f t="shared" si="917"/>
        <v>First Class</v>
      </c>
      <c r="D2692" t="str">
        <f t="shared" si="919"/>
        <v>Corporate</v>
      </c>
      <c r="E2692" t="s">
        <v>24</v>
      </c>
      <c r="F2692">
        <v>25</v>
      </c>
      <c r="G2692">
        <v>1</v>
      </c>
      <c r="H2692" s="2">
        <v>335.61020000000025</v>
      </c>
      <c r="I2692" s="2">
        <v>3522.8399999999997</v>
      </c>
    </row>
    <row r="2693" spans="1:9" x14ac:dyDescent="0.3">
      <c r="A2693" t="str">
        <f t="shared" si="920"/>
        <v>United States</v>
      </c>
      <c r="B2693" t="str">
        <f t="shared" si="916"/>
        <v>Los Angeles</v>
      </c>
      <c r="C2693" t="str">
        <f t="shared" si="917"/>
        <v>First Class</v>
      </c>
      <c r="D2693" t="str">
        <f t="shared" si="919"/>
        <v>Corporate</v>
      </c>
      <c r="E2693" t="s">
        <v>14</v>
      </c>
      <c r="F2693">
        <v>16</v>
      </c>
      <c r="G2693">
        <v>0</v>
      </c>
      <c r="H2693" s="2">
        <v>380.34860000000003</v>
      </c>
      <c r="I2693" s="2">
        <v>1763.15</v>
      </c>
    </row>
    <row r="2694" spans="1:9" x14ac:dyDescent="0.3">
      <c r="A2694" t="str">
        <f t="shared" si="920"/>
        <v>United States</v>
      </c>
      <c r="B2694" t="str">
        <f t="shared" si="916"/>
        <v>Los Angeles</v>
      </c>
      <c r="C2694" t="str">
        <f t="shared" si="917"/>
        <v>First Class</v>
      </c>
      <c r="D2694" t="str">
        <f t="shared" si="919"/>
        <v>Corporate</v>
      </c>
      <c r="E2694" t="s">
        <v>9</v>
      </c>
      <c r="F2694">
        <v>6</v>
      </c>
      <c r="G2694">
        <v>0</v>
      </c>
      <c r="H2694" s="2">
        <v>17.779400000000031</v>
      </c>
      <c r="I2694" s="2">
        <v>498.38</v>
      </c>
    </row>
    <row r="2695" spans="1:9" x14ac:dyDescent="0.3">
      <c r="A2695" t="str">
        <f t="shared" si="920"/>
        <v>United States</v>
      </c>
      <c r="B2695" t="str">
        <f t="shared" si="916"/>
        <v>Los Angeles</v>
      </c>
      <c r="C2695" t="str">
        <f t="shared" si="917"/>
        <v>First Class</v>
      </c>
      <c r="D2695" t="str">
        <f t="shared" si="919"/>
        <v>Corporate</v>
      </c>
      <c r="E2695" t="s">
        <v>25</v>
      </c>
      <c r="F2695">
        <v>11</v>
      </c>
      <c r="G2695">
        <v>0.8</v>
      </c>
      <c r="H2695" s="2">
        <v>39.148799999999902</v>
      </c>
      <c r="I2695" s="2">
        <v>1308.9359999999999</v>
      </c>
    </row>
    <row r="2696" spans="1:9" x14ac:dyDescent="0.3">
      <c r="A2696" t="str">
        <f t="shared" si="920"/>
        <v>United States</v>
      </c>
      <c r="B2696" t="str">
        <f t="shared" si="916"/>
        <v>Los Angeles</v>
      </c>
      <c r="C2696" t="str">
        <f t="shared" si="917"/>
        <v>First Class</v>
      </c>
      <c r="D2696" t="s">
        <v>17</v>
      </c>
      <c r="E2696" t="s">
        <v>23</v>
      </c>
      <c r="F2696">
        <v>8</v>
      </c>
      <c r="G2696">
        <v>0</v>
      </c>
      <c r="H2696" s="2">
        <v>44.601499999999952</v>
      </c>
      <c r="I2696" s="2">
        <v>421.85</v>
      </c>
    </row>
    <row r="2697" spans="1:9" x14ac:dyDescent="0.3">
      <c r="A2697" t="str">
        <f t="shared" si="920"/>
        <v>United States</v>
      </c>
      <c r="B2697" t="str">
        <f t="shared" si="916"/>
        <v>Los Angeles</v>
      </c>
      <c r="C2697" t="str">
        <f t="shared" si="917"/>
        <v>First Class</v>
      </c>
      <c r="D2697" t="str">
        <f t="shared" ref="D2697:D2707" si="921">D2696</f>
        <v>Home Office</v>
      </c>
      <c r="E2697" t="s">
        <v>19</v>
      </c>
      <c r="F2697">
        <v>3</v>
      </c>
      <c r="G2697">
        <v>0</v>
      </c>
      <c r="H2697" s="2">
        <v>3.4668000000000005</v>
      </c>
      <c r="I2697" s="2">
        <v>12.84</v>
      </c>
    </row>
    <row r="2698" spans="1:9" x14ac:dyDescent="0.3">
      <c r="A2698" t="str">
        <f t="shared" si="920"/>
        <v>United States</v>
      </c>
      <c r="B2698" t="str">
        <f t="shared" si="916"/>
        <v>Los Angeles</v>
      </c>
      <c r="C2698" t="str">
        <f t="shared" si="917"/>
        <v>First Class</v>
      </c>
      <c r="D2698" t="str">
        <f t="shared" si="921"/>
        <v>Home Office</v>
      </c>
      <c r="E2698" t="s">
        <v>20</v>
      </c>
      <c r="F2698">
        <v>5</v>
      </c>
      <c r="G2698">
        <v>0.4</v>
      </c>
      <c r="H2698" s="2">
        <v>38.2104</v>
      </c>
      <c r="I2698" s="2">
        <v>102.28800000000001</v>
      </c>
    </row>
    <row r="2699" spans="1:9" x14ac:dyDescent="0.3">
      <c r="A2699" t="str">
        <f t="shared" si="920"/>
        <v>United States</v>
      </c>
      <c r="B2699" t="str">
        <f t="shared" si="916"/>
        <v>Los Angeles</v>
      </c>
      <c r="C2699" t="str">
        <f t="shared" si="917"/>
        <v>First Class</v>
      </c>
      <c r="D2699" t="str">
        <f t="shared" si="921"/>
        <v>Home Office</v>
      </c>
      <c r="E2699" t="s">
        <v>34</v>
      </c>
      <c r="F2699">
        <v>7</v>
      </c>
      <c r="G2699">
        <v>0.3</v>
      </c>
      <c r="H2699" s="2">
        <v>110.71180000000005</v>
      </c>
      <c r="I2699" s="2">
        <v>2011.8309999999999</v>
      </c>
    </row>
    <row r="2700" spans="1:9" x14ac:dyDescent="0.3">
      <c r="A2700" t="str">
        <f t="shared" si="920"/>
        <v>United States</v>
      </c>
      <c r="B2700" t="str">
        <f t="shared" si="916"/>
        <v>Los Angeles</v>
      </c>
      <c r="C2700" t="str">
        <f t="shared" si="917"/>
        <v>First Class</v>
      </c>
      <c r="D2700" t="str">
        <f t="shared" si="921"/>
        <v>Home Office</v>
      </c>
      <c r="E2700" t="s">
        <v>33</v>
      </c>
      <c r="F2700">
        <v>6</v>
      </c>
      <c r="G2700">
        <v>0.4</v>
      </c>
      <c r="H2700" s="2">
        <v>18.11760000000001</v>
      </c>
      <c r="I2700" s="2">
        <v>843.10399999999993</v>
      </c>
    </row>
    <row r="2701" spans="1:9" x14ac:dyDescent="0.3">
      <c r="A2701" t="str">
        <f t="shared" si="920"/>
        <v>United States</v>
      </c>
      <c r="B2701" t="str">
        <f t="shared" si="916"/>
        <v>Los Angeles</v>
      </c>
      <c r="C2701" t="str">
        <f t="shared" si="917"/>
        <v>First Class</v>
      </c>
      <c r="D2701" t="str">
        <f t="shared" si="921"/>
        <v>Home Office</v>
      </c>
      <c r="E2701" t="s">
        <v>45</v>
      </c>
      <c r="F2701">
        <v>6</v>
      </c>
      <c r="G2701">
        <v>0.2</v>
      </c>
      <c r="H2701" s="2">
        <v>1007.9831999999999</v>
      </c>
      <c r="I2701" s="2">
        <v>2879.9520000000002</v>
      </c>
    </row>
    <row r="2702" spans="1:9" x14ac:dyDescent="0.3">
      <c r="A2702" t="str">
        <f t="shared" si="920"/>
        <v>United States</v>
      </c>
      <c r="B2702" t="str">
        <f t="shared" si="916"/>
        <v>Los Angeles</v>
      </c>
      <c r="C2702" t="str">
        <f t="shared" si="917"/>
        <v>First Class</v>
      </c>
      <c r="D2702" t="str">
        <f t="shared" si="921"/>
        <v>Home Office</v>
      </c>
      <c r="E2702" t="s">
        <v>18</v>
      </c>
      <c r="F2702">
        <v>2</v>
      </c>
      <c r="G2702">
        <v>0</v>
      </c>
      <c r="H2702" s="2">
        <v>2.5279999999999996</v>
      </c>
      <c r="I2702" s="2">
        <v>7.9</v>
      </c>
    </row>
    <row r="2703" spans="1:9" x14ac:dyDescent="0.3">
      <c r="A2703" t="str">
        <f t="shared" si="920"/>
        <v>United States</v>
      </c>
      <c r="B2703" t="str">
        <f t="shared" si="916"/>
        <v>Los Angeles</v>
      </c>
      <c r="C2703" t="str">
        <f t="shared" si="917"/>
        <v>First Class</v>
      </c>
      <c r="D2703" t="str">
        <f t="shared" si="921"/>
        <v>Home Office</v>
      </c>
      <c r="E2703" t="s">
        <v>21</v>
      </c>
      <c r="F2703">
        <v>5</v>
      </c>
      <c r="G2703">
        <v>0</v>
      </c>
      <c r="H2703" s="2">
        <v>26.732700000000001</v>
      </c>
      <c r="I2703" s="2">
        <v>89.13</v>
      </c>
    </row>
    <row r="2704" spans="1:9" x14ac:dyDescent="0.3">
      <c r="A2704" t="str">
        <f t="shared" si="920"/>
        <v>United States</v>
      </c>
      <c r="B2704" t="str">
        <f t="shared" ref="B2704:B2735" si="922">B2703</f>
        <v>Los Angeles</v>
      </c>
      <c r="C2704" t="str">
        <f t="shared" si="917"/>
        <v>First Class</v>
      </c>
      <c r="D2704" t="str">
        <f t="shared" si="921"/>
        <v>Home Office</v>
      </c>
      <c r="E2704" t="s">
        <v>43</v>
      </c>
      <c r="F2704">
        <v>2</v>
      </c>
      <c r="G2704">
        <v>0</v>
      </c>
      <c r="H2704" s="2">
        <v>14.8</v>
      </c>
      <c r="I2704" s="2">
        <v>29.6</v>
      </c>
    </row>
    <row r="2705" spans="1:9" x14ac:dyDescent="0.3">
      <c r="A2705" t="str">
        <f t="shared" si="920"/>
        <v>United States</v>
      </c>
      <c r="B2705" t="str">
        <f t="shared" si="922"/>
        <v>Los Angeles</v>
      </c>
      <c r="C2705" t="str">
        <f t="shared" si="917"/>
        <v>First Class</v>
      </c>
      <c r="D2705" t="str">
        <f t="shared" si="921"/>
        <v>Home Office</v>
      </c>
      <c r="E2705" t="s">
        <v>46</v>
      </c>
      <c r="F2705">
        <v>3</v>
      </c>
      <c r="G2705">
        <v>0.2</v>
      </c>
      <c r="H2705" s="2">
        <v>377.72999999999956</v>
      </c>
      <c r="I2705" s="2">
        <v>3357.6000000000004</v>
      </c>
    </row>
    <row r="2706" spans="1:9" x14ac:dyDescent="0.3">
      <c r="A2706" t="str">
        <f t="shared" si="920"/>
        <v>United States</v>
      </c>
      <c r="B2706" t="str">
        <f t="shared" si="922"/>
        <v>Los Angeles</v>
      </c>
      <c r="C2706" t="str">
        <f t="shared" si="917"/>
        <v>First Class</v>
      </c>
      <c r="D2706" t="str">
        <f t="shared" si="921"/>
        <v>Home Office</v>
      </c>
      <c r="E2706" t="s">
        <v>16</v>
      </c>
      <c r="F2706">
        <v>5</v>
      </c>
      <c r="G2706">
        <v>0</v>
      </c>
      <c r="H2706" s="2">
        <v>7.1519999999999992</v>
      </c>
      <c r="I2706" s="2">
        <v>14.9</v>
      </c>
    </row>
    <row r="2707" spans="1:9" x14ac:dyDescent="0.3">
      <c r="A2707" t="str">
        <f t="shared" si="920"/>
        <v>United States</v>
      </c>
      <c r="B2707" t="str">
        <f t="shared" si="922"/>
        <v>Los Angeles</v>
      </c>
      <c r="C2707" t="str">
        <f t="shared" si="917"/>
        <v>First Class</v>
      </c>
      <c r="D2707" t="str">
        <f t="shared" si="921"/>
        <v>Home Office</v>
      </c>
      <c r="E2707" t="s">
        <v>24</v>
      </c>
      <c r="F2707">
        <v>19</v>
      </c>
      <c r="G2707">
        <v>0.8</v>
      </c>
      <c r="H2707" s="2">
        <v>448.45470000000017</v>
      </c>
      <c r="I2707" s="2">
        <v>5083.5600000000013</v>
      </c>
    </row>
    <row r="2708" spans="1:9" x14ac:dyDescent="0.3">
      <c r="A2708" t="str">
        <f t="shared" si="920"/>
        <v>United States</v>
      </c>
      <c r="B2708" t="str">
        <f t="shared" si="922"/>
        <v>Los Angeles</v>
      </c>
      <c r="C2708" t="s">
        <v>27</v>
      </c>
      <c r="D2708" t="s">
        <v>8</v>
      </c>
      <c r="E2708" t="s">
        <v>19</v>
      </c>
      <c r="F2708">
        <v>2</v>
      </c>
      <c r="G2708">
        <v>0</v>
      </c>
      <c r="H2708" s="2">
        <v>2.0671999999999997</v>
      </c>
      <c r="I2708" s="2">
        <v>6.08</v>
      </c>
    </row>
    <row r="2709" spans="1:9" x14ac:dyDescent="0.3">
      <c r="A2709" t="str">
        <f t="shared" si="920"/>
        <v>United States</v>
      </c>
      <c r="B2709" t="str">
        <f t="shared" si="922"/>
        <v>Los Angeles</v>
      </c>
      <c r="C2709" t="str">
        <f t="shared" ref="C2709:C2727" si="923">C2708</f>
        <v>Same Day</v>
      </c>
      <c r="D2709" t="str">
        <f t="shared" ref="D2709:D2712" si="924">D2708</f>
        <v>Consumer</v>
      </c>
      <c r="E2709" t="s">
        <v>16</v>
      </c>
      <c r="F2709">
        <v>8</v>
      </c>
      <c r="G2709">
        <v>0</v>
      </c>
      <c r="H2709" s="2">
        <v>94.72290000000001</v>
      </c>
      <c r="I2709" s="2">
        <v>198.37</v>
      </c>
    </row>
    <row r="2710" spans="1:9" x14ac:dyDescent="0.3">
      <c r="A2710" t="str">
        <f t="shared" si="920"/>
        <v>United States</v>
      </c>
      <c r="B2710" t="str">
        <f t="shared" si="922"/>
        <v>Los Angeles</v>
      </c>
      <c r="C2710" t="str">
        <f t="shared" si="923"/>
        <v>Same Day</v>
      </c>
      <c r="D2710" t="str">
        <f t="shared" si="924"/>
        <v>Consumer</v>
      </c>
      <c r="E2710" t="s">
        <v>24</v>
      </c>
      <c r="F2710">
        <v>1</v>
      </c>
      <c r="G2710">
        <v>0.2</v>
      </c>
      <c r="H2710" s="2">
        <v>18.539099999999991</v>
      </c>
      <c r="I2710" s="2">
        <v>164.79200000000003</v>
      </c>
    </row>
    <row r="2711" spans="1:9" x14ac:dyDescent="0.3">
      <c r="A2711" t="str">
        <f t="shared" si="920"/>
        <v>United States</v>
      </c>
      <c r="B2711" t="str">
        <f t="shared" si="922"/>
        <v>Los Angeles</v>
      </c>
      <c r="C2711" t="str">
        <f t="shared" si="923"/>
        <v>Same Day</v>
      </c>
      <c r="D2711" t="str">
        <f t="shared" si="924"/>
        <v>Consumer</v>
      </c>
      <c r="E2711" t="s">
        <v>14</v>
      </c>
      <c r="F2711">
        <v>2</v>
      </c>
      <c r="G2711">
        <v>0</v>
      </c>
      <c r="H2711" s="2">
        <v>3.8939999999999912</v>
      </c>
      <c r="I2711" s="2">
        <v>77.88</v>
      </c>
    </row>
    <row r="2712" spans="1:9" x14ac:dyDescent="0.3">
      <c r="A2712" t="str">
        <f t="shared" si="920"/>
        <v>United States</v>
      </c>
      <c r="B2712" t="str">
        <f t="shared" si="922"/>
        <v>Los Angeles</v>
      </c>
      <c r="C2712" t="str">
        <f t="shared" si="923"/>
        <v>Same Day</v>
      </c>
      <c r="D2712" t="str">
        <f t="shared" si="924"/>
        <v>Consumer</v>
      </c>
      <c r="E2712" t="s">
        <v>25</v>
      </c>
      <c r="F2712">
        <v>4</v>
      </c>
      <c r="G2712">
        <v>0.4</v>
      </c>
      <c r="H2712" s="2">
        <v>7.3247999999999998</v>
      </c>
      <c r="I2712" s="2">
        <v>435.16800000000006</v>
      </c>
    </row>
    <row r="2713" spans="1:9" x14ac:dyDescent="0.3">
      <c r="A2713" t="str">
        <f t="shared" si="920"/>
        <v>United States</v>
      </c>
      <c r="B2713" t="str">
        <f t="shared" si="922"/>
        <v>Los Angeles</v>
      </c>
      <c r="C2713" t="str">
        <f t="shared" si="923"/>
        <v>Same Day</v>
      </c>
      <c r="D2713" t="s">
        <v>15</v>
      </c>
      <c r="E2713" t="s">
        <v>12</v>
      </c>
      <c r="F2713">
        <v>3</v>
      </c>
      <c r="G2713">
        <v>0</v>
      </c>
      <c r="H2713" s="2">
        <v>22.251600000000003</v>
      </c>
      <c r="I2713" s="2">
        <v>79.47</v>
      </c>
    </row>
    <row r="2714" spans="1:9" x14ac:dyDescent="0.3">
      <c r="A2714" t="str">
        <f t="shared" si="920"/>
        <v>United States</v>
      </c>
      <c r="B2714" t="str">
        <f t="shared" si="922"/>
        <v>Los Angeles</v>
      </c>
      <c r="C2714" t="str">
        <f t="shared" si="923"/>
        <v>Same Day</v>
      </c>
      <c r="D2714" t="str">
        <f t="shared" ref="D2714:D2721" si="925">D2713</f>
        <v>Corporate</v>
      </c>
      <c r="E2714" t="s">
        <v>19</v>
      </c>
      <c r="F2714">
        <v>6</v>
      </c>
      <c r="G2714">
        <v>0</v>
      </c>
      <c r="H2714" s="2">
        <v>5.04</v>
      </c>
      <c r="I2714" s="2">
        <v>10.08</v>
      </c>
    </row>
    <row r="2715" spans="1:9" x14ac:dyDescent="0.3">
      <c r="A2715" t="str">
        <f t="shared" si="920"/>
        <v>United States</v>
      </c>
      <c r="B2715" t="str">
        <f t="shared" si="922"/>
        <v>Los Angeles</v>
      </c>
      <c r="C2715" t="str">
        <f t="shared" si="923"/>
        <v>Same Day</v>
      </c>
      <c r="D2715" t="str">
        <f t="shared" si="925"/>
        <v>Corporate</v>
      </c>
      <c r="E2715" t="s">
        <v>20</v>
      </c>
      <c r="F2715">
        <v>15</v>
      </c>
      <c r="G2715">
        <v>1</v>
      </c>
      <c r="H2715" s="2">
        <v>42.535499999999992</v>
      </c>
      <c r="I2715" s="2">
        <v>126.98400000000001</v>
      </c>
    </row>
    <row r="2716" spans="1:9" x14ac:dyDescent="0.3">
      <c r="A2716" t="str">
        <f t="shared" si="920"/>
        <v>United States</v>
      </c>
      <c r="B2716" t="str">
        <f t="shared" si="922"/>
        <v>Los Angeles</v>
      </c>
      <c r="C2716" t="str">
        <f t="shared" si="923"/>
        <v>Same Day</v>
      </c>
      <c r="D2716" t="str">
        <f t="shared" si="925"/>
        <v>Corporate</v>
      </c>
      <c r="E2716" t="s">
        <v>33</v>
      </c>
      <c r="F2716">
        <v>3</v>
      </c>
      <c r="G2716">
        <v>0.2</v>
      </c>
      <c r="H2716" s="2">
        <v>27.176400000000015</v>
      </c>
      <c r="I2716" s="2">
        <v>362.35199999999998</v>
      </c>
    </row>
    <row r="2717" spans="1:9" x14ac:dyDescent="0.3">
      <c r="A2717" t="str">
        <f t="shared" si="920"/>
        <v>United States</v>
      </c>
      <c r="B2717" t="str">
        <f t="shared" si="922"/>
        <v>Los Angeles</v>
      </c>
      <c r="C2717" t="str">
        <f t="shared" si="923"/>
        <v>Same Day</v>
      </c>
      <c r="D2717" t="str">
        <f t="shared" si="925"/>
        <v>Corporate</v>
      </c>
      <c r="E2717" t="s">
        <v>18</v>
      </c>
      <c r="F2717">
        <v>5</v>
      </c>
      <c r="G2717">
        <v>0</v>
      </c>
      <c r="H2717" s="2">
        <v>8.9499999999999993</v>
      </c>
      <c r="I2717" s="2">
        <v>17.899999999999999</v>
      </c>
    </row>
    <row r="2718" spans="1:9" x14ac:dyDescent="0.3">
      <c r="A2718" t="str">
        <f t="shared" si="920"/>
        <v>United States</v>
      </c>
      <c r="B2718" t="str">
        <f t="shared" si="922"/>
        <v>Los Angeles</v>
      </c>
      <c r="C2718" t="str">
        <f t="shared" si="923"/>
        <v>Same Day</v>
      </c>
      <c r="D2718" t="str">
        <f t="shared" si="925"/>
        <v>Corporate</v>
      </c>
      <c r="E2718" t="s">
        <v>21</v>
      </c>
      <c r="F2718">
        <v>4</v>
      </c>
      <c r="G2718">
        <v>0</v>
      </c>
      <c r="H2718" s="2">
        <v>8.0967999999999982</v>
      </c>
      <c r="I2718" s="2">
        <v>27.92</v>
      </c>
    </row>
    <row r="2719" spans="1:9" x14ac:dyDescent="0.3">
      <c r="A2719" t="str">
        <f t="shared" si="920"/>
        <v>United States</v>
      </c>
      <c r="B2719" t="str">
        <f t="shared" si="922"/>
        <v>Los Angeles</v>
      </c>
      <c r="C2719" t="str">
        <f t="shared" si="923"/>
        <v>Same Day</v>
      </c>
      <c r="D2719" t="str">
        <f t="shared" si="925"/>
        <v>Corporate</v>
      </c>
      <c r="E2719" t="s">
        <v>16</v>
      </c>
      <c r="F2719">
        <v>4</v>
      </c>
      <c r="G2719">
        <v>0</v>
      </c>
      <c r="H2719" s="2">
        <v>10.9374</v>
      </c>
      <c r="I2719" s="2">
        <v>23.34</v>
      </c>
    </row>
    <row r="2720" spans="1:9" x14ac:dyDescent="0.3">
      <c r="A2720" t="str">
        <f t="shared" si="920"/>
        <v>United States</v>
      </c>
      <c r="B2720" t="str">
        <f t="shared" si="922"/>
        <v>Los Angeles</v>
      </c>
      <c r="C2720" t="str">
        <f t="shared" si="923"/>
        <v>Same Day</v>
      </c>
      <c r="D2720" t="str">
        <f t="shared" si="925"/>
        <v>Corporate</v>
      </c>
      <c r="E2720" t="s">
        <v>9</v>
      </c>
      <c r="F2720">
        <v>2</v>
      </c>
      <c r="G2720">
        <v>0</v>
      </c>
      <c r="H2720" s="2">
        <v>11.585999999999984</v>
      </c>
      <c r="I2720" s="2">
        <v>231.72</v>
      </c>
    </row>
    <row r="2721" spans="1:9" x14ac:dyDescent="0.3">
      <c r="A2721" t="str">
        <f t="shared" si="920"/>
        <v>United States</v>
      </c>
      <c r="B2721" t="str">
        <f t="shared" si="922"/>
        <v>Los Angeles</v>
      </c>
      <c r="C2721" t="str">
        <f t="shared" si="923"/>
        <v>Same Day</v>
      </c>
      <c r="D2721" t="str">
        <f t="shared" si="925"/>
        <v>Corporate</v>
      </c>
      <c r="E2721" t="s">
        <v>25</v>
      </c>
      <c r="F2721">
        <v>7</v>
      </c>
      <c r="G2721">
        <v>0.2</v>
      </c>
      <c r="H2721" s="2">
        <v>-14.987700000000061</v>
      </c>
      <c r="I2721" s="2">
        <v>399.67200000000003</v>
      </c>
    </row>
    <row r="2722" spans="1:9" x14ac:dyDescent="0.3">
      <c r="A2722" t="str">
        <f t="shared" si="920"/>
        <v>United States</v>
      </c>
      <c r="B2722" t="str">
        <f t="shared" si="922"/>
        <v>Los Angeles</v>
      </c>
      <c r="C2722" t="str">
        <f t="shared" si="923"/>
        <v>Same Day</v>
      </c>
      <c r="D2722" t="s">
        <v>17</v>
      </c>
      <c r="E2722" t="s">
        <v>12</v>
      </c>
      <c r="F2722">
        <v>2</v>
      </c>
      <c r="G2722">
        <v>0</v>
      </c>
      <c r="H2722" s="2">
        <v>31.018399999999986</v>
      </c>
      <c r="I2722" s="2">
        <v>106.96</v>
      </c>
    </row>
    <row r="2723" spans="1:9" x14ac:dyDescent="0.3">
      <c r="A2723" t="str">
        <f t="shared" si="920"/>
        <v>United States</v>
      </c>
      <c r="B2723" t="str">
        <f t="shared" si="922"/>
        <v>Los Angeles</v>
      </c>
      <c r="C2723" t="str">
        <f t="shared" si="923"/>
        <v>Same Day</v>
      </c>
      <c r="D2723" t="str">
        <f t="shared" ref="D2723:D2727" si="926">D2722</f>
        <v>Home Office</v>
      </c>
      <c r="E2723" t="s">
        <v>19</v>
      </c>
      <c r="F2723">
        <v>4</v>
      </c>
      <c r="G2723">
        <v>0</v>
      </c>
      <c r="H2723" s="2">
        <v>3.36</v>
      </c>
      <c r="I2723" s="2">
        <v>6.72</v>
      </c>
    </row>
    <row r="2724" spans="1:9" x14ac:dyDescent="0.3">
      <c r="A2724" t="str">
        <f t="shared" si="920"/>
        <v>United States</v>
      </c>
      <c r="B2724" t="str">
        <f t="shared" si="922"/>
        <v>Los Angeles</v>
      </c>
      <c r="C2724" t="str">
        <f t="shared" si="923"/>
        <v>Same Day</v>
      </c>
      <c r="D2724" t="str">
        <f t="shared" si="926"/>
        <v>Home Office</v>
      </c>
      <c r="E2724" t="s">
        <v>20</v>
      </c>
      <c r="F2724">
        <v>1</v>
      </c>
      <c r="G2724">
        <v>0.2</v>
      </c>
      <c r="H2724" s="2">
        <v>2.1546000000000003</v>
      </c>
      <c r="I2724" s="2">
        <v>6.3840000000000003</v>
      </c>
    </row>
    <row r="2725" spans="1:9" x14ac:dyDescent="0.3">
      <c r="A2725" t="str">
        <f t="shared" si="920"/>
        <v>United States</v>
      </c>
      <c r="B2725" t="str">
        <f t="shared" si="922"/>
        <v>Los Angeles</v>
      </c>
      <c r="C2725" t="str">
        <f t="shared" si="923"/>
        <v>Same Day</v>
      </c>
      <c r="D2725" t="str">
        <f t="shared" si="926"/>
        <v>Home Office</v>
      </c>
      <c r="E2725" t="s">
        <v>34</v>
      </c>
      <c r="F2725">
        <v>5</v>
      </c>
      <c r="G2725">
        <v>0.15</v>
      </c>
      <c r="H2725" s="2">
        <v>35.245000000000005</v>
      </c>
      <c r="I2725" s="2">
        <v>599.16499999999996</v>
      </c>
    </row>
    <row r="2726" spans="1:9" x14ac:dyDescent="0.3">
      <c r="A2726" t="str">
        <f t="shared" si="920"/>
        <v>United States</v>
      </c>
      <c r="B2726" t="str">
        <f t="shared" si="922"/>
        <v>Los Angeles</v>
      </c>
      <c r="C2726" t="str">
        <f t="shared" si="923"/>
        <v>Same Day</v>
      </c>
      <c r="D2726" t="str">
        <f t="shared" si="926"/>
        <v>Home Office</v>
      </c>
      <c r="E2726" t="s">
        <v>21</v>
      </c>
      <c r="F2726">
        <v>4</v>
      </c>
      <c r="G2726">
        <v>0</v>
      </c>
      <c r="H2726" s="2">
        <v>76.9816</v>
      </c>
      <c r="I2726" s="2">
        <v>187.76</v>
      </c>
    </row>
    <row r="2727" spans="1:9" x14ac:dyDescent="0.3">
      <c r="A2727" t="str">
        <f t="shared" si="920"/>
        <v>United States</v>
      </c>
      <c r="B2727" t="str">
        <f t="shared" si="922"/>
        <v>Los Angeles</v>
      </c>
      <c r="C2727" t="str">
        <f t="shared" si="923"/>
        <v>Same Day</v>
      </c>
      <c r="D2727" t="str">
        <f t="shared" si="926"/>
        <v>Home Office</v>
      </c>
      <c r="E2727" t="s">
        <v>14</v>
      </c>
      <c r="F2727">
        <v>4</v>
      </c>
      <c r="G2727">
        <v>0</v>
      </c>
      <c r="H2727" s="2">
        <v>125.14319999999998</v>
      </c>
      <c r="I2727" s="2">
        <v>481.32</v>
      </c>
    </row>
    <row r="2728" spans="1:9" x14ac:dyDescent="0.3">
      <c r="A2728" t="str">
        <f t="shared" si="920"/>
        <v>United States</v>
      </c>
      <c r="B2728" t="str">
        <f t="shared" si="922"/>
        <v>Los Angeles</v>
      </c>
      <c r="C2728" t="s">
        <v>7</v>
      </c>
      <c r="D2728" t="s">
        <v>8</v>
      </c>
      <c r="E2728" t="s">
        <v>23</v>
      </c>
      <c r="F2728">
        <v>29</v>
      </c>
      <c r="G2728">
        <v>0</v>
      </c>
      <c r="H2728" s="2">
        <v>610.3383</v>
      </c>
      <c r="I2728" s="2">
        <v>1754.8200000000002</v>
      </c>
    </row>
    <row r="2729" spans="1:9" x14ac:dyDescent="0.3">
      <c r="A2729" t="str">
        <f t="shared" si="920"/>
        <v>United States</v>
      </c>
      <c r="B2729" t="str">
        <f t="shared" si="922"/>
        <v>Los Angeles</v>
      </c>
      <c r="C2729" t="str">
        <f t="shared" ref="C2729:C2765" si="927">C2728</f>
        <v>Second Class</v>
      </c>
      <c r="D2729" t="str">
        <f t="shared" ref="D2729:D2741" si="928">D2728</f>
        <v>Consumer</v>
      </c>
      <c r="E2729" t="s">
        <v>12</v>
      </c>
      <c r="F2729">
        <v>10</v>
      </c>
      <c r="G2729">
        <v>0</v>
      </c>
      <c r="H2729" s="2">
        <v>195.9935999999999</v>
      </c>
      <c r="I2729" s="2">
        <v>671.3599999999999</v>
      </c>
    </row>
    <row r="2730" spans="1:9" x14ac:dyDescent="0.3">
      <c r="A2730" t="str">
        <f t="shared" si="920"/>
        <v>United States</v>
      </c>
      <c r="B2730" t="str">
        <f t="shared" si="922"/>
        <v>Los Angeles</v>
      </c>
      <c r="C2730" t="str">
        <f t="shared" si="927"/>
        <v>Second Class</v>
      </c>
      <c r="D2730" t="str">
        <f t="shared" si="928"/>
        <v>Consumer</v>
      </c>
      <c r="E2730" t="s">
        <v>19</v>
      </c>
      <c r="F2730">
        <v>30</v>
      </c>
      <c r="G2730">
        <v>0</v>
      </c>
      <c r="H2730" s="2">
        <v>103.98320000000001</v>
      </c>
      <c r="I2730" s="2">
        <v>378.47999999999996</v>
      </c>
    </row>
    <row r="2731" spans="1:9" x14ac:dyDescent="0.3">
      <c r="A2731" t="str">
        <f t="shared" si="920"/>
        <v>United States</v>
      </c>
      <c r="B2731" t="str">
        <f t="shared" si="922"/>
        <v>Los Angeles</v>
      </c>
      <c r="C2731" t="str">
        <f t="shared" si="927"/>
        <v>Second Class</v>
      </c>
      <c r="D2731" t="str">
        <f t="shared" si="928"/>
        <v>Consumer</v>
      </c>
      <c r="E2731" t="s">
        <v>20</v>
      </c>
      <c r="F2731">
        <v>51</v>
      </c>
      <c r="G2731">
        <v>3.600000000000001</v>
      </c>
      <c r="H2731" s="2">
        <v>768.63409999999999</v>
      </c>
      <c r="I2731" s="2">
        <v>2217.232</v>
      </c>
    </row>
    <row r="2732" spans="1:9" x14ac:dyDescent="0.3">
      <c r="A2732" t="str">
        <f t="shared" si="920"/>
        <v>United States</v>
      </c>
      <c r="B2732" t="str">
        <f t="shared" si="922"/>
        <v>Los Angeles</v>
      </c>
      <c r="C2732" t="str">
        <f t="shared" si="927"/>
        <v>Second Class</v>
      </c>
      <c r="D2732" t="str">
        <f t="shared" si="928"/>
        <v>Consumer</v>
      </c>
      <c r="E2732" t="s">
        <v>34</v>
      </c>
      <c r="F2732">
        <v>10</v>
      </c>
      <c r="G2732">
        <v>0.3</v>
      </c>
      <c r="H2732" s="2">
        <v>33.539599999999993</v>
      </c>
      <c r="I2732" s="2">
        <v>780.98</v>
      </c>
    </row>
    <row r="2733" spans="1:9" x14ac:dyDescent="0.3">
      <c r="A2733" t="str">
        <f t="shared" si="920"/>
        <v>United States</v>
      </c>
      <c r="B2733" t="str">
        <f t="shared" si="922"/>
        <v>Los Angeles</v>
      </c>
      <c r="C2733" t="str">
        <f t="shared" si="927"/>
        <v>Second Class</v>
      </c>
      <c r="D2733" t="str">
        <f t="shared" si="928"/>
        <v>Consumer</v>
      </c>
      <c r="E2733" t="s">
        <v>33</v>
      </c>
      <c r="F2733">
        <v>11</v>
      </c>
      <c r="G2733">
        <v>0.60000000000000009</v>
      </c>
      <c r="H2733" s="2">
        <v>-18.844600000000057</v>
      </c>
      <c r="I2733" s="2">
        <v>677.45600000000002</v>
      </c>
    </row>
    <row r="2734" spans="1:9" x14ac:dyDescent="0.3">
      <c r="A2734" t="str">
        <f t="shared" si="920"/>
        <v>United States</v>
      </c>
      <c r="B2734" t="str">
        <f t="shared" si="922"/>
        <v>Los Angeles</v>
      </c>
      <c r="C2734" t="str">
        <f t="shared" si="927"/>
        <v>Second Class</v>
      </c>
      <c r="D2734" t="str">
        <f t="shared" si="928"/>
        <v>Consumer</v>
      </c>
      <c r="E2734" t="s">
        <v>45</v>
      </c>
      <c r="F2734">
        <v>11</v>
      </c>
      <c r="G2734">
        <v>0.60000000000000009</v>
      </c>
      <c r="H2734" s="2">
        <v>1496.9701</v>
      </c>
      <c r="I2734" s="2">
        <v>4399.9120000000003</v>
      </c>
    </row>
    <row r="2735" spans="1:9" x14ac:dyDescent="0.3">
      <c r="A2735" t="str">
        <f t="shared" si="920"/>
        <v>United States</v>
      </c>
      <c r="B2735" t="str">
        <f t="shared" si="922"/>
        <v>Los Angeles</v>
      </c>
      <c r="C2735" t="str">
        <f t="shared" si="927"/>
        <v>Second Class</v>
      </c>
      <c r="D2735" t="str">
        <f t="shared" si="928"/>
        <v>Consumer</v>
      </c>
      <c r="E2735" t="s">
        <v>18</v>
      </c>
      <c r="F2735">
        <v>6</v>
      </c>
      <c r="G2735">
        <v>0</v>
      </c>
      <c r="H2735" s="2">
        <v>10.74</v>
      </c>
      <c r="I2735" s="2">
        <v>21.48</v>
      </c>
    </row>
    <row r="2736" spans="1:9" x14ac:dyDescent="0.3">
      <c r="A2736" t="str">
        <f t="shared" si="920"/>
        <v>United States</v>
      </c>
      <c r="B2736" t="str">
        <f t="shared" ref="B2736:B2767" si="929">B2735</f>
        <v>Los Angeles</v>
      </c>
      <c r="C2736" t="str">
        <f t="shared" si="927"/>
        <v>Second Class</v>
      </c>
      <c r="D2736" t="str">
        <f t="shared" si="928"/>
        <v>Consumer</v>
      </c>
      <c r="E2736" t="s">
        <v>21</v>
      </c>
      <c r="F2736">
        <v>13</v>
      </c>
      <c r="G2736">
        <v>0</v>
      </c>
      <c r="H2736" s="2">
        <v>211.45739999999998</v>
      </c>
      <c r="I2736" s="2">
        <v>750.3</v>
      </c>
    </row>
    <row r="2737" spans="1:9" x14ac:dyDescent="0.3">
      <c r="A2737" t="str">
        <f t="shared" si="920"/>
        <v>United States</v>
      </c>
      <c r="B2737" t="str">
        <f t="shared" si="929"/>
        <v>Los Angeles</v>
      </c>
      <c r="C2737" t="str">
        <f t="shared" si="927"/>
        <v>Second Class</v>
      </c>
      <c r="D2737" t="str">
        <f t="shared" si="928"/>
        <v>Consumer</v>
      </c>
      <c r="E2737" t="s">
        <v>43</v>
      </c>
      <c r="F2737">
        <v>20</v>
      </c>
      <c r="G2737">
        <v>0</v>
      </c>
      <c r="H2737" s="2">
        <v>43.969199999999994</v>
      </c>
      <c r="I2737" s="2">
        <v>94.38</v>
      </c>
    </row>
    <row r="2738" spans="1:9" x14ac:dyDescent="0.3">
      <c r="A2738" t="str">
        <f t="shared" si="920"/>
        <v>United States</v>
      </c>
      <c r="B2738" t="str">
        <f t="shared" si="929"/>
        <v>Los Angeles</v>
      </c>
      <c r="C2738" t="str">
        <f t="shared" si="927"/>
        <v>Second Class</v>
      </c>
      <c r="D2738" t="str">
        <f t="shared" si="928"/>
        <v>Consumer</v>
      </c>
      <c r="E2738" t="s">
        <v>16</v>
      </c>
      <c r="F2738">
        <v>69</v>
      </c>
      <c r="G2738">
        <v>0</v>
      </c>
      <c r="H2738" s="2">
        <v>382.76529999999997</v>
      </c>
      <c r="I2738" s="2">
        <v>808.03000000000009</v>
      </c>
    </row>
    <row r="2739" spans="1:9" x14ac:dyDescent="0.3">
      <c r="A2739" t="str">
        <f t="shared" si="920"/>
        <v>United States</v>
      </c>
      <c r="B2739" t="str">
        <f t="shared" si="929"/>
        <v>Los Angeles</v>
      </c>
      <c r="C2739" t="str">
        <f t="shared" si="927"/>
        <v>Second Class</v>
      </c>
      <c r="D2739" t="str">
        <f t="shared" si="928"/>
        <v>Consumer</v>
      </c>
      <c r="E2739" t="s">
        <v>24</v>
      </c>
      <c r="F2739">
        <v>15</v>
      </c>
      <c r="G2739">
        <v>0.8</v>
      </c>
      <c r="H2739" s="2">
        <v>109.77500000000001</v>
      </c>
      <c r="I2739" s="2">
        <v>1260.616</v>
      </c>
    </row>
    <row r="2740" spans="1:9" x14ac:dyDescent="0.3">
      <c r="A2740" t="str">
        <f t="shared" si="920"/>
        <v>United States</v>
      </c>
      <c r="B2740" t="str">
        <f t="shared" si="929"/>
        <v>Los Angeles</v>
      </c>
      <c r="C2740" t="str">
        <f t="shared" si="927"/>
        <v>Second Class</v>
      </c>
      <c r="D2740" t="str">
        <f t="shared" si="928"/>
        <v>Consumer</v>
      </c>
      <c r="E2740" t="s">
        <v>14</v>
      </c>
      <c r="F2740">
        <v>20</v>
      </c>
      <c r="G2740">
        <v>0</v>
      </c>
      <c r="H2740" s="2">
        <v>518.73219999999992</v>
      </c>
      <c r="I2740" s="2">
        <v>1998.42</v>
      </c>
    </row>
    <row r="2741" spans="1:9" x14ac:dyDescent="0.3">
      <c r="A2741" t="str">
        <f t="shared" si="920"/>
        <v>United States</v>
      </c>
      <c r="B2741" t="str">
        <f t="shared" si="929"/>
        <v>Los Angeles</v>
      </c>
      <c r="C2741" t="str">
        <f t="shared" si="927"/>
        <v>Second Class</v>
      </c>
      <c r="D2741" t="str">
        <f t="shared" si="928"/>
        <v>Consumer</v>
      </c>
      <c r="E2741" t="s">
        <v>25</v>
      </c>
      <c r="F2741">
        <v>2</v>
      </c>
      <c r="G2741">
        <v>0.2</v>
      </c>
      <c r="H2741" s="2">
        <v>-15.098000000000013</v>
      </c>
      <c r="I2741" s="2">
        <v>241.56799999999998</v>
      </c>
    </row>
    <row r="2742" spans="1:9" x14ac:dyDescent="0.3">
      <c r="A2742" t="str">
        <f t="shared" si="920"/>
        <v>United States</v>
      </c>
      <c r="B2742" t="str">
        <f t="shared" si="929"/>
        <v>Los Angeles</v>
      </c>
      <c r="C2742" t="str">
        <f t="shared" si="927"/>
        <v>Second Class</v>
      </c>
      <c r="D2742" t="s">
        <v>15</v>
      </c>
      <c r="E2742" t="s">
        <v>23</v>
      </c>
      <c r="F2742">
        <v>18</v>
      </c>
      <c r="G2742">
        <v>0</v>
      </c>
      <c r="H2742" s="2">
        <v>287.3066</v>
      </c>
      <c r="I2742" s="2">
        <v>1058.6199999999999</v>
      </c>
    </row>
    <row r="2743" spans="1:9" x14ac:dyDescent="0.3">
      <c r="A2743" t="str">
        <f t="shared" si="920"/>
        <v>United States</v>
      </c>
      <c r="B2743" t="str">
        <f t="shared" si="929"/>
        <v>Los Angeles</v>
      </c>
      <c r="C2743" t="str">
        <f t="shared" si="927"/>
        <v>Second Class</v>
      </c>
      <c r="D2743" t="str">
        <f t="shared" ref="D2743:D2753" si="930">D2742</f>
        <v>Corporate</v>
      </c>
      <c r="E2743" t="s">
        <v>12</v>
      </c>
      <c r="F2743">
        <v>10</v>
      </c>
      <c r="G2743">
        <v>0</v>
      </c>
      <c r="H2743" s="2">
        <v>42.938199999999995</v>
      </c>
      <c r="I2743" s="2">
        <v>152.30000000000001</v>
      </c>
    </row>
    <row r="2744" spans="1:9" x14ac:dyDescent="0.3">
      <c r="A2744" t="str">
        <f t="shared" si="920"/>
        <v>United States</v>
      </c>
      <c r="B2744" t="str">
        <f t="shared" si="929"/>
        <v>Los Angeles</v>
      </c>
      <c r="C2744" t="str">
        <f t="shared" si="927"/>
        <v>Second Class</v>
      </c>
      <c r="D2744" t="str">
        <f t="shared" si="930"/>
        <v>Corporate</v>
      </c>
      <c r="E2744" t="s">
        <v>19</v>
      </c>
      <c r="F2744">
        <v>12</v>
      </c>
      <c r="G2744">
        <v>0</v>
      </c>
      <c r="H2744" s="2">
        <v>42.931400000000004</v>
      </c>
      <c r="I2744" s="2">
        <v>151.29</v>
      </c>
    </row>
    <row r="2745" spans="1:9" x14ac:dyDescent="0.3">
      <c r="A2745" t="str">
        <f t="shared" si="920"/>
        <v>United States</v>
      </c>
      <c r="B2745" t="str">
        <f t="shared" si="929"/>
        <v>Los Angeles</v>
      </c>
      <c r="C2745" t="str">
        <f t="shared" si="927"/>
        <v>Second Class</v>
      </c>
      <c r="D2745" t="str">
        <f t="shared" si="930"/>
        <v>Corporate</v>
      </c>
      <c r="E2745" t="s">
        <v>20</v>
      </c>
      <c r="F2745">
        <v>32</v>
      </c>
      <c r="G2745">
        <v>1.9999999999999998</v>
      </c>
      <c r="H2745" s="2">
        <v>125.27369999999998</v>
      </c>
      <c r="I2745" s="2">
        <v>357.92</v>
      </c>
    </row>
    <row r="2746" spans="1:9" x14ac:dyDescent="0.3">
      <c r="A2746" t="str">
        <f t="shared" si="920"/>
        <v>United States</v>
      </c>
      <c r="B2746" t="str">
        <f t="shared" si="929"/>
        <v>Los Angeles</v>
      </c>
      <c r="C2746" t="str">
        <f t="shared" si="927"/>
        <v>Second Class</v>
      </c>
      <c r="D2746" t="str">
        <f t="shared" si="930"/>
        <v>Corporate</v>
      </c>
      <c r="E2746" t="s">
        <v>33</v>
      </c>
      <c r="F2746">
        <v>8</v>
      </c>
      <c r="G2746">
        <v>0.8</v>
      </c>
      <c r="H2746" s="2">
        <v>24.418399999999977</v>
      </c>
      <c r="I2746" s="2">
        <v>693.00800000000004</v>
      </c>
    </row>
    <row r="2747" spans="1:9" x14ac:dyDescent="0.3">
      <c r="A2747" t="str">
        <f t="shared" si="920"/>
        <v>United States</v>
      </c>
      <c r="B2747" t="str">
        <f t="shared" si="929"/>
        <v>Los Angeles</v>
      </c>
      <c r="C2747" t="str">
        <f t="shared" si="927"/>
        <v>Second Class</v>
      </c>
      <c r="D2747" t="str">
        <f t="shared" si="930"/>
        <v>Corporate</v>
      </c>
      <c r="E2747" t="s">
        <v>38</v>
      </c>
      <c r="F2747">
        <v>3</v>
      </c>
      <c r="G2747">
        <v>0</v>
      </c>
      <c r="H2747" s="2">
        <v>122.148</v>
      </c>
      <c r="I2747" s="2">
        <v>271.44</v>
      </c>
    </row>
    <row r="2748" spans="1:9" x14ac:dyDescent="0.3">
      <c r="A2748" t="str">
        <f t="shared" si="920"/>
        <v>United States</v>
      </c>
      <c r="B2748" t="str">
        <f t="shared" si="929"/>
        <v>Los Angeles</v>
      </c>
      <c r="C2748" t="str">
        <f t="shared" si="927"/>
        <v>Second Class</v>
      </c>
      <c r="D2748" t="str">
        <f t="shared" si="930"/>
        <v>Corporate</v>
      </c>
      <c r="E2748" t="s">
        <v>21</v>
      </c>
      <c r="F2748">
        <v>16</v>
      </c>
      <c r="G2748">
        <v>0</v>
      </c>
      <c r="H2748" s="2">
        <v>46.410800000000009</v>
      </c>
      <c r="I2748" s="2">
        <v>346.76</v>
      </c>
    </row>
    <row r="2749" spans="1:9" x14ac:dyDescent="0.3">
      <c r="A2749" t="str">
        <f t="shared" si="920"/>
        <v>United States</v>
      </c>
      <c r="B2749" t="str">
        <f t="shared" si="929"/>
        <v>Los Angeles</v>
      </c>
      <c r="C2749" t="str">
        <f t="shared" si="927"/>
        <v>Second Class</v>
      </c>
      <c r="D2749" t="str">
        <f t="shared" si="930"/>
        <v>Corporate</v>
      </c>
      <c r="E2749" t="s">
        <v>43</v>
      </c>
      <c r="F2749">
        <v>4</v>
      </c>
      <c r="G2749">
        <v>0</v>
      </c>
      <c r="H2749" s="2">
        <v>11.683199999999999</v>
      </c>
      <c r="I2749" s="2">
        <v>24.439999999999998</v>
      </c>
    </row>
    <row r="2750" spans="1:9" x14ac:dyDescent="0.3">
      <c r="A2750" t="str">
        <f t="shared" si="920"/>
        <v>United States</v>
      </c>
      <c r="B2750" t="str">
        <f t="shared" si="929"/>
        <v>Los Angeles</v>
      </c>
      <c r="C2750" t="str">
        <f t="shared" si="927"/>
        <v>Second Class</v>
      </c>
      <c r="D2750" t="str">
        <f t="shared" si="930"/>
        <v>Corporate</v>
      </c>
      <c r="E2750" t="s">
        <v>16</v>
      </c>
      <c r="F2750">
        <v>11</v>
      </c>
      <c r="G2750">
        <v>0</v>
      </c>
      <c r="H2750" s="2">
        <v>71.615200000000002</v>
      </c>
      <c r="I2750" s="2">
        <v>150.28</v>
      </c>
    </row>
    <row r="2751" spans="1:9" x14ac:dyDescent="0.3">
      <c r="A2751" t="str">
        <f t="shared" si="920"/>
        <v>United States</v>
      </c>
      <c r="B2751" t="str">
        <f t="shared" si="929"/>
        <v>Los Angeles</v>
      </c>
      <c r="C2751" t="str">
        <f t="shared" si="927"/>
        <v>Second Class</v>
      </c>
      <c r="D2751" t="str">
        <f t="shared" si="930"/>
        <v>Corporate</v>
      </c>
      <c r="E2751" t="s">
        <v>24</v>
      </c>
      <c r="F2751">
        <v>17</v>
      </c>
      <c r="G2751">
        <v>1.2</v>
      </c>
      <c r="H2751" s="2">
        <v>99.826300000000032</v>
      </c>
      <c r="I2751" s="2">
        <v>1371.808</v>
      </c>
    </row>
    <row r="2752" spans="1:9" x14ac:dyDescent="0.3">
      <c r="A2752" t="str">
        <f t="shared" si="920"/>
        <v>United States</v>
      </c>
      <c r="B2752" t="str">
        <f t="shared" si="929"/>
        <v>Los Angeles</v>
      </c>
      <c r="C2752" t="str">
        <f t="shared" si="927"/>
        <v>Second Class</v>
      </c>
      <c r="D2752" t="str">
        <f t="shared" si="930"/>
        <v>Corporate</v>
      </c>
      <c r="E2752" t="s">
        <v>14</v>
      </c>
      <c r="F2752">
        <v>19</v>
      </c>
      <c r="G2752">
        <v>0</v>
      </c>
      <c r="H2752" s="2">
        <v>77.192199999999929</v>
      </c>
      <c r="I2752" s="2">
        <v>1600.3500000000001</v>
      </c>
    </row>
    <row r="2753" spans="1:9" x14ac:dyDescent="0.3">
      <c r="A2753" t="str">
        <f t="shared" si="920"/>
        <v>United States</v>
      </c>
      <c r="B2753" t="str">
        <f t="shared" si="929"/>
        <v>Los Angeles</v>
      </c>
      <c r="C2753" t="str">
        <f t="shared" si="927"/>
        <v>Second Class</v>
      </c>
      <c r="D2753" t="str">
        <f t="shared" si="930"/>
        <v>Corporate</v>
      </c>
      <c r="E2753" t="s">
        <v>25</v>
      </c>
      <c r="F2753">
        <v>10</v>
      </c>
      <c r="G2753">
        <v>1</v>
      </c>
      <c r="H2753" s="2">
        <v>-71.756800000000041</v>
      </c>
      <c r="I2753" s="2">
        <v>1946.904</v>
      </c>
    </row>
    <row r="2754" spans="1:9" x14ac:dyDescent="0.3">
      <c r="A2754" t="str">
        <f t="shared" si="920"/>
        <v>United States</v>
      </c>
      <c r="B2754" t="str">
        <f t="shared" si="929"/>
        <v>Los Angeles</v>
      </c>
      <c r="C2754" t="str">
        <f t="shared" si="927"/>
        <v>Second Class</v>
      </c>
      <c r="D2754" t="s">
        <v>17</v>
      </c>
      <c r="E2754" t="s">
        <v>23</v>
      </c>
      <c r="F2754">
        <v>2</v>
      </c>
      <c r="G2754">
        <v>0</v>
      </c>
      <c r="H2754" s="2">
        <v>47.993999999999986</v>
      </c>
      <c r="I2754" s="2">
        <v>159.97999999999999</v>
      </c>
    </row>
    <row r="2755" spans="1:9" x14ac:dyDescent="0.3">
      <c r="A2755" t="str">
        <f t="shared" si="920"/>
        <v>United States</v>
      </c>
      <c r="B2755" t="str">
        <f t="shared" si="929"/>
        <v>Los Angeles</v>
      </c>
      <c r="C2755" t="str">
        <f t="shared" si="927"/>
        <v>Second Class</v>
      </c>
      <c r="D2755" t="str">
        <f t="shared" ref="D2755:D2765" si="931">D2754</f>
        <v>Home Office</v>
      </c>
      <c r="E2755" t="s">
        <v>12</v>
      </c>
      <c r="F2755">
        <v>12</v>
      </c>
      <c r="G2755">
        <v>0</v>
      </c>
      <c r="H2755" s="2">
        <v>103.38720000000001</v>
      </c>
      <c r="I2755" s="2">
        <v>321.79999999999995</v>
      </c>
    </row>
    <row r="2756" spans="1:9" x14ac:dyDescent="0.3">
      <c r="A2756" t="str">
        <f t="shared" ref="A2756:A2819" si="932">A2755</f>
        <v>United States</v>
      </c>
      <c r="B2756" t="str">
        <f t="shared" si="929"/>
        <v>Los Angeles</v>
      </c>
      <c r="C2756" t="str">
        <f t="shared" si="927"/>
        <v>Second Class</v>
      </c>
      <c r="D2756" t="str">
        <f t="shared" si="931"/>
        <v>Home Office</v>
      </c>
      <c r="E2756" t="s">
        <v>19</v>
      </c>
      <c r="F2756">
        <v>2</v>
      </c>
      <c r="G2756">
        <v>0</v>
      </c>
      <c r="H2756" s="2">
        <v>2.7899999999999991</v>
      </c>
      <c r="I2756" s="2">
        <v>11.16</v>
      </c>
    </row>
    <row r="2757" spans="1:9" x14ac:dyDescent="0.3">
      <c r="A2757" t="str">
        <f t="shared" si="932"/>
        <v>United States</v>
      </c>
      <c r="B2757" t="str">
        <f t="shared" si="929"/>
        <v>Los Angeles</v>
      </c>
      <c r="C2757" t="str">
        <f t="shared" si="927"/>
        <v>Second Class</v>
      </c>
      <c r="D2757" t="str">
        <f t="shared" si="931"/>
        <v>Home Office</v>
      </c>
      <c r="E2757" t="s">
        <v>20</v>
      </c>
      <c r="F2757">
        <v>5</v>
      </c>
      <c r="G2757">
        <v>0.2</v>
      </c>
      <c r="H2757" s="2">
        <v>46.224999999999987</v>
      </c>
      <c r="I2757" s="2">
        <v>147.91999999999999</v>
      </c>
    </row>
    <row r="2758" spans="1:9" x14ac:dyDescent="0.3">
      <c r="A2758" t="str">
        <f t="shared" si="932"/>
        <v>United States</v>
      </c>
      <c r="B2758" t="str">
        <f t="shared" si="929"/>
        <v>Los Angeles</v>
      </c>
      <c r="C2758" t="str">
        <f t="shared" si="927"/>
        <v>Second Class</v>
      </c>
      <c r="D2758" t="str">
        <f t="shared" si="931"/>
        <v>Home Office</v>
      </c>
      <c r="E2758" t="s">
        <v>33</v>
      </c>
      <c r="F2758">
        <v>5</v>
      </c>
      <c r="G2758">
        <v>0.4</v>
      </c>
      <c r="H2758" s="2">
        <v>80.062200000000018</v>
      </c>
      <c r="I2758" s="2">
        <v>973.64800000000002</v>
      </c>
    </row>
    <row r="2759" spans="1:9" x14ac:dyDescent="0.3">
      <c r="A2759" t="str">
        <f t="shared" si="932"/>
        <v>United States</v>
      </c>
      <c r="B2759" t="str">
        <f t="shared" si="929"/>
        <v>Los Angeles</v>
      </c>
      <c r="C2759" t="str">
        <f t="shared" si="927"/>
        <v>Second Class</v>
      </c>
      <c r="D2759" t="str">
        <f t="shared" si="931"/>
        <v>Home Office</v>
      </c>
      <c r="E2759" t="s">
        <v>21</v>
      </c>
      <c r="F2759">
        <v>12</v>
      </c>
      <c r="G2759">
        <v>0</v>
      </c>
      <c r="H2759" s="2">
        <v>171.1044</v>
      </c>
      <c r="I2759" s="2">
        <v>784.98</v>
      </c>
    </row>
    <row r="2760" spans="1:9" x14ac:dyDescent="0.3">
      <c r="A2760" t="str">
        <f t="shared" si="932"/>
        <v>United States</v>
      </c>
      <c r="B2760" t="str">
        <f t="shared" si="929"/>
        <v>Los Angeles</v>
      </c>
      <c r="C2760" t="str">
        <f t="shared" si="927"/>
        <v>Second Class</v>
      </c>
      <c r="D2760" t="str">
        <f t="shared" si="931"/>
        <v>Home Office</v>
      </c>
      <c r="E2760" t="s">
        <v>43</v>
      </c>
      <c r="F2760">
        <v>4</v>
      </c>
      <c r="G2760">
        <v>0</v>
      </c>
      <c r="H2760" s="2">
        <v>5.4332000000000003</v>
      </c>
      <c r="I2760" s="2">
        <v>11.56</v>
      </c>
    </row>
    <row r="2761" spans="1:9" x14ac:dyDescent="0.3">
      <c r="A2761" t="str">
        <f t="shared" si="932"/>
        <v>United States</v>
      </c>
      <c r="B2761" t="str">
        <f t="shared" si="929"/>
        <v>Los Angeles</v>
      </c>
      <c r="C2761" t="str">
        <f t="shared" si="927"/>
        <v>Second Class</v>
      </c>
      <c r="D2761" t="str">
        <f t="shared" si="931"/>
        <v>Home Office</v>
      </c>
      <c r="E2761" t="s">
        <v>16</v>
      </c>
      <c r="F2761">
        <v>22</v>
      </c>
      <c r="G2761">
        <v>0</v>
      </c>
      <c r="H2761" s="2">
        <v>229.8356</v>
      </c>
      <c r="I2761" s="2">
        <v>485.16</v>
      </c>
    </row>
    <row r="2762" spans="1:9" x14ac:dyDescent="0.3">
      <c r="A2762" t="str">
        <f t="shared" si="932"/>
        <v>United States</v>
      </c>
      <c r="B2762" t="str">
        <f t="shared" si="929"/>
        <v>Los Angeles</v>
      </c>
      <c r="C2762" t="str">
        <f t="shared" si="927"/>
        <v>Second Class</v>
      </c>
      <c r="D2762" t="str">
        <f t="shared" si="931"/>
        <v>Home Office</v>
      </c>
      <c r="E2762" t="s">
        <v>24</v>
      </c>
      <c r="F2762">
        <v>17</v>
      </c>
      <c r="G2762">
        <v>0.4</v>
      </c>
      <c r="H2762" s="2">
        <v>124.30799999999996</v>
      </c>
      <c r="I2762" s="2">
        <v>1465.4639999999999</v>
      </c>
    </row>
    <row r="2763" spans="1:9" x14ac:dyDescent="0.3">
      <c r="A2763" t="str">
        <f t="shared" si="932"/>
        <v>United States</v>
      </c>
      <c r="B2763" t="str">
        <f t="shared" si="929"/>
        <v>Los Angeles</v>
      </c>
      <c r="C2763" t="str">
        <f t="shared" si="927"/>
        <v>Second Class</v>
      </c>
      <c r="D2763" t="str">
        <f t="shared" si="931"/>
        <v>Home Office</v>
      </c>
      <c r="E2763" t="s">
        <v>14</v>
      </c>
      <c r="F2763">
        <v>26</v>
      </c>
      <c r="G2763">
        <v>0</v>
      </c>
      <c r="H2763" s="2">
        <v>93.111900000000077</v>
      </c>
      <c r="I2763" s="2">
        <v>1376.41</v>
      </c>
    </row>
    <row r="2764" spans="1:9" x14ac:dyDescent="0.3">
      <c r="A2764" t="str">
        <f t="shared" si="932"/>
        <v>United States</v>
      </c>
      <c r="B2764" t="str">
        <f t="shared" si="929"/>
        <v>Los Angeles</v>
      </c>
      <c r="C2764" t="str">
        <f t="shared" si="927"/>
        <v>Second Class</v>
      </c>
      <c r="D2764" t="str">
        <f t="shared" si="931"/>
        <v>Home Office</v>
      </c>
      <c r="E2764" t="s">
        <v>9</v>
      </c>
      <c r="F2764">
        <v>4</v>
      </c>
      <c r="G2764">
        <v>0</v>
      </c>
      <c r="H2764" s="2">
        <v>4.5007999999999981</v>
      </c>
      <c r="I2764" s="2">
        <v>15.52</v>
      </c>
    </row>
    <row r="2765" spans="1:9" x14ac:dyDescent="0.3">
      <c r="A2765" t="str">
        <f t="shared" si="932"/>
        <v>United States</v>
      </c>
      <c r="B2765" t="str">
        <f t="shared" si="929"/>
        <v>Los Angeles</v>
      </c>
      <c r="C2765" t="str">
        <f t="shared" si="927"/>
        <v>Second Class</v>
      </c>
      <c r="D2765" t="str">
        <f t="shared" si="931"/>
        <v>Home Office</v>
      </c>
      <c r="E2765" t="s">
        <v>25</v>
      </c>
      <c r="F2765">
        <v>9</v>
      </c>
      <c r="G2765">
        <v>0.2</v>
      </c>
      <c r="H2765" s="2">
        <v>22.408199999999994</v>
      </c>
      <c r="I2765" s="2">
        <v>896.32799999999997</v>
      </c>
    </row>
    <row r="2766" spans="1:9" x14ac:dyDescent="0.3">
      <c r="A2766" t="str">
        <f t="shared" si="932"/>
        <v>United States</v>
      </c>
      <c r="B2766" t="str">
        <f t="shared" si="929"/>
        <v>Los Angeles</v>
      </c>
      <c r="C2766" t="s">
        <v>22</v>
      </c>
      <c r="D2766" t="s">
        <v>8</v>
      </c>
      <c r="E2766" t="s">
        <v>23</v>
      </c>
      <c r="F2766">
        <v>43</v>
      </c>
      <c r="G2766">
        <v>0</v>
      </c>
      <c r="H2766" s="2">
        <v>1314.7586999999999</v>
      </c>
      <c r="I2766" s="2">
        <v>4090.389999999999</v>
      </c>
    </row>
    <row r="2767" spans="1:9" x14ac:dyDescent="0.3">
      <c r="A2767" t="str">
        <f t="shared" si="932"/>
        <v>United States</v>
      </c>
      <c r="B2767" t="str">
        <f t="shared" si="929"/>
        <v>Los Angeles</v>
      </c>
      <c r="C2767" t="str">
        <f t="shared" ref="C2767:C2811" si="933">C2766</f>
        <v>Standard Class</v>
      </c>
      <c r="D2767" t="str">
        <f t="shared" ref="D2767:D2782" si="934">D2766</f>
        <v>Consumer</v>
      </c>
      <c r="E2767" t="s">
        <v>12</v>
      </c>
      <c r="F2767">
        <v>26</v>
      </c>
      <c r="G2767">
        <v>0</v>
      </c>
      <c r="H2767" s="2">
        <v>257.88819999999998</v>
      </c>
      <c r="I2767" s="2">
        <v>878.98</v>
      </c>
    </row>
    <row r="2768" spans="1:9" x14ac:dyDescent="0.3">
      <c r="A2768" t="str">
        <f t="shared" si="932"/>
        <v>United States</v>
      </c>
      <c r="B2768" t="str">
        <f t="shared" ref="B2768:B2799" si="935">B2767</f>
        <v>Los Angeles</v>
      </c>
      <c r="C2768" t="str">
        <f t="shared" si="933"/>
        <v>Standard Class</v>
      </c>
      <c r="D2768" t="str">
        <f t="shared" si="934"/>
        <v>Consumer</v>
      </c>
      <c r="E2768" t="s">
        <v>19</v>
      </c>
      <c r="F2768">
        <v>76</v>
      </c>
      <c r="G2768">
        <v>0</v>
      </c>
      <c r="H2768" s="2">
        <v>114.03279999999999</v>
      </c>
      <c r="I2768" s="2">
        <v>379.78999999999996</v>
      </c>
    </row>
    <row r="2769" spans="1:9" x14ac:dyDescent="0.3">
      <c r="A2769" t="str">
        <f t="shared" si="932"/>
        <v>United States</v>
      </c>
      <c r="B2769" t="str">
        <f t="shared" si="935"/>
        <v>Los Angeles</v>
      </c>
      <c r="C2769" t="str">
        <f t="shared" si="933"/>
        <v>Standard Class</v>
      </c>
      <c r="D2769" t="str">
        <f t="shared" si="934"/>
        <v>Consumer</v>
      </c>
      <c r="E2769" t="s">
        <v>20</v>
      </c>
      <c r="F2769">
        <v>115</v>
      </c>
      <c r="G2769">
        <v>5.4000000000000021</v>
      </c>
      <c r="H2769" s="2">
        <v>1469.0896999999998</v>
      </c>
      <c r="I2769" s="2">
        <v>4135.1200000000008</v>
      </c>
    </row>
    <row r="2770" spans="1:9" x14ac:dyDescent="0.3">
      <c r="A2770" t="str">
        <f t="shared" si="932"/>
        <v>United States</v>
      </c>
      <c r="B2770" t="str">
        <f t="shared" si="935"/>
        <v>Los Angeles</v>
      </c>
      <c r="C2770" t="str">
        <f t="shared" si="933"/>
        <v>Standard Class</v>
      </c>
      <c r="D2770" t="str">
        <f t="shared" si="934"/>
        <v>Consumer</v>
      </c>
      <c r="E2770" t="s">
        <v>34</v>
      </c>
      <c r="F2770">
        <v>26</v>
      </c>
      <c r="G2770">
        <v>0.75</v>
      </c>
      <c r="H2770" s="2">
        <v>289.86789999999974</v>
      </c>
      <c r="I2770" s="2">
        <v>5309.5844999999999</v>
      </c>
    </row>
    <row r="2771" spans="1:9" x14ac:dyDescent="0.3">
      <c r="A2771" t="str">
        <f t="shared" si="932"/>
        <v>United States</v>
      </c>
      <c r="B2771" t="str">
        <f t="shared" si="935"/>
        <v>Los Angeles</v>
      </c>
      <c r="C2771" t="str">
        <f t="shared" si="933"/>
        <v>Standard Class</v>
      </c>
      <c r="D2771" t="str">
        <f t="shared" si="934"/>
        <v>Consumer</v>
      </c>
      <c r="E2771" t="s">
        <v>33</v>
      </c>
      <c r="F2771">
        <v>55</v>
      </c>
      <c r="G2771">
        <v>3.0000000000000004</v>
      </c>
      <c r="H2771" s="2">
        <v>114.94209999999993</v>
      </c>
      <c r="I2771" s="2">
        <v>4749.9040000000005</v>
      </c>
    </row>
    <row r="2772" spans="1:9" x14ac:dyDescent="0.3">
      <c r="A2772" t="str">
        <f t="shared" si="932"/>
        <v>United States</v>
      </c>
      <c r="B2772" t="str">
        <f t="shared" si="935"/>
        <v>Los Angeles</v>
      </c>
      <c r="C2772" t="str">
        <f t="shared" si="933"/>
        <v>Standard Class</v>
      </c>
      <c r="D2772" t="str">
        <f t="shared" si="934"/>
        <v>Consumer</v>
      </c>
      <c r="E2772" t="s">
        <v>45</v>
      </c>
      <c r="F2772">
        <v>2</v>
      </c>
      <c r="G2772">
        <v>0.2</v>
      </c>
      <c r="H2772" s="2">
        <v>59.997999999999962</v>
      </c>
      <c r="I2772" s="2">
        <v>479.98400000000004</v>
      </c>
    </row>
    <row r="2773" spans="1:9" x14ac:dyDescent="0.3">
      <c r="A2773" t="str">
        <f t="shared" si="932"/>
        <v>United States</v>
      </c>
      <c r="B2773" t="str">
        <f t="shared" si="935"/>
        <v>Los Angeles</v>
      </c>
      <c r="C2773" t="str">
        <f t="shared" si="933"/>
        <v>Standard Class</v>
      </c>
      <c r="D2773" t="str">
        <f t="shared" si="934"/>
        <v>Consumer</v>
      </c>
      <c r="E2773" t="s">
        <v>38</v>
      </c>
      <c r="F2773">
        <v>10</v>
      </c>
      <c r="G2773">
        <v>0</v>
      </c>
      <c r="H2773" s="2">
        <v>225.59509999999997</v>
      </c>
      <c r="I2773" s="2">
        <v>490.89</v>
      </c>
    </row>
    <row r="2774" spans="1:9" x14ac:dyDescent="0.3">
      <c r="A2774" t="str">
        <f t="shared" si="932"/>
        <v>United States</v>
      </c>
      <c r="B2774" t="str">
        <f t="shared" si="935"/>
        <v>Los Angeles</v>
      </c>
      <c r="C2774" t="str">
        <f t="shared" si="933"/>
        <v>Standard Class</v>
      </c>
      <c r="D2774" t="str">
        <f t="shared" si="934"/>
        <v>Consumer</v>
      </c>
      <c r="E2774" t="s">
        <v>18</v>
      </c>
      <c r="F2774">
        <v>31</v>
      </c>
      <c r="G2774">
        <v>0</v>
      </c>
      <c r="H2774" s="2">
        <v>49.019299999999994</v>
      </c>
      <c r="I2774" s="2">
        <v>124.01000000000002</v>
      </c>
    </row>
    <row r="2775" spans="1:9" x14ac:dyDescent="0.3">
      <c r="A2775" t="str">
        <f t="shared" si="932"/>
        <v>United States</v>
      </c>
      <c r="B2775" t="str">
        <f t="shared" si="935"/>
        <v>Los Angeles</v>
      </c>
      <c r="C2775" t="str">
        <f t="shared" si="933"/>
        <v>Standard Class</v>
      </c>
      <c r="D2775" t="str">
        <f t="shared" si="934"/>
        <v>Consumer</v>
      </c>
      <c r="E2775" t="s">
        <v>21</v>
      </c>
      <c r="F2775">
        <v>129</v>
      </c>
      <c r="G2775">
        <v>0</v>
      </c>
      <c r="H2775" s="2">
        <v>1119.6188000000002</v>
      </c>
      <c r="I2775" s="2">
        <v>3363.5599999999995</v>
      </c>
    </row>
    <row r="2776" spans="1:9" x14ac:dyDescent="0.3">
      <c r="A2776" t="str">
        <f t="shared" si="932"/>
        <v>United States</v>
      </c>
      <c r="B2776" t="str">
        <f t="shared" si="935"/>
        <v>Los Angeles</v>
      </c>
      <c r="C2776" t="str">
        <f t="shared" si="933"/>
        <v>Standard Class</v>
      </c>
      <c r="D2776" t="str">
        <f t="shared" si="934"/>
        <v>Consumer</v>
      </c>
      <c r="E2776" t="s">
        <v>43</v>
      </c>
      <c r="F2776">
        <v>31</v>
      </c>
      <c r="G2776">
        <v>0</v>
      </c>
      <c r="H2776" s="2">
        <v>88.760299999999987</v>
      </c>
      <c r="I2776" s="2">
        <v>187.55</v>
      </c>
    </row>
    <row r="2777" spans="1:9" x14ac:dyDescent="0.3">
      <c r="A2777" t="str">
        <f t="shared" si="932"/>
        <v>United States</v>
      </c>
      <c r="B2777" t="str">
        <f t="shared" si="935"/>
        <v>Los Angeles</v>
      </c>
      <c r="C2777" t="str">
        <f t="shared" si="933"/>
        <v>Standard Class</v>
      </c>
      <c r="D2777" t="str">
        <f t="shared" si="934"/>
        <v>Consumer</v>
      </c>
      <c r="E2777" t="s">
        <v>46</v>
      </c>
      <c r="F2777">
        <v>37</v>
      </c>
      <c r="G2777">
        <v>1.7999999999999998</v>
      </c>
      <c r="H2777" s="2">
        <v>1399.2376999999992</v>
      </c>
      <c r="I2777" s="2">
        <v>9600.0400000000009</v>
      </c>
    </row>
    <row r="2778" spans="1:9" x14ac:dyDescent="0.3">
      <c r="A2778" t="str">
        <f t="shared" si="932"/>
        <v>United States</v>
      </c>
      <c r="B2778" t="str">
        <f t="shared" si="935"/>
        <v>Los Angeles</v>
      </c>
      <c r="C2778" t="str">
        <f t="shared" si="933"/>
        <v>Standard Class</v>
      </c>
      <c r="D2778" t="str">
        <f t="shared" si="934"/>
        <v>Consumer</v>
      </c>
      <c r="E2778" t="s">
        <v>16</v>
      </c>
      <c r="F2778">
        <v>162</v>
      </c>
      <c r="G2778">
        <v>0</v>
      </c>
      <c r="H2778" s="2">
        <v>1263.4203000000002</v>
      </c>
      <c r="I2778" s="2">
        <v>2661.31</v>
      </c>
    </row>
    <row r="2779" spans="1:9" x14ac:dyDescent="0.3">
      <c r="A2779" t="str">
        <f t="shared" si="932"/>
        <v>United States</v>
      </c>
      <c r="B2779" t="str">
        <f t="shared" si="935"/>
        <v>Los Angeles</v>
      </c>
      <c r="C2779" t="str">
        <f t="shared" si="933"/>
        <v>Standard Class</v>
      </c>
      <c r="D2779" t="str">
        <f t="shared" si="934"/>
        <v>Consumer</v>
      </c>
      <c r="E2779" t="s">
        <v>24</v>
      </c>
      <c r="F2779">
        <v>114</v>
      </c>
      <c r="G2779">
        <v>5.0000000000000018</v>
      </c>
      <c r="H2779" s="2">
        <v>834.1900999999998</v>
      </c>
      <c r="I2779" s="2">
        <v>9498.32</v>
      </c>
    </row>
    <row r="2780" spans="1:9" x14ac:dyDescent="0.3">
      <c r="A2780" t="str">
        <f t="shared" si="932"/>
        <v>United States</v>
      </c>
      <c r="B2780" t="str">
        <f t="shared" si="935"/>
        <v>Los Angeles</v>
      </c>
      <c r="C2780" t="str">
        <f t="shared" si="933"/>
        <v>Standard Class</v>
      </c>
      <c r="D2780" t="str">
        <f t="shared" si="934"/>
        <v>Consumer</v>
      </c>
      <c r="E2780" t="s">
        <v>14</v>
      </c>
      <c r="F2780">
        <v>87</v>
      </c>
      <c r="G2780">
        <v>0</v>
      </c>
      <c r="H2780" s="2">
        <v>820.23139999999967</v>
      </c>
      <c r="I2780" s="2">
        <v>6158.04</v>
      </c>
    </row>
    <row r="2781" spans="1:9" x14ac:dyDescent="0.3">
      <c r="A2781" t="str">
        <f t="shared" si="932"/>
        <v>United States</v>
      </c>
      <c r="B2781" t="str">
        <f t="shared" si="935"/>
        <v>Los Angeles</v>
      </c>
      <c r="C2781" t="str">
        <f t="shared" si="933"/>
        <v>Standard Class</v>
      </c>
      <c r="D2781" t="str">
        <f t="shared" si="934"/>
        <v>Consumer</v>
      </c>
      <c r="E2781" t="s">
        <v>9</v>
      </c>
      <c r="F2781">
        <v>4</v>
      </c>
      <c r="G2781">
        <v>0</v>
      </c>
      <c r="H2781" s="2">
        <v>1.5456000000000003</v>
      </c>
      <c r="I2781" s="2">
        <v>51.52</v>
      </c>
    </row>
    <row r="2782" spans="1:9" x14ac:dyDescent="0.3">
      <c r="A2782" t="str">
        <f t="shared" si="932"/>
        <v>United States</v>
      </c>
      <c r="B2782" t="str">
        <f t="shared" si="935"/>
        <v>Los Angeles</v>
      </c>
      <c r="C2782" t="str">
        <f t="shared" si="933"/>
        <v>Standard Class</v>
      </c>
      <c r="D2782" t="str">
        <f t="shared" si="934"/>
        <v>Consumer</v>
      </c>
      <c r="E2782" t="s">
        <v>25</v>
      </c>
      <c r="F2782">
        <v>42</v>
      </c>
      <c r="G2782">
        <v>2.1999999999999997</v>
      </c>
      <c r="H2782" s="2">
        <v>-27.392900000000409</v>
      </c>
      <c r="I2782" s="2">
        <v>7945.8240000000014</v>
      </c>
    </row>
    <row r="2783" spans="1:9" x14ac:dyDescent="0.3">
      <c r="A2783" t="str">
        <f t="shared" si="932"/>
        <v>United States</v>
      </c>
      <c r="B2783" t="str">
        <f t="shared" si="935"/>
        <v>Los Angeles</v>
      </c>
      <c r="C2783" t="str">
        <f t="shared" si="933"/>
        <v>Standard Class</v>
      </c>
      <c r="D2783" t="s">
        <v>15</v>
      </c>
      <c r="E2783" t="s">
        <v>23</v>
      </c>
      <c r="F2783">
        <v>75</v>
      </c>
      <c r="G2783">
        <v>0</v>
      </c>
      <c r="H2783" s="2">
        <v>1813.8552999999995</v>
      </c>
      <c r="I2783" s="2">
        <v>6256.78</v>
      </c>
    </row>
    <row r="2784" spans="1:9" x14ac:dyDescent="0.3">
      <c r="A2784" t="str">
        <f t="shared" si="932"/>
        <v>United States</v>
      </c>
      <c r="B2784" t="str">
        <f t="shared" si="935"/>
        <v>Los Angeles</v>
      </c>
      <c r="C2784" t="str">
        <f t="shared" si="933"/>
        <v>Standard Class</v>
      </c>
      <c r="D2784" t="str">
        <f t="shared" ref="D2784:D2798" si="936">D2783</f>
        <v>Corporate</v>
      </c>
      <c r="E2784" t="s">
        <v>12</v>
      </c>
      <c r="F2784">
        <v>46</v>
      </c>
      <c r="G2784">
        <v>0</v>
      </c>
      <c r="H2784" s="2">
        <v>663.70629999999994</v>
      </c>
      <c r="I2784" s="2">
        <v>2244.9799999999996</v>
      </c>
    </row>
    <row r="2785" spans="1:9" x14ac:dyDescent="0.3">
      <c r="A2785" t="str">
        <f t="shared" si="932"/>
        <v>United States</v>
      </c>
      <c r="B2785" t="str">
        <f t="shared" si="935"/>
        <v>Los Angeles</v>
      </c>
      <c r="C2785" t="str">
        <f t="shared" si="933"/>
        <v>Standard Class</v>
      </c>
      <c r="D2785" t="str">
        <f t="shared" si="936"/>
        <v>Corporate</v>
      </c>
      <c r="E2785" t="s">
        <v>19</v>
      </c>
      <c r="F2785">
        <v>40</v>
      </c>
      <c r="G2785">
        <v>0</v>
      </c>
      <c r="H2785" s="2">
        <v>65.70859999999999</v>
      </c>
      <c r="I2785" s="2">
        <v>214.51999999999998</v>
      </c>
    </row>
    <row r="2786" spans="1:9" x14ac:dyDescent="0.3">
      <c r="A2786" t="str">
        <f t="shared" si="932"/>
        <v>United States</v>
      </c>
      <c r="B2786" t="str">
        <f t="shared" si="935"/>
        <v>Los Angeles</v>
      </c>
      <c r="C2786" t="str">
        <f t="shared" si="933"/>
        <v>Standard Class</v>
      </c>
      <c r="D2786" t="str">
        <f t="shared" si="936"/>
        <v>Corporate</v>
      </c>
      <c r="E2786" t="s">
        <v>20</v>
      </c>
      <c r="F2786">
        <v>36</v>
      </c>
      <c r="G2786">
        <v>1.9999999999999998</v>
      </c>
      <c r="H2786" s="2">
        <v>164.99259999999998</v>
      </c>
      <c r="I2786" s="2">
        <v>503.27200000000005</v>
      </c>
    </row>
    <row r="2787" spans="1:9" x14ac:dyDescent="0.3">
      <c r="A2787" t="str">
        <f t="shared" si="932"/>
        <v>United States</v>
      </c>
      <c r="B2787" t="str">
        <f t="shared" si="935"/>
        <v>Los Angeles</v>
      </c>
      <c r="C2787" t="str">
        <f t="shared" si="933"/>
        <v>Standard Class</v>
      </c>
      <c r="D2787" t="str">
        <f t="shared" si="936"/>
        <v>Corporate</v>
      </c>
      <c r="E2787" t="s">
        <v>34</v>
      </c>
      <c r="F2787">
        <v>2</v>
      </c>
      <c r="G2787">
        <v>0.15</v>
      </c>
      <c r="H2787" s="2">
        <v>27.356800000000007</v>
      </c>
      <c r="I2787" s="2">
        <v>290.666</v>
      </c>
    </row>
    <row r="2788" spans="1:9" x14ac:dyDescent="0.3">
      <c r="A2788" t="str">
        <f t="shared" si="932"/>
        <v>United States</v>
      </c>
      <c r="B2788" t="str">
        <f t="shared" si="935"/>
        <v>Los Angeles</v>
      </c>
      <c r="C2788" t="str">
        <f t="shared" si="933"/>
        <v>Standard Class</v>
      </c>
      <c r="D2788" t="str">
        <f t="shared" si="936"/>
        <v>Corporate</v>
      </c>
      <c r="E2788" t="s">
        <v>33</v>
      </c>
      <c r="F2788">
        <v>45</v>
      </c>
      <c r="G2788">
        <v>2.1999999999999997</v>
      </c>
      <c r="H2788" s="2">
        <v>469.11739999999975</v>
      </c>
      <c r="I2788" s="2">
        <v>4871.7280000000001</v>
      </c>
    </row>
    <row r="2789" spans="1:9" x14ac:dyDescent="0.3">
      <c r="A2789" t="str">
        <f t="shared" si="932"/>
        <v>United States</v>
      </c>
      <c r="B2789" t="str">
        <f t="shared" si="935"/>
        <v>Los Angeles</v>
      </c>
      <c r="C2789" t="str">
        <f t="shared" si="933"/>
        <v>Standard Class</v>
      </c>
      <c r="D2789" t="str">
        <f t="shared" si="936"/>
        <v>Corporate</v>
      </c>
      <c r="E2789" t="s">
        <v>38</v>
      </c>
      <c r="F2789">
        <v>15</v>
      </c>
      <c r="G2789">
        <v>0</v>
      </c>
      <c r="H2789" s="2">
        <v>175.02639999999997</v>
      </c>
      <c r="I2789" s="2">
        <v>372.04999999999995</v>
      </c>
    </row>
    <row r="2790" spans="1:9" x14ac:dyDescent="0.3">
      <c r="A2790" t="str">
        <f t="shared" si="932"/>
        <v>United States</v>
      </c>
      <c r="B2790" t="str">
        <f t="shared" si="935"/>
        <v>Los Angeles</v>
      </c>
      <c r="C2790" t="str">
        <f t="shared" si="933"/>
        <v>Standard Class</v>
      </c>
      <c r="D2790" t="str">
        <f t="shared" si="936"/>
        <v>Corporate</v>
      </c>
      <c r="E2790" t="s">
        <v>18</v>
      </c>
      <c r="F2790">
        <v>3</v>
      </c>
      <c r="G2790">
        <v>0</v>
      </c>
      <c r="H2790" s="2">
        <v>5.2164000000000001</v>
      </c>
      <c r="I2790" s="2">
        <v>11.34</v>
      </c>
    </row>
    <row r="2791" spans="1:9" x14ac:dyDescent="0.3">
      <c r="A2791" t="str">
        <f t="shared" si="932"/>
        <v>United States</v>
      </c>
      <c r="B2791" t="str">
        <f t="shared" si="935"/>
        <v>Los Angeles</v>
      </c>
      <c r="C2791" t="str">
        <f t="shared" si="933"/>
        <v>Standard Class</v>
      </c>
      <c r="D2791" t="str">
        <f t="shared" si="936"/>
        <v>Corporate</v>
      </c>
      <c r="E2791" t="s">
        <v>21</v>
      </c>
      <c r="F2791">
        <v>43</v>
      </c>
      <c r="G2791">
        <v>0</v>
      </c>
      <c r="H2791" s="2">
        <v>228.76480000000001</v>
      </c>
      <c r="I2791" s="2">
        <v>857.84999999999991</v>
      </c>
    </row>
    <row r="2792" spans="1:9" x14ac:dyDescent="0.3">
      <c r="A2792" t="str">
        <f t="shared" si="932"/>
        <v>United States</v>
      </c>
      <c r="B2792" t="str">
        <f t="shared" si="935"/>
        <v>Los Angeles</v>
      </c>
      <c r="C2792" t="str">
        <f t="shared" si="933"/>
        <v>Standard Class</v>
      </c>
      <c r="D2792" t="str">
        <f t="shared" si="936"/>
        <v>Corporate</v>
      </c>
      <c r="E2792" t="s">
        <v>43</v>
      </c>
      <c r="F2792">
        <v>10</v>
      </c>
      <c r="G2792">
        <v>0</v>
      </c>
      <c r="H2792" s="2">
        <v>14.558100000000001</v>
      </c>
      <c r="I2792" s="2">
        <v>30.509999999999998</v>
      </c>
    </row>
    <row r="2793" spans="1:9" x14ac:dyDescent="0.3">
      <c r="A2793" t="str">
        <f t="shared" si="932"/>
        <v>United States</v>
      </c>
      <c r="B2793" t="str">
        <f t="shared" si="935"/>
        <v>Los Angeles</v>
      </c>
      <c r="C2793" t="str">
        <f t="shared" si="933"/>
        <v>Standard Class</v>
      </c>
      <c r="D2793" t="str">
        <f t="shared" si="936"/>
        <v>Corporate</v>
      </c>
      <c r="E2793" t="s">
        <v>46</v>
      </c>
      <c r="F2793">
        <v>3</v>
      </c>
      <c r="G2793">
        <v>0.2</v>
      </c>
      <c r="H2793" s="2">
        <v>177.19799999999998</v>
      </c>
      <c r="I2793" s="2">
        <v>506.28</v>
      </c>
    </row>
    <row r="2794" spans="1:9" x14ac:dyDescent="0.3">
      <c r="A2794" t="str">
        <f t="shared" si="932"/>
        <v>United States</v>
      </c>
      <c r="B2794" t="str">
        <f t="shared" si="935"/>
        <v>Los Angeles</v>
      </c>
      <c r="C2794" t="str">
        <f t="shared" si="933"/>
        <v>Standard Class</v>
      </c>
      <c r="D2794" t="str">
        <f t="shared" si="936"/>
        <v>Corporate</v>
      </c>
      <c r="E2794" t="s">
        <v>16</v>
      </c>
      <c r="F2794">
        <v>68</v>
      </c>
      <c r="G2794">
        <v>0</v>
      </c>
      <c r="H2794" s="2">
        <v>261.81120000000004</v>
      </c>
      <c r="I2794" s="2">
        <v>555.04</v>
      </c>
    </row>
    <row r="2795" spans="1:9" x14ac:dyDescent="0.3">
      <c r="A2795" t="str">
        <f t="shared" si="932"/>
        <v>United States</v>
      </c>
      <c r="B2795" t="str">
        <f t="shared" si="935"/>
        <v>Los Angeles</v>
      </c>
      <c r="C2795" t="str">
        <f t="shared" si="933"/>
        <v>Standard Class</v>
      </c>
      <c r="D2795" t="str">
        <f t="shared" si="936"/>
        <v>Corporate</v>
      </c>
      <c r="E2795" t="s">
        <v>24</v>
      </c>
      <c r="F2795">
        <v>39</v>
      </c>
      <c r="G2795">
        <v>2.8000000000000003</v>
      </c>
      <c r="H2795" s="2">
        <v>225.60900000000009</v>
      </c>
      <c r="I2795" s="2">
        <v>2769.2880000000005</v>
      </c>
    </row>
    <row r="2796" spans="1:9" x14ac:dyDescent="0.3">
      <c r="A2796" t="str">
        <f t="shared" si="932"/>
        <v>United States</v>
      </c>
      <c r="B2796" t="str">
        <f t="shared" si="935"/>
        <v>Los Angeles</v>
      </c>
      <c r="C2796" t="str">
        <f t="shared" si="933"/>
        <v>Standard Class</v>
      </c>
      <c r="D2796" t="str">
        <f t="shared" si="936"/>
        <v>Corporate</v>
      </c>
      <c r="E2796" t="s">
        <v>14</v>
      </c>
      <c r="F2796">
        <v>40</v>
      </c>
      <c r="G2796">
        <v>0</v>
      </c>
      <c r="H2796" s="2">
        <v>551.16499999999996</v>
      </c>
      <c r="I2796" s="2">
        <v>3213.9500000000003</v>
      </c>
    </row>
    <row r="2797" spans="1:9" x14ac:dyDescent="0.3">
      <c r="A2797" t="str">
        <f t="shared" si="932"/>
        <v>United States</v>
      </c>
      <c r="B2797" t="str">
        <f t="shared" si="935"/>
        <v>Los Angeles</v>
      </c>
      <c r="C2797" t="str">
        <f t="shared" si="933"/>
        <v>Standard Class</v>
      </c>
      <c r="D2797" t="str">
        <f t="shared" si="936"/>
        <v>Corporate</v>
      </c>
      <c r="E2797" t="s">
        <v>9</v>
      </c>
      <c r="F2797">
        <v>15</v>
      </c>
      <c r="G2797">
        <v>0</v>
      </c>
      <c r="H2797" s="2">
        <v>60.711899999999957</v>
      </c>
      <c r="I2797" s="2">
        <v>690.84999999999991</v>
      </c>
    </row>
    <row r="2798" spans="1:9" x14ac:dyDescent="0.3">
      <c r="A2798" t="str">
        <f t="shared" si="932"/>
        <v>United States</v>
      </c>
      <c r="B2798" t="str">
        <f t="shared" si="935"/>
        <v>Los Angeles</v>
      </c>
      <c r="C2798" t="str">
        <f t="shared" si="933"/>
        <v>Standard Class</v>
      </c>
      <c r="D2798" t="str">
        <f t="shared" si="936"/>
        <v>Corporate</v>
      </c>
      <c r="E2798" t="s">
        <v>25</v>
      </c>
      <c r="F2798">
        <v>25</v>
      </c>
      <c r="G2798">
        <v>1</v>
      </c>
      <c r="H2798" s="2">
        <v>195.18839999999989</v>
      </c>
      <c r="I2798" s="2">
        <v>4710.7920000000013</v>
      </c>
    </row>
    <row r="2799" spans="1:9" x14ac:dyDescent="0.3">
      <c r="A2799" t="str">
        <f t="shared" si="932"/>
        <v>United States</v>
      </c>
      <c r="B2799" t="str">
        <f t="shared" si="935"/>
        <v>Los Angeles</v>
      </c>
      <c r="C2799" t="str">
        <f t="shared" si="933"/>
        <v>Standard Class</v>
      </c>
      <c r="D2799" t="s">
        <v>17</v>
      </c>
      <c r="E2799" t="s">
        <v>23</v>
      </c>
      <c r="F2799">
        <v>21</v>
      </c>
      <c r="G2799">
        <v>0</v>
      </c>
      <c r="H2799" s="2">
        <v>222.64</v>
      </c>
      <c r="I2799" s="2">
        <v>787.58</v>
      </c>
    </row>
    <row r="2800" spans="1:9" x14ac:dyDescent="0.3">
      <c r="A2800" t="str">
        <f t="shared" si="932"/>
        <v>United States</v>
      </c>
      <c r="B2800" t="str">
        <f t="shared" ref="B2800:B2811" si="937">B2799</f>
        <v>Los Angeles</v>
      </c>
      <c r="C2800" t="str">
        <f t="shared" si="933"/>
        <v>Standard Class</v>
      </c>
      <c r="D2800" t="str">
        <f t="shared" ref="D2800:D2811" si="938">D2799</f>
        <v>Home Office</v>
      </c>
      <c r="E2800" t="s">
        <v>12</v>
      </c>
      <c r="F2800">
        <v>22</v>
      </c>
      <c r="G2800">
        <v>0</v>
      </c>
      <c r="H2800" s="2">
        <v>757.20639999999992</v>
      </c>
      <c r="I2800" s="2">
        <v>2708.2999999999997</v>
      </c>
    </row>
    <row r="2801" spans="1:9" x14ac:dyDescent="0.3">
      <c r="A2801" t="str">
        <f t="shared" si="932"/>
        <v>United States</v>
      </c>
      <c r="B2801" t="str">
        <f t="shared" si="937"/>
        <v>Los Angeles</v>
      </c>
      <c r="C2801" t="str">
        <f t="shared" si="933"/>
        <v>Standard Class</v>
      </c>
      <c r="D2801" t="str">
        <f t="shared" si="938"/>
        <v>Home Office</v>
      </c>
      <c r="E2801" t="s">
        <v>19</v>
      </c>
      <c r="F2801">
        <v>42</v>
      </c>
      <c r="G2801">
        <v>0</v>
      </c>
      <c r="H2801" s="2">
        <v>78.546399999999991</v>
      </c>
      <c r="I2801" s="2">
        <v>271.59000000000003</v>
      </c>
    </row>
    <row r="2802" spans="1:9" x14ac:dyDescent="0.3">
      <c r="A2802" t="str">
        <f t="shared" si="932"/>
        <v>United States</v>
      </c>
      <c r="B2802" t="str">
        <f t="shared" si="937"/>
        <v>Los Angeles</v>
      </c>
      <c r="C2802" t="str">
        <f t="shared" si="933"/>
        <v>Standard Class</v>
      </c>
      <c r="D2802" t="str">
        <f t="shared" si="938"/>
        <v>Home Office</v>
      </c>
      <c r="E2802" t="s">
        <v>20</v>
      </c>
      <c r="F2802">
        <v>60</v>
      </c>
      <c r="G2802">
        <v>2.4</v>
      </c>
      <c r="H2802" s="2">
        <v>359.84219999999999</v>
      </c>
      <c r="I2802" s="2">
        <v>1002.272</v>
      </c>
    </row>
    <row r="2803" spans="1:9" x14ac:dyDescent="0.3">
      <c r="A2803" t="str">
        <f t="shared" si="932"/>
        <v>United States</v>
      </c>
      <c r="B2803" t="str">
        <f t="shared" si="937"/>
        <v>Los Angeles</v>
      </c>
      <c r="C2803" t="str">
        <f t="shared" si="933"/>
        <v>Standard Class</v>
      </c>
      <c r="D2803" t="str">
        <f t="shared" si="938"/>
        <v>Home Office</v>
      </c>
      <c r="E2803" t="s">
        <v>33</v>
      </c>
      <c r="F2803">
        <v>3</v>
      </c>
      <c r="G2803">
        <v>0.4</v>
      </c>
      <c r="H2803" s="2">
        <v>-31.625399999999985</v>
      </c>
      <c r="I2803" s="2">
        <v>282.20799999999997</v>
      </c>
    </row>
    <row r="2804" spans="1:9" x14ac:dyDescent="0.3">
      <c r="A2804" t="str">
        <f t="shared" si="932"/>
        <v>United States</v>
      </c>
      <c r="B2804" t="str">
        <f t="shared" si="937"/>
        <v>Los Angeles</v>
      </c>
      <c r="C2804" t="str">
        <f t="shared" si="933"/>
        <v>Standard Class</v>
      </c>
      <c r="D2804" t="str">
        <f t="shared" si="938"/>
        <v>Home Office</v>
      </c>
      <c r="E2804" t="s">
        <v>45</v>
      </c>
      <c r="F2804">
        <v>8</v>
      </c>
      <c r="G2804">
        <v>0.4</v>
      </c>
      <c r="H2804" s="2">
        <v>1139.982</v>
      </c>
      <c r="I2804" s="2">
        <v>3839.9360000000001</v>
      </c>
    </row>
    <row r="2805" spans="1:9" x14ac:dyDescent="0.3">
      <c r="A2805" t="str">
        <f t="shared" si="932"/>
        <v>United States</v>
      </c>
      <c r="B2805" t="str">
        <f t="shared" si="937"/>
        <v>Los Angeles</v>
      </c>
      <c r="C2805" t="str">
        <f t="shared" si="933"/>
        <v>Standard Class</v>
      </c>
      <c r="D2805" t="str">
        <f t="shared" si="938"/>
        <v>Home Office</v>
      </c>
      <c r="E2805" t="s">
        <v>18</v>
      </c>
      <c r="F2805">
        <v>7</v>
      </c>
      <c r="G2805">
        <v>0</v>
      </c>
      <c r="H2805" s="2">
        <v>0</v>
      </c>
      <c r="I2805" s="2">
        <v>13.86</v>
      </c>
    </row>
    <row r="2806" spans="1:9" x14ac:dyDescent="0.3">
      <c r="A2806" t="str">
        <f t="shared" si="932"/>
        <v>United States</v>
      </c>
      <c r="B2806" t="str">
        <f t="shared" si="937"/>
        <v>Los Angeles</v>
      </c>
      <c r="C2806" t="str">
        <f t="shared" si="933"/>
        <v>Standard Class</v>
      </c>
      <c r="D2806" t="str">
        <f t="shared" si="938"/>
        <v>Home Office</v>
      </c>
      <c r="E2806" t="s">
        <v>21</v>
      </c>
      <c r="F2806">
        <v>15</v>
      </c>
      <c r="G2806">
        <v>0</v>
      </c>
      <c r="H2806" s="2">
        <v>39.212299999999999</v>
      </c>
      <c r="I2806" s="2">
        <v>111.80999999999997</v>
      </c>
    </row>
    <row r="2807" spans="1:9" x14ac:dyDescent="0.3">
      <c r="A2807" t="str">
        <f t="shared" si="932"/>
        <v>United States</v>
      </c>
      <c r="B2807" t="str">
        <f t="shared" si="937"/>
        <v>Los Angeles</v>
      </c>
      <c r="C2807" t="str">
        <f t="shared" si="933"/>
        <v>Standard Class</v>
      </c>
      <c r="D2807" t="str">
        <f t="shared" si="938"/>
        <v>Home Office</v>
      </c>
      <c r="E2807" t="s">
        <v>43</v>
      </c>
      <c r="F2807">
        <v>15</v>
      </c>
      <c r="G2807">
        <v>0</v>
      </c>
      <c r="H2807" s="2">
        <v>42.707800000000006</v>
      </c>
      <c r="I2807" s="2">
        <v>87.710000000000008</v>
      </c>
    </row>
    <row r="2808" spans="1:9" x14ac:dyDescent="0.3">
      <c r="A2808" t="str">
        <f t="shared" si="932"/>
        <v>United States</v>
      </c>
      <c r="B2808" t="str">
        <f t="shared" si="937"/>
        <v>Los Angeles</v>
      </c>
      <c r="C2808" t="str">
        <f t="shared" si="933"/>
        <v>Standard Class</v>
      </c>
      <c r="D2808" t="str">
        <f t="shared" si="938"/>
        <v>Home Office</v>
      </c>
      <c r="E2808" t="s">
        <v>16</v>
      </c>
      <c r="F2808">
        <v>41</v>
      </c>
      <c r="G2808">
        <v>0</v>
      </c>
      <c r="H2808" s="2">
        <v>271.87259999999998</v>
      </c>
      <c r="I2808" s="2">
        <v>564.43999999999994</v>
      </c>
    </row>
    <row r="2809" spans="1:9" x14ac:dyDescent="0.3">
      <c r="A2809" t="str">
        <f t="shared" si="932"/>
        <v>United States</v>
      </c>
      <c r="B2809" t="str">
        <f t="shared" si="937"/>
        <v>Los Angeles</v>
      </c>
      <c r="C2809" t="str">
        <f t="shared" si="933"/>
        <v>Standard Class</v>
      </c>
      <c r="D2809" t="str">
        <f t="shared" si="938"/>
        <v>Home Office</v>
      </c>
      <c r="E2809" t="s">
        <v>24</v>
      </c>
      <c r="F2809">
        <v>39</v>
      </c>
      <c r="G2809">
        <v>1.9999999999999998</v>
      </c>
      <c r="H2809" s="2">
        <v>301.05540000000008</v>
      </c>
      <c r="I2809" s="2">
        <v>3432.8320000000003</v>
      </c>
    </row>
    <row r="2810" spans="1:9" x14ac:dyDescent="0.3">
      <c r="A2810" t="str">
        <f t="shared" si="932"/>
        <v>United States</v>
      </c>
      <c r="B2810" t="str">
        <f t="shared" si="937"/>
        <v>Los Angeles</v>
      </c>
      <c r="C2810" t="str">
        <f t="shared" si="933"/>
        <v>Standard Class</v>
      </c>
      <c r="D2810" t="str">
        <f t="shared" si="938"/>
        <v>Home Office</v>
      </c>
      <c r="E2810" t="s">
        <v>14</v>
      </c>
      <c r="F2810">
        <v>22</v>
      </c>
      <c r="G2810">
        <v>0</v>
      </c>
      <c r="H2810" s="2">
        <v>255.00959999999995</v>
      </c>
      <c r="I2810" s="2">
        <v>1875.13</v>
      </c>
    </row>
    <row r="2811" spans="1:9" x14ac:dyDescent="0.3">
      <c r="A2811" t="str">
        <f t="shared" si="932"/>
        <v>United States</v>
      </c>
      <c r="B2811" t="str">
        <f t="shared" si="937"/>
        <v>Los Angeles</v>
      </c>
      <c r="C2811" t="str">
        <f t="shared" si="933"/>
        <v>Standard Class</v>
      </c>
      <c r="D2811" t="str">
        <f t="shared" si="938"/>
        <v>Home Office</v>
      </c>
      <c r="E2811" t="s">
        <v>25</v>
      </c>
      <c r="F2811">
        <v>8</v>
      </c>
      <c r="G2811">
        <v>0.4</v>
      </c>
      <c r="H2811" s="2">
        <v>-163.04520000000011</v>
      </c>
      <c r="I2811" s="2">
        <v>1518</v>
      </c>
    </row>
    <row r="2812" spans="1:9" x14ac:dyDescent="0.3">
      <c r="A2812" t="str">
        <f t="shared" si="932"/>
        <v>United States</v>
      </c>
      <c r="B2812" t="s">
        <v>297</v>
      </c>
      <c r="C2812" t="s">
        <v>11</v>
      </c>
      <c r="D2812" t="s">
        <v>8</v>
      </c>
      <c r="E2812" t="s">
        <v>23</v>
      </c>
      <c r="F2812">
        <v>6</v>
      </c>
      <c r="G2812">
        <v>0.2</v>
      </c>
      <c r="H2812" s="2">
        <v>56.566200000000009</v>
      </c>
      <c r="I2812" s="2">
        <v>196.75200000000001</v>
      </c>
    </row>
    <row r="2813" spans="1:9" x14ac:dyDescent="0.3">
      <c r="A2813" t="str">
        <f t="shared" si="932"/>
        <v>United States</v>
      </c>
      <c r="B2813" t="str">
        <f t="shared" ref="B2813:B2848" si="939">B2812</f>
        <v>Louisville</v>
      </c>
      <c r="C2813" t="str">
        <f t="shared" ref="C2813:C2820" si="940">C2812</f>
        <v>First Class</v>
      </c>
      <c r="D2813" t="str">
        <f t="shared" ref="D2813:D2818" si="941">D2812</f>
        <v>Consumer</v>
      </c>
      <c r="E2813" t="s">
        <v>19</v>
      </c>
      <c r="F2813">
        <v>5</v>
      </c>
      <c r="G2813">
        <v>0</v>
      </c>
      <c r="H2813" s="2">
        <v>45.487000000000002</v>
      </c>
      <c r="I2813" s="2">
        <v>174.95000000000002</v>
      </c>
    </row>
    <row r="2814" spans="1:9" x14ac:dyDescent="0.3">
      <c r="A2814" t="str">
        <f t="shared" si="932"/>
        <v>United States</v>
      </c>
      <c r="B2814" t="str">
        <f t="shared" si="939"/>
        <v>Louisville</v>
      </c>
      <c r="C2814" t="str">
        <f t="shared" si="940"/>
        <v>First Class</v>
      </c>
      <c r="D2814" t="str">
        <f t="shared" si="941"/>
        <v>Consumer</v>
      </c>
      <c r="E2814" t="s">
        <v>20</v>
      </c>
      <c r="F2814">
        <v>8</v>
      </c>
      <c r="G2814">
        <v>0.7</v>
      </c>
      <c r="H2814" s="2">
        <v>-7.3231999999999999</v>
      </c>
      <c r="I2814" s="2">
        <v>9.5520000000000014</v>
      </c>
    </row>
    <row r="2815" spans="1:9" x14ac:dyDescent="0.3">
      <c r="A2815" t="str">
        <f t="shared" si="932"/>
        <v>United States</v>
      </c>
      <c r="B2815" t="str">
        <f t="shared" si="939"/>
        <v>Louisville</v>
      </c>
      <c r="C2815" t="str">
        <f t="shared" si="940"/>
        <v>First Class</v>
      </c>
      <c r="D2815" t="str">
        <f t="shared" si="941"/>
        <v>Consumer</v>
      </c>
      <c r="E2815" t="s">
        <v>34</v>
      </c>
      <c r="F2815">
        <v>3</v>
      </c>
      <c r="G2815">
        <v>0.7</v>
      </c>
      <c r="H2815" s="2">
        <v>-152.9847</v>
      </c>
      <c r="I2815" s="2">
        <v>89.991000000000014</v>
      </c>
    </row>
    <row r="2816" spans="1:9" x14ac:dyDescent="0.3">
      <c r="A2816" t="str">
        <f t="shared" si="932"/>
        <v>United States</v>
      </c>
      <c r="B2816" t="str">
        <f t="shared" si="939"/>
        <v>Louisville</v>
      </c>
      <c r="C2816" t="str">
        <f t="shared" si="940"/>
        <v>First Class</v>
      </c>
      <c r="D2816" t="str">
        <f t="shared" si="941"/>
        <v>Consumer</v>
      </c>
      <c r="E2816" t="s">
        <v>38</v>
      </c>
      <c r="F2816">
        <v>9</v>
      </c>
      <c r="G2816">
        <v>0.2</v>
      </c>
      <c r="H2816" s="2">
        <v>7.4339999999999993</v>
      </c>
      <c r="I2816" s="2">
        <v>21.240000000000002</v>
      </c>
    </row>
    <row r="2817" spans="1:9" x14ac:dyDescent="0.3">
      <c r="A2817" t="str">
        <f t="shared" si="932"/>
        <v>United States</v>
      </c>
      <c r="B2817" t="str">
        <f t="shared" si="939"/>
        <v>Louisville</v>
      </c>
      <c r="C2817" t="str">
        <f t="shared" si="940"/>
        <v>First Class</v>
      </c>
      <c r="D2817" t="str">
        <f t="shared" si="941"/>
        <v>Consumer</v>
      </c>
      <c r="E2817" t="s">
        <v>16</v>
      </c>
      <c r="F2817">
        <v>3</v>
      </c>
      <c r="G2817">
        <v>0</v>
      </c>
      <c r="H2817" s="2">
        <v>36.404399999999995</v>
      </c>
      <c r="I2817" s="2">
        <v>79.14</v>
      </c>
    </row>
    <row r="2818" spans="1:9" x14ac:dyDescent="0.3">
      <c r="A2818" t="str">
        <f t="shared" si="932"/>
        <v>United States</v>
      </c>
      <c r="B2818" t="str">
        <f t="shared" si="939"/>
        <v>Louisville</v>
      </c>
      <c r="C2818" t="str">
        <f t="shared" si="940"/>
        <v>First Class</v>
      </c>
      <c r="D2818" t="str">
        <f t="shared" si="941"/>
        <v>Consumer</v>
      </c>
      <c r="E2818" t="s">
        <v>14</v>
      </c>
      <c r="F2818">
        <v>13</v>
      </c>
      <c r="G2818">
        <v>0</v>
      </c>
      <c r="H2818" s="2">
        <v>319.32799999999997</v>
      </c>
      <c r="I2818" s="2">
        <v>1174.56</v>
      </c>
    </row>
    <row r="2819" spans="1:9" x14ac:dyDescent="0.3">
      <c r="A2819" t="str">
        <f t="shared" si="932"/>
        <v>United States</v>
      </c>
      <c r="B2819" t="str">
        <f t="shared" si="939"/>
        <v>Louisville</v>
      </c>
      <c r="C2819" t="str">
        <f t="shared" si="940"/>
        <v>First Class</v>
      </c>
      <c r="D2819" t="s">
        <v>15</v>
      </c>
      <c r="E2819" t="s">
        <v>12</v>
      </c>
      <c r="F2819">
        <v>3</v>
      </c>
      <c r="G2819">
        <v>0</v>
      </c>
      <c r="H2819" s="2">
        <v>62.531999999999982</v>
      </c>
      <c r="I2819" s="2">
        <v>208.44</v>
      </c>
    </row>
    <row r="2820" spans="1:9" x14ac:dyDescent="0.3">
      <c r="A2820" t="str">
        <f t="shared" ref="A2820:A2883" si="942">A2819</f>
        <v>United States</v>
      </c>
      <c r="B2820" t="str">
        <f t="shared" si="939"/>
        <v>Louisville</v>
      </c>
      <c r="C2820" t="str">
        <f t="shared" si="940"/>
        <v>First Class</v>
      </c>
      <c r="D2820" t="str">
        <f>D2819</f>
        <v>Corporate</v>
      </c>
      <c r="E2820" t="s">
        <v>9</v>
      </c>
      <c r="F2820">
        <v>2</v>
      </c>
      <c r="G2820">
        <v>0</v>
      </c>
      <c r="H2820" s="2">
        <v>0.77280000000000015</v>
      </c>
      <c r="I2820" s="2">
        <v>25.76</v>
      </c>
    </row>
    <row r="2821" spans="1:9" x14ac:dyDescent="0.3">
      <c r="A2821" t="str">
        <f t="shared" si="942"/>
        <v>United States</v>
      </c>
      <c r="B2821" t="str">
        <f t="shared" si="939"/>
        <v>Louisville</v>
      </c>
      <c r="C2821" t="s">
        <v>27</v>
      </c>
      <c r="D2821" t="s">
        <v>8</v>
      </c>
      <c r="E2821" t="s">
        <v>18</v>
      </c>
      <c r="F2821">
        <v>3</v>
      </c>
      <c r="G2821">
        <v>0</v>
      </c>
      <c r="H2821" s="2">
        <v>5.2625999999999999</v>
      </c>
      <c r="I2821" s="2">
        <v>10.74</v>
      </c>
    </row>
    <row r="2822" spans="1:9" x14ac:dyDescent="0.3">
      <c r="A2822" t="str">
        <f t="shared" si="942"/>
        <v>United States</v>
      </c>
      <c r="B2822" t="str">
        <f t="shared" si="939"/>
        <v>Louisville</v>
      </c>
      <c r="C2822" t="str">
        <f t="shared" ref="C2822:C2823" si="943">C2821</f>
        <v>Same Day</v>
      </c>
      <c r="D2822" t="s">
        <v>17</v>
      </c>
      <c r="E2822" t="s">
        <v>33</v>
      </c>
      <c r="F2822">
        <v>4</v>
      </c>
      <c r="G2822">
        <v>0.2</v>
      </c>
      <c r="H2822" s="2">
        <v>5.1960000000000015</v>
      </c>
      <c r="I2822" s="2">
        <v>83.13600000000001</v>
      </c>
    </row>
    <row r="2823" spans="1:9" x14ac:dyDescent="0.3">
      <c r="A2823" t="str">
        <f t="shared" si="942"/>
        <v>United States</v>
      </c>
      <c r="B2823" t="str">
        <f t="shared" si="939"/>
        <v>Louisville</v>
      </c>
      <c r="C2823" t="str">
        <f t="shared" si="943"/>
        <v>Same Day</v>
      </c>
      <c r="D2823" t="str">
        <f>D2822</f>
        <v>Home Office</v>
      </c>
      <c r="E2823" t="s">
        <v>24</v>
      </c>
      <c r="F2823">
        <v>3</v>
      </c>
      <c r="G2823">
        <v>0.2</v>
      </c>
      <c r="H2823" s="2">
        <v>9.1844999999999928</v>
      </c>
      <c r="I2823" s="2">
        <v>146.952</v>
      </c>
    </row>
    <row r="2824" spans="1:9" x14ac:dyDescent="0.3">
      <c r="A2824" t="str">
        <f t="shared" si="942"/>
        <v>United States</v>
      </c>
      <c r="B2824" t="str">
        <f t="shared" si="939"/>
        <v>Louisville</v>
      </c>
      <c r="C2824" t="s">
        <v>7</v>
      </c>
      <c r="D2824" t="s">
        <v>8</v>
      </c>
      <c r="E2824" t="s">
        <v>19</v>
      </c>
      <c r="F2824">
        <v>2</v>
      </c>
      <c r="G2824">
        <v>0.2</v>
      </c>
      <c r="H2824" s="2">
        <v>10.833799999999998</v>
      </c>
      <c r="I2824" s="2">
        <v>37.972000000000001</v>
      </c>
    </row>
    <row r="2825" spans="1:9" x14ac:dyDescent="0.3">
      <c r="A2825" t="str">
        <f t="shared" si="942"/>
        <v>United States</v>
      </c>
      <c r="B2825" t="str">
        <f t="shared" si="939"/>
        <v>Louisville</v>
      </c>
      <c r="C2825" t="str">
        <f t="shared" ref="C2825:C2832" si="944">C2824</f>
        <v>Second Class</v>
      </c>
      <c r="D2825" t="str">
        <f t="shared" ref="D2825:D2830" si="945">D2824</f>
        <v>Consumer</v>
      </c>
      <c r="E2825" t="s">
        <v>20</v>
      </c>
      <c r="F2825">
        <v>1</v>
      </c>
      <c r="G2825">
        <v>0</v>
      </c>
      <c r="H2825" s="2">
        <v>5.8890999999999991</v>
      </c>
      <c r="I2825" s="2">
        <v>12.53</v>
      </c>
    </row>
    <row r="2826" spans="1:9" x14ac:dyDescent="0.3">
      <c r="A2826" t="str">
        <f t="shared" si="942"/>
        <v>United States</v>
      </c>
      <c r="B2826" t="str">
        <f t="shared" si="939"/>
        <v>Louisville</v>
      </c>
      <c r="C2826" t="str">
        <f t="shared" si="944"/>
        <v>Second Class</v>
      </c>
      <c r="D2826" t="str">
        <f t="shared" si="945"/>
        <v>Consumer</v>
      </c>
      <c r="E2826" t="s">
        <v>33</v>
      </c>
      <c r="F2826">
        <v>22</v>
      </c>
      <c r="G2826">
        <v>0.2</v>
      </c>
      <c r="H2826" s="2">
        <v>630.55009999999993</v>
      </c>
      <c r="I2826" s="2">
        <v>2675.94</v>
      </c>
    </row>
    <row r="2827" spans="1:9" x14ac:dyDescent="0.3">
      <c r="A2827" t="str">
        <f t="shared" si="942"/>
        <v>United States</v>
      </c>
      <c r="B2827" t="str">
        <f t="shared" si="939"/>
        <v>Louisville</v>
      </c>
      <c r="C2827" t="str">
        <f t="shared" si="944"/>
        <v>Second Class</v>
      </c>
      <c r="D2827" t="str">
        <f t="shared" si="945"/>
        <v>Consumer</v>
      </c>
      <c r="E2827" t="s">
        <v>16</v>
      </c>
      <c r="F2827">
        <v>4</v>
      </c>
      <c r="G2827">
        <v>0.2</v>
      </c>
      <c r="H2827" s="2">
        <v>12.5328</v>
      </c>
      <c r="I2827" s="2">
        <v>35.808</v>
      </c>
    </row>
    <row r="2828" spans="1:9" x14ac:dyDescent="0.3">
      <c r="A2828" t="str">
        <f t="shared" si="942"/>
        <v>United States</v>
      </c>
      <c r="B2828" t="str">
        <f t="shared" si="939"/>
        <v>Louisville</v>
      </c>
      <c r="C2828" t="str">
        <f t="shared" si="944"/>
        <v>Second Class</v>
      </c>
      <c r="D2828" t="str">
        <f t="shared" si="945"/>
        <v>Consumer</v>
      </c>
      <c r="E2828" t="s">
        <v>24</v>
      </c>
      <c r="F2828">
        <v>2</v>
      </c>
      <c r="G2828">
        <v>0.2</v>
      </c>
      <c r="H2828" s="2">
        <v>55.998400000000032</v>
      </c>
      <c r="I2828" s="2">
        <v>559.98400000000004</v>
      </c>
    </row>
    <row r="2829" spans="1:9" x14ac:dyDescent="0.3">
      <c r="A2829" t="str">
        <f t="shared" si="942"/>
        <v>United States</v>
      </c>
      <c r="B2829" t="str">
        <f t="shared" si="939"/>
        <v>Louisville</v>
      </c>
      <c r="C2829" t="str">
        <f t="shared" si="944"/>
        <v>Second Class</v>
      </c>
      <c r="D2829" t="str">
        <f t="shared" si="945"/>
        <v>Consumer</v>
      </c>
      <c r="E2829" t="s">
        <v>14</v>
      </c>
      <c r="F2829">
        <v>3</v>
      </c>
      <c r="G2829">
        <v>0</v>
      </c>
      <c r="H2829" s="2">
        <v>9.5940000000000012</v>
      </c>
      <c r="I2829" s="2">
        <v>95.94</v>
      </c>
    </row>
    <row r="2830" spans="1:9" x14ac:dyDescent="0.3">
      <c r="A2830" t="str">
        <f t="shared" si="942"/>
        <v>United States</v>
      </c>
      <c r="B2830" t="str">
        <f t="shared" si="939"/>
        <v>Louisville</v>
      </c>
      <c r="C2830" t="str">
        <f t="shared" si="944"/>
        <v>Second Class</v>
      </c>
      <c r="D2830" t="str">
        <f t="shared" si="945"/>
        <v>Consumer</v>
      </c>
      <c r="E2830" t="s">
        <v>25</v>
      </c>
      <c r="F2830">
        <v>2</v>
      </c>
      <c r="G2830">
        <v>0.5</v>
      </c>
      <c r="H2830" s="2">
        <v>-99.266399999999976</v>
      </c>
      <c r="I2830" s="2">
        <v>145.97999999999999</v>
      </c>
    </row>
    <row r="2831" spans="1:9" x14ac:dyDescent="0.3">
      <c r="A2831" t="str">
        <f t="shared" si="942"/>
        <v>United States</v>
      </c>
      <c r="B2831" t="str">
        <f t="shared" si="939"/>
        <v>Louisville</v>
      </c>
      <c r="C2831" t="str">
        <f t="shared" si="944"/>
        <v>Second Class</v>
      </c>
      <c r="D2831" t="s">
        <v>15</v>
      </c>
      <c r="E2831" t="s">
        <v>33</v>
      </c>
      <c r="F2831">
        <v>2</v>
      </c>
      <c r="G2831">
        <v>0</v>
      </c>
      <c r="H2831" s="2">
        <v>168.47040000000004</v>
      </c>
      <c r="I2831" s="2">
        <v>701.96</v>
      </c>
    </row>
    <row r="2832" spans="1:9" x14ac:dyDescent="0.3">
      <c r="A2832" t="str">
        <f t="shared" si="942"/>
        <v>United States</v>
      </c>
      <c r="B2832" t="str">
        <f t="shared" si="939"/>
        <v>Louisville</v>
      </c>
      <c r="C2832" t="str">
        <f t="shared" si="944"/>
        <v>Second Class</v>
      </c>
      <c r="D2832" t="str">
        <f>D2831</f>
        <v>Corporate</v>
      </c>
      <c r="E2832" t="s">
        <v>18</v>
      </c>
      <c r="F2832">
        <v>3</v>
      </c>
      <c r="G2832">
        <v>0.2</v>
      </c>
      <c r="H2832" s="2">
        <v>3.065399999999999</v>
      </c>
      <c r="I2832" s="2">
        <v>9.4320000000000004</v>
      </c>
    </row>
    <row r="2833" spans="1:9" x14ac:dyDescent="0.3">
      <c r="A2833" t="str">
        <f t="shared" si="942"/>
        <v>United States</v>
      </c>
      <c r="B2833" t="str">
        <f t="shared" si="939"/>
        <v>Louisville</v>
      </c>
      <c r="C2833" t="s">
        <v>22</v>
      </c>
      <c r="D2833" t="s">
        <v>8</v>
      </c>
      <c r="E2833" t="s">
        <v>23</v>
      </c>
      <c r="F2833">
        <v>4</v>
      </c>
      <c r="G2833">
        <v>0.2</v>
      </c>
      <c r="H2833" s="2">
        <v>-2.9180000000000028</v>
      </c>
      <c r="I2833" s="2">
        <v>46.688000000000002</v>
      </c>
    </row>
    <row r="2834" spans="1:9" x14ac:dyDescent="0.3">
      <c r="A2834" t="str">
        <f t="shared" si="942"/>
        <v>United States</v>
      </c>
      <c r="B2834" t="str">
        <f t="shared" si="939"/>
        <v>Louisville</v>
      </c>
      <c r="C2834" t="str">
        <f t="shared" ref="C2834:C2848" si="946">C2833</f>
        <v>Standard Class</v>
      </c>
      <c r="D2834" t="str">
        <f t="shared" ref="D2834:D2840" si="947">D2833</f>
        <v>Consumer</v>
      </c>
      <c r="E2834" t="s">
        <v>20</v>
      </c>
      <c r="F2834">
        <v>6</v>
      </c>
      <c r="G2834">
        <v>0</v>
      </c>
      <c r="H2834" s="2">
        <v>33.7149</v>
      </c>
      <c r="I2834" s="2">
        <v>70.11</v>
      </c>
    </row>
    <row r="2835" spans="1:9" x14ac:dyDescent="0.3">
      <c r="A2835" t="str">
        <f t="shared" si="942"/>
        <v>United States</v>
      </c>
      <c r="B2835" t="str">
        <f t="shared" si="939"/>
        <v>Louisville</v>
      </c>
      <c r="C2835" t="str">
        <f t="shared" si="946"/>
        <v>Standard Class</v>
      </c>
      <c r="D2835" t="str">
        <f t="shared" si="947"/>
        <v>Consumer</v>
      </c>
      <c r="E2835" t="s">
        <v>33</v>
      </c>
      <c r="F2835">
        <v>5</v>
      </c>
      <c r="G2835">
        <v>0</v>
      </c>
      <c r="H2835" s="2">
        <v>129.57300000000004</v>
      </c>
      <c r="I2835" s="2">
        <v>479.9</v>
      </c>
    </row>
    <row r="2836" spans="1:9" x14ac:dyDescent="0.3">
      <c r="A2836" t="str">
        <f t="shared" si="942"/>
        <v>United States</v>
      </c>
      <c r="B2836" t="str">
        <f t="shared" si="939"/>
        <v>Louisville</v>
      </c>
      <c r="C2836" t="str">
        <f t="shared" si="946"/>
        <v>Standard Class</v>
      </c>
      <c r="D2836" t="str">
        <f t="shared" si="947"/>
        <v>Consumer</v>
      </c>
      <c r="E2836" t="s">
        <v>21</v>
      </c>
      <c r="F2836">
        <v>6</v>
      </c>
      <c r="G2836">
        <v>0.2</v>
      </c>
      <c r="H2836" s="2">
        <v>42.789599999999979</v>
      </c>
      <c r="I2836" s="2">
        <v>232.63200000000001</v>
      </c>
    </row>
    <row r="2837" spans="1:9" x14ac:dyDescent="0.3">
      <c r="A2837" t="str">
        <f t="shared" si="942"/>
        <v>United States</v>
      </c>
      <c r="B2837" t="str">
        <f t="shared" si="939"/>
        <v>Louisville</v>
      </c>
      <c r="C2837" t="str">
        <f t="shared" si="946"/>
        <v>Standard Class</v>
      </c>
      <c r="D2837" t="str">
        <f t="shared" si="947"/>
        <v>Consumer</v>
      </c>
      <c r="E2837" t="s">
        <v>43</v>
      </c>
      <c r="F2837">
        <v>1</v>
      </c>
      <c r="G2837">
        <v>0</v>
      </c>
      <c r="H2837" s="2">
        <v>1.2005999999999999</v>
      </c>
      <c r="I2837" s="2">
        <v>2.61</v>
      </c>
    </row>
    <row r="2838" spans="1:9" x14ac:dyDescent="0.3">
      <c r="A2838" t="str">
        <f t="shared" si="942"/>
        <v>United States</v>
      </c>
      <c r="B2838" t="str">
        <f t="shared" si="939"/>
        <v>Louisville</v>
      </c>
      <c r="C2838" t="str">
        <f t="shared" si="946"/>
        <v>Standard Class</v>
      </c>
      <c r="D2838" t="str">
        <f t="shared" si="947"/>
        <v>Consumer</v>
      </c>
      <c r="E2838" t="s">
        <v>16</v>
      </c>
      <c r="F2838">
        <v>1</v>
      </c>
      <c r="G2838">
        <v>0.2</v>
      </c>
      <c r="H2838" s="2">
        <v>2.0849999999999991</v>
      </c>
      <c r="I2838" s="2">
        <v>6.6720000000000006</v>
      </c>
    </row>
    <row r="2839" spans="1:9" x14ac:dyDescent="0.3">
      <c r="A2839" t="str">
        <f t="shared" si="942"/>
        <v>United States</v>
      </c>
      <c r="B2839" t="str">
        <f t="shared" si="939"/>
        <v>Louisville</v>
      </c>
      <c r="C2839" t="str">
        <f t="shared" si="946"/>
        <v>Standard Class</v>
      </c>
      <c r="D2839" t="str">
        <f t="shared" si="947"/>
        <v>Consumer</v>
      </c>
      <c r="E2839" t="s">
        <v>24</v>
      </c>
      <c r="F2839">
        <v>17</v>
      </c>
      <c r="G2839">
        <v>0.2</v>
      </c>
      <c r="H2839" s="2">
        <v>175.48570000000004</v>
      </c>
      <c r="I2839" s="2">
        <v>785.22399999999993</v>
      </c>
    </row>
    <row r="2840" spans="1:9" x14ac:dyDescent="0.3">
      <c r="A2840" t="str">
        <f t="shared" si="942"/>
        <v>United States</v>
      </c>
      <c r="B2840" t="str">
        <f t="shared" si="939"/>
        <v>Louisville</v>
      </c>
      <c r="C2840" t="str">
        <f t="shared" si="946"/>
        <v>Standard Class</v>
      </c>
      <c r="D2840" t="str">
        <f t="shared" si="947"/>
        <v>Consumer</v>
      </c>
      <c r="E2840" t="s">
        <v>14</v>
      </c>
      <c r="F2840">
        <v>3</v>
      </c>
      <c r="G2840">
        <v>0.2</v>
      </c>
      <c r="H2840" s="2">
        <v>20.745899999999985</v>
      </c>
      <c r="I2840" s="2">
        <v>237.09600000000003</v>
      </c>
    </row>
    <row r="2841" spans="1:9" x14ac:dyDescent="0.3">
      <c r="A2841" t="str">
        <f t="shared" si="942"/>
        <v>United States</v>
      </c>
      <c r="B2841" t="str">
        <f t="shared" si="939"/>
        <v>Louisville</v>
      </c>
      <c r="C2841" t="str">
        <f t="shared" si="946"/>
        <v>Standard Class</v>
      </c>
      <c r="D2841" t="s">
        <v>15</v>
      </c>
      <c r="E2841" t="s">
        <v>19</v>
      </c>
      <c r="F2841">
        <v>2</v>
      </c>
      <c r="G2841">
        <v>0.2</v>
      </c>
      <c r="H2841" s="2">
        <v>0.59920000000000018</v>
      </c>
      <c r="I2841" s="2">
        <v>6.8480000000000008</v>
      </c>
    </row>
    <row r="2842" spans="1:9" x14ac:dyDescent="0.3">
      <c r="A2842" t="str">
        <f t="shared" si="942"/>
        <v>United States</v>
      </c>
      <c r="B2842" t="str">
        <f t="shared" si="939"/>
        <v>Louisville</v>
      </c>
      <c r="C2842" t="str">
        <f t="shared" si="946"/>
        <v>Standard Class</v>
      </c>
      <c r="D2842" t="str">
        <f>D2841</f>
        <v>Corporate</v>
      </c>
      <c r="E2842" t="s">
        <v>21</v>
      </c>
      <c r="F2842">
        <v>3</v>
      </c>
      <c r="G2842">
        <v>0.2</v>
      </c>
      <c r="H2842" s="2">
        <v>3.665999999999995</v>
      </c>
      <c r="I2842" s="2">
        <v>29.328000000000003</v>
      </c>
    </row>
    <row r="2843" spans="1:9" x14ac:dyDescent="0.3">
      <c r="A2843" t="str">
        <f t="shared" si="942"/>
        <v>United States</v>
      </c>
      <c r="B2843" t="str">
        <f t="shared" si="939"/>
        <v>Louisville</v>
      </c>
      <c r="C2843" t="str">
        <f t="shared" si="946"/>
        <v>Standard Class</v>
      </c>
      <c r="D2843" t="s">
        <v>17</v>
      </c>
      <c r="E2843" t="s">
        <v>23</v>
      </c>
      <c r="F2843">
        <v>20</v>
      </c>
      <c r="G2843">
        <v>0</v>
      </c>
      <c r="H2843" s="2">
        <v>74.183799999999991</v>
      </c>
      <c r="I2843" s="2">
        <v>378.02</v>
      </c>
    </row>
    <row r="2844" spans="1:9" x14ac:dyDescent="0.3">
      <c r="A2844" t="str">
        <f t="shared" si="942"/>
        <v>United States</v>
      </c>
      <c r="B2844" t="str">
        <f t="shared" si="939"/>
        <v>Louisville</v>
      </c>
      <c r="C2844" t="str">
        <f t="shared" si="946"/>
        <v>Standard Class</v>
      </c>
      <c r="D2844" t="str">
        <f t="shared" ref="D2844:D2848" si="948">D2843</f>
        <v>Home Office</v>
      </c>
      <c r="E2844" t="s">
        <v>20</v>
      </c>
      <c r="F2844">
        <v>33</v>
      </c>
      <c r="G2844">
        <v>2.0999999999999996</v>
      </c>
      <c r="H2844" s="2">
        <v>148.31709999999998</v>
      </c>
      <c r="I2844" s="2">
        <v>429.00799999999998</v>
      </c>
    </row>
    <row r="2845" spans="1:9" x14ac:dyDescent="0.3">
      <c r="A2845" t="str">
        <f t="shared" si="942"/>
        <v>United States</v>
      </c>
      <c r="B2845" t="str">
        <f t="shared" si="939"/>
        <v>Louisville</v>
      </c>
      <c r="C2845" t="str">
        <f t="shared" si="946"/>
        <v>Standard Class</v>
      </c>
      <c r="D2845" t="str">
        <f t="shared" si="948"/>
        <v>Home Office</v>
      </c>
      <c r="E2845" t="s">
        <v>21</v>
      </c>
      <c r="F2845">
        <v>5</v>
      </c>
      <c r="G2845">
        <v>0</v>
      </c>
      <c r="H2845" s="2">
        <v>12.446999999999999</v>
      </c>
      <c r="I2845" s="2">
        <v>34.22</v>
      </c>
    </row>
    <row r="2846" spans="1:9" x14ac:dyDescent="0.3">
      <c r="A2846" t="str">
        <f t="shared" si="942"/>
        <v>United States</v>
      </c>
      <c r="B2846" t="str">
        <f t="shared" si="939"/>
        <v>Louisville</v>
      </c>
      <c r="C2846" t="str">
        <f t="shared" si="946"/>
        <v>Standard Class</v>
      </c>
      <c r="D2846" t="str">
        <f t="shared" si="948"/>
        <v>Home Office</v>
      </c>
      <c r="E2846" t="s">
        <v>46</v>
      </c>
      <c r="F2846">
        <v>5</v>
      </c>
      <c r="G2846">
        <v>0.7</v>
      </c>
      <c r="H2846" s="2">
        <v>-3399.9800000000009</v>
      </c>
      <c r="I2846" s="2">
        <v>2549.9850000000006</v>
      </c>
    </row>
    <row r="2847" spans="1:9" x14ac:dyDescent="0.3">
      <c r="A2847" t="str">
        <f t="shared" si="942"/>
        <v>United States</v>
      </c>
      <c r="B2847" t="str">
        <f t="shared" si="939"/>
        <v>Louisville</v>
      </c>
      <c r="C2847" t="str">
        <f t="shared" si="946"/>
        <v>Standard Class</v>
      </c>
      <c r="D2847" t="str">
        <f t="shared" si="948"/>
        <v>Home Office</v>
      </c>
      <c r="E2847" t="s">
        <v>16</v>
      </c>
      <c r="F2847">
        <v>4</v>
      </c>
      <c r="G2847">
        <v>0.2</v>
      </c>
      <c r="H2847" s="2">
        <v>7.2576000000000001</v>
      </c>
      <c r="I2847" s="2">
        <v>20.736000000000004</v>
      </c>
    </row>
    <row r="2848" spans="1:9" x14ac:dyDescent="0.3">
      <c r="A2848" t="str">
        <f t="shared" si="942"/>
        <v>United States</v>
      </c>
      <c r="B2848" t="str">
        <f t="shared" si="939"/>
        <v>Louisville</v>
      </c>
      <c r="C2848" t="str">
        <f t="shared" si="946"/>
        <v>Standard Class</v>
      </c>
      <c r="D2848" t="str">
        <f t="shared" si="948"/>
        <v>Home Office</v>
      </c>
      <c r="E2848" t="s">
        <v>24</v>
      </c>
      <c r="F2848">
        <v>3</v>
      </c>
      <c r="G2848">
        <v>0</v>
      </c>
      <c r="H2848" s="2">
        <v>134.99250000000001</v>
      </c>
      <c r="I2848" s="2">
        <v>539.97</v>
      </c>
    </row>
    <row r="2849" spans="1:9" x14ac:dyDescent="0.3">
      <c r="A2849" t="str">
        <f t="shared" si="942"/>
        <v>United States</v>
      </c>
      <c r="B2849" t="s">
        <v>298</v>
      </c>
      <c r="C2849" t="s">
        <v>11</v>
      </c>
      <c r="D2849" t="s">
        <v>15</v>
      </c>
      <c r="E2849" t="s">
        <v>38</v>
      </c>
      <c r="F2849">
        <v>1</v>
      </c>
      <c r="G2849">
        <v>0.2</v>
      </c>
      <c r="H2849" s="2">
        <v>3.1842000000000001</v>
      </c>
      <c r="I2849" s="2">
        <v>8.7840000000000007</v>
      </c>
    </row>
    <row r="2850" spans="1:9" x14ac:dyDescent="0.3">
      <c r="A2850" t="str">
        <f t="shared" si="942"/>
        <v>United States</v>
      </c>
      <c r="B2850" t="str">
        <f t="shared" ref="B2850:B2852" si="949">B2849</f>
        <v>Loveland</v>
      </c>
      <c r="C2850" t="str">
        <f>C2849</f>
        <v>First Class</v>
      </c>
      <c r="D2850" t="str">
        <f>D2849</f>
        <v>Corporate</v>
      </c>
      <c r="E2850" t="s">
        <v>16</v>
      </c>
      <c r="F2850">
        <v>2</v>
      </c>
      <c r="G2850">
        <v>0.2</v>
      </c>
      <c r="H2850" s="2">
        <v>2.8884000000000007</v>
      </c>
      <c r="I2850" s="2">
        <v>7.9680000000000009</v>
      </c>
    </row>
    <row r="2851" spans="1:9" x14ac:dyDescent="0.3">
      <c r="A2851" t="str">
        <f t="shared" si="942"/>
        <v>United States</v>
      </c>
      <c r="B2851" t="str">
        <f t="shared" si="949"/>
        <v>Loveland</v>
      </c>
      <c r="C2851" t="s">
        <v>7</v>
      </c>
      <c r="D2851" t="s">
        <v>15</v>
      </c>
      <c r="E2851" t="s">
        <v>20</v>
      </c>
      <c r="F2851">
        <v>2</v>
      </c>
      <c r="G2851">
        <v>0.7</v>
      </c>
      <c r="H2851" s="2">
        <v>-0.98999999999999977</v>
      </c>
      <c r="I2851" s="2">
        <v>1.1880000000000002</v>
      </c>
    </row>
    <row r="2852" spans="1:9" x14ac:dyDescent="0.3">
      <c r="A2852" t="str">
        <f t="shared" si="942"/>
        <v>United States</v>
      </c>
      <c r="B2852" t="str">
        <f t="shared" si="949"/>
        <v>Loveland</v>
      </c>
      <c r="C2852" t="s">
        <v>22</v>
      </c>
      <c r="D2852" t="s">
        <v>8</v>
      </c>
      <c r="E2852" t="s">
        <v>18</v>
      </c>
      <c r="F2852">
        <v>3</v>
      </c>
      <c r="G2852">
        <v>0.2</v>
      </c>
      <c r="H2852" s="2">
        <v>-0.6048</v>
      </c>
      <c r="I2852" s="2">
        <v>3.024</v>
      </c>
    </row>
    <row r="2853" spans="1:9" x14ac:dyDescent="0.3">
      <c r="A2853" t="str">
        <f t="shared" si="942"/>
        <v>United States</v>
      </c>
      <c r="B2853" t="s">
        <v>299</v>
      </c>
      <c r="C2853" t="s">
        <v>11</v>
      </c>
      <c r="D2853" t="s">
        <v>8</v>
      </c>
      <c r="E2853" t="s">
        <v>12</v>
      </c>
      <c r="F2853">
        <v>7</v>
      </c>
      <c r="G2853">
        <v>0</v>
      </c>
      <c r="H2853" s="2">
        <v>80.320799999999991</v>
      </c>
      <c r="I2853" s="2">
        <v>286.85999999999996</v>
      </c>
    </row>
    <row r="2854" spans="1:9" x14ac:dyDescent="0.3">
      <c r="A2854" t="str">
        <f t="shared" si="942"/>
        <v>United States</v>
      </c>
      <c r="B2854" t="str">
        <f t="shared" ref="B2854:B2863" si="950">B2853</f>
        <v>Lowell</v>
      </c>
      <c r="C2854" t="str">
        <f t="shared" ref="C2854:C2857" si="951">C2853</f>
        <v>First Class</v>
      </c>
      <c r="D2854" t="str">
        <f t="shared" ref="D2854:D2857" si="952">D2853</f>
        <v>Consumer</v>
      </c>
      <c r="E2854" t="s">
        <v>21</v>
      </c>
      <c r="F2854">
        <v>5</v>
      </c>
      <c r="G2854">
        <v>0</v>
      </c>
      <c r="H2854" s="2">
        <v>18.8262</v>
      </c>
      <c r="I2854" s="2">
        <v>55.66</v>
      </c>
    </row>
    <row r="2855" spans="1:9" x14ac:dyDescent="0.3">
      <c r="A2855" t="str">
        <f t="shared" si="942"/>
        <v>United States</v>
      </c>
      <c r="B2855" t="str">
        <f t="shared" si="950"/>
        <v>Lowell</v>
      </c>
      <c r="C2855" t="str">
        <f t="shared" si="951"/>
        <v>First Class</v>
      </c>
      <c r="D2855" t="str">
        <f t="shared" si="952"/>
        <v>Consumer</v>
      </c>
      <c r="E2855" t="s">
        <v>24</v>
      </c>
      <c r="F2855">
        <v>7</v>
      </c>
      <c r="G2855">
        <v>0</v>
      </c>
      <c r="H2855" s="2">
        <v>363.03649999999993</v>
      </c>
      <c r="I2855" s="2">
        <v>1251.8499999999999</v>
      </c>
    </row>
    <row r="2856" spans="1:9" x14ac:dyDescent="0.3">
      <c r="A2856" t="str">
        <f t="shared" si="942"/>
        <v>United States</v>
      </c>
      <c r="B2856" t="str">
        <f t="shared" si="950"/>
        <v>Lowell</v>
      </c>
      <c r="C2856" t="str">
        <f t="shared" si="951"/>
        <v>First Class</v>
      </c>
      <c r="D2856" t="str">
        <f t="shared" si="952"/>
        <v>Consumer</v>
      </c>
      <c r="E2856" t="s">
        <v>14</v>
      </c>
      <c r="F2856">
        <v>5</v>
      </c>
      <c r="G2856">
        <v>0</v>
      </c>
      <c r="H2856" s="2">
        <v>207.14699999999993</v>
      </c>
      <c r="I2856" s="2">
        <v>714.30000000000007</v>
      </c>
    </row>
    <row r="2857" spans="1:9" x14ac:dyDescent="0.3">
      <c r="A2857" t="str">
        <f t="shared" si="942"/>
        <v>United States</v>
      </c>
      <c r="B2857" t="str">
        <f t="shared" si="950"/>
        <v>Lowell</v>
      </c>
      <c r="C2857" t="str">
        <f t="shared" si="951"/>
        <v>First Class</v>
      </c>
      <c r="D2857" t="str">
        <f t="shared" si="952"/>
        <v>Consumer</v>
      </c>
      <c r="E2857" t="s">
        <v>9</v>
      </c>
      <c r="F2857">
        <v>2</v>
      </c>
      <c r="G2857">
        <v>0</v>
      </c>
      <c r="H2857" s="2">
        <v>0.17439999999999944</v>
      </c>
      <c r="I2857" s="2">
        <v>4.3600000000000003</v>
      </c>
    </row>
    <row r="2858" spans="1:9" x14ac:dyDescent="0.3">
      <c r="A2858" t="str">
        <f t="shared" si="942"/>
        <v>United States</v>
      </c>
      <c r="B2858" t="str">
        <f t="shared" si="950"/>
        <v>Lowell</v>
      </c>
      <c r="C2858" t="s">
        <v>7</v>
      </c>
      <c r="D2858" t="s">
        <v>15</v>
      </c>
      <c r="E2858" t="s">
        <v>33</v>
      </c>
      <c r="F2858">
        <v>6</v>
      </c>
      <c r="G2858">
        <v>0</v>
      </c>
      <c r="H2858" s="2">
        <v>212.18759999999997</v>
      </c>
      <c r="I2858" s="2">
        <v>785.87999999999988</v>
      </c>
    </row>
    <row r="2859" spans="1:9" x14ac:dyDescent="0.3">
      <c r="A2859" t="str">
        <f t="shared" si="942"/>
        <v>United States</v>
      </c>
      <c r="B2859" t="str">
        <f t="shared" si="950"/>
        <v>Lowell</v>
      </c>
      <c r="C2859" t="str">
        <f t="shared" ref="C2859:C2860" si="953">C2858</f>
        <v>Second Class</v>
      </c>
      <c r="D2859" t="str">
        <f t="shared" ref="D2859:D2860" si="954">D2858</f>
        <v>Corporate</v>
      </c>
      <c r="E2859" t="s">
        <v>16</v>
      </c>
      <c r="F2859">
        <v>9</v>
      </c>
      <c r="G2859">
        <v>0</v>
      </c>
      <c r="H2859" s="2">
        <v>141.26839999999999</v>
      </c>
      <c r="I2859" s="2">
        <v>298.15999999999997</v>
      </c>
    </row>
    <row r="2860" spans="1:9" x14ac:dyDescent="0.3">
      <c r="A2860" t="str">
        <f t="shared" si="942"/>
        <v>United States</v>
      </c>
      <c r="B2860" t="str">
        <f t="shared" si="950"/>
        <v>Lowell</v>
      </c>
      <c r="C2860" t="str">
        <f t="shared" si="953"/>
        <v>Second Class</v>
      </c>
      <c r="D2860" t="str">
        <f t="shared" si="954"/>
        <v>Corporate</v>
      </c>
      <c r="E2860" t="s">
        <v>14</v>
      </c>
      <c r="F2860">
        <v>5</v>
      </c>
      <c r="G2860">
        <v>0</v>
      </c>
      <c r="H2860" s="2">
        <v>238.65299999999991</v>
      </c>
      <c r="I2860" s="2">
        <v>1325.8500000000001</v>
      </c>
    </row>
    <row r="2861" spans="1:9" x14ac:dyDescent="0.3">
      <c r="A2861" t="str">
        <f t="shared" si="942"/>
        <v>United States</v>
      </c>
      <c r="B2861" t="str">
        <f t="shared" si="950"/>
        <v>Lowell</v>
      </c>
      <c r="C2861" t="s">
        <v>22</v>
      </c>
      <c r="D2861" t="s">
        <v>8</v>
      </c>
      <c r="E2861" t="s">
        <v>19</v>
      </c>
      <c r="F2861">
        <v>5</v>
      </c>
      <c r="G2861">
        <v>0</v>
      </c>
      <c r="H2861" s="2">
        <v>7.2468000000000004</v>
      </c>
      <c r="I2861" s="2">
        <v>20.520000000000003</v>
      </c>
    </row>
    <row r="2862" spans="1:9" x14ac:dyDescent="0.3">
      <c r="A2862" t="str">
        <f t="shared" si="942"/>
        <v>United States</v>
      </c>
      <c r="B2862" t="str">
        <f t="shared" si="950"/>
        <v>Lowell</v>
      </c>
      <c r="C2862" t="str">
        <f t="shared" ref="C2862:C2863" si="955">C2861</f>
        <v>Standard Class</v>
      </c>
      <c r="D2862" t="str">
        <f>D2861</f>
        <v>Consumer</v>
      </c>
      <c r="E2862" t="s">
        <v>16</v>
      </c>
      <c r="F2862">
        <v>2</v>
      </c>
      <c r="G2862">
        <v>0</v>
      </c>
      <c r="H2862" s="2">
        <v>11.543199999999999</v>
      </c>
      <c r="I2862" s="2">
        <v>24.56</v>
      </c>
    </row>
    <row r="2863" spans="1:9" x14ac:dyDescent="0.3">
      <c r="A2863" t="str">
        <f t="shared" si="942"/>
        <v>United States</v>
      </c>
      <c r="B2863" t="str">
        <f t="shared" si="950"/>
        <v>Lowell</v>
      </c>
      <c r="C2863" t="str">
        <f t="shared" si="955"/>
        <v>Standard Class</v>
      </c>
      <c r="D2863" t="s">
        <v>15</v>
      </c>
      <c r="E2863" t="s">
        <v>24</v>
      </c>
      <c r="F2863">
        <v>7</v>
      </c>
      <c r="G2863">
        <v>0</v>
      </c>
      <c r="H2863" s="2">
        <v>32.1678</v>
      </c>
      <c r="I2863" s="2">
        <v>69.930000000000007</v>
      </c>
    </row>
    <row r="2864" spans="1:9" x14ac:dyDescent="0.3">
      <c r="A2864" t="str">
        <f t="shared" si="942"/>
        <v>United States</v>
      </c>
      <c r="B2864" t="s">
        <v>300</v>
      </c>
      <c r="C2864" t="s">
        <v>11</v>
      </c>
      <c r="D2864" t="s">
        <v>15</v>
      </c>
      <c r="E2864" t="s">
        <v>16</v>
      </c>
      <c r="F2864">
        <v>2</v>
      </c>
      <c r="G2864">
        <v>0.2</v>
      </c>
      <c r="H2864" s="2">
        <v>3.3524000000000003</v>
      </c>
      <c r="I2864" s="2">
        <v>9.2480000000000011</v>
      </c>
    </row>
    <row r="2865" spans="1:9" x14ac:dyDescent="0.3">
      <c r="A2865" t="str">
        <f t="shared" si="942"/>
        <v>United States</v>
      </c>
      <c r="B2865" t="str">
        <f t="shared" ref="B2865:B2869" si="956">B2864</f>
        <v>Lubbock</v>
      </c>
      <c r="C2865" t="s">
        <v>27</v>
      </c>
      <c r="D2865" t="s">
        <v>8</v>
      </c>
      <c r="E2865" t="s">
        <v>21</v>
      </c>
      <c r="F2865">
        <v>5</v>
      </c>
      <c r="G2865">
        <v>0.6</v>
      </c>
      <c r="H2865" s="2">
        <v>-11.321999999999999</v>
      </c>
      <c r="I2865" s="2">
        <v>25.16</v>
      </c>
    </row>
    <row r="2866" spans="1:9" x14ac:dyDescent="0.3">
      <c r="A2866" t="str">
        <f t="shared" si="942"/>
        <v>United States</v>
      </c>
      <c r="B2866" t="str">
        <f t="shared" si="956"/>
        <v>Lubbock</v>
      </c>
      <c r="C2866" t="s">
        <v>22</v>
      </c>
      <c r="D2866" t="s">
        <v>8</v>
      </c>
      <c r="E2866" t="s">
        <v>20</v>
      </c>
      <c r="F2866">
        <v>1</v>
      </c>
      <c r="G2866">
        <v>0.8</v>
      </c>
      <c r="H2866" s="2">
        <v>-10.336000000000002</v>
      </c>
      <c r="I2866" s="2">
        <v>6.0799999999999983</v>
      </c>
    </row>
    <row r="2867" spans="1:9" x14ac:dyDescent="0.3">
      <c r="A2867" t="str">
        <f t="shared" si="942"/>
        <v>United States</v>
      </c>
      <c r="B2867" t="str">
        <f t="shared" si="956"/>
        <v>Lubbock</v>
      </c>
      <c r="C2867" t="str">
        <f t="shared" ref="C2867:C2869" si="957">C2866</f>
        <v>Standard Class</v>
      </c>
      <c r="D2867" t="str">
        <f t="shared" ref="D2867:D2868" si="958">D2866</f>
        <v>Consumer</v>
      </c>
      <c r="E2867" t="s">
        <v>45</v>
      </c>
      <c r="F2867">
        <v>3</v>
      </c>
      <c r="G2867">
        <v>0.2</v>
      </c>
      <c r="H2867" s="2">
        <v>161.99189999999999</v>
      </c>
      <c r="I2867" s="2">
        <v>479.97600000000006</v>
      </c>
    </row>
    <row r="2868" spans="1:9" x14ac:dyDescent="0.3">
      <c r="A2868" t="str">
        <f t="shared" si="942"/>
        <v>United States</v>
      </c>
      <c r="B2868" t="str">
        <f t="shared" si="956"/>
        <v>Lubbock</v>
      </c>
      <c r="C2868" t="str">
        <f t="shared" si="957"/>
        <v>Standard Class</v>
      </c>
      <c r="D2868" t="str">
        <f t="shared" si="958"/>
        <v>Consumer</v>
      </c>
      <c r="E2868" t="s">
        <v>16</v>
      </c>
      <c r="F2868">
        <v>8</v>
      </c>
      <c r="G2868">
        <v>0.2</v>
      </c>
      <c r="H2868" s="2">
        <v>20.4984</v>
      </c>
      <c r="I2868" s="2">
        <v>60.736000000000004</v>
      </c>
    </row>
    <row r="2869" spans="1:9" x14ac:dyDescent="0.3">
      <c r="A2869" t="str">
        <f t="shared" si="942"/>
        <v>United States</v>
      </c>
      <c r="B2869" t="str">
        <f t="shared" si="956"/>
        <v>Lubbock</v>
      </c>
      <c r="C2869" t="str">
        <f t="shared" si="957"/>
        <v>Standard Class</v>
      </c>
      <c r="D2869" t="s">
        <v>17</v>
      </c>
      <c r="E2869" t="s">
        <v>20</v>
      </c>
      <c r="F2869">
        <v>3</v>
      </c>
      <c r="G2869">
        <v>0.8</v>
      </c>
      <c r="H2869" s="2">
        <v>-17.045999999999999</v>
      </c>
      <c r="I2869" s="2">
        <v>11.363999999999997</v>
      </c>
    </row>
    <row r="2870" spans="1:9" x14ac:dyDescent="0.3">
      <c r="A2870" t="str">
        <f t="shared" si="942"/>
        <v>United States</v>
      </c>
      <c r="B2870" t="s">
        <v>301</v>
      </c>
      <c r="C2870" t="s">
        <v>11</v>
      </c>
      <c r="D2870" t="s">
        <v>15</v>
      </c>
      <c r="E2870" t="s">
        <v>23</v>
      </c>
      <c r="F2870">
        <v>7</v>
      </c>
      <c r="G2870">
        <v>0</v>
      </c>
      <c r="H2870" s="2">
        <v>43.055099999999996</v>
      </c>
      <c r="I2870" s="2">
        <v>116.85</v>
      </c>
    </row>
    <row r="2871" spans="1:9" x14ac:dyDescent="0.3">
      <c r="A2871" t="str">
        <f t="shared" si="942"/>
        <v>United States</v>
      </c>
      <c r="B2871" t="str">
        <f t="shared" ref="B2871:B2874" si="959">B2870</f>
        <v>Macon</v>
      </c>
      <c r="C2871" t="s">
        <v>7</v>
      </c>
      <c r="D2871" t="s">
        <v>8</v>
      </c>
      <c r="E2871" t="s">
        <v>20</v>
      </c>
      <c r="F2871">
        <v>4</v>
      </c>
      <c r="G2871">
        <v>0</v>
      </c>
      <c r="H2871" s="2">
        <v>27.011199999999999</v>
      </c>
      <c r="I2871" s="2">
        <v>58.72</v>
      </c>
    </row>
    <row r="2872" spans="1:9" x14ac:dyDescent="0.3">
      <c r="A2872" t="str">
        <f t="shared" si="942"/>
        <v>United States</v>
      </c>
      <c r="B2872" t="str">
        <f t="shared" si="959"/>
        <v>Macon</v>
      </c>
      <c r="C2872" t="str">
        <f>C2871</f>
        <v>Second Class</v>
      </c>
      <c r="D2872" t="s">
        <v>15</v>
      </c>
      <c r="E2872" t="s">
        <v>16</v>
      </c>
      <c r="F2872">
        <v>6</v>
      </c>
      <c r="G2872">
        <v>0</v>
      </c>
      <c r="H2872" s="2">
        <v>18.662400000000002</v>
      </c>
      <c r="I2872" s="2">
        <v>38.880000000000003</v>
      </c>
    </row>
    <row r="2873" spans="1:9" x14ac:dyDescent="0.3">
      <c r="A2873" t="str">
        <f t="shared" si="942"/>
        <v>United States</v>
      </c>
      <c r="B2873" t="str">
        <f t="shared" si="959"/>
        <v>Macon</v>
      </c>
      <c r="C2873" t="s">
        <v>22</v>
      </c>
      <c r="D2873" t="s">
        <v>8</v>
      </c>
      <c r="E2873" t="s">
        <v>20</v>
      </c>
      <c r="F2873">
        <v>2</v>
      </c>
      <c r="G2873">
        <v>0</v>
      </c>
      <c r="H2873" s="2">
        <v>3.4367999999999999</v>
      </c>
      <c r="I2873" s="2">
        <v>7.16</v>
      </c>
    </row>
    <row r="2874" spans="1:9" x14ac:dyDescent="0.3">
      <c r="A2874" t="str">
        <f t="shared" si="942"/>
        <v>United States</v>
      </c>
      <c r="B2874" t="str">
        <f t="shared" si="959"/>
        <v>Macon</v>
      </c>
      <c r="C2874" t="str">
        <f>C2873</f>
        <v>Standard Class</v>
      </c>
      <c r="D2874" t="str">
        <f>D2873</f>
        <v>Consumer</v>
      </c>
      <c r="E2874" t="s">
        <v>21</v>
      </c>
      <c r="F2874">
        <v>5</v>
      </c>
      <c r="G2874">
        <v>0</v>
      </c>
      <c r="H2874" s="2">
        <v>52.688000000000002</v>
      </c>
      <c r="I2874" s="2">
        <v>142.4</v>
      </c>
    </row>
    <row r="2875" spans="1:9" x14ac:dyDescent="0.3">
      <c r="A2875" t="str">
        <f t="shared" si="942"/>
        <v>United States</v>
      </c>
      <c r="B2875" t="s">
        <v>302</v>
      </c>
      <c r="C2875" t="s">
        <v>11</v>
      </c>
      <c r="D2875" t="s">
        <v>8</v>
      </c>
      <c r="E2875" t="s">
        <v>19</v>
      </c>
      <c r="F2875">
        <v>4</v>
      </c>
      <c r="G2875">
        <v>0</v>
      </c>
      <c r="H2875" s="2">
        <v>12.592800000000004</v>
      </c>
      <c r="I2875" s="2">
        <v>46.64</v>
      </c>
    </row>
    <row r="2876" spans="1:9" x14ac:dyDescent="0.3">
      <c r="A2876" t="str">
        <f t="shared" si="942"/>
        <v>United States</v>
      </c>
      <c r="B2876" t="str">
        <f t="shared" ref="B2876:B2884" si="960">B2875</f>
        <v>Madison</v>
      </c>
      <c r="C2876" t="str">
        <f>C2875</f>
        <v>First Class</v>
      </c>
      <c r="D2876" t="str">
        <f>D2875</f>
        <v>Consumer</v>
      </c>
      <c r="E2876" t="s">
        <v>33</v>
      </c>
      <c r="F2876">
        <v>8</v>
      </c>
      <c r="G2876">
        <v>0</v>
      </c>
      <c r="H2876" s="2">
        <v>673.88160000000016</v>
      </c>
      <c r="I2876" s="2">
        <v>2807.84</v>
      </c>
    </row>
    <row r="2877" spans="1:9" x14ac:dyDescent="0.3">
      <c r="A2877" t="str">
        <f t="shared" si="942"/>
        <v>United States</v>
      </c>
      <c r="B2877" t="str">
        <f t="shared" si="960"/>
        <v>Madison</v>
      </c>
      <c r="C2877" t="s">
        <v>27</v>
      </c>
      <c r="D2877" t="s">
        <v>8</v>
      </c>
      <c r="E2877" t="s">
        <v>20</v>
      </c>
      <c r="F2877">
        <v>2</v>
      </c>
      <c r="G2877">
        <v>0</v>
      </c>
      <c r="H2877" s="2">
        <v>3.8822000000000001</v>
      </c>
      <c r="I2877" s="2">
        <v>8.26</v>
      </c>
    </row>
    <row r="2878" spans="1:9" x14ac:dyDescent="0.3">
      <c r="A2878" t="str">
        <f t="shared" si="942"/>
        <v>United States</v>
      </c>
      <c r="B2878" t="str">
        <f t="shared" si="960"/>
        <v>Madison</v>
      </c>
      <c r="C2878" t="str">
        <f>C2877</f>
        <v>Same Day</v>
      </c>
      <c r="D2878" t="str">
        <f>D2877</f>
        <v>Consumer</v>
      </c>
      <c r="E2878" t="s">
        <v>18</v>
      </c>
      <c r="F2878">
        <v>1</v>
      </c>
      <c r="G2878">
        <v>0</v>
      </c>
      <c r="H2878" s="2">
        <v>0.65159999999999996</v>
      </c>
      <c r="I2878" s="2">
        <v>1.81</v>
      </c>
    </row>
    <row r="2879" spans="1:9" x14ac:dyDescent="0.3">
      <c r="A2879" t="str">
        <f t="shared" si="942"/>
        <v>United States</v>
      </c>
      <c r="B2879" t="str">
        <f t="shared" si="960"/>
        <v>Madison</v>
      </c>
      <c r="C2879" t="s">
        <v>22</v>
      </c>
      <c r="D2879" t="s">
        <v>8</v>
      </c>
      <c r="E2879" t="s">
        <v>23</v>
      </c>
      <c r="F2879">
        <v>3</v>
      </c>
      <c r="G2879">
        <v>0</v>
      </c>
      <c r="H2879" s="2">
        <v>32.059799999999996</v>
      </c>
      <c r="I2879" s="2">
        <v>178.10999999999999</v>
      </c>
    </row>
    <row r="2880" spans="1:9" x14ac:dyDescent="0.3">
      <c r="A2880" t="str">
        <f t="shared" si="942"/>
        <v>United States</v>
      </c>
      <c r="B2880" t="str">
        <f t="shared" si="960"/>
        <v>Madison</v>
      </c>
      <c r="C2880" t="str">
        <f t="shared" ref="C2880:C2884" si="961">C2879</f>
        <v>Standard Class</v>
      </c>
      <c r="D2880" t="str">
        <f t="shared" ref="D2880:D2884" si="962">D2879</f>
        <v>Consumer</v>
      </c>
      <c r="E2880" t="s">
        <v>12</v>
      </c>
      <c r="F2880">
        <v>3</v>
      </c>
      <c r="G2880">
        <v>0</v>
      </c>
      <c r="H2880" s="2">
        <v>305.13000000000011</v>
      </c>
      <c r="I2880" s="2">
        <v>1089.75</v>
      </c>
    </row>
    <row r="2881" spans="1:9" x14ac:dyDescent="0.3">
      <c r="A2881" t="str">
        <f t="shared" si="942"/>
        <v>United States</v>
      </c>
      <c r="B2881" t="str">
        <f t="shared" si="960"/>
        <v>Madison</v>
      </c>
      <c r="C2881" t="str">
        <f t="shared" si="961"/>
        <v>Standard Class</v>
      </c>
      <c r="D2881" t="str">
        <f t="shared" si="962"/>
        <v>Consumer</v>
      </c>
      <c r="E2881" t="s">
        <v>34</v>
      </c>
      <c r="F2881">
        <v>4</v>
      </c>
      <c r="G2881">
        <v>0</v>
      </c>
      <c r="H2881" s="2">
        <v>41.392799999999966</v>
      </c>
      <c r="I2881" s="2">
        <v>459.92</v>
      </c>
    </row>
    <row r="2882" spans="1:9" x14ac:dyDescent="0.3">
      <c r="A2882" t="str">
        <f t="shared" si="942"/>
        <v>United States</v>
      </c>
      <c r="B2882" t="str">
        <f t="shared" si="960"/>
        <v>Madison</v>
      </c>
      <c r="C2882" t="str">
        <f t="shared" si="961"/>
        <v>Standard Class</v>
      </c>
      <c r="D2882" t="str">
        <f t="shared" si="962"/>
        <v>Consumer</v>
      </c>
      <c r="E2882" t="s">
        <v>43</v>
      </c>
      <c r="F2882">
        <v>2</v>
      </c>
      <c r="G2882">
        <v>0</v>
      </c>
      <c r="H2882" s="2">
        <v>28.087600000000002</v>
      </c>
      <c r="I2882" s="2">
        <v>61.06</v>
      </c>
    </row>
    <row r="2883" spans="1:9" x14ac:dyDescent="0.3">
      <c r="A2883" t="str">
        <f t="shared" si="942"/>
        <v>United States</v>
      </c>
      <c r="B2883" t="str">
        <f t="shared" si="960"/>
        <v>Madison</v>
      </c>
      <c r="C2883" t="str">
        <f t="shared" si="961"/>
        <v>Standard Class</v>
      </c>
      <c r="D2883" t="str">
        <f t="shared" si="962"/>
        <v>Consumer</v>
      </c>
      <c r="E2883" t="s">
        <v>16</v>
      </c>
      <c r="F2883">
        <v>4</v>
      </c>
      <c r="G2883">
        <v>0</v>
      </c>
      <c r="H2883" s="2">
        <v>12.659199999999998</v>
      </c>
      <c r="I2883" s="2">
        <v>27.52</v>
      </c>
    </row>
    <row r="2884" spans="1:9" x14ac:dyDescent="0.3">
      <c r="A2884" t="str">
        <f t="shared" ref="A2884:A2947" si="963">A2883</f>
        <v>United States</v>
      </c>
      <c r="B2884" t="str">
        <f t="shared" si="960"/>
        <v>Madison</v>
      </c>
      <c r="C2884" t="str">
        <f t="shared" si="961"/>
        <v>Standard Class</v>
      </c>
      <c r="D2884" t="str">
        <f t="shared" si="962"/>
        <v>Consumer</v>
      </c>
      <c r="E2884" t="s">
        <v>14</v>
      </c>
      <c r="F2884">
        <v>6</v>
      </c>
      <c r="G2884">
        <v>0</v>
      </c>
      <c r="H2884" s="2">
        <v>13.317599999999999</v>
      </c>
      <c r="I2884" s="2">
        <v>665.88</v>
      </c>
    </row>
    <row r="2885" spans="1:9" x14ac:dyDescent="0.3">
      <c r="A2885" t="str">
        <f t="shared" si="963"/>
        <v>United States</v>
      </c>
      <c r="B2885" t="s">
        <v>303</v>
      </c>
      <c r="C2885" t="s">
        <v>22</v>
      </c>
      <c r="D2885" t="s">
        <v>8</v>
      </c>
      <c r="E2885" t="s">
        <v>19</v>
      </c>
      <c r="F2885">
        <v>2</v>
      </c>
      <c r="G2885">
        <v>0</v>
      </c>
      <c r="H2885" s="2">
        <v>10.316800000000001</v>
      </c>
      <c r="I2885" s="2">
        <v>39.68</v>
      </c>
    </row>
    <row r="2886" spans="1:9" x14ac:dyDescent="0.3">
      <c r="A2886" t="str">
        <f t="shared" si="963"/>
        <v>United States</v>
      </c>
      <c r="B2886" t="str">
        <f t="shared" ref="B2886:B2887" si="964">B2885</f>
        <v>Malden</v>
      </c>
      <c r="C2886" t="str">
        <f t="shared" ref="C2886:C2887" si="965">C2885</f>
        <v>Standard Class</v>
      </c>
      <c r="D2886" t="s">
        <v>17</v>
      </c>
      <c r="E2886" t="s">
        <v>34</v>
      </c>
      <c r="F2886">
        <v>3</v>
      </c>
      <c r="G2886">
        <v>0</v>
      </c>
      <c r="H2886" s="2">
        <v>13.915199999999992</v>
      </c>
      <c r="I2886" s="2">
        <v>173.94</v>
      </c>
    </row>
    <row r="2887" spans="1:9" x14ac:dyDescent="0.3">
      <c r="A2887" t="str">
        <f t="shared" si="963"/>
        <v>United States</v>
      </c>
      <c r="B2887" t="str">
        <f t="shared" si="964"/>
        <v>Malden</v>
      </c>
      <c r="C2887" t="str">
        <f t="shared" si="965"/>
        <v>Standard Class</v>
      </c>
      <c r="D2887" t="str">
        <f>D2886</f>
        <v>Home Office</v>
      </c>
      <c r="E2887" t="s">
        <v>43</v>
      </c>
      <c r="F2887">
        <v>4</v>
      </c>
      <c r="G2887">
        <v>0</v>
      </c>
      <c r="H2887" s="2">
        <v>6.9371999999999998</v>
      </c>
      <c r="I2887" s="2">
        <v>14.76</v>
      </c>
    </row>
    <row r="2888" spans="1:9" x14ac:dyDescent="0.3">
      <c r="A2888" t="str">
        <f t="shared" si="963"/>
        <v>United States</v>
      </c>
      <c r="B2888" t="s">
        <v>304</v>
      </c>
      <c r="C2888" t="s">
        <v>11</v>
      </c>
      <c r="D2888" t="s">
        <v>8</v>
      </c>
      <c r="E2888" t="s">
        <v>43</v>
      </c>
      <c r="F2888">
        <v>2</v>
      </c>
      <c r="G2888">
        <v>0</v>
      </c>
      <c r="H2888" s="2">
        <v>2.8224</v>
      </c>
      <c r="I2888" s="2">
        <v>5.76</v>
      </c>
    </row>
    <row r="2889" spans="1:9" x14ac:dyDescent="0.3">
      <c r="A2889" t="str">
        <f t="shared" si="963"/>
        <v>United States</v>
      </c>
      <c r="B2889" t="str">
        <f t="shared" ref="B2889:B2896" si="966">B2888</f>
        <v>Manchester</v>
      </c>
      <c r="C2889" t="s">
        <v>27</v>
      </c>
      <c r="D2889" t="s">
        <v>15</v>
      </c>
      <c r="E2889" t="s">
        <v>20</v>
      </c>
      <c r="F2889">
        <v>4</v>
      </c>
      <c r="G2889">
        <v>0</v>
      </c>
      <c r="H2889" s="2">
        <v>10.44</v>
      </c>
      <c r="I2889" s="2">
        <v>23.2</v>
      </c>
    </row>
    <row r="2890" spans="1:9" x14ac:dyDescent="0.3">
      <c r="A2890" t="str">
        <f t="shared" si="963"/>
        <v>United States</v>
      </c>
      <c r="B2890" t="str">
        <f t="shared" si="966"/>
        <v>Manchester</v>
      </c>
      <c r="C2890" t="str">
        <f t="shared" ref="C2890:C2892" si="967">C2889</f>
        <v>Same Day</v>
      </c>
      <c r="D2890" t="str">
        <f t="shared" ref="D2890:D2892" si="968">D2889</f>
        <v>Corporate</v>
      </c>
      <c r="E2890" t="s">
        <v>34</v>
      </c>
      <c r="F2890">
        <v>4</v>
      </c>
      <c r="G2890">
        <v>0</v>
      </c>
      <c r="H2890" s="2">
        <v>271.41920000000005</v>
      </c>
      <c r="I2890" s="2">
        <v>1043.92</v>
      </c>
    </row>
    <row r="2891" spans="1:9" x14ac:dyDescent="0.3">
      <c r="A2891" t="str">
        <f t="shared" si="963"/>
        <v>United States</v>
      </c>
      <c r="B2891" t="str">
        <f t="shared" si="966"/>
        <v>Manchester</v>
      </c>
      <c r="C2891" t="str">
        <f t="shared" si="967"/>
        <v>Same Day</v>
      </c>
      <c r="D2891" t="str">
        <f t="shared" si="968"/>
        <v>Corporate</v>
      </c>
      <c r="E2891" t="s">
        <v>14</v>
      </c>
      <c r="F2891">
        <v>7</v>
      </c>
      <c r="G2891">
        <v>0</v>
      </c>
      <c r="H2891" s="2">
        <v>29.341200000000008</v>
      </c>
      <c r="I2891" s="2">
        <v>104.79</v>
      </c>
    </row>
    <row r="2892" spans="1:9" x14ac:dyDescent="0.3">
      <c r="A2892" t="str">
        <f t="shared" si="963"/>
        <v>United States</v>
      </c>
      <c r="B2892" t="str">
        <f t="shared" si="966"/>
        <v>Manchester</v>
      </c>
      <c r="C2892" t="str">
        <f t="shared" si="967"/>
        <v>Same Day</v>
      </c>
      <c r="D2892" t="str">
        <f t="shared" si="968"/>
        <v>Corporate</v>
      </c>
      <c r="E2892" t="s">
        <v>9</v>
      </c>
      <c r="F2892">
        <v>2</v>
      </c>
      <c r="G2892">
        <v>0</v>
      </c>
      <c r="H2892" s="2">
        <v>0.14719999999999978</v>
      </c>
      <c r="I2892" s="2">
        <v>7.36</v>
      </c>
    </row>
    <row r="2893" spans="1:9" x14ac:dyDescent="0.3">
      <c r="A2893" t="str">
        <f t="shared" si="963"/>
        <v>United States</v>
      </c>
      <c r="B2893" t="str">
        <f t="shared" si="966"/>
        <v>Manchester</v>
      </c>
      <c r="C2893" t="s">
        <v>22</v>
      </c>
      <c r="D2893" t="s">
        <v>8</v>
      </c>
      <c r="E2893" t="s">
        <v>19</v>
      </c>
      <c r="F2893">
        <v>6</v>
      </c>
      <c r="G2893">
        <v>0</v>
      </c>
      <c r="H2893" s="2">
        <v>48.806400000000011</v>
      </c>
      <c r="I2893" s="2">
        <v>119.03999999999999</v>
      </c>
    </row>
    <row r="2894" spans="1:9" x14ac:dyDescent="0.3">
      <c r="A2894" t="str">
        <f t="shared" si="963"/>
        <v>United States</v>
      </c>
      <c r="B2894" t="str">
        <f t="shared" si="966"/>
        <v>Manchester</v>
      </c>
      <c r="C2894" t="str">
        <f t="shared" ref="C2894:C2896" si="969">C2893</f>
        <v>Standard Class</v>
      </c>
      <c r="D2894" t="str">
        <f t="shared" ref="D2894:D2896" si="970">D2893</f>
        <v>Consumer</v>
      </c>
      <c r="E2894" t="s">
        <v>16</v>
      </c>
      <c r="F2894">
        <v>5</v>
      </c>
      <c r="G2894">
        <v>0</v>
      </c>
      <c r="H2894" s="2">
        <v>134.65199999999999</v>
      </c>
      <c r="I2894" s="2">
        <v>274.8</v>
      </c>
    </row>
    <row r="2895" spans="1:9" x14ac:dyDescent="0.3">
      <c r="A2895" t="str">
        <f t="shared" si="963"/>
        <v>United States</v>
      </c>
      <c r="B2895" t="str">
        <f t="shared" si="966"/>
        <v>Manchester</v>
      </c>
      <c r="C2895" t="str">
        <f t="shared" si="969"/>
        <v>Standard Class</v>
      </c>
      <c r="D2895" t="str">
        <f t="shared" si="970"/>
        <v>Consumer</v>
      </c>
      <c r="E2895" t="s">
        <v>24</v>
      </c>
      <c r="F2895">
        <v>2</v>
      </c>
      <c r="G2895">
        <v>0</v>
      </c>
      <c r="H2895" s="2">
        <v>74.8142</v>
      </c>
      <c r="I2895" s="2">
        <v>257.98</v>
      </c>
    </row>
    <row r="2896" spans="1:9" x14ac:dyDescent="0.3">
      <c r="A2896" t="str">
        <f t="shared" si="963"/>
        <v>United States</v>
      </c>
      <c r="B2896" t="str">
        <f t="shared" si="966"/>
        <v>Manchester</v>
      </c>
      <c r="C2896" t="str">
        <f t="shared" si="969"/>
        <v>Standard Class</v>
      </c>
      <c r="D2896" t="str">
        <f t="shared" si="970"/>
        <v>Consumer</v>
      </c>
      <c r="E2896" t="s">
        <v>14</v>
      </c>
      <c r="F2896">
        <v>10</v>
      </c>
      <c r="G2896">
        <v>0</v>
      </c>
      <c r="H2896" s="2">
        <v>28.062800000000006</v>
      </c>
      <c r="I2896" s="2">
        <v>289.43</v>
      </c>
    </row>
    <row r="2897" spans="1:9" x14ac:dyDescent="0.3">
      <c r="A2897" t="str">
        <f t="shared" si="963"/>
        <v>United States</v>
      </c>
      <c r="B2897" t="s">
        <v>305</v>
      </c>
      <c r="C2897" t="s">
        <v>22</v>
      </c>
      <c r="D2897" t="s">
        <v>17</v>
      </c>
      <c r="E2897" t="s">
        <v>24</v>
      </c>
      <c r="F2897">
        <v>2</v>
      </c>
      <c r="G2897">
        <v>0</v>
      </c>
      <c r="H2897" s="2">
        <v>10.958399999999983</v>
      </c>
      <c r="I2897" s="2">
        <v>273.95999999999998</v>
      </c>
    </row>
    <row r="2898" spans="1:9" x14ac:dyDescent="0.3">
      <c r="A2898" t="str">
        <f t="shared" si="963"/>
        <v>United States</v>
      </c>
      <c r="B2898" t="s">
        <v>306</v>
      </c>
      <c r="C2898" t="s">
        <v>11</v>
      </c>
      <c r="D2898" t="s">
        <v>8</v>
      </c>
      <c r="E2898" t="s">
        <v>25</v>
      </c>
      <c r="F2898">
        <v>5</v>
      </c>
      <c r="G2898">
        <v>0.3</v>
      </c>
      <c r="H2898" s="2">
        <v>-81.306500000000028</v>
      </c>
      <c r="I2898" s="2">
        <v>517.40500000000009</v>
      </c>
    </row>
    <row r="2899" spans="1:9" x14ac:dyDescent="0.3">
      <c r="A2899" t="str">
        <f t="shared" si="963"/>
        <v>United States</v>
      </c>
      <c r="B2899" t="str">
        <f>B2898</f>
        <v>Mansfield</v>
      </c>
      <c r="C2899" t="s">
        <v>7</v>
      </c>
      <c r="D2899" t="s">
        <v>15</v>
      </c>
      <c r="E2899" t="s">
        <v>16</v>
      </c>
      <c r="F2899">
        <v>8</v>
      </c>
      <c r="G2899">
        <v>0.2</v>
      </c>
      <c r="H2899" s="2">
        <v>14.5152</v>
      </c>
      <c r="I2899" s="2">
        <v>41.472000000000008</v>
      </c>
    </row>
    <row r="2900" spans="1:9" x14ac:dyDescent="0.3">
      <c r="A2900" t="str">
        <f t="shared" si="963"/>
        <v>United States</v>
      </c>
      <c r="B2900" t="s">
        <v>307</v>
      </c>
      <c r="C2900" t="s">
        <v>27</v>
      </c>
      <c r="D2900" t="s">
        <v>17</v>
      </c>
      <c r="E2900" t="s">
        <v>33</v>
      </c>
      <c r="F2900">
        <v>3</v>
      </c>
      <c r="G2900">
        <v>0.2</v>
      </c>
      <c r="H2900" s="2">
        <v>13.764599999999994</v>
      </c>
      <c r="I2900" s="2">
        <v>122.352</v>
      </c>
    </row>
    <row r="2901" spans="1:9" x14ac:dyDescent="0.3">
      <c r="A2901" t="str">
        <f t="shared" si="963"/>
        <v>United States</v>
      </c>
      <c r="B2901" t="str">
        <f t="shared" ref="B2901:B2902" si="971">B2900</f>
        <v>Manteca</v>
      </c>
      <c r="C2901" t="str">
        <f>C2900</f>
        <v>Same Day</v>
      </c>
      <c r="D2901" t="str">
        <f>D2900</f>
        <v>Home Office</v>
      </c>
      <c r="E2901" t="s">
        <v>38</v>
      </c>
      <c r="F2901">
        <v>2</v>
      </c>
      <c r="G2901">
        <v>0</v>
      </c>
      <c r="H2901" s="2">
        <v>7.4871999999999996</v>
      </c>
      <c r="I2901" s="2">
        <v>15.28</v>
      </c>
    </row>
    <row r="2902" spans="1:9" x14ac:dyDescent="0.3">
      <c r="A2902" t="str">
        <f t="shared" si="963"/>
        <v>United States</v>
      </c>
      <c r="B2902" t="str">
        <f t="shared" si="971"/>
        <v>Manteca</v>
      </c>
      <c r="C2902" t="s">
        <v>22</v>
      </c>
      <c r="D2902" t="s">
        <v>17</v>
      </c>
      <c r="E2902" t="s">
        <v>16</v>
      </c>
      <c r="F2902">
        <v>3</v>
      </c>
      <c r="G2902">
        <v>0</v>
      </c>
      <c r="H2902" s="2">
        <v>150.98399999999998</v>
      </c>
      <c r="I2902" s="2">
        <v>314.54999999999995</v>
      </c>
    </row>
    <row r="2903" spans="1:9" x14ac:dyDescent="0.3">
      <c r="A2903" t="str">
        <f t="shared" si="963"/>
        <v>United States</v>
      </c>
      <c r="B2903" t="s">
        <v>308</v>
      </c>
      <c r="C2903" t="s">
        <v>11</v>
      </c>
      <c r="D2903" t="s">
        <v>17</v>
      </c>
      <c r="E2903" t="s">
        <v>43</v>
      </c>
      <c r="F2903">
        <v>3</v>
      </c>
      <c r="G2903">
        <v>0</v>
      </c>
      <c r="H2903" s="2">
        <v>22.200000000000003</v>
      </c>
      <c r="I2903" s="2">
        <v>44.400000000000006</v>
      </c>
    </row>
    <row r="2904" spans="1:9" x14ac:dyDescent="0.3">
      <c r="A2904" t="str">
        <f t="shared" si="963"/>
        <v>United States</v>
      </c>
      <c r="B2904" t="str">
        <f t="shared" ref="B2904:B2906" si="972">B2903</f>
        <v>Maple Grove</v>
      </c>
      <c r="C2904" t="str">
        <f t="shared" ref="C2904:C2905" si="973">C2903</f>
        <v>First Class</v>
      </c>
      <c r="D2904" t="str">
        <f t="shared" ref="D2904:D2905" si="974">D2903</f>
        <v>Home Office</v>
      </c>
      <c r="E2904" t="s">
        <v>16</v>
      </c>
      <c r="F2904">
        <v>3</v>
      </c>
      <c r="G2904">
        <v>0</v>
      </c>
      <c r="H2904" s="2">
        <v>8.7906000000000013</v>
      </c>
      <c r="I2904" s="2">
        <v>17.940000000000001</v>
      </c>
    </row>
    <row r="2905" spans="1:9" x14ac:dyDescent="0.3">
      <c r="A2905" t="str">
        <f t="shared" si="963"/>
        <v>United States</v>
      </c>
      <c r="B2905" t="str">
        <f t="shared" si="972"/>
        <v>Maple Grove</v>
      </c>
      <c r="C2905" t="str">
        <f t="shared" si="973"/>
        <v>First Class</v>
      </c>
      <c r="D2905" t="str">
        <f t="shared" si="974"/>
        <v>Home Office</v>
      </c>
      <c r="E2905" t="s">
        <v>14</v>
      </c>
      <c r="F2905">
        <v>5</v>
      </c>
      <c r="G2905">
        <v>0</v>
      </c>
      <c r="H2905" s="2">
        <v>22.828499999999998</v>
      </c>
      <c r="I2905" s="2">
        <v>84.55</v>
      </c>
    </row>
    <row r="2906" spans="1:9" x14ac:dyDescent="0.3">
      <c r="A2906" t="str">
        <f t="shared" si="963"/>
        <v>United States</v>
      </c>
      <c r="B2906" t="str">
        <f t="shared" si="972"/>
        <v>Maple Grove</v>
      </c>
      <c r="C2906" t="s">
        <v>22</v>
      </c>
      <c r="D2906" t="s">
        <v>15</v>
      </c>
      <c r="E2906" t="s">
        <v>20</v>
      </c>
      <c r="F2906">
        <v>2</v>
      </c>
      <c r="G2906">
        <v>0</v>
      </c>
      <c r="H2906" s="2">
        <v>331.19099999999997</v>
      </c>
      <c r="I2906" s="2">
        <v>735.98</v>
      </c>
    </row>
    <row r="2907" spans="1:9" x14ac:dyDescent="0.3">
      <c r="A2907" t="str">
        <f t="shared" si="963"/>
        <v>United States</v>
      </c>
      <c r="B2907" t="s">
        <v>309</v>
      </c>
      <c r="C2907" t="s">
        <v>22</v>
      </c>
      <c r="D2907" t="s">
        <v>8</v>
      </c>
      <c r="E2907" t="s">
        <v>19</v>
      </c>
      <c r="F2907">
        <v>3</v>
      </c>
      <c r="G2907">
        <v>0.2</v>
      </c>
      <c r="H2907" s="2">
        <v>2.3327999999999989</v>
      </c>
      <c r="I2907" s="2">
        <v>15.552000000000003</v>
      </c>
    </row>
    <row r="2908" spans="1:9" x14ac:dyDescent="0.3">
      <c r="A2908" t="str">
        <f t="shared" si="963"/>
        <v>United States</v>
      </c>
      <c r="B2908" t="s">
        <v>310</v>
      </c>
      <c r="C2908" t="s">
        <v>27</v>
      </c>
      <c r="D2908" t="s">
        <v>17</v>
      </c>
      <c r="E2908" t="s">
        <v>16</v>
      </c>
      <c r="F2908">
        <v>9</v>
      </c>
      <c r="G2908">
        <v>0</v>
      </c>
      <c r="H2908" s="2">
        <v>27.993600000000001</v>
      </c>
      <c r="I2908" s="2">
        <v>58.320000000000007</v>
      </c>
    </row>
    <row r="2909" spans="1:9" x14ac:dyDescent="0.3">
      <c r="A2909" t="str">
        <f t="shared" si="963"/>
        <v>United States</v>
      </c>
      <c r="B2909" t="str">
        <f t="shared" ref="B2909:B2913" si="975">B2908</f>
        <v>Marietta</v>
      </c>
      <c r="C2909" t="str">
        <f>C2908</f>
        <v>Same Day</v>
      </c>
      <c r="D2909" t="str">
        <f>D2908</f>
        <v>Home Office</v>
      </c>
      <c r="E2909" t="s">
        <v>24</v>
      </c>
      <c r="F2909">
        <v>3</v>
      </c>
      <c r="G2909">
        <v>0</v>
      </c>
      <c r="H2909" s="2">
        <v>50.242500000000007</v>
      </c>
      <c r="I2909" s="2">
        <v>200.96999999999997</v>
      </c>
    </row>
    <row r="2910" spans="1:9" x14ac:dyDescent="0.3">
      <c r="A2910" t="str">
        <f t="shared" si="963"/>
        <v>United States</v>
      </c>
      <c r="B2910" t="str">
        <f t="shared" si="975"/>
        <v>Marietta</v>
      </c>
      <c r="C2910" t="s">
        <v>7</v>
      </c>
      <c r="D2910" t="s">
        <v>15</v>
      </c>
      <c r="E2910" t="s">
        <v>23</v>
      </c>
      <c r="F2910">
        <v>6</v>
      </c>
      <c r="G2910">
        <v>0</v>
      </c>
      <c r="H2910" s="2">
        <v>6.1019999999999968</v>
      </c>
      <c r="I2910" s="2">
        <v>101.69999999999999</v>
      </c>
    </row>
    <row r="2911" spans="1:9" x14ac:dyDescent="0.3">
      <c r="A2911" t="str">
        <f t="shared" si="963"/>
        <v>United States</v>
      </c>
      <c r="B2911" t="str">
        <f t="shared" si="975"/>
        <v>Marietta</v>
      </c>
      <c r="C2911" t="str">
        <f t="shared" ref="C2911:C2912" si="976">C2910</f>
        <v>Second Class</v>
      </c>
      <c r="D2911" t="str">
        <f t="shared" ref="D2911:D2912" si="977">D2910</f>
        <v>Corporate</v>
      </c>
      <c r="E2911" t="s">
        <v>33</v>
      </c>
      <c r="F2911">
        <v>3</v>
      </c>
      <c r="G2911">
        <v>0</v>
      </c>
      <c r="H2911" s="2">
        <v>52.974299999999992</v>
      </c>
      <c r="I2911" s="2">
        <v>182.67000000000002</v>
      </c>
    </row>
    <row r="2912" spans="1:9" x14ac:dyDescent="0.3">
      <c r="A2912" t="str">
        <f t="shared" si="963"/>
        <v>United States</v>
      </c>
      <c r="B2912" t="str">
        <f t="shared" si="975"/>
        <v>Marietta</v>
      </c>
      <c r="C2912" t="str">
        <f t="shared" si="976"/>
        <v>Second Class</v>
      </c>
      <c r="D2912" t="str">
        <f t="shared" si="977"/>
        <v>Corporate</v>
      </c>
      <c r="E2912" t="s">
        <v>14</v>
      </c>
      <c r="F2912">
        <v>9</v>
      </c>
      <c r="G2912">
        <v>0</v>
      </c>
      <c r="H2912" s="2">
        <v>372.12599999999992</v>
      </c>
      <c r="I2912" s="2">
        <v>2389.3200000000002</v>
      </c>
    </row>
    <row r="2913" spans="1:9" x14ac:dyDescent="0.3">
      <c r="A2913" t="str">
        <f t="shared" si="963"/>
        <v>United States</v>
      </c>
      <c r="B2913" t="str">
        <f t="shared" si="975"/>
        <v>Marietta</v>
      </c>
      <c r="C2913" t="s">
        <v>22</v>
      </c>
      <c r="D2913" t="s">
        <v>8</v>
      </c>
      <c r="E2913" t="s">
        <v>20</v>
      </c>
      <c r="F2913">
        <v>3</v>
      </c>
      <c r="G2913">
        <v>0</v>
      </c>
      <c r="H2913" s="2">
        <v>2.7071999999999994</v>
      </c>
      <c r="I2913" s="2">
        <v>5.64</v>
      </c>
    </row>
    <row r="2914" spans="1:9" x14ac:dyDescent="0.3">
      <c r="A2914" t="str">
        <f t="shared" si="963"/>
        <v>United States</v>
      </c>
      <c r="B2914" t="s">
        <v>311</v>
      </c>
      <c r="C2914" t="s">
        <v>11</v>
      </c>
      <c r="D2914" t="s">
        <v>17</v>
      </c>
      <c r="E2914" t="s">
        <v>21</v>
      </c>
      <c r="F2914">
        <v>2</v>
      </c>
      <c r="G2914">
        <v>0.2</v>
      </c>
      <c r="H2914" s="2">
        <v>1.7352000000000005</v>
      </c>
      <c r="I2914" s="2">
        <v>7.7120000000000006</v>
      </c>
    </row>
    <row r="2915" spans="1:9" x14ac:dyDescent="0.3">
      <c r="A2915" t="str">
        <f t="shared" si="963"/>
        <v>United States</v>
      </c>
      <c r="B2915" t="str">
        <f t="shared" ref="B2915:B2931" si="978">B2914</f>
        <v>Marion</v>
      </c>
      <c r="C2915" t="s">
        <v>27</v>
      </c>
      <c r="D2915" t="s">
        <v>8</v>
      </c>
      <c r="E2915" t="s">
        <v>19</v>
      </c>
      <c r="F2915">
        <v>8</v>
      </c>
      <c r="G2915">
        <v>0.2</v>
      </c>
      <c r="H2915" s="2">
        <v>4.6719999999999988</v>
      </c>
      <c r="I2915" s="2">
        <v>37.375999999999998</v>
      </c>
    </row>
    <row r="2916" spans="1:9" x14ac:dyDescent="0.3">
      <c r="A2916" t="str">
        <f t="shared" si="963"/>
        <v>United States</v>
      </c>
      <c r="B2916" t="str">
        <f t="shared" si="978"/>
        <v>Marion</v>
      </c>
      <c r="C2916" t="str">
        <f t="shared" ref="C2916:C2917" si="979">C2915</f>
        <v>Same Day</v>
      </c>
      <c r="D2916" t="str">
        <f t="shared" ref="D2916:D2917" si="980">D2915</f>
        <v>Consumer</v>
      </c>
      <c r="E2916" t="s">
        <v>33</v>
      </c>
      <c r="F2916">
        <v>1</v>
      </c>
      <c r="G2916">
        <v>0.3</v>
      </c>
      <c r="H2916" s="2">
        <v>-24.23520000000001</v>
      </c>
      <c r="I2916" s="2">
        <v>70.685999999999993</v>
      </c>
    </row>
    <row r="2917" spans="1:9" x14ac:dyDescent="0.3">
      <c r="A2917" t="str">
        <f t="shared" si="963"/>
        <v>United States</v>
      </c>
      <c r="B2917" t="str">
        <f t="shared" si="978"/>
        <v>Marion</v>
      </c>
      <c r="C2917" t="str">
        <f t="shared" si="979"/>
        <v>Same Day</v>
      </c>
      <c r="D2917" t="str">
        <f t="shared" si="980"/>
        <v>Consumer</v>
      </c>
      <c r="E2917" t="s">
        <v>24</v>
      </c>
      <c r="F2917">
        <v>2</v>
      </c>
      <c r="G2917">
        <v>0.4</v>
      </c>
      <c r="H2917" s="2">
        <v>-89.089000000000055</v>
      </c>
      <c r="I2917" s="2">
        <v>485.93999999999994</v>
      </c>
    </row>
    <row r="2918" spans="1:9" x14ac:dyDescent="0.3">
      <c r="A2918" t="str">
        <f t="shared" si="963"/>
        <v>United States</v>
      </c>
      <c r="B2918" t="str">
        <f t="shared" si="978"/>
        <v>Marion</v>
      </c>
      <c r="C2918" t="s">
        <v>7</v>
      </c>
      <c r="D2918" t="s">
        <v>8</v>
      </c>
      <c r="E2918" t="s">
        <v>21</v>
      </c>
      <c r="F2918">
        <v>3</v>
      </c>
      <c r="G2918">
        <v>0</v>
      </c>
      <c r="H2918" s="2">
        <v>4.6220999999999997</v>
      </c>
      <c r="I2918" s="2">
        <v>14.91</v>
      </c>
    </row>
    <row r="2919" spans="1:9" x14ac:dyDescent="0.3">
      <c r="A2919" t="str">
        <f t="shared" si="963"/>
        <v>United States</v>
      </c>
      <c r="B2919" t="str">
        <f t="shared" si="978"/>
        <v>Marion</v>
      </c>
      <c r="C2919" t="str">
        <f t="shared" ref="C2919:C2921" si="981">C2918</f>
        <v>Second Class</v>
      </c>
      <c r="D2919" t="str">
        <f t="shared" ref="D2919:D2920" si="982">D2918</f>
        <v>Consumer</v>
      </c>
      <c r="E2919" t="s">
        <v>16</v>
      </c>
      <c r="F2919">
        <v>7</v>
      </c>
      <c r="G2919">
        <v>0</v>
      </c>
      <c r="H2919" s="2">
        <v>51.748799999999989</v>
      </c>
      <c r="I2919" s="2">
        <v>107.81</v>
      </c>
    </row>
    <row r="2920" spans="1:9" x14ac:dyDescent="0.3">
      <c r="A2920" t="str">
        <f t="shared" si="963"/>
        <v>United States</v>
      </c>
      <c r="B2920" t="str">
        <f t="shared" si="978"/>
        <v>Marion</v>
      </c>
      <c r="C2920" t="str">
        <f t="shared" si="981"/>
        <v>Second Class</v>
      </c>
      <c r="D2920" t="str">
        <f t="shared" si="982"/>
        <v>Consumer</v>
      </c>
      <c r="E2920" t="s">
        <v>14</v>
      </c>
      <c r="F2920">
        <v>1</v>
      </c>
      <c r="G2920">
        <v>0</v>
      </c>
      <c r="H2920" s="2">
        <v>3.5047999999999995</v>
      </c>
      <c r="I2920" s="2">
        <v>13.48</v>
      </c>
    </row>
    <row r="2921" spans="1:9" x14ac:dyDescent="0.3">
      <c r="A2921" t="str">
        <f t="shared" si="963"/>
        <v>United States</v>
      </c>
      <c r="B2921" t="str">
        <f t="shared" si="978"/>
        <v>Marion</v>
      </c>
      <c r="C2921" t="str">
        <f t="shared" si="981"/>
        <v>Second Class</v>
      </c>
      <c r="D2921" t="s">
        <v>15</v>
      </c>
      <c r="E2921" t="s">
        <v>23</v>
      </c>
      <c r="F2921">
        <v>4</v>
      </c>
      <c r="G2921">
        <v>0.2</v>
      </c>
      <c r="H2921" s="2">
        <v>33.589200000000005</v>
      </c>
      <c r="I2921" s="2">
        <v>116.83199999999999</v>
      </c>
    </row>
    <row r="2922" spans="1:9" x14ac:dyDescent="0.3">
      <c r="A2922" t="str">
        <f t="shared" si="963"/>
        <v>United States</v>
      </c>
      <c r="B2922" t="str">
        <f t="shared" si="978"/>
        <v>Marion</v>
      </c>
      <c r="C2922" t="s">
        <v>22</v>
      </c>
      <c r="D2922" t="s">
        <v>8</v>
      </c>
      <c r="E2922" t="s">
        <v>23</v>
      </c>
      <c r="F2922">
        <v>3</v>
      </c>
      <c r="G2922">
        <v>0.4</v>
      </c>
      <c r="H2922" s="2">
        <v>62.069499999999977</v>
      </c>
      <c r="I2922" s="2">
        <v>327.88</v>
      </c>
    </row>
    <row r="2923" spans="1:9" x14ac:dyDescent="0.3">
      <c r="A2923" t="str">
        <f t="shared" si="963"/>
        <v>United States</v>
      </c>
      <c r="B2923" t="str">
        <f t="shared" si="978"/>
        <v>Marion</v>
      </c>
      <c r="C2923" t="str">
        <f t="shared" ref="C2923:C2931" si="983">C2922</f>
        <v>Standard Class</v>
      </c>
      <c r="D2923" t="str">
        <f t="shared" ref="D2923:D2926" si="984">D2922</f>
        <v>Consumer</v>
      </c>
      <c r="E2923" t="s">
        <v>19</v>
      </c>
      <c r="F2923">
        <v>1</v>
      </c>
      <c r="G2923">
        <v>0.2</v>
      </c>
      <c r="H2923" s="2">
        <v>0.29519999999999957</v>
      </c>
      <c r="I2923" s="2">
        <v>2.6240000000000001</v>
      </c>
    </row>
    <row r="2924" spans="1:9" x14ac:dyDescent="0.3">
      <c r="A2924" t="str">
        <f t="shared" si="963"/>
        <v>United States</v>
      </c>
      <c r="B2924" t="str">
        <f t="shared" si="978"/>
        <v>Marion</v>
      </c>
      <c r="C2924" t="str">
        <f t="shared" si="983"/>
        <v>Standard Class</v>
      </c>
      <c r="D2924" t="str">
        <f t="shared" si="984"/>
        <v>Consumer</v>
      </c>
      <c r="E2924" t="s">
        <v>21</v>
      </c>
      <c r="F2924">
        <v>2</v>
      </c>
      <c r="G2924">
        <v>0.2</v>
      </c>
      <c r="H2924" s="2">
        <v>9.5735999999999937</v>
      </c>
      <c r="I2924" s="2">
        <v>63.824000000000005</v>
      </c>
    </row>
    <row r="2925" spans="1:9" x14ac:dyDescent="0.3">
      <c r="A2925" t="str">
        <f t="shared" si="963"/>
        <v>United States</v>
      </c>
      <c r="B2925" t="str">
        <f t="shared" si="978"/>
        <v>Marion</v>
      </c>
      <c r="C2925" t="str">
        <f t="shared" si="983"/>
        <v>Standard Class</v>
      </c>
      <c r="D2925" t="str">
        <f t="shared" si="984"/>
        <v>Consumer</v>
      </c>
      <c r="E2925" t="s">
        <v>14</v>
      </c>
      <c r="F2925">
        <v>3</v>
      </c>
      <c r="G2925">
        <v>0.2</v>
      </c>
      <c r="H2925" s="2">
        <v>-26.541000000000004</v>
      </c>
      <c r="I2925" s="2">
        <v>141.55199999999999</v>
      </c>
    </row>
    <row r="2926" spans="1:9" x14ac:dyDescent="0.3">
      <c r="A2926" t="str">
        <f t="shared" si="963"/>
        <v>United States</v>
      </c>
      <c r="B2926" t="str">
        <f t="shared" si="978"/>
        <v>Marion</v>
      </c>
      <c r="C2926" t="str">
        <f t="shared" si="983"/>
        <v>Standard Class</v>
      </c>
      <c r="D2926" t="str">
        <f t="shared" si="984"/>
        <v>Consumer</v>
      </c>
      <c r="E2926" t="s">
        <v>25</v>
      </c>
      <c r="F2926">
        <v>1</v>
      </c>
      <c r="G2926">
        <v>0.4</v>
      </c>
      <c r="H2926" s="2">
        <v>-52.336500000000029</v>
      </c>
      <c r="I2926" s="2">
        <v>136.53</v>
      </c>
    </row>
    <row r="2927" spans="1:9" x14ac:dyDescent="0.3">
      <c r="A2927" t="str">
        <f t="shared" si="963"/>
        <v>United States</v>
      </c>
      <c r="B2927" t="str">
        <f t="shared" si="978"/>
        <v>Marion</v>
      </c>
      <c r="C2927" t="str">
        <f t="shared" si="983"/>
        <v>Standard Class</v>
      </c>
      <c r="D2927" t="s">
        <v>15</v>
      </c>
      <c r="E2927" t="s">
        <v>20</v>
      </c>
      <c r="F2927">
        <v>8</v>
      </c>
      <c r="G2927">
        <v>0</v>
      </c>
      <c r="H2927" s="2">
        <v>54.444800000000001</v>
      </c>
      <c r="I2927" s="2">
        <v>115.84</v>
      </c>
    </row>
    <row r="2928" spans="1:9" x14ac:dyDescent="0.3">
      <c r="A2928" t="str">
        <f t="shared" si="963"/>
        <v>United States</v>
      </c>
      <c r="B2928" t="str">
        <f t="shared" si="978"/>
        <v>Marion</v>
      </c>
      <c r="C2928" t="str">
        <f t="shared" si="983"/>
        <v>Standard Class</v>
      </c>
      <c r="D2928" t="str">
        <f t="shared" ref="D2928:D2930" si="985">D2927</f>
        <v>Corporate</v>
      </c>
      <c r="E2928" t="s">
        <v>38</v>
      </c>
      <c r="F2928">
        <v>3</v>
      </c>
      <c r="G2928">
        <v>0.2</v>
      </c>
      <c r="H2928" s="2">
        <v>6.7067999999999977</v>
      </c>
      <c r="I2928" s="2">
        <v>19.872</v>
      </c>
    </row>
    <row r="2929" spans="1:9" x14ac:dyDescent="0.3">
      <c r="A2929" t="str">
        <f t="shared" si="963"/>
        <v>United States</v>
      </c>
      <c r="B2929" t="str">
        <f t="shared" si="978"/>
        <v>Marion</v>
      </c>
      <c r="C2929" t="str">
        <f t="shared" si="983"/>
        <v>Standard Class</v>
      </c>
      <c r="D2929" t="str">
        <f t="shared" si="985"/>
        <v>Corporate</v>
      </c>
      <c r="E2929" t="s">
        <v>14</v>
      </c>
      <c r="F2929">
        <v>2</v>
      </c>
      <c r="G2929">
        <v>0.2</v>
      </c>
      <c r="H2929" s="2">
        <v>-6.3960000000000008</v>
      </c>
      <c r="I2929" s="2">
        <v>51.168000000000006</v>
      </c>
    </row>
    <row r="2930" spans="1:9" x14ac:dyDescent="0.3">
      <c r="A2930" t="str">
        <f t="shared" si="963"/>
        <v>United States</v>
      </c>
      <c r="B2930" t="str">
        <f t="shared" si="978"/>
        <v>Marion</v>
      </c>
      <c r="C2930" t="str">
        <f t="shared" si="983"/>
        <v>Standard Class</v>
      </c>
      <c r="D2930" t="str">
        <f t="shared" si="985"/>
        <v>Corporate</v>
      </c>
      <c r="E2930" t="s">
        <v>25</v>
      </c>
      <c r="F2930">
        <v>9</v>
      </c>
      <c r="G2930">
        <v>0.4</v>
      </c>
      <c r="H2930" s="2">
        <v>-464.69700000000012</v>
      </c>
      <c r="I2930" s="2">
        <v>1548.9900000000002</v>
      </c>
    </row>
    <row r="2931" spans="1:9" x14ac:dyDescent="0.3">
      <c r="A2931" t="str">
        <f t="shared" si="963"/>
        <v>United States</v>
      </c>
      <c r="B2931" t="str">
        <f t="shared" si="978"/>
        <v>Marion</v>
      </c>
      <c r="C2931" t="str">
        <f t="shared" si="983"/>
        <v>Standard Class</v>
      </c>
      <c r="D2931" t="s">
        <v>17</v>
      </c>
      <c r="E2931" t="s">
        <v>16</v>
      </c>
      <c r="F2931">
        <v>3</v>
      </c>
      <c r="G2931">
        <v>0</v>
      </c>
      <c r="H2931" s="2">
        <v>49.970399999999991</v>
      </c>
      <c r="I2931" s="2">
        <v>106.32</v>
      </c>
    </row>
    <row r="2932" spans="1:9" x14ac:dyDescent="0.3">
      <c r="A2932" t="str">
        <f t="shared" si="963"/>
        <v>United States</v>
      </c>
      <c r="B2932" t="s">
        <v>312</v>
      </c>
      <c r="C2932" t="s">
        <v>22</v>
      </c>
      <c r="D2932" t="s">
        <v>8</v>
      </c>
      <c r="E2932" t="s">
        <v>21</v>
      </c>
      <c r="F2932">
        <v>6</v>
      </c>
      <c r="G2932">
        <v>0</v>
      </c>
      <c r="H2932" s="2">
        <v>67.606799999999993</v>
      </c>
      <c r="I2932" s="2">
        <v>206.64</v>
      </c>
    </row>
    <row r="2933" spans="1:9" x14ac:dyDescent="0.3">
      <c r="A2933" t="str">
        <f t="shared" si="963"/>
        <v>United States</v>
      </c>
      <c r="B2933" t="s">
        <v>313</v>
      </c>
      <c r="C2933" t="s">
        <v>22</v>
      </c>
      <c r="D2933" t="s">
        <v>8</v>
      </c>
      <c r="E2933" t="s">
        <v>19</v>
      </c>
      <c r="F2933">
        <v>3</v>
      </c>
      <c r="G2933">
        <v>0</v>
      </c>
      <c r="H2933" s="2">
        <v>2.3814000000000002</v>
      </c>
      <c r="I2933" s="2">
        <v>8.82</v>
      </c>
    </row>
    <row r="2934" spans="1:9" x14ac:dyDescent="0.3">
      <c r="A2934" t="str">
        <f t="shared" si="963"/>
        <v>United States</v>
      </c>
      <c r="B2934" t="str">
        <f>B2933</f>
        <v>Marysville</v>
      </c>
      <c r="C2934" t="str">
        <f>C2933</f>
        <v>Standard Class</v>
      </c>
      <c r="D2934" t="str">
        <f>D2933</f>
        <v>Consumer</v>
      </c>
      <c r="E2934" t="s">
        <v>18</v>
      </c>
      <c r="F2934">
        <v>12</v>
      </c>
      <c r="G2934">
        <v>0</v>
      </c>
      <c r="H2934" s="2">
        <v>0.93359999999999843</v>
      </c>
      <c r="I2934" s="2">
        <v>93.36</v>
      </c>
    </row>
    <row r="2935" spans="1:9" x14ac:dyDescent="0.3">
      <c r="A2935" t="str">
        <f t="shared" si="963"/>
        <v>United States</v>
      </c>
      <c r="B2935" t="s">
        <v>314</v>
      </c>
      <c r="C2935" t="s">
        <v>11</v>
      </c>
      <c r="D2935" t="s">
        <v>15</v>
      </c>
      <c r="E2935" t="s">
        <v>20</v>
      </c>
      <c r="F2935">
        <v>5</v>
      </c>
      <c r="G2935">
        <v>1.4</v>
      </c>
      <c r="H2935" s="2">
        <v>-20.552399999999992</v>
      </c>
      <c r="I2935" s="2">
        <v>25.560000000000006</v>
      </c>
    </row>
    <row r="2936" spans="1:9" x14ac:dyDescent="0.3">
      <c r="A2936" t="str">
        <f t="shared" si="963"/>
        <v>United States</v>
      </c>
      <c r="B2936" t="str">
        <f>B2935</f>
        <v>Mason</v>
      </c>
      <c r="C2936" t="str">
        <f>C2935</f>
        <v>First Class</v>
      </c>
      <c r="D2936" t="str">
        <f>D2935</f>
        <v>Corporate</v>
      </c>
      <c r="E2936" t="s">
        <v>21</v>
      </c>
      <c r="F2936">
        <v>2</v>
      </c>
      <c r="G2936">
        <v>0.2</v>
      </c>
      <c r="H2936" s="2">
        <v>16.317200000000003</v>
      </c>
      <c r="I2936" s="2">
        <v>68.703999999999994</v>
      </c>
    </row>
    <row r="2937" spans="1:9" x14ac:dyDescent="0.3">
      <c r="A2937" t="str">
        <f t="shared" si="963"/>
        <v>United States</v>
      </c>
      <c r="B2937" t="s">
        <v>315</v>
      </c>
      <c r="C2937" t="s">
        <v>7</v>
      </c>
      <c r="D2937" t="s">
        <v>15</v>
      </c>
      <c r="E2937" t="s">
        <v>23</v>
      </c>
      <c r="F2937">
        <v>2</v>
      </c>
      <c r="G2937">
        <v>0.2</v>
      </c>
      <c r="H2937" s="2">
        <v>8.2847999999999971</v>
      </c>
      <c r="I2937" s="2">
        <v>41.424000000000007</v>
      </c>
    </row>
    <row r="2938" spans="1:9" x14ac:dyDescent="0.3">
      <c r="A2938" t="str">
        <f t="shared" si="963"/>
        <v>United States</v>
      </c>
      <c r="B2938" t="str">
        <f t="shared" ref="B2938:B2950" si="986">B2937</f>
        <v>Mcallen</v>
      </c>
      <c r="C2938" t="str">
        <f t="shared" ref="C2938:C2942" si="987">C2937</f>
        <v>Second Class</v>
      </c>
      <c r="D2938" t="str">
        <f t="shared" ref="D2938:D2942" si="988">D2937</f>
        <v>Corporate</v>
      </c>
      <c r="E2938" t="s">
        <v>19</v>
      </c>
      <c r="F2938">
        <v>6</v>
      </c>
      <c r="G2938">
        <v>0.4</v>
      </c>
      <c r="H2938" s="2">
        <v>7.3913999999999955</v>
      </c>
      <c r="I2938" s="2">
        <v>82.224000000000004</v>
      </c>
    </row>
    <row r="2939" spans="1:9" x14ac:dyDescent="0.3">
      <c r="A2939" t="str">
        <f t="shared" si="963"/>
        <v>United States</v>
      </c>
      <c r="B2939" t="str">
        <f t="shared" si="986"/>
        <v>Mcallen</v>
      </c>
      <c r="C2939" t="str">
        <f t="shared" si="987"/>
        <v>Second Class</v>
      </c>
      <c r="D2939" t="str">
        <f t="shared" si="988"/>
        <v>Corporate</v>
      </c>
      <c r="E2939" t="s">
        <v>20</v>
      </c>
      <c r="F2939">
        <v>3</v>
      </c>
      <c r="G2939">
        <v>1.6</v>
      </c>
      <c r="H2939" s="2">
        <v>-9.1870000000000012</v>
      </c>
      <c r="I2939" s="2">
        <v>5.7879999999999985</v>
      </c>
    </row>
    <row r="2940" spans="1:9" x14ac:dyDescent="0.3">
      <c r="A2940" t="str">
        <f t="shared" si="963"/>
        <v>United States</v>
      </c>
      <c r="B2940" t="str">
        <f t="shared" si="986"/>
        <v>Mcallen</v>
      </c>
      <c r="C2940" t="str">
        <f t="shared" si="987"/>
        <v>Second Class</v>
      </c>
      <c r="D2940" t="str">
        <f t="shared" si="988"/>
        <v>Corporate</v>
      </c>
      <c r="E2940" t="s">
        <v>33</v>
      </c>
      <c r="F2940">
        <v>1</v>
      </c>
      <c r="G2940">
        <v>0.3</v>
      </c>
      <c r="H2940" s="2">
        <v>-20.245000000000008</v>
      </c>
      <c r="I2940" s="2">
        <v>56.686</v>
      </c>
    </row>
    <row r="2941" spans="1:9" x14ac:dyDescent="0.3">
      <c r="A2941" t="str">
        <f t="shared" si="963"/>
        <v>United States</v>
      </c>
      <c r="B2941" t="str">
        <f t="shared" si="986"/>
        <v>Mcallen</v>
      </c>
      <c r="C2941" t="str">
        <f t="shared" si="987"/>
        <v>Second Class</v>
      </c>
      <c r="D2941" t="str">
        <f t="shared" si="988"/>
        <v>Corporate</v>
      </c>
      <c r="E2941" t="s">
        <v>16</v>
      </c>
      <c r="F2941">
        <v>3</v>
      </c>
      <c r="G2941">
        <v>0.2</v>
      </c>
      <c r="H2941" s="2">
        <v>5.4432</v>
      </c>
      <c r="I2941" s="2">
        <v>15.552000000000003</v>
      </c>
    </row>
    <row r="2942" spans="1:9" x14ac:dyDescent="0.3">
      <c r="A2942" t="str">
        <f t="shared" si="963"/>
        <v>United States</v>
      </c>
      <c r="B2942" t="str">
        <f t="shared" si="986"/>
        <v>Mcallen</v>
      </c>
      <c r="C2942" t="str">
        <f t="shared" si="987"/>
        <v>Second Class</v>
      </c>
      <c r="D2942" t="str">
        <f t="shared" si="988"/>
        <v>Corporate</v>
      </c>
      <c r="E2942" t="s">
        <v>24</v>
      </c>
      <c r="F2942">
        <v>6</v>
      </c>
      <c r="G2942">
        <v>0.4</v>
      </c>
      <c r="H2942" s="2">
        <v>30.599799999999998</v>
      </c>
      <c r="I2942" s="2">
        <v>342.73599999999999</v>
      </c>
    </row>
    <row r="2943" spans="1:9" x14ac:dyDescent="0.3">
      <c r="A2943" t="str">
        <f t="shared" si="963"/>
        <v>United States</v>
      </c>
      <c r="B2943" t="str">
        <f t="shared" si="986"/>
        <v>Mcallen</v>
      </c>
      <c r="C2943" t="s">
        <v>22</v>
      </c>
      <c r="D2943" t="s">
        <v>8</v>
      </c>
      <c r="E2943" t="s">
        <v>19</v>
      </c>
      <c r="F2943">
        <v>7</v>
      </c>
      <c r="G2943">
        <v>0.4</v>
      </c>
      <c r="H2943" s="2">
        <v>15.726600000000008</v>
      </c>
      <c r="I2943" s="2">
        <v>180.36799999999999</v>
      </c>
    </row>
    <row r="2944" spans="1:9" x14ac:dyDescent="0.3">
      <c r="A2944" t="str">
        <f t="shared" si="963"/>
        <v>United States</v>
      </c>
      <c r="B2944" t="str">
        <f t="shared" si="986"/>
        <v>Mcallen</v>
      </c>
      <c r="C2944" t="str">
        <f t="shared" ref="C2944:C2950" si="989">C2943</f>
        <v>Standard Class</v>
      </c>
      <c r="D2944" t="str">
        <f t="shared" ref="D2944:D2946" si="990">D2943</f>
        <v>Consumer</v>
      </c>
      <c r="E2944" t="s">
        <v>20</v>
      </c>
      <c r="F2944">
        <v>4</v>
      </c>
      <c r="G2944">
        <v>0.8</v>
      </c>
      <c r="H2944" s="2">
        <v>-8.3160000000000025</v>
      </c>
      <c r="I2944" s="2">
        <v>4.7519999999999989</v>
      </c>
    </row>
    <row r="2945" spans="1:9" x14ac:dyDescent="0.3">
      <c r="A2945" t="str">
        <f t="shared" si="963"/>
        <v>United States</v>
      </c>
      <c r="B2945" t="str">
        <f t="shared" si="986"/>
        <v>Mcallen</v>
      </c>
      <c r="C2945" t="str">
        <f t="shared" si="989"/>
        <v>Standard Class</v>
      </c>
      <c r="D2945" t="str">
        <f t="shared" si="990"/>
        <v>Consumer</v>
      </c>
      <c r="E2945" t="s">
        <v>16</v>
      </c>
      <c r="F2945">
        <v>1</v>
      </c>
      <c r="G2945">
        <v>0.2</v>
      </c>
      <c r="H2945" s="2">
        <v>1.8144</v>
      </c>
      <c r="I2945" s="2">
        <v>5.1840000000000011</v>
      </c>
    </row>
    <row r="2946" spans="1:9" x14ac:dyDescent="0.3">
      <c r="A2946" t="str">
        <f t="shared" si="963"/>
        <v>United States</v>
      </c>
      <c r="B2946" t="str">
        <f t="shared" si="986"/>
        <v>Mcallen</v>
      </c>
      <c r="C2946" t="str">
        <f t="shared" si="989"/>
        <v>Standard Class</v>
      </c>
      <c r="D2946" t="str">
        <f t="shared" si="990"/>
        <v>Consumer</v>
      </c>
      <c r="E2946" t="s">
        <v>9</v>
      </c>
      <c r="F2946">
        <v>2</v>
      </c>
      <c r="G2946">
        <v>0.2</v>
      </c>
      <c r="H2946" s="2">
        <v>1.0007999999999999</v>
      </c>
      <c r="I2946" s="2">
        <v>13.344000000000001</v>
      </c>
    </row>
    <row r="2947" spans="1:9" x14ac:dyDescent="0.3">
      <c r="A2947" t="str">
        <f t="shared" si="963"/>
        <v>United States</v>
      </c>
      <c r="B2947" t="str">
        <f t="shared" si="986"/>
        <v>Mcallen</v>
      </c>
      <c r="C2947" t="str">
        <f t="shared" si="989"/>
        <v>Standard Class</v>
      </c>
      <c r="D2947" t="s">
        <v>15</v>
      </c>
      <c r="E2947" t="s">
        <v>20</v>
      </c>
      <c r="F2947">
        <v>8</v>
      </c>
      <c r="G2947">
        <v>1.6</v>
      </c>
      <c r="H2947" s="2">
        <v>-13.948100000000004</v>
      </c>
      <c r="I2947" s="2">
        <v>8.8699999999999974</v>
      </c>
    </row>
    <row r="2948" spans="1:9" x14ac:dyDescent="0.3">
      <c r="A2948" t="str">
        <f t="shared" ref="A2948:A3011" si="991">A2947</f>
        <v>United States</v>
      </c>
      <c r="B2948" t="str">
        <f t="shared" si="986"/>
        <v>Mcallen</v>
      </c>
      <c r="C2948" t="str">
        <f t="shared" si="989"/>
        <v>Standard Class</v>
      </c>
      <c r="D2948" t="str">
        <f>D2947</f>
        <v>Corporate</v>
      </c>
      <c r="E2948" t="s">
        <v>14</v>
      </c>
      <c r="F2948">
        <v>2</v>
      </c>
      <c r="G2948">
        <v>0.2</v>
      </c>
      <c r="H2948" s="2">
        <v>0.66959999999999997</v>
      </c>
      <c r="I2948" s="2">
        <v>8.9280000000000008</v>
      </c>
    </row>
    <row r="2949" spans="1:9" x14ac:dyDescent="0.3">
      <c r="A2949" t="str">
        <f t="shared" si="991"/>
        <v>United States</v>
      </c>
      <c r="B2949" t="str">
        <f t="shared" si="986"/>
        <v>Mcallen</v>
      </c>
      <c r="C2949" t="str">
        <f t="shared" si="989"/>
        <v>Standard Class</v>
      </c>
      <c r="D2949" t="s">
        <v>17</v>
      </c>
      <c r="E2949" t="s">
        <v>23</v>
      </c>
      <c r="F2949">
        <v>3</v>
      </c>
      <c r="G2949">
        <v>0.2</v>
      </c>
      <c r="H2949" s="2">
        <v>3.4619999999999997</v>
      </c>
      <c r="I2949" s="2">
        <v>27.695999999999998</v>
      </c>
    </row>
    <row r="2950" spans="1:9" x14ac:dyDescent="0.3">
      <c r="A2950" t="str">
        <f t="shared" si="991"/>
        <v>United States</v>
      </c>
      <c r="B2950" t="str">
        <f t="shared" si="986"/>
        <v>Mcallen</v>
      </c>
      <c r="C2950" t="str">
        <f t="shared" si="989"/>
        <v>Standard Class</v>
      </c>
      <c r="D2950" t="str">
        <f>D2949</f>
        <v>Home Office</v>
      </c>
      <c r="E2950" t="s">
        <v>12</v>
      </c>
      <c r="F2950">
        <v>6</v>
      </c>
      <c r="G2950">
        <v>0.8</v>
      </c>
      <c r="H2950" s="2">
        <v>-186.56820000000005</v>
      </c>
      <c r="I2950" s="2">
        <v>73.163999999999987</v>
      </c>
    </row>
    <row r="2951" spans="1:9" x14ac:dyDescent="0.3">
      <c r="A2951" t="str">
        <f t="shared" si="991"/>
        <v>United States</v>
      </c>
      <c r="B2951" t="s">
        <v>316</v>
      </c>
      <c r="C2951" t="s">
        <v>22</v>
      </c>
      <c r="D2951" t="s">
        <v>8</v>
      </c>
      <c r="E2951" t="s">
        <v>16</v>
      </c>
      <c r="F2951">
        <v>8</v>
      </c>
      <c r="G2951">
        <v>0.60000000000000009</v>
      </c>
      <c r="H2951" s="2">
        <v>26.534299999999995</v>
      </c>
      <c r="I2951" s="2">
        <v>80.456000000000017</v>
      </c>
    </row>
    <row r="2952" spans="1:9" x14ac:dyDescent="0.3">
      <c r="A2952" t="str">
        <f t="shared" si="991"/>
        <v>United States</v>
      </c>
      <c r="B2952" t="str">
        <f>B2951</f>
        <v>Medford</v>
      </c>
      <c r="C2952" t="str">
        <f>C2951</f>
        <v>Standard Class</v>
      </c>
      <c r="D2952" t="s">
        <v>15</v>
      </c>
      <c r="E2952" t="s">
        <v>20</v>
      </c>
      <c r="F2952">
        <v>2</v>
      </c>
      <c r="G2952">
        <v>0.7</v>
      </c>
      <c r="H2952" s="2">
        <v>-6.833400000000001</v>
      </c>
      <c r="I2952" s="2">
        <v>9.7620000000000005</v>
      </c>
    </row>
    <row r="2953" spans="1:9" x14ac:dyDescent="0.3">
      <c r="A2953" t="str">
        <f t="shared" si="991"/>
        <v>United States</v>
      </c>
      <c r="B2953" t="s">
        <v>317</v>
      </c>
      <c r="C2953" t="s">
        <v>22</v>
      </c>
      <c r="D2953" t="s">
        <v>8</v>
      </c>
      <c r="E2953" t="s">
        <v>20</v>
      </c>
      <c r="F2953">
        <v>3</v>
      </c>
      <c r="G2953">
        <v>0.7</v>
      </c>
      <c r="H2953" s="2">
        <v>-13.4694</v>
      </c>
      <c r="I2953" s="2">
        <v>19.242000000000001</v>
      </c>
    </row>
    <row r="2954" spans="1:9" x14ac:dyDescent="0.3">
      <c r="A2954" t="str">
        <f t="shared" si="991"/>
        <v>United States</v>
      </c>
      <c r="B2954" t="str">
        <f t="shared" ref="B2954:B2960" si="992">B2953</f>
        <v>Medina</v>
      </c>
      <c r="C2954" t="str">
        <f t="shared" ref="C2954:C2960" si="993">C2953</f>
        <v>Standard Class</v>
      </c>
      <c r="D2954" t="str">
        <f t="shared" ref="D2954:D2955" si="994">D2953</f>
        <v>Consumer</v>
      </c>
      <c r="E2954" t="s">
        <v>24</v>
      </c>
      <c r="F2954">
        <v>13</v>
      </c>
      <c r="G2954">
        <v>0.8</v>
      </c>
      <c r="H2954" s="2">
        <v>-118.03920000000002</v>
      </c>
      <c r="I2954" s="2">
        <v>590.19599999999991</v>
      </c>
    </row>
    <row r="2955" spans="1:9" x14ac:dyDescent="0.3">
      <c r="A2955" t="str">
        <f t="shared" si="991"/>
        <v>United States</v>
      </c>
      <c r="B2955" t="str">
        <f t="shared" si="992"/>
        <v>Medina</v>
      </c>
      <c r="C2955" t="str">
        <f t="shared" si="993"/>
        <v>Standard Class</v>
      </c>
      <c r="D2955" t="str">
        <f t="shared" si="994"/>
        <v>Consumer</v>
      </c>
      <c r="E2955" t="s">
        <v>25</v>
      </c>
      <c r="F2955">
        <v>1</v>
      </c>
      <c r="G2955">
        <v>0.4</v>
      </c>
      <c r="H2955" s="2">
        <v>-15.476400000000005</v>
      </c>
      <c r="I2955" s="2">
        <v>51.588000000000001</v>
      </c>
    </row>
    <row r="2956" spans="1:9" x14ac:dyDescent="0.3">
      <c r="A2956" t="str">
        <f t="shared" si="991"/>
        <v>United States</v>
      </c>
      <c r="B2956" t="str">
        <f t="shared" si="992"/>
        <v>Medina</v>
      </c>
      <c r="C2956" t="str">
        <f t="shared" si="993"/>
        <v>Standard Class</v>
      </c>
      <c r="D2956" t="s">
        <v>15</v>
      </c>
      <c r="E2956" t="s">
        <v>23</v>
      </c>
      <c r="F2956">
        <v>2</v>
      </c>
      <c r="G2956">
        <v>0.2</v>
      </c>
      <c r="H2956" s="2">
        <v>4.4792000000000058</v>
      </c>
      <c r="I2956" s="2">
        <v>89.584000000000003</v>
      </c>
    </row>
    <row r="2957" spans="1:9" x14ac:dyDescent="0.3">
      <c r="A2957" t="str">
        <f t="shared" si="991"/>
        <v>United States</v>
      </c>
      <c r="B2957" t="str">
        <f t="shared" si="992"/>
        <v>Medina</v>
      </c>
      <c r="C2957" t="str">
        <f t="shared" si="993"/>
        <v>Standard Class</v>
      </c>
      <c r="D2957" t="str">
        <f t="shared" ref="D2957:D2960" si="995">D2956</f>
        <v>Corporate</v>
      </c>
      <c r="E2957" t="s">
        <v>34</v>
      </c>
      <c r="F2957">
        <v>5</v>
      </c>
      <c r="G2957">
        <v>0.5</v>
      </c>
      <c r="H2957" s="2">
        <v>-244.32300000000006</v>
      </c>
      <c r="I2957" s="2">
        <v>452.45</v>
      </c>
    </row>
    <row r="2958" spans="1:9" x14ac:dyDescent="0.3">
      <c r="A2958" t="str">
        <f t="shared" si="991"/>
        <v>United States</v>
      </c>
      <c r="B2958" t="str">
        <f t="shared" si="992"/>
        <v>Medina</v>
      </c>
      <c r="C2958" t="str">
        <f t="shared" si="993"/>
        <v>Standard Class</v>
      </c>
      <c r="D2958" t="str">
        <f t="shared" si="995"/>
        <v>Corporate</v>
      </c>
      <c r="E2958" t="s">
        <v>43</v>
      </c>
      <c r="F2958">
        <v>2</v>
      </c>
      <c r="G2958">
        <v>0.2</v>
      </c>
      <c r="H2958" s="2">
        <v>8.879999999999999</v>
      </c>
      <c r="I2958" s="2">
        <v>23.680000000000003</v>
      </c>
    </row>
    <row r="2959" spans="1:9" x14ac:dyDescent="0.3">
      <c r="A2959" t="str">
        <f t="shared" si="991"/>
        <v>United States</v>
      </c>
      <c r="B2959" t="str">
        <f t="shared" si="992"/>
        <v>Medina</v>
      </c>
      <c r="C2959" t="str">
        <f t="shared" si="993"/>
        <v>Standard Class</v>
      </c>
      <c r="D2959" t="str">
        <f t="shared" si="995"/>
        <v>Corporate</v>
      </c>
      <c r="E2959" t="s">
        <v>46</v>
      </c>
      <c r="F2959">
        <v>9</v>
      </c>
      <c r="G2959">
        <v>0.7</v>
      </c>
      <c r="H2959" s="2">
        <v>-950.40000000000009</v>
      </c>
      <c r="I2959" s="2">
        <v>1188.0000000000002</v>
      </c>
    </row>
    <row r="2960" spans="1:9" x14ac:dyDescent="0.3">
      <c r="A2960" t="str">
        <f t="shared" si="991"/>
        <v>United States</v>
      </c>
      <c r="B2960" t="str">
        <f t="shared" si="992"/>
        <v>Medina</v>
      </c>
      <c r="C2960" t="str">
        <f t="shared" si="993"/>
        <v>Standard Class</v>
      </c>
      <c r="D2960" t="str">
        <f t="shared" si="995"/>
        <v>Corporate</v>
      </c>
      <c r="E2960" t="s">
        <v>24</v>
      </c>
      <c r="F2960">
        <v>3</v>
      </c>
      <c r="G2960">
        <v>0.4</v>
      </c>
      <c r="H2960" s="2">
        <v>-14.695800000000006</v>
      </c>
      <c r="I2960" s="2">
        <v>62.981999999999999</v>
      </c>
    </row>
    <row r="2961" spans="1:9" x14ac:dyDescent="0.3">
      <c r="A2961" t="str">
        <f t="shared" si="991"/>
        <v>United States</v>
      </c>
      <c r="B2961" t="s">
        <v>318</v>
      </c>
      <c r="C2961" t="s">
        <v>22</v>
      </c>
      <c r="D2961" t="s">
        <v>15</v>
      </c>
      <c r="E2961" t="s">
        <v>14</v>
      </c>
      <c r="F2961">
        <v>2</v>
      </c>
      <c r="G2961">
        <v>0.2</v>
      </c>
      <c r="H2961" s="2">
        <v>9.5616000000000092</v>
      </c>
      <c r="I2961" s="2">
        <v>95.616</v>
      </c>
    </row>
    <row r="2962" spans="1:9" x14ac:dyDescent="0.3">
      <c r="A2962" t="str">
        <f t="shared" si="991"/>
        <v>United States</v>
      </c>
      <c r="B2962" t="s">
        <v>319</v>
      </c>
      <c r="C2962" t="s">
        <v>11</v>
      </c>
      <c r="D2962" t="s">
        <v>8</v>
      </c>
      <c r="E2962" t="s">
        <v>20</v>
      </c>
      <c r="F2962">
        <v>2</v>
      </c>
      <c r="G2962">
        <v>0.7</v>
      </c>
      <c r="H2962" s="2">
        <v>-2.0107999999999997</v>
      </c>
      <c r="I2962" s="2">
        <v>2.7420000000000004</v>
      </c>
    </row>
    <row r="2963" spans="1:9" x14ac:dyDescent="0.3">
      <c r="A2963" t="str">
        <f t="shared" si="991"/>
        <v>United States</v>
      </c>
      <c r="B2963" t="str">
        <f t="shared" ref="B2963:B2983" si="996">B2962</f>
        <v>Memphis</v>
      </c>
      <c r="C2963" t="str">
        <f t="shared" ref="C2963:C2965" si="997">C2962</f>
        <v>First Class</v>
      </c>
      <c r="D2963" t="str">
        <f t="shared" ref="D2963:D2965" si="998">D2962</f>
        <v>Consumer</v>
      </c>
      <c r="E2963" t="s">
        <v>43</v>
      </c>
      <c r="F2963">
        <v>1</v>
      </c>
      <c r="G2963">
        <v>0.2</v>
      </c>
      <c r="H2963" s="2">
        <v>1.2948</v>
      </c>
      <c r="I2963" s="2">
        <v>3.9840000000000004</v>
      </c>
    </row>
    <row r="2964" spans="1:9" x14ac:dyDescent="0.3">
      <c r="A2964" t="str">
        <f t="shared" si="991"/>
        <v>United States</v>
      </c>
      <c r="B2964" t="str">
        <f t="shared" si="996"/>
        <v>Memphis</v>
      </c>
      <c r="C2964" t="str">
        <f t="shared" si="997"/>
        <v>First Class</v>
      </c>
      <c r="D2964" t="str">
        <f t="shared" si="998"/>
        <v>Consumer</v>
      </c>
      <c r="E2964" t="s">
        <v>14</v>
      </c>
      <c r="F2964">
        <v>1</v>
      </c>
      <c r="G2964">
        <v>0.2</v>
      </c>
      <c r="H2964" s="2">
        <v>-8.803799999999999</v>
      </c>
      <c r="I2964" s="2">
        <v>39.128</v>
      </c>
    </row>
    <row r="2965" spans="1:9" x14ac:dyDescent="0.3">
      <c r="A2965" t="str">
        <f t="shared" si="991"/>
        <v>United States</v>
      </c>
      <c r="B2965" t="str">
        <f t="shared" si="996"/>
        <v>Memphis</v>
      </c>
      <c r="C2965" t="str">
        <f t="shared" si="997"/>
        <v>First Class</v>
      </c>
      <c r="D2965" t="str">
        <f t="shared" si="998"/>
        <v>Consumer</v>
      </c>
      <c r="E2965" t="s">
        <v>25</v>
      </c>
      <c r="F2965">
        <v>3</v>
      </c>
      <c r="G2965">
        <v>0.4</v>
      </c>
      <c r="H2965" s="2">
        <v>-142.07100000000008</v>
      </c>
      <c r="I2965" s="2">
        <v>370.62</v>
      </c>
    </row>
    <row r="2966" spans="1:9" x14ac:dyDescent="0.3">
      <c r="A2966" t="str">
        <f t="shared" si="991"/>
        <v>United States</v>
      </c>
      <c r="B2966" t="str">
        <f t="shared" si="996"/>
        <v>Memphis</v>
      </c>
      <c r="C2966" t="s">
        <v>7</v>
      </c>
      <c r="D2966" t="s">
        <v>8</v>
      </c>
      <c r="E2966" t="s">
        <v>16</v>
      </c>
      <c r="F2966">
        <v>8</v>
      </c>
      <c r="G2966">
        <v>0.4</v>
      </c>
      <c r="H2966" s="2">
        <v>12.410999999999998</v>
      </c>
      <c r="I2966" s="2">
        <v>34.824000000000005</v>
      </c>
    </row>
    <row r="2967" spans="1:9" x14ac:dyDescent="0.3">
      <c r="A2967" t="str">
        <f t="shared" si="991"/>
        <v>United States</v>
      </c>
      <c r="B2967" t="str">
        <f t="shared" si="996"/>
        <v>Memphis</v>
      </c>
      <c r="C2967" t="str">
        <f t="shared" ref="C2967:C2968" si="999">C2966</f>
        <v>Second Class</v>
      </c>
      <c r="D2967" t="str">
        <f t="shared" ref="D2967:D2968" si="1000">D2966</f>
        <v>Consumer</v>
      </c>
      <c r="E2967" t="s">
        <v>14</v>
      </c>
      <c r="F2967">
        <v>4</v>
      </c>
      <c r="G2967">
        <v>0.2</v>
      </c>
      <c r="H2967" s="2">
        <v>-63.005600000000015</v>
      </c>
      <c r="I2967" s="2">
        <v>720.06400000000008</v>
      </c>
    </row>
    <row r="2968" spans="1:9" x14ac:dyDescent="0.3">
      <c r="A2968" t="str">
        <f t="shared" si="991"/>
        <v>United States</v>
      </c>
      <c r="B2968" t="str">
        <f t="shared" si="996"/>
        <v>Memphis</v>
      </c>
      <c r="C2968" t="str">
        <f t="shared" si="999"/>
        <v>Second Class</v>
      </c>
      <c r="D2968" t="str">
        <f t="shared" si="1000"/>
        <v>Consumer</v>
      </c>
      <c r="E2968" t="s">
        <v>25</v>
      </c>
      <c r="F2968">
        <v>3</v>
      </c>
      <c r="G2968">
        <v>0.4</v>
      </c>
      <c r="H2968" s="2">
        <v>-94.941000000000017</v>
      </c>
      <c r="I2968" s="2">
        <v>189.88200000000001</v>
      </c>
    </row>
    <row r="2969" spans="1:9" x14ac:dyDescent="0.3">
      <c r="A2969" t="str">
        <f t="shared" si="991"/>
        <v>United States</v>
      </c>
      <c r="B2969" t="str">
        <f t="shared" si="996"/>
        <v>Memphis</v>
      </c>
      <c r="C2969" t="s">
        <v>22</v>
      </c>
      <c r="D2969" t="s">
        <v>8</v>
      </c>
      <c r="E2969" t="s">
        <v>23</v>
      </c>
      <c r="F2969">
        <v>2</v>
      </c>
      <c r="G2969">
        <v>0.2</v>
      </c>
      <c r="H2969" s="2">
        <v>0.47520000000000018</v>
      </c>
      <c r="I2969" s="2">
        <v>1.5840000000000001</v>
      </c>
    </row>
    <row r="2970" spans="1:9" x14ac:dyDescent="0.3">
      <c r="A2970" t="str">
        <f t="shared" si="991"/>
        <v>United States</v>
      </c>
      <c r="B2970" t="str">
        <f t="shared" si="996"/>
        <v>Memphis</v>
      </c>
      <c r="C2970" t="str">
        <f t="shared" ref="C2970:C2983" si="1001">C2969</f>
        <v>Standard Class</v>
      </c>
      <c r="D2970" t="str">
        <f t="shared" ref="D2970:D2977" si="1002">D2969</f>
        <v>Consumer</v>
      </c>
      <c r="E2970" t="s">
        <v>12</v>
      </c>
      <c r="F2970">
        <v>7</v>
      </c>
      <c r="G2970">
        <v>0.2</v>
      </c>
      <c r="H2970" s="2">
        <v>30.605399999999946</v>
      </c>
      <c r="I2970" s="2">
        <v>272.048</v>
      </c>
    </row>
    <row r="2971" spans="1:9" x14ac:dyDescent="0.3">
      <c r="A2971" t="str">
        <f t="shared" si="991"/>
        <v>United States</v>
      </c>
      <c r="B2971" t="str">
        <f t="shared" si="996"/>
        <v>Memphis</v>
      </c>
      <c r="C2971" t="str">
        <f t="shared" si="1001"/>
        <v>Standard Class</v>
      </c>
      <c r="D2971" t="str">
        <f t="shared" si="1002"/>
        <v>Consumer</v>
      </c>
      <c r="E2971" t="s">
        <v>20</v>
      </c>
      <c r="F2971">
        <v>8</v>
      </c>
      <c r="G2971">
        <v>1.4</v>
      </c>
      <c r="H2971" s="2">
        <v>-1239.9083999999996</v>
      </c>
      <c r="I2971" s="2">
        <v>1617.5280000000002</v>
      </c>
    </row>
    <row r="2972" spans="1:9" x14ac:dyDescent="0.3">
      <c r="A2972" t="str">
        <f t="shared" si="991"/>
        <v>United States</v>
      </c>
      <c r="B2972" t="str">
        <f t="shared" si="996"/>
        <v>Memphis</v>
      </c>
      <c r="C2972" t="str">
        <f t="shared" si="1001"/>
        <v>Standard Class</v>
      </c>
      <c r="D2972" t="str">
        <f t="shared" si="1002"/>
        <v>Consumer</v>
      </c>
      <c r="E2972" t="s">
        <v>33</v>
      </c>
      <c r="F2972">
        <v>10</v>
      </c>
      <c r="G2972">
        <v>0.4</v>
      </c>
      <c r="H2972" s="2">
        <v>-66.730800000000059</v>
      </c>
      <c r="I2972" s="2">
        <v>1255.5840000000001</v>
      </c>
    </row>
    <row r="2973" spans="1:9" x14ac:dyDescent="0.3">
      <c r="A2973" t="str">
        <f t="shared" si="991"/>
        <v>United States</v>
      </c>
      <c r="B2973" t="str">
        <f t="shared" si="996"/>
        <v>Memphis</v>
      </c>
      <c r="C2973" t="str">
        <f t="shared" si="1001"/>
        <v>Standard Class</v>
      </c>
      <c r="D2973" t="str">
        <f t="shared" si="1002"/>
        <v>Consumer</v>
      </c>
      <c r="E2973" t="s">
        <v>38</v>
      </c>
      <c r="F2973">
        <v>5</v>
      </c>
      <c r="G2973">
        <v>0.2</v>
      </c>
      <c r="H2973" s="2">
        <v>4.7969999999999988</v>
      </c>
      <c r="I2973" s="2">
        <v>14.76</v>
      </c>
    </row>
    <row r="2974" spans="1:9" x14ac:dyDescent="0.3">
      <c r="A2974" t="str">
        <f t="shared" si="991"/>
        <v>United States</v>
      </c>
      <c r="B2974" t="str">
        <f t="shared" si="996"/>
        <v>Memphis</v>
      </c>
      <c r="C2974" t="str">
        <f t="shared" si="1001"/>
        <v>Standard Class</v>
      </c>
      <c r="D2974" t="str">
        <f t="shared" si="1002"/>
        <v>Consumer</v>
      </c>
      <c r="E2974" t="s">
        <v>18</v>
      </c>
      <c r="F2974">
        <v>11</v>
      </c>
      <c r="G2974">
        <v>0.4</v>
      </c>
      <c r="H2974" s="2">
        <v>27.71759999999999</v>
      </c>
      <c r="I2974" s="2">
        <v>79.424000000000007</v>
      </c>
    </row>
    <row r="2975" spans="1:9" x14ac:dyDescent="0.3">
      <c r="A2975" t="str">
        <f t="shared" si="991"/>
        <v>United States</v>
      </c>
      <c r="B2975" t="str">
        <f t="shared" si="996"/>
        <v>Memphis</v>
      </c>
      <c r="C2975" t="str">
        <f t="shared" si="1001"/>
        <v>Standard Class</v>
      </c>
      <c r="D2975" t="str">
        <f t="shared" si="1002"/>
        <v>Consumer</v>
      </c>
      <c r="E2975" t="s">
        <v>21</v>
      </c>
      <c r="F2975">
        <v>3</v>
      </c>
      <c r="G2975">
        <v>0.4</v>
      </c>
      <c r="H2975" s="2">
        <v>1.2129999999999974</v>
      </c>
      <c r="I2975" s="2">
        <v>129.024</v>
      </c>
    </row>
    <row r="2976" spans="1:9" x14ac:dyDescent="0.3">
      <c r="A2976" t="str">
        <f t="shared" si="991"/>
        <v>United States</v>
      </c>
      <c r="B2976" t="str">
        <f t="shared" si="996"/>
        <v>Memphis</v>
      </c>
      <c r="C2976" t="str">
        <f t="shared" si="1001"/>
        <v>Standard Class</v>
      </c>
      <c r="D2976" t="str">
        <f t="shared" si="1002"/>
        <v>Consumer</v>
      </c>
      <c r="E2976" t="s">
        <v>16</v>
      </c>
      <c r="F2976">
        <v>2</v>
      </c>
      <c r="G2976">
        <v>0.2</v>
      </c>
      <c r="H2976" s="2">
        <v>13.717599999999997</v>
      </c>
      <c r="I2976" s="2">
        <v>42.207999999999998</v>
      </c>
    </row>
    <row r="2977" spans="1:9" x14ac:dyDescent="0.3">
      <c r="A2977" t="str">
        <f t="shared" si="991"/>
        <v>United States</v>
      </c>
      <c r="B2977" t="str">
        <f t="shared" si="996"/>
        <v>Memphis</v>
      </c>
      <c r="C2977" t="str">
        <f t="shared" si="1001"/>
        <v>Standard Class</v>
      </c>
      <c r="D2977" t="str">
        <f t="shared" si="1002"/>
        <v>Consumer</v>
      </c>
      <c r="E2977" t="s">
        <v>14</v>
      </c>
      <c r="F2977">
        <v>6</v>
      </c>
      <c r="G2977">
        <v>0.4</v>
      </c>
      <c r="H2977" s="2">
        <v>-73.078000000000003</v>
      </c>
      <c r="I2977" s="2">
        <v>316.70400000000001</v>
      </c>
    </row>
    <row r="2978" spans="1:9" x14ac:dyDescent="0.3">
      <c r="A2978" t="str">
        <f t="shared" si="991"/>
        <v>United States</v>
      </c>
      <c r="B2978" t="str">
        <f t="shared" si="996"/>
        <v>Memphis</v>
      </c>
      <c r="C2978" t="str">
        <f t="shared" si="1001"/>
        <v>Standard Class</v>
      </c>
      <c r="D2978" t="s">
        <v>15</v>
      </c>
      <c r="E2978" t="s">
        <v>20</v>
      </c>
      <c r="F2978">
        <v>3</v>
      </c>
      <c r="G2978">
        <v>0.7</v>
      </c>
      <c r="H2978" s="2">
        <v>-7.782</v>
      </c>
      <c r="I2978" s="2">
        <v>11.673000000000002</v>
      </c>
    </row>
    <row r="2979" spans="1:9" x14ac:dyDescent="0.3">
      <c r="A2979" t="str">
        <f t="shared" si="991"/>
        <v>United States</v>
      </c>
      <c r="B2979" t="str">
        <f t="shared" si="996"/>
        <v>Memphis</v>
      </c>
      <c r="C2979" t="str">
        <f t="shared" si="1001"/>
        <v>Standard Class</v>
      </c>
      <c r="D2979" t="str">
        <f t="shared" ref="D2979:D2983" si="1003">D2978</f>
        <v>Corporate</v>
      </c>
      <c r="E2979" t="s">
        <v>33</v>
      </c>
      <c r="F2979">
        <v>2</v>
      </c>
      <c r="G2979">
        <v>0.2</v>
      </c>
      <c r="H2979" s="2">
        <v>70.197999999999922</v>
      </c>
      <c r="I2979" s="2">
        <v>561.58400000000006</v>
      </c>
    </row>
    <row r="2980" spans="1:9" x14ac:dyDescent="0.3">
      <c r="A2980" t="str">
        <f t="shared" si="991"/>
        <v>United States</v>
      </c>
      <c r="B2980" t="str">
        <f t="shared" si="996"/>
        <v>Memphis</v>
      </c>
      <c r="C2980" t="str">
        <f t="shared" si="1001"/>
        <v>Standard Class</v>
      </c>
      <c r="D2980" t="str">
        <f t="shared" si="1003"/>
        <v>Corporate</v>
      </c>
      <c r="E2980" t="s">
        <v>38</v>
      </c>
      <c r="F2980">
        <v>15</v>
      </c>
      <c r="G2980">
        <v>0.4</v>
      </c>
      <c r="H2980" s="2">
        <v>43.196399999999997</v>
      </c>
      <c r="I2980" s="2">
        <v>120.78400000000002</v>
      </c>
    </row>
    <row r="2981" spans="1:9" x14ac:dyDescent="0.3">
      <c r="A2981" t="str">
        <f t="shared" si="991"/>
        <v>United States</v>
      </c>
      <c r="B2981" t="str">
        <f t="shared" si="996"/>
        <v>Memphis</v>
      </c>
      <c r="C2981" t="str">
        <f t="shared" si="1001"/>
        <v>Standard Class</v>
      </c>
      <c r="D2981" t="str">
        <f t="shared" si="1003"/>
        <v>Corporate</v>
      </c>
      <c r="E2981" t="s">
        <v>21</v>
      </c>
      <c r="F2981">
        <v>7</v>
      </c>
      <c r="G2981">
        <v>0.4</v>
      </c>
      <c r="H2981" s="2">
        <v>8.9239999999999995</v>
      </c>
      <c r="I2981" s="2">
        <v>39.840000000000003</v>
      </c>
    </row>
    <row r="2982" spans="1:9" x14ac:dyDescent="0.3">
      <c r="A2982" t="str">
        <f t="shared" si="991"/>
        <v>United States</v>
      </c>
      <c r="B2982" t="str">
        <f t="shared" si="996"/>
        <v>Memphis</v>
      </c>
      <c r="C2982" t="str">
        <f t="shared" si="1001"/>
        <v>Standard Class</v>
      </c>
      <c r="D2982" t="str">
        <f t="shared" si="1003"/>
        <v>Corporate</v>
      </c>
      <c r="E2982" t="s">
        <v>43</v>
      </c>
      <c r="F2982">
        <v>8</v>
      </c>
      <c r="G2982">
        <v>0.2</v>
      </c>
      <c r="H2982" s="2">
        <v>5.9903999999999984</v>
      </c>
      <c r="I2982" s="2">
        <v>18.431999999999999</v>
      </c>
    </row>
    <row r="2983" spans="1:9" x14ac:dyDescent="0.3">
      <c r="A2983" t="str">
        <f t="shared" si="991"/>
        <v>United States</v>
      </c>
      <c r="B2983" t="str">
        <f t="shared" si="996"/>
        <v>Memphis</v>
      </c>
      <c r="C2983" t="str">
        <f t="shared" si="1001"/>
        <v>Standard Class</v>
      </c>
      <c r="D2983" t="str">
        <f t="shared" si="1003"/>
        <v>Corporate</v>
      </c>
      <c r="E2983" t="s">
        <v>14</v>
      </c>
      <c r="F2983">
        <v>5</v>
      </c>
      <c r="G2983">
        <v>0.2</v>
      </c>
      <c r="H2983" s="2">
        <v>-1.249000000000013</v>
      </c>
      <c r="I2983" s="2">
        <v>99.920000000000016</v>
      </c>
    </row>
    <row r="2984" spans="1:9" x14ac:dyDescent="0.3">
      <c r="A2984" t="str">
        <f t="shared" si="991"/>
        <v>United States</v>
      </c>
      <c r="B2984" t="s">
        <v>320</v>
      </c>
      <c r="C2984" t="s">
        <v>27</v>
      </c>
      <c r="D2984" t="s">
        <v>17</v>
      </c>
      <c r="E2984" t="s">
        <v>23</v>
      </c>
      <c r="F2984">
        <v>3</v>
      </c>
      <c r="G2984">
        <v>0.2</v>
      </c>
      <c r="H2984" s="2">
        <v>65.993400000000008</v>
      </c>
      <c r="I2984" s="2">
        <v>239.976</v>
      </c>
    </row>
    <row r="2985" spans="1:9" x14ac:dyDescent="0.3">
      <c r="A2985" t="str">
        <f t="shared" si="991"/>
        <v>United States</v>
      </c>
      <c r="B2985" t="str">
        <f t="shared" ref="B2985:B2988" si="1004">B2984</f>
        <v>Mentor</v>
      </c>
      <c r="C2985" t="str">
        <f t="shared" ref="C2985:C2988" si="1005">C2984</f>
        <v>Same Day</v>
      </c>
      <c r="D2985" t="str">
        <f t="shared" ref="D2985:D2988" si="1006">D2984</f>
        <v>Home Office</v>
      </c>
      <c r="E2985" t="s">
        <v>33</v>
      </c>
      <c r="F2985">
        <v>1</v>
      </c>
      <c r="G2985">
        <v>0.3</v>
      </c>
      <c r="H2985" s="2">
        <v>-15.466600000000003</v>
      </c>
      <c r="I2985" s="2">
        <v>63.686</v>
      </c>
    </row>
    <row r="2986" spans="1:9" x14ac:dyDescent="0.3">
      <c r="A2986" t="str">
        <f t="shared" si="991"/>
        <v>United States</v>
      </c>
      <c r="B2986" t="str">
        <f t="shared" si="1004"/>
        <v>Mentor</v>
      </c>
      <c r="C2986" t="str">
        <f t="shared" si="1005"/>
        <v>Same Day</v>
      </c>
      <c r="D2986" t="str">
        <f t="shared" si="1006"/>
        <v>Home Office</v>
      </c>
      <c r="E2986" t="s">
        <v>21</v>
      </c>
      <c r="F2986">
        <v>4</v>
      </c>
      <c r="G2986">
        <v>0.2</v>
      </c>
      <c r="H2986" s="2">
        <v>7.436799999999999</v>
      </c>
      <c r="I2986" s="2">
        <v>21.248000000000001</v>
      </c>
    </row>
    <row r="2987" spans="1:9" x14ac:dyDescent="0.3">
      <c r="A2987" t="str">
        <f t="shared" si="991"/>
        <v>United States</v>
      </c>
      <c r="B2987" t="str">
        <f t="shared" si="1004"/>
        <v>Mentor</v>
      </c>
      <c r="C2987" t="str">
        <f t="shared" si="1005"/>
        <v>Same Day</v>
      </c>
      <c r="D2987" t="str">
        <f t="shared" si="1006"/>
        <v>Home Office</v>
      </c>
      <c r="E2987" t="s">
        <v>16</v>
      </c>
      <c r="F2987">
        <v>5</v>
      </c>
      <c r="G2987">
        <v>0.4</v>
      </c>
      <c r="H2987" s="2">
        <v>8.0831999999999997</v>
      </c>
      <c r="I2987" s="2">
        <v>24.000000000000004</v>
      </c>
    </row>
    <row r="2988" spans="1:9" x14ac:dyDescent="0.3">
      <c r="A2988" t="str">
        <f t="shared" si="991"/>
        <v>United States</v>
      </c>
      <c r="B2988" t="str">
        <f t="shared" si="1004"/>
        <v>Mentor</v>
      </c>
      <c r="C2988" t="str">
        <f t="shared" si="1005"/>
        <v>Same Day</v>
      </c>
      <c r="D2988" t="str">
        <f t="shared" si="1006"/>
        <v>Home Office</v>
      </c>
      <c r="E2988" t="s">
        <v>25</v>
      </c>
      <c r="F2988">
        <v>2</v>
      </c>
      <c r="G2988">
        <v>0.4</v>
      </c>
      <c r="H2988" s="2">
        <v>-189.32100000000003</v>
      </c>
      <c r="I2988" s="2">
        <v>344.22</v>
      </c>
    </row>
    <row r="2989" spans="1:9" x14ac:dyDescent="0.3">
      <c r="A2989" t="str">
        <f t="shared" si="991"/>
        <v>United States</v>
      </c>
      <c r="B2989" t="s">
        <v>321</v>
      </c>
      <c r="C2989" t="s">
        <v>11</v>
      </c>
      <c r="D2989" t="s">
        <v>8</v>
      </c>
      <c r="E2989" t="s">
        <v>19</v>
      </c>
      <c r="F2989">
        <v>5</v>
      </c>
      <c r="G2989">
        <v>0</v>
      </c>
      <c r="H2989" s="2">
        <v>6.2059999999999977</v>
      </c>
      <c r="I2989" s="2">
        <v>21.400000000000002</v>
      </c>
    </row>
    <row r="2990" spans="1:9" x14ac:dyDescent="0.3">
      <c r="A2990" t="str">
        <f t="shared" si="991"/>
        <v>United States</v>
      </c>
      <c r="B2990" t="str">
        <f t="shared" ref="B2990:B2998" si="1007">B2989</f>
        <v>Meriden</v>
      </c>
      <c r="C2990" t="str">
        <f>C2989</f>
        <v>First Class</v>
      </c>
      <c r="D2990" t="s">
        <v>17</v>
      </c>
      <c r="E2990" t="s">
        <v>19</v>
      </c>
      <c r="F2990">
        <v>4</v>
      </c>
      <c r="G2990">
        <v>0</v>
      </c>
      <c r="H2990" s="2">
        <v>2.8911999999999995</v>
      </c>
      <c r="I2990" s="2">
        <v>11.12</v>
      </c>
    </row>
    <row r="2991" spans="1:9" x14ac:dyDescent="0.3">
      <c r="A2991" t="str">
        <f t="shared" si="991"/>
        <v>United States</v>
      </c>
      <c r="B2991" t="str">
        <f t="shared" si="1007"/>
        <v>Meriden</v>
      </c>
      <c r="C2991" t="s">
        <v>7</v>
      </c>
      <c r="D2991" t="s">
        <v>8</v>
      </c>
      <c r="E2991" t="s">
        <v>16</v>
      </c>
      <c r="F2991">
        <v>7</v>
      </c>
      <c r="G2991">
        <v>0</v>
      </c>
      <c r="H2991" s="2">
        <v>110.97239999999999</v>
      </c>
      <c r="I2991" s="2">
        <v>226.74</v>
      </c>
    </row>
    <row r="2992" spans="1:9" x14ac:dyDescent="0.3">
      <c r="A2992" t="str">
        <f t="shared" si="991"/>
        <v>United States</v>
      </c>
      <c r="B2992" t="str">
        <f t="shared" si="1007"/>
        <v>Meriden</v>
      </c>
      <c r="C2992" t="str">
        <f t="shared" ref="C2992:C2995" si="1008">C2991</f>
        <v>Second Class</v>
      </c>
      <c r="D2992" t="str">
        <f>D2991</f>
        <v>Consumer</v>
      </c>
      <c r="E2992" t="s">
        <v>14</v>
      </c>
      <c r="F2992">
        <v>1</v>
      </c>
      <c r="G2992">
        <v>0</v>
      </c>
      <c r="H2992" s="2">
        <v>2.8339999999999996</v>
      </c>
      <c r="I2992" s="2">
        <v>10.9</v>
      </c>
    </row>
    <row r="2993" spans="1:9" x14ac:dyDescent="0.3">
      <c r="A2993" t="str">
        <f t="shared" si="991"/>
        <v>United States</v>
      </c>
      <c r="B2993" t="str">
        <f t="shared" si="1007"/>
        <v>Meriden</v>
      </c>
      <c r="C2993" t="str">
        <f t="shared" si="1008"/>
        <v>Second Class</v>
      </c>
      <c r="D2993" t="s">
        <v>15</v>
      </c>
      <c r="E2993" t="s">
        <v>12</v>
      </c>
      <c r="F2993">
        <v>3</v>
      </c>
      <c r="G2993">
        <v>0</v>
      </c>
      <c r="H2993" s="2">
        <v>22.251600000000003</v>
      </c>
      <c r="I2993" s="2">
        <v>79.47</v>
      </c>
    </row>
    <row r="2994" spans="1:9" x14ac:dyDescent="0.3">
      <c r="A2994" t="str">
        <f t="shared" si="991"/>
        <v>United States</v>
      </c>
      <c r="B2994" t="str">
        <f t="shared" si="1007"/>
        <v>Meriden</v>
      </c>
      <c r="C2994" t="str">
        <f t="shared" si="1008"/>
        <v>Second Class</v>
      </c>
      <c r="D2994" t="str">
        <f t="shared" ref="D2994:D2995" si="1009">D2993</f>
        <v>Corporate</v>
      </c>
      <c r="E2994" t="s">
        <v>19</v>
      </c>
      <c r="F2994">
        <v>2</v>
      </c>
      <c r="G2994">
        <v>0</v>
      </c>
      <c r="H2994" s="2">
        <v>2.0064000000000002</v>
      </c>
      <c r="I2994" s="2">
        <v>4.5599999999999996</v>
      </c>
    </row>
    <row r="2995" spans="1:9" x14ac:dyDescent="0.3">
      <c r="A2995" t="str">
        <f t="shared" si="991"/>
        <v>United States</v>
      </c>
      <c r="B2995" t="str">
        <f t="shared" si="1007"/>
        <v>Meriden</v>
      </c>
      <c r="C2995" t="str">
        <f t="shared" si="1008"/>
        <v>Second Class</v>
      </c>
      <c r="D2995" t="str">
        <f t="shared" si="1009"/>
        <v>Corporate</v>
      </c>
      <c r="E2995" t="s">
        <v>33</v>
      </c>
      <c r="F2995">
        <v>5</v>
      </c>
      <c r="G2995">
        <v>0</v>
      </c>
      <c r="H2995" s="2">
        <v>294.67100000000005</v>
      </c>
      <c r="I2995" s="2">
        <v>1133.3499999999999</v>
      </c>
    </row>
    <row r="2996" spans="1:9" x14ac:dyDescent="0.3">
      <c r="A2996" t="str">
        <f t="shared" si="991"/>
        <v>United States</v>
      </c>
      <c r="B2996" t="str">
        <f t="shared" si="1007"/>
        <v>Meriden</v>
      </c>
      <c r="C2996" t="s">
        <v>22</v>
      </c>
      <c r="D2996" t="s">
        <v>8</v>
      </c>
      <c r="E2996" t="s">
        <v>19</v>
      </c>
      <c r="F2996">
        <v>1</v>
      </c>
      <c r="G2996">
        <v>0</v>
      </c>
      <c r="H2996" s="2">
        <v>2.2109999999999994</v>
      </c>
      <c r="I2996" s="2">
        <v>6.7</v>
      </c>
    </row>
    <row r="2997" spans="1:9" x14ac:dyDescent="0.3">
      <c r="A2997" t="str">
        <f t="shared" si="991"/>
        <v>United States</v>
      </c>
      <c r="B2997" t="str">
        <f t="shared" si="1007"/>
        <v>Meriden</v>
      </c>
      <c r="C2997" t="str">
        <f t="shared" ref="C2997:C2998" si="1010">C2996</f>
        <v>Standard Class</v>
      </c>
      <c r="D2997" t="str">
        <f t="shared" ref="D2997:D2998" si="1011">D2996</f>
        <v>Consumer</v>
      </c>
      <c r="E2997" t="s">
        <v>20</v>
      </c>
      <c r="F2997">
        <v>2</v>
      </c>
      <c r="G2997">
        <v>0</v>
      </c>
      <c r="H2997" s="2">
        <v>5.1647999999999996</v>
      </c>
      <c r="I2997" s="2">
        <v>10.76</v>
      </c>
    </row>
    <row r="2998" spans="1:9" x14ac:dyDescent="0.3">
      <c r="A2998" t="str">
        <f t="shared" si="991"/>
        <v>United States</v>
      </c>
      <c r="B2998" t="str">
        <f t="shared" si="1007"/>
        <v>Meriden</v>
      </c>
      <c r="C2998" t="str">
        <f t="shared" si="1010"/>
        <v>Standard Class</v>
      </c>
      <c r="D2998" t="str">
        <f t="shared" si="1011"/>
        <v>Consumer</v>
      </c>
      <c r="E2998" t="s">
        <v>16</v>
      </c>
      <c r="F2998">
        <v>2</v>
      </c>
      <c r="G2998">
        <v>0</v>
      </c>
      <c r="H2998" s="2">
        <v>21.012799999999999</v>
      </c>
      <c r="I2998" s="2">
        <v>45.68</v>
      </c>
    </row>
    <row r="2999" spans="1:9" x14ac:dyDescent="0.3">
      <c r="A2999" t="str">
        <f t="shared" si="991"/>
        <v>United States</v>
      </c>
      <c r="B2999" t="s">
        <v>322</v>
      </c>
      <c r="C2999" t="s">
        <v>22</v>
      </c>
      <c r="D2999" t="s">
        <v>15</v>
      </c>
      <c r="E2999" t="s">
        <v>20</v>
      </c>
      <c r="F2999">
        <v>3</v>
      </c>
      <c r="G2999">
        <v>0.2</v>
      </c>
      <c r="H2999" s="2">
        <v>7.9919999999999991</v>
      </c>
      <c r="I2999" s="2">
        <v>21.312000000000005</v>
      </c>
    </row>
    <row r="3000" spans="1:9" x14ac:dyDescent="0.3">
      <c r="A3000" t="str">
        <f t="shared" si="991"/>
        <v>United States</v>
      </c>
      <c r="B3000" t="str">
        <f t="shared" ref="B3000:B3002" si="1012">B2999</f>
        <v>Meridian</v>
      </c>
      <c r="C3000" t="str">
        <f t="shared" ref="C3000:C3002" si="1013">C2999</f>
        <v>Standard Class</v>
      </c>
      <c r="D3000" t="s">
        <v>17</v>
      </c>
      <c r="E3000" t="s">
        <v>12</v>
      </c>
      <c r="F3000">
        <v>4</v>
      </c>
      <c r="G3000">
        <v>0</v>
      </c>
      <c r="H3000" s="2">
        <v>66.073599999999971</v>
      </c>
      <c r="I3000" s="2">
        <v>227.84</v>
      </c>
    </row>
    <row r="3001" spans="1:9" x14ac:dyDescent="0.3">
      <c r="A3001" t="str">
        <f t="shared" si="991"/>
        <v>United States</v>
      </c>
      <c r="B3001" t="str">
        <f t="shared" si="1012"/>
        <v>Meridian</v>
      </c>
      <c r="C3001" t="str">
        <f t="shared" si="1013"/>
        <v>Standard Class</v>
      </c>
      <c r="D3001" t="str">
        <f t="shared" ref="D3001:D3002" si="1014">D3000</f>
        <v>Home Office</v>
      </c>
      <c r="E3001" t="s">
        <v>21</v>
      </c>
      <c r="F3001">
        <v>2</v>
      </c>
      <c r="G3001">
        <v>0</v>
      </c>
      <c r="H3001" s="2">
        <v>2.9371999999999971</v>
      </c>
      <c r="I3001" s="2">
        <v>41.96</v>
      </c>
    </row>
    <row r="3002" spans="1:9" x14ac:dyDescent="0.3">
      <c r="A3002" t="str">
        <f t="shared" si="991"/>
        <v>United States</v>
      </c>
      <c r="B3002" t="str">
        <f t="shared" si="1012"/>
        <v>Meridian</v>
      </c>
      <c r="C3002" t="str">
        <f t="shared" si="1013"/>
        <v>Standard Class</v>
      </c>
      <c r="D3002" t="str">
        <f t="shared" si="1014"/>
        <v>Home Office</v>
      </c>
      <c r="E3002" t="s">
        <v>16</v>
      </c>
      <c r="F3002">
        <v>2</v>
      </c>
      <c r="G3002">
        <v>0</v>
      </c>
      <c r="H3002" s="2">
        <v>18.211199999999998</v>
      </c>
      <c r="I3002" s="2">
        <v>37.94</v>
      </c>
    </row>
    <row r="3003" spans="1:9" x14ac:dyDescent="0.3">
      <c r="A3003" t="str">
        <f t="shared" si="991"/>
        <v>United States</v>
      </c>
      <c r="B3003" t="s">
        <v>323</v>
      </c>
      <c r="C3003" t="s">
        <v>11</v>
      </c>
      <c r="D3003" t="s">
        <v>8</v>
      </c>
      <c r="E3003" t="s">
        <v>24</v>
      </c>
      <c r="F3003">
        <v>10</v>
      </c>
      <c r="G3003">
        <v>0.2</v>
      </c>
      <c r="H3003" s="2">
        <v>34.5</v>
      </c>
      <c r="I3003" s="2">
        <v>552</v>
      </c>
    </row>
    <row r="3004" spans="1:9" x14ac:dyDescent="0.3">
      <c r="A3004" t="str">
        <f t="shared" si="991"/>
        <v>United States</v>
      </c>
      <c r="B3004" t="str">
        <f t="shared" ref="B3004:B3023" si="1015">B3003</f>
        <v>Mesa</v>
      </c>
      <c r="C3004" t="str">
        <f t="shared" ref="C3004:C3005" si="1016">C3003</f>
        <v>First Class</v>
      </c>
      <c r="D3004" t="str">
        <f>D3003</f>
        <v>Consumer</v>
      </c>
      <c r="E3004" t="s">
        <v>25</v>
      </c>
      <c r="F3004">
        <v>3</v>
      </c>
      <c r="G3004">
        <v>0.5</v>
      </c>
      <c r="H3004" s="2">
        <v>-204.44580000000005</v>
      </c>
      <c r="I3004" s="2">
        <v>393.16500000000002</v>
      </c>
    </row>
    <row r="3005" spans="1:9" x14ac:dyDescent="0.3">
      <c r="A3005" t="str">
        <f t="shared" si="991"/>
        <v>United States</v>
      </c>
      <c r="B3005" t="str">
        <f t="shared" si="1015"/>
        <v>Mesa</v>
      </c>
      <c r="C3005" t="str">
        <f t="shared" si="1016"/>
        <v>First Class</v>
      </c>
      <c r="D3005" t="s">
        <v>17</v>
      </c>
      <c r="E3005" t="s">
        <v>16</v>
      </c>
      <c r="F3005">
        <v>9</v>
      </c>
      <c r="G3005">
        <v>0.4</v>
      </c>
      <c r="H3005" s="2">
        <v>28.701599999999999</v>
      </c>
      <c r="I3005" s="2">
        <v>85.920000000000016</v>
      </c>
    </row>
    <row r="3006" spans="1:9" x14ac:dyDescent="0.3">
      <c r="A3006" t="str">
        <f t="shared" si="991"/>
        <v>United States</v>
      </c>
      <c r="B3006" t="str">
        <f t="shared" si="1015"/>
        <v>Mesa</v>
      </c>
      <c r="C3006" t="s">
        <v>7</v>
      </c>
      <c r="D3006" t="s">
        <v>8</v>
      </c>
      <c r="E3006" t="s">
        <v>20</v>
      </c>
      <c r="F3006">
        <v>2</v>
      </c>
      <c r="G3006">
        <v>0.7</v>
      </c>
      <c r="H3006" s="2">
        <v>-15.197599999999994</v>
      </c>
      <c r="I3006" s="2">
        <v>20.724000000000004</v>
      </c>
    </row>
    <row r="3007" spans="1:9" x14ac:dyDescent="0.3">
      <c r="A3007" t="str">
        <f t="shared" si="991"/>
        <v>United States</v>
      </c>
      <c r="B3007" t="str">
        <f t="shared" si="1015"/>
        <v>Mesa</v>
      </c>
      <c r="C3007" t="str">
        <f t="shared" ref="C3007:C3012" si="1017">C3006</f>
        <v>Second Class</v>
      </c>
      <c r="D3007" t="str">
        <f t="shared" ref="D3007:D3012" si="1018">D3006</f>
        <v>Consumer</v>
      </c>
      <c r="E3007" t="s">
        <v>34</v>
      </c>
      <c r="F3007">
        <v>6</v>
      </c>
      <c r="G3007">
        <v>0.7</v>
      </c>
      <c r="H3007" s="2">
        <v>-191.64599999999996</v>
      </c>
      <c r="I3007" s="2">
        <v>127.76400000000002</v>
      </c>
    </row>
    <row r="3008" spans="1:9" x14ac:dyDescent="0.3">
      <c r="A3008" t="str">
        <f t="shared" si="991"/>
        <v>United States</v>
      </c>
      <c r="B3008" t="str">
        <f t="shared" si="1015"/>
        <v>Mesa</v>
      </c>
      <c r="C3008" t="str">
        <f t="shared" si="1017"/>
        <v>Second Class</v>
      </c>
      <c r="D3008" t="str">
        <f t="shared" si="1018"/>
        <v>Consumer</v>
      </c>
      <c r="E3008" t="s">
        <v>33</v>
      </c>
      <c r="F3008">
        <v>2</v>
      </c>
      <c r="G3008">
        <v>0.2</v>
      </c>
      <c r="H3008" s="2">
        <v>49.715999999999966</v>
      </c>
      <c r="I3008" s="2">
        <v>441.92</v>
      </c>
    </row>
    <row r="3009" spans="1:9" x14ac:dyDescent="0.3">
      <c r="A3009" t="str">
        <f t="shared" si="991"/>
        <v>United States</v>
      </c>
      <c r="B3009" t="str">
        <f t="shared" si="1015"/>
        <v>Mesa</v>
      </c>
      <c r="C3009" t="str">
        <f t="shared" si="1017"/>
        <v>Second Class</v>
      </c>
      <c r="D3009" t="str">
        <f t="shared" si="1018"/>
        <v>Consumer</v>
      </c>
      <c r="E3009" t="s">
        <v>38</v>
      </c>
      <c r="F3009">
        <v>5</v>
      </c>
      <c r="G3009">
        <v>0.2</v>
      </c>
      <c r="H3009" s="2">
        <v>15.921000000000003</v>
      </c>
      <c r="I3009" s="2">
        <v>43.92</v>
      </c>
    </row>
    <row r="3010" spans="1:9" x14ac:dyDescent="0.3">
      <c r="A3010" t="str">
        <f t="shared" si="991"/>
        <v>United States</v>
      </c>
      <c r="B3010" t="str">
        <f t="shared" si="1015"/>
        <v>Mesa</v>
      </c>
      <c r="C3010" t="str">
        <f t="shared" si="1017"/>
        <v>Second Class</v>
      </c>
      <c r="D3010" t="str">
        <f t="shared" si="1018"/>
        <v>Consumer</v>
      </c>
      <c r="E3010" t="s">
        <v>16</v>
      </c>
      <c r="F3010">
        <v>10</v>
      </c>
      <c r="G3010">
        <v>0.4</v>
      </c>
      <c r="H3010" s="2">
        <v>14.6248</v>
      </c>
      <c r="I3010" s="2">
        <v>43.84</v>
      </c>
    </row>
    <row r="3011" spans="1:9" x14ac:dyDescent="0.3">
      <c r="A3011" t="str">
        <f t="shared" si="991"/>
        <v>United States</v>
      </c>
      <c r="B3011" t="str">
        <f t="shared" si="1015"/>
        <v>Mesa</v>
      </c>
      <c r="C3011" t="str">
        <f t="shared" si="1017"/>
        <v>Second Class</v>
      </c>
      <c r="D3011" t="str">
        <f t="shared" si="1018"/>
        <v>Consumer</v>
      </c>
      <c r="E3011" t="s">
        <v>14</v>
      </c>
      <c r="F3011">
        <v>11</v>
      </c>
      <c r="G3011">
        <v>0.4</v>
      </c>
      <c r="H3011" s="2">
        <v>-106.36200000000001</v>
      </c>
      <c r="I3011" s="2">
        <v>688.60800000000006</v>
      </c>
    </row>
    <row r="3012" spans="1:9" x14ac:dyDescent="0.3">
      <c r="A3012" t="str">
        <f t="shared" ref="A3012:A3075" si="1019">A3011</f>
        <v>United States</v>
      </c>
      <c r="B3012" t="str">
        <f t="shared" si="1015"/>
        <v>Mesa</v>
      </c>
      <c r="C3012" t="str">
        <f t="shared" si="1017"/>
        <v>Second Class</v>
      </c>
      <c r="D3012" t="str">
        <f t="shared" si="1018"/>
        <v>Consumer</v>
      </c>
      <c r="E3012" t="s">
        <v>25</v>
      </c>
      <c r="F3012">
        <v>2</v>
      </c>
      <c r="G3012">
        <v>0.5</v>
      </c>
      <c r="H3012" s="2">
        <v>-135.08699999999999</v>
      </c>
      <c r="I3012" s="2">
        <v>182.55</v>
      </c>
    </row>
    <row r="3013" spans="1:9" x14ac:dyDescent="0.3">
      <c r="A3013" t="str">
        <f t="shared" si="1019"/>
        <v>United States</v>
      </c>
      <c r="B3013" t="str">
        <f t="shared" si="1015"/>
        <v>Mesa</v>
      </c>
      <c r="C3013" t="s">
        <v>22</v>
      </c>
      <c r="D3013" t="s">
        <v>8</v>
      </c>
      <c r="E3013" t="s">
        <v>23</v>
      </c>
      <c r="F3013">
        <v>2</v>
      </c>
      <c r="G3013">
        <v>0.2</v>
      </c>
      <c r="H3013" s="2">
        <v>1.9989999999999979</v>
      </c>
      <c r="I3013" s="2">
        <v>31.983999999999998</v>
      </c>
    </row>
    <row r="3014" spans="1:9" x14ac:dyDescent="0.3">
      <c r="A3014" t="str">
        <f t="shared" si="1019"/>
        <v>United States</v>
      </c>
      <c r="B3014" t="str">
        <f t="shared" si="1015"/>
        <v>Mesa</v>
      </c>
      <c r="C3014" t="str">
        <f t="shared" ref="C3014:C3023" si="1020">C3013</f>
        <v>Standard Class</v>
      </c>
      <c r="D3014" t="str">
        <f t="shared" ref="D3014:D3017" si="1021">D3013</f>
        <v>Consumer</v>
      </c>
      <c r="E3014" t="s">
        <v>20</v>
      </c>
      <c r="F3014">
        <v>12</v>
      </c>
      <c r="G3014">
        <v>1.4</v>
      </c>
      <c r="H3014" s="2">
        <v>-7.9468000000000005</v>
      </c>
      <c r="I3014" s="2">
        <v>10.638</v>
      </c>
    </row>
    <row r="3015" spans="1:9" x14ac:dyDescent="0.3">
      <c r="A3015" t="str">
        <f t="shared" si="1019"/>
        <v>United States</v>
      </c>
      <c r="B3015" t="str">
        <f t="shared" si="1015"/>
        <v>Mesa</v>
      </c>
      <c r="C3015" t="str">
        <f t="shared" si="1020"/>
        <v>Standard Class</v>
      </c>
      <c r="D3015" t="str">
        <f t="shared" si="1021"/>
        <v>Consumer</v>
      </c>
      <c r="E3015" t="s">
        <v>21</v>
      </c>
      <c r="F3015">
        <v>8</v>
      </c>
      <c r="G3015">
        <v>0.2</v>
      </c>
      <c r="H3015" s="2">
        <v>33.1584</v>
      </c>
      <c r="I3015" s="2">
        <v>120.57600000000001</v>
      </c>
    </row>
    <row r="3016" spans="1:9" x14ac:dyDescent="0.3">
      <c r="A3016" t="str">
        <f t="shared" si="1019"/>
        <v>United States</v>
      </c>
      <c r="B3016" t="str">
        <f t="shared" si="1015"/>
        <v>Mesa</v>
      </c>
      <c r="C3016" t="str">
        <f t="shared" si="1020"/>
        <v>Standard Class</v>
      </c>
      <c r="D3016" t="str">
        <f t="shared" si="1021"/>
        <v>Consumer</v>
      </c>
      <c r="E3016" t="s">
        <v>24</v>
      </c>
      <c r="F3016">
        <v>5</v>
      </c>
      <c r="G3016">
        <v>0.2</v>
      </c>
      <c r="H3016" s="2">
        <v>32.924999999999997</v>
      </c>
      <c r="I3016" s="2">
        <v>87.8</v>
      </c>
    </row>
    <row r="3017" spans="1:9" x14ac:dyDescent="0.3">
      <c r="A3017" t="str">
        <f t="shared" si="1019"/>
        <v>United States</v>
      </c>
      <c r="B3017" t="str">
        <f t="shared" si="1015"/>
        <v>Mesa</v>
      </c>
      <c r="C3017" t="str">
        <f t="shared" si="1020"/>
        <v>Standard Class</v>
      </c>
      <c r="D3017" t="str">
        <f t="shared" si="1021"/>
        <v>Consumer</v>
      </c>
      <c r="E3017" t="s">
        <v>14</v>
      </c>
      <c r="F3017">
        <v>2</v>
      </c>
      <c r="G3017">
        <v>0.2</v>
      </c>
      <c r="H3017" s="2">
        <v>1.4672000000000001</v>
      </c>
      <c r="I3017" s="2">
        <v>16.768000000000001</v>
      </c>
    </row>
    <row r="3018" spans="1:9" x14ac:dyDescent="0.3">
      <c r="A3018" t="str">
        <f t="shared" si="1019"/>
        <v>United States</v>
      </c>
      <c r="B3018" t="str">
        <f t="shared" si="1015"/>
        <v>Mesa</v>
      </c>
      <c r="C3018" t="str">
        <f t="shared" si="1020"/>
        <v>Standard Class</v>
      </c>
      <c r="D3018" t="s">
        <v>15</v>
      </c>
      <c r="E3018" t="s">
        <v>12</v>
      </c>
      <c r="F3018">
        <v>2</v>
      </c>
      <c r="G3018">
        <v>0.2</v>
      </c>
      <c r="H3018" s="2">
        <v>14.409600000000003</v>
      </c>
      <c r="I3018" s="2">
        <v>60.672000000000004</v>
      </c>
    </row>
    <row r="3019" spans="1:9" x14ac:dyDescent="0.3">
      <c r="A3019" t="str">
        <f t="shared" si="1019"/>
        <v>United States</v>
      </c>
      <c r="B3019" t="str">
        <f t="shared" si="1015"/>
        <v>Mesa</v>
      </c>
      <c r="C3019" t="str">
        <f t="shared" si="1020"/>
        <v>Standard Class</v>
      </c>
      <c r="D3019" t="str">
        <f t="shared" ref="D3019:D3022" si="1022">D3018</f>
        <v>Corporate</v>
      </c>
      <c r="E3019" t="s">
        <v>20</v>
      </c>
      <c r="F3019">
        <v>11</v>
      </c>
      <c r="G3019">
        <v>1.4</v>
      </c>
      <c r="H3019" s="2">
        <v>-107.44909999999999</v>
      </c>
      <c r="I3019" s="2">
        <v>149.61900000000003</v>
      </c>
    </row>
    <row r="3020" spans="1:9" x14ac:dyDescent="0.3">
      <c r="A3020" t="str">
        <f t="shared" si="1019"/>
        <v>United States</v>
      </c>
      <c r="B3020" t="str">
        <f t="shared" si="1015"/>
        <v>Mesa</v>
      </c>
      <c r="C3020" t="str">
        <f t="shared" si="1020"/>
        <v>Standard Class</v>
      </c>
      <c r="D3020" t="str">
        <f t="shared" si="1022"/>
        <v>Corporate</v>
      </c>
      <c r="E3020" t="s">
        <v>16</v>
      </c>
      <c r="F3020">
        <v>4</v>
      </c>
      <c r="G3020">
        <v>0.2</v>
      </c>
      <c r="H3020" s="2">
        <v>31.273599999999998</v>
      </c>
      <c r="I3020" s="2">
        <v>86.272000000000006</v>
      </c>
    </row>
    <row r="3021" spans="1:9" x14ac:dyDescent="0.3">
      <c r="A3021" t="str">
        <f t="shared" si="1019"/>
        <v>United States</v>
      </c>
      <c r="B3021" t="str">
        <f t="shared" si="1015"/>
        <v>Mesa</v>
      </c>
      <c r="C3021" t="str">
        <f t="shared" si="1020"/>
        <v>Standard Class</v>
      </c>
      <c r="D3021" t="str">
        <f t="shared" si="1022"/>
        <v>Corporate</v>
      </c>
      <c r="E3021" t="s">
        <v>24</v>
      </c>
      <c r="F3021">
        <v>5</v>
      </c>
      <c r="G3021">
        <v>0.2</v>
      </c>
      <c r="H3021" s="2">
        <v>23.096500000000006</v>
      </c>
      <c r="I3021" s="2">
        <v>263.96000000000004</v>
      </c>
    </row>
    <row r="3022" spans="1:9" x14ac:dyDescent="0.3">
      <c r="A3022" t="str">
        <f t="shared" si="1019"/>
        <v>United States</v>
      </c>
      <c r="B3022" t="str">
        <f t="shared" si="1015"/>
        <v>Mesa</v>
      </c>
      <c r="C3022" t="str">
        <f t="shared" si="1020"/>
        <v>Standard Class</v>
      </c>
      <c r="D3022" t="str">
        <f t="shared" si="1022"/>
        <v>Corporate</v>
      </c>
      <c r="E3022" t="s">
        <v>14</v>
      </c>
      <c r="F3022">
        <v>16</v>
      </c>
      <c r="G3022">
        <v>0.60000000000000009</v>
      </c>
      <c r="H3022" s="2">
        <v>-89.124000000000052</v>
      </c>
      <c r="I3022" s="2">
        <v>584.25600000000009</v>
      </c>
    </row>
    <row r="3023" spans="1:9" x14ac:dyDescent="0.3">
      <c r="A3023" t="str">
        <f t="shared" si="1019"/>
        <v>United States</v>
      </c>
      <c r="B3023" t="str">
        <f t="shared" si="1015"/>
        <v>Mesa</v>
      </c>
      <c r="C3023" t="str">
        <f t="shared" si="1020"/>
        <v>Standard Class</v>
      </c>
      <c r="D3023" t="s">
        <v>17</v>
      </c>
      <c r="E3023" t="s">
        <v>16</v>
      </c>
      <c r="F3023">
        <v>1</v>
      </c>
      <c r="G3023">
        <v>0.2</v>
      </c>
      <c r="H3023" s="2">
        <v>16.234200000000001</v>
      </c>
      <c r="I3023" s="2">
        <v>44.783999999999999</v>
      </c>
    </row>
    <row r="3024" spans="1:9" x14ac:dyDescent="0.3">
      <c r="A3024" t="str">
        <f t="shared" si="1019"/>
        <v>United States</v>
      </c>
      <c r="B3024" t="s">
        <v>324</v>
      </c>
      <c r="C3024" t="s">
        <v>27</v>
      </c>
      <c r="D3024" t="s">
        <v>15</v>
      </c>
      <c r="E3024" t="s">
        <v>20</v>
      </c>
      <c r="F3024">
        <v>1</v>
      </c>
      <c r="G3024">
        <v>0.8</v>
      </c>
      <c r="H3024" s="2">
        <v>-1.4016000000000002</v>
      </c>
      <c r="I3024" s="2">
        <v>0.87599999999999978</v>
      </c>
    </row>
    <row r="3025" spans="1:9" x14ac:dyDescent="0.3">
      <c r="A3025" t="str">
        <f t="shared" si="1019"/>
        <v>United States</v>
      </c>
      <c r="B3025" t="str">
        <f t="shared" ref="B3025:B3028" si="1023">B3024</f>
        <v>Mesquite</v>
      </c>
      <c r="C3025" t="s">
        <v>22</v>
      </c>
      <c r="D3025" t="s">
        <v>15</v>
      </c>
      <c r="E3025" t="s">
        <v>23</v>
      </c>
      <c r="F3025">
        <v>7</v>
      </c>
      <c r="G3025">
        <v>0.2</v>
      </c>
      <c r="H3025" s="2">
        <v>1.6632000000000007</v>
      </c>
      <c r="I3025" s="2">
        <v>5.5440000000000005</v>
      </c>
    </row>
    <row r="3026" spans="1:9" x14ac:dyDescent="0.3">
      <c r="A3026" t="str">
        <f t="shared" si="1019"/>
        <v>United States</v>
      </c>
      <c r="B3026" t="str">
        <f t="shared" si="1023"/>
        <v>Mesquite</v>
      </c>
      <c r="C3026" t="str">
        <f t="shared" ref="C3026:C3028" si="1024">C3025</f>
        <v>Standard Class</v>
      </c>
      <c r="D3026" t="str">
        <f t="shared" ref="D3026:D3028" si="1025">D3025</f>
        <v>Corporate</v>
      </c>
      <c r="E3026" t="s">
        <v>12</v>
      </c>
      <c r="F3026">
        <v>3</v>
      </c>
      <c r="G3026">
        <v>0.8</v>
      </c>
      <c r="H3026" s="2">
        <v>-87.148800000000023</v>
      </c>
      <c r="I3026" s="2">
        <v>34.175999999999995</v>
      </c>
    </row>
    <row r="3027" spans="1:9" x14ac:dyDescent="0.3">
      <c r="A3027" t="str">
        <f t="shared" si="1019"/>
        <v>United States</v>
      </c>
      <c r="B3027" t="str">
        <f t="shared" si="1023"/>
        <v>Mesquite</v>
      </c>
      <c r="C3027" t="str">
        <f t="shared" si="1024"/>
        <v>Standard Class</v>
      </c>
      <c r="D3027" t="str">
        <f t="shared" si="1025"/>
        <v>Corporate</v>
      </c>
      <c r="E3027" t="s">
        <v>21</v>
      </c>
      <c r="F3027">
        <v>2</v>
      </c>
      <c r="G3027">
        <v>0.6</v>
      </c>
      <c r="H3027" s="2">
        <v>-2.5471999999999984</v>
      </c>
      <c r="I3027" s="2">
        <v>6.3680000000000003</v>
      </c>
    </row>
    <row r="3028" spans="1:9" x14ac:dyDescent="0.3">
      <c r="A3028" t="str">
        <f t="shared" si="1019"/>
        <v>United States</v>
      </c>
      <c r="B3028" t="str">
        <f t="shared" si="1023"/>
        <v>Mesquite</v>
      </c>
      <c r="C3028" t="str">
        <f t="shared" si="1024"/>
        <v>Standard Class</v>
      </c>
      <c r="D3028" t="str">
        <f t="shared" si="1025"/>
        <v>Corporate</v>
      </c>
      <c r="E3028" t="s">
        <v>16</v>
      </c>
      <c r="F3028">
        <v>1</v>
      </c>
      <c r="G3028">
        <v>0.2</v>
      </c>
      <c r="H3028" s="2">
        <v>1.8144</v>
      </c>
      <c r="I3028" s="2">
        <v>5.1840000000000011</v>
      </c>
    </row>
    <row r="3029" spans="1:9" x14ac:dyDescent="0.3">
      <c r="A3029" t="str">
        <f t="shared" si="1019"/>
        <v>United States</v>
      </c>
      <c r="B3029" t="s">
        <v>325</v>
      </c>
      <c r="C3029" t="s">
        <v>11</v>
      </c>
      <c r="D3029" t="s">
        <v>8</v>
      </c>
      <c r="E3029" t="s">
        <v>38</v>
      </c>
      <c r="F3029">
        <v>3</v>
      </c>
      <c r="G3029">
        <v>0.2</v>
      </c>
      <c r="H3029" s="2">
        <v>12.692699999999995</v>
      </c>
      <c r="I3029" s="2">
        <v>37.608000000000004</v>
      </c>
    </row>
    <row r="3030" spans="1:9" x14ac:dyDescent="0.3">
      <c r="A3030" t="str">
        <f t="shared" si="1019"/>
        <v>United States</v>
      </c>
      <c r="B3030" t="str">
        <f t="shared" ref="B3030:B3069" si="1026">B3029</f>
        <v>Miami</v>
      </c>
      <c r="C3030" t="str">
        <f t="shared" ref="C3030:C3035" si="1027">C3029</f>
        <v>First Class</v>
      </c>
      <c r="D3030" t="str">
        <f t="shared" ref="D3030:D3031" si="1028">D3029</f>
        <v>Consumer</v>
      </c>
      <c r="E3030" t="s">
        <v>16</v>
      </c>
      <c r="F3030">
        <v>5</v>
      </c>
      <c r="G3030">
        <v>0.4</v>
      </c>
      <c r="H3030" s="2">
        <v>91.542399999999986</v>
      </c>
      <c r="I3030" s="2">
        <v>261.20799999999997</v>
      </c>
    </row>
    <row r="3031" spans="1:9" x14ac:dyDescent="0.3">
      <c r="A3031" t="str">
        <f t="shared" si="1019"/>
        <v>United States</v>
      </c>
      <c r="B3031" t="str">
        <f t="shared" si="1026"/>
        <v>Miami</v>
      </c>
      <c r="C3031" t="str">
        <f t="shared" si="1027"/>
        <v>First Class</v>
      </c>
      <c r="D3031" t="str">
        <f t="shared" si="1028"/>
        <v>Consumer</v>
      </c>
      <c r="E3031" t="s">
        <v>14</v>
      </c>
      <c r="F3031">
        <v>1</v>
      </c>
      <c r="G3031">
        <v>0.2</v>
      </c>
      <c r="H3031" s="2">
        <v>0.33479999999999999</v>
      </c>
      <c r="I3031" s="2">
        <v>4.4640000000000004</v>
      </c>
    </row>
    <row r="3032" spans="1:9" x14ac:dyDescent="0.3">
      <c r="A3032" t="str">
        <f t="shared" si="1019"/>
        <v>United States</v>
      </c>
      <c r="B3032" t="str">
        <f t="shared" si="1026"/>
        <v>Miami</v>
      </c>
      <c r="C3032" t="str">
        <f t="shared" si="1027"/>
        <v>First Class</v>
      </c>
      <c r="D3032" t="s">
        <v>15</v>
      </c>
      <c r="E3032" t="s">
        <v>20</v>
      </c>
      <c r="F3032">
        <v>3</v>
      </c>
      <c r="G3032">
        <v>0.7</v>
      </c>
      <c r="H3032" s="2">
        <v>-11.936999999999998</v>
      </c>
      <c r="I3032" s="2">
        <v>15.570000000000004</v>
      </c>
    </row>
    <row r="3033" spans="1:9" x14ac:dyDescent="0.3">
      <c r="A3033" t="str">
        <f t="shared" si="1019"/>
        <v>United States</v>
      </c>
      <c r="B3033" t="str">
        <f t="shared" si="1026"/>
        <v>Miami</v>
      </c>
      <c r="C3033" t="str">
        <f t="shared" si="1027"/>
        <v>First Class</v>
      </c>
      <c r="D3033" t="str">
        <f t="shared" ref="D3033:D3034" si="1029">D3032</f>
        <v>Corporate</v>
      </c>
      <c r="E3033" t="s">
        <v>16</v>
      </c>
      <c r="F3033">
        <v>1</v>
      </c>
      <c r="G3033">
        <v>0.2</v>
      </c>
      <c r="H3033" s="2">
        <v>11.240400000000001</v>
      </c>
      <c r="I3033" s="2">
        <v>31.007999999999999</v>
      </c>
    </row>
    <row r="3034" spans="1:9" x14ac:dyDescent="0.3">
      <c r="A3034" t="str">
        <f t="shared" si="1019"/>
        <v>United States</v>
      </c>
      <c r="B3034" t="str">
        <f t="shared" si="1026"/>
        <v>Miami</v>
      </c>
      <c r="C3034" t="str">
        <f t="shared" si="1027"/>
        <v>First Class</v>
      </c>
      <c r="D3034" t="str">
        <f t="shared" si="1029"/>
        <v>Corporate</v>
      </c>
      <c r="E3034" t="s">
        <v>24</v>
      </c>
      <c r="F3034">
        <v>5</v>
      </c>
      <c r="G3034">
        <v>0.2</v>
      </c>
      <c r="H3034" s="2">
        <v>78.396000000000043</v>
      </c>
      <c r="I3034" s="2">
        <v>783.96000000000015</v>
      </c>
    </row>
    <row r="3035" spans="1:9" x14ac:dyDescent="0.3">
      <c r="A3035" t="str">
        <f t="shared" si="1019"/>
        <v>United States</v>
      </c>
      <c r="B3035" t="str">
        <f t="shared" si="1026"/>
        <v>Miami</v>
      </c>
      <c r="C3035" t="str">
        <f t="shared" si="1027"/>
        <v>First Class</v>
      </c>
      <c r="D3035" t="s">
        <v>17</v>
      </c>
      <c r="E3035" t="s">
        <v>20</v>
      </c>
      <c r="F3035">
        <v>4</v>
      </c>
      <c r="G3035">
        <v>0.7</v>
      </c>
      <c r="H3035" s="2">
        <v>-2.6207999999999991</v>
      </c>
      <c r="I3035" s="2">
        <v>3.7440000000000007</v>
      </c>
    </row>
    <row r="3036" spans="1:9" x14ac:dyDescent="0.3">
      <c r="A3036" t="str">
        <f t="shared" si="1019"/>
        <v>United States</v>
      </c>
      <c r="B3036" t="str">
        <f t="shared" si="1026"/>
        <v>Miami</v>
      </c>
      <c r="C3036" t="s">
        <v>27</v>
      </c>
      <c r="D3036" t="s">
        <v>8</v>
      </c>
      <c r="E3036" t="s">
        <v>33</v>
      </c>
      <c r="F3036">
        <v>1</v>
      </c>
      <c r="G3036">
        <v>0.2</v>
      </c>
      <c r="H3036" s="2">
        <v>23.924000000000007</v>
      </c>
      <c r="I3036" s="2">
        <v>239.24</v>
      </c>
    </row>
    <row r="3037" spans="1:9" x14ac:dyDescent="0.3">
      <c r="A3037" t="str">
        <f t="shared" si="1019"/>
        <v>United States</v>
      </c>
      <c r="B3037" t="str">
        <f t="shared" si="1026"/>
        <v>Miami</v>
      </c>
      <c r="C3037" t="s">
        <v>7</v>
      </c>
      <c r="D3037" t="s">
        <v>8</v>
      </c>
      <c r="E3037" t="s">
        <v>23</v>
      </c>
      <c r="F3037">
        <v>13</v>
      </c>
      <c r="G3037">
        <v>0.60000000000000009</v>
      </c>
      <c r="H3037" s="2">
        <v>126.04640000000001</v>
      </c>
      <c r="I3037" s="2">
        <v>737.80000000000007</v>
      </c>
    </row>
    <row r="3038" spans="1:9" x14ac:dyDescent="0.3">
      <c r="A3038" t="str">
        <f t="shared" si="1019"/>
        <v>United States</v>
      </c>
      <c r="B3038" t="str">
        <f t="shared" si="1026"/>
        <v>Miami</v>
      </c>
      <c r="C3038" t="str">
        <f t="shared" ref="C3038:C3047" si="1030">C3037</f>
        <v>Second Class</v>
      </c>
      <c r="D3038" t="str">
        <f t="shared" ref="D3038:D3044" si="1031">D3037</f>
        <v>Consumer</v>
      </c>
      <c r="E3038" t="s">
        <v>20</v>
      </c>
      <c r="F3038">
        <v>4</v>
      </c>
      <c r="G3038">
        <v>0.7</v>
      </c>
      <c r="H3038" s="2">
        <v>-336.78399999999988</v>
      </c>
      <c r="I3038" s="2">
        <v>505.1760000000001</v>
      </c>
    </row>
    <row r="3039" spans="1:9" x14ac:dyDescent="0.3">
      <c r="A3039" t="str">
        <f t="shared" si="1019"/>
        <v>United States</v>
      </c>
      <c r="B3039" t="str">
        <f t="shared" si="1026"/>
        <v>Miami</v>
      </c>
      <c r="C3039" t="str">
        <f t="shared" si="1030"/>
        <v>Second Class</v>
      </c>
      <c r="D3039" t="str">
        <f t="shared" si="1031"/>
        <v>Consumer</v>
      </c>
      <c r="E3039" t="s">
        <v>38</v>
      </c>
      <c r="F3039">
        <v>2</v>
      </c>
      <c r="G3039">
        <v>0.2</v>
      </c>
      <c r="H3039" s="2">
        <v>10.805399999999997</v>
      </c>
      <c r="I3039" s="2">
        <v>29.808</v>
      </c>
    </row>
    <row r="3040" spans="1:9" x14ac:dyDescent="0.3">
      <c r="A3040" t="str">
        <f t="shared" si="1019"/>
        <v>United States</v>
      </c>
      <c r="B3040" t="str">
        <f t="shared" si="1026"/>
        <v>Miami</v>
      </c>
      <c r="C3040" t="str">
        <f t="shared" si="1030"/>
        <v>Second Class</v>
      </c>
      <c r="D3040" t="str">
        <f t="shared" si="1031"/>
        <v>Consumer</v>
      </c>
      <c r="E3040" t="s">
        <v>18</v>
      </c>
      <c r="F3040">
        <v>3</v>
      </c>
      <c r="G3040">
        <v>0.2</v>
      </c>
      <c r="H3040" s="2">
        <v>2.3327999999999998</v>
      </c>
      <c r="I3040" s="2">
        <v>6.911999999999999</v>
      </c>
    </row>
    <row r="3041" spans="1:9" x14ac:dyDescent="0.3">
      <c r="A3041" t="str">
        <f t="shared" si="1019"/>
        <v>United States</v>
      </c>
      <c r="B3041" t="str">
        <f t="shared" si="1026"/>
        <v>Miami</v>
      </c>
      <c r="C3041" t="str">
        <f t="shared" si="1030"/>
        <v>Second Class</v>
      </c>
      <c r="D3041" t="str">
        <f t="shared" si="1031"/>
        <v>Consumer</v>
      </c>
      <c r="E3041" t="s">
        <v>21</v>
      </c>
      <c r="F3041">
        <v>3</v>
      </c>
      <c r="G3041">
        <v>0.2</v>
      </c>
      <c r="H3041" s="2">
        <v>4.1027999999999993</v>
      </c>
      <c r="I3041" s="2">
        <v>25.248000000000001</v>
      </c>
    </row>
    <row r="3042" spans="1:9" x14ac:dyDescent="0.3">
      <c r="A3042" t="str">
        <f t="shared" si="1019"/>
        <v>United States</v>
      </c>
      <c r="B3042" t="str">
        <f t="shared" si="1026"/>
        <v>Miami</v>
      </c>
      <c r="C3042" t="str">
        <f t="shared" si="1030"/>
        <v>Second Class</v>
      </c>
      <c r="D3042" t="str">
        <f t="shared" si="1031"/>
        <v>Consumer</v>
      </c>
      <c r="E3042" t="s">
        <v>43</v>
      </c>
      <c r="F3042">
        <v>3</v>
      </c>
      <c r="G3042">
        <v>0.2</v>
      </c>
      <c r="H3042" s="2">
        <v>85.529700000000005</v>
      </c>
      <c r="I3042" s="2">
        <v>235.94400000000002</v>
      </c>
    </row>
    <row r="3043" spans="1:9" x14ac:dyDescent="0.3">
      <c r="A3043" t="str">
        <f t="shared" si="1019"/>
        <v>United States</v>
      </c>
      <c r="B3043" t="str">
        <f t="shared" si="1026"/>
        <v>Miami</v>
      </c>
      <c r="C3043" t="str">
        <f t="shared" si="1030"/>
        <v>Second Class</v>
      </c>
      <c r="D3043" t="str">
        <f t="shared" si="1031"/>
        <v>Consumer</v>
      </c>
      <c r="E3043" t="s">
        <v>16</v>
      </c>
      <c r="F3043">
        <v>2</v>
      </c>
      <c r="G3043">
        <v>0.2</v>
      </c>
      <c r="H3043" s="2">
        <v>3.6288</v>
      </c>
      <c r="I3043" s="2">
        <v>10.368000000000002</v>
      </c>
    </row>
    <row r="3044" spans="1:9" x14ac:dyDescent="0.3">
      <c r="A3044" t="str">
        <f t="shared" si="1019"/>
        <v>United States</v>
      </c>
      <c r="B3044" t="str">
        <f t="shared" si="1026"/>
        <v>Miami</v>
      </c>
      <c r="C3044" t="str">
        <f t="shared" si="1030"/>
        <v>Second Class</v>
      </c>
      <c r="D3044" t="str">
        <f t="shared" si="1031"/>
        <v>Consumer</v>
      </c>
      <c r="E3044" t="s">
        <v>25</v>
      </c>
      <c r="F3044">
        <v>3</v>
      </c>
      <c r="G3044">
        <v>0.45</v>
      </c>
      <c r="H3044" s="2">
        <v>-110.76450000000001</v>
      </c>
      <c r="I3044" s="2">
        <v>174.05850000000001</v>
      </c>
    </row>
    <row r="3045" spans="1:9" x14ac:dyDescent="0.3">
      <c r="A3045" t="str">
        <f t="shared" si="1019"/>
        <v>United States</v>
      </c>
      <c r="B3045" t="str">
        <f t="shared" si="1026"/>
        <v>Miami</v>
      </c>
      <c r="C3045" t="str">
        <f t="shared" si="1030"/>
        <v>Second Class</v>
      </c>
      <c r="D3045" t="s">
        <v>15</v>
      </c>
      <c r="E3045" t="s">
        <v>43</v>
      </c>
      <c r="F3045">
        <v>4</v>
      </c>
      <c r="G3045">
        <v>0.2</v>
      </c>
      <c r="H3045" s="2">
        <v>3.528</v>
      </c>
      <c r="I3045" s="2">
        <v>10.08</v>
      </c>
    </row>
    <row r="3046" spans="1:9" x14ac:dyDescent="0.3">
      <c r="A3046" t="str">
        <f t="shared" si="1019"/>
        <v>United States</v>
      </c>
      <c r="B3046" t="str">
        <f t="shared" si="1026"/>
        <v>Miami</v>
      </c>
      <c r="C3046" t="str">
        <f t="shared" si="1030"/>
        <v>Second Class</v>
      </c>
      <c r="D3046" t="s">
        <v>17</v>
      </c>
      <c r="E3046" t="s">
        <v>16</v>
      </c>
      <c r="F3046">
        <v>13</v>
      </c>
      <c r="G3046">
        <v>0.4</v>
      </c>
      <c r="H3046" s="2">
        <v>21.963200000000001</v>
      </c>
      <c r="I3046" s="2">
        <v>62.752000000000002</v>
      </c>
    </row>
    <row r="3047" spans="1:9" x14ac:dyDescent="0.3">
      <c r="A3047" t="str">
        <f t="shared" si="1019"/>
        <v>United States</v>
      </c>
      <c r="B3047" t="str">
        <f t="shared" si="1026"/>
        <v>Miami</v>
      </c>
      <c r="C3047" t="str">
        <f t="shared" si="1030"/>
        <v>Second Class</v>
      </c>
      <c r="D3047" t="str">
        <f>D3046</f>
        <v>Home Office</v>
      </c>
      <c r="E3047" t="s">
        <v>24</v>
      </c>
      <c r="F3047">
        <v>3</v>
      </c>
      <c r="G3047">
        <v>0.2</v>
      </c>
      <c r="H3047" s="2">
        <v>8.9969999999999892</v>
      </c>
      <c r="I3047" s="2">
        <v>71.975999999999999</v>
      </c>
    </row>
    <row r="3048" spans="1:9" x14ac:dyDescent="0.3">
      <c r="A3048" t="str">
        <f t="shared" si="1019"/>
        <v>United States</v>
      </c>
      <c r="B3048" t="str">
        <f t="shared" si="1026"/>
        <v>Miami</v>
      </c>
      <c r="C3048" t="s">
        <v>22</v>
      </c>
      <c r="D3048" t="s">
        <v>8</v>
      </c>
      <c r="E3048" t="s">
        <v>23</v>
      </c>
      <c r="F3048">
        <v>10</v>
      </c>
      <c r="G3048">
        <v>0.4</v>
      </c>
      <c r="H3048" s="2">
        <v>-9.5670000000000037</v>
      </c>
      <c r="I3048" s="2">
        <v>184.56</v>
      </c>
    </row>
    <row r="3049" spans="1:9" x14ac:dyDescent="0.3">
      <c r="A3049" t="str">
        <f t="shared" si="1019"/>
        <v>United States</v>
      </c>
      <c r="B3049" t="str">
        <f t="shared" si="1026"/>
        <v>Miami</v>
      </c>
      <c r="C3049" t="str">
        <f t="shared" ref="C3049:C3069" si="1032">C3048</f>
        <v>Standard Class</v>
      </c>
      <c r="D3049" t="str">
        <f t="shared" ref="D3049:D3056" si="1033">D3048</f>
        <v>Consumer</v>
      </c>
      <c r="E3049" t="s">
        <v>19</v>
      </c>
      <c r="F3049">
        <v>8</v>
      </c>
      <c r="G3049">
        <v>0.2</v>
      </c>
      <c r="H3049" s="2">
        <v>7.4751999999999992</v>
      </c>
      <c r="I3049" s="2">
        <v>37.375999999999998</v>
      </c>
    </row>
    <row r="3050" spans="1:9" x14ac:dyDescent="0.3">
      <c r="A3050" t="str">
        <f t="shared" si="1019"/>
        <v>United States</v>
      </c>
      <c r="B3050" t="str">
        <f t="shared" si="1026"/>
        <v>Miami</v>
      </c>
      <c r="C3050" t="str">
        <f t="shared" si="1032"/>
        <v>Standard Class</v>
      </c>
      <c r="D3050" t="str">
        <f t="shared" si="1033"/>
        <v>Consumer</v>
      </c>
      <c r="E3050" t="s">
        <v>20</v>
      </c>
      <c r="F3050">
        <v>28</v>
      </c>
      <c r="G3050">
        <v>5.6000000000000005</v>
      </c>
      <c r="H3050" s="2">
        <v>-245.28559999999996</v>
      </c>
      <c r="I3050" s="2">
        <v>319.31400000000008</v>
      </c>
    </row>
    <row r="3051" spans="1:9" x14ac:dyDescent="0.3">
      <c r="A3051" t="str">
        <f t="shared" si="1019"/>
        <v>United States</v>
      </c>
      <c r="B3051" t="str">
        <f t="shared" si="1026"/>
        <v>Miami</v>
      </c>
      <c r="C3051" t="str">
        <f t="shared" si="1032"/>
        <v>Standard Class</v>
      </c>
      <c r="D3051" t="str">
        <f t="shared" si="1033"/>
        <v>Consumer</v>
      </c>
      <c r="E3051" t="s">
        <v>34</v>
      </c>
      <c r="F3051">
        <v>3</v>
      </c>
      <c r="G3051">
        <v>0.2</v>
      </c>
      <c r="H3051" s="2">
        <v>-36.294000000000011</v>
      </c>
      <c r="I3051" s="2">
        <v>290.35200000000003</v>
      </c>
    </row>
    <row r="3052" spans="1:9" x14ac:dyDescent="0.3">
      <c r="A3052" t="str">
        <f t="shared" si="1019"/>
        <v>United States</v>
      </c>
      <c r="B3052" t="str">
        <f t="shared" si="1026"/>
        <v>Miami</v>
      </c>
      <c r="C3052" t="str">
        <f t="shared" si="1032"/>
        <v>Standard Class</v>
      </c>
      <c r="D3052" t="str">
        <f t="shared" si="1033"/>
        <v>Consumer</v>
      </c>
      <c r="E3052" t="s">
        <v>33</v>
      </c>
      <c r="F3052">
        <v>4</v>
      </c>
      <c r="G3052">
        <v>0.2</v>
      </c>
      <c r="H3052" s="2">
        <v>-68.1096</v>
      </c>
      <c r="I3052" s="2">
        <v>419.13599999999997</v>
      </c>
    </row>
    <row r="3053" spans="1:9" x14ac:dyDescent="0.3">
      <c r="A3053" t="str">
        <f t="shared" si="1019"/>
        <v>United States</v>
      </c>
      <c r="B3053" t="str">
        <f t="shared" si="1026"/>
        <v>Miami</v>
      </c>
      <c r="C3053" t="str">
        <f t="shared" si="1032"/>
        <v>Standard Class</v>
      </c>
      <c r="D3053" t="str">
        <f t="shared" si="1033"/>
        <v>Consumer</v>
      </c>
      <c r="E3053" t="s">
        <v>38</v>
      </c>
      <c r="F3053">
        <v>3</v>
      </c>
      <c r="G3053">
        <v>0.2</v>
      </c>
      <c r="H3053" s="2">
        <v>7.6283999999999974</v>
      </c>
      <c r="I3053" s="2">
        <v>23.472000000000001</v>
      </c>
    </row>
    <row r="3054" spans="1:9" x14ac:dyDescent="0.3">
      <c r="A3054" t="str">
        <f t="shared" si="1019"/>
        <v>United States</v>
      </c>
      <c r="B3054" t="str">
        <f t="shared" si="1026"/>
        <v>Miami</v>
      </c>
      <c r="C3054" t="str">
        <f t="shared" si="1032"/>
        <v>Standard Class</v>
      </c>
      <c r="D3054" t="str">
        <f t="shared" si="1033"/>
        <v>Consumer</v>
      </c>
      <c r="E3054" t="s">
        <v>21</v>
      </c>
      <c r="F3054">
        <v>3</v>
      </c>
      <c r="G3054">
        <v>0.2</v>
      </c>
      <c r="H3054" s="2">
        <v>-3.8385000000000105</v>
      </c>
      <c r="I3054" s="2">
        <v>102.35999999999999</v>
      </c>
    </row>
    <row r="3055" spans="1:9" x14ac:dyDescent="0.3">
      <c r="A3055" t="str">
        <f t="shared" si="1019"/>
        <v>United States</v>
      </c>
      <c r="B3055" t="str">
        <f t="shared" si="1026"/>
        <v>Miami</v>
      </c>
      <c r="C3055" t="str">
        <f t="shared" si="1032"/>
        <v>Standard Class</v>
      </c>
      <c r="D3055" t="str">
        <f t="shared" si="1033"/>
        <v>Consumer</v>
      </c>
      <c r="E3055" t="s">
        <v>24</v>
      </c>
      <c r="F3055">
        <v>5</v>
      </c>
      <c r="G3055">
        <v>0.2</v>
      </c>
      <c r="H3055" s="2">
        <v>85.247500000000002</v>
      </c>
      <c r="I3055" s="2">
        <v>1363.96</v>
      </c>
    </row>
    <row r="3056" spans="1:9" x14ac:dyDescent="0.3">
      <c r="A3056" t="str">
        <f t="shared" si="1019"/>
        <v>United States</v>
      </c>
      <c r="B3056" t="str">
        <f t="shared" si="1026"/>
        <v>Miami</v>
      </c>
      <c r="C3056" t="str">
        <f t="shared" si="1032"/>
        <v>Standard Class</v>
      </c>
      <c r="D3056" t="str">
        <f t="shared" si="1033"/>
        <v>Consumer</v>
      </c>
      <c r="E3056" t="s">
        <v>14</v>
      </c>
      <c r="F3056">
        <v>2</v>
      </c>
      <c r="G3056">
        <v>0.2</v>
      </c>
      <c r="H3056" s="2">
        <v>1.3079999999999989</v>
      </c>
      <c r="I3056" s="2">
        <v>17.440000000000001</v>
      </c>
    </row>
    <row r="3057" spans="1:9" x14ac:dyDescent="0.3">
      <c r="A3057" t="str">
        <f t="shared" si="1019"/>
        <v>United States</v>
      </c>
      <c r="B3057" t="str">
        <f t="shared" si="1026"/>
        <v>Miami</v>
      </c>
      <c r="C3057" t="str">
        <f t="shared" si="1032"/>
        <v>Standard Class</v>
      </c>
      <c r="D3057" t="s">
        <v>15</v>
      </c>
      <c r="E3057" t="s">
        <v>19</v>
      </c>
      <c r="F3057">
        <v>9</v>
      </c>
      <c r="G3057">
        <v>0.4</v>
      </c>
      <c r="H3057" s="2">
        <v>7.7748999999999953</v>
      </c>
      <c r="I3057" s="2">
        <v>61.591999999999999</v>
      </c>
    </row>
    <row r="3058" spans="1:9" x14ac:dyDescent="0.3">
      <c r="A3058" t="str">
        <f t="shared" si="1019"/>
        <v>United States</v>
      </c>
      <c r="B3058" t="str">
        <f t="shared" si="1026"/>
        <v>Miami</v>
      </c>
      <c r="C3058" t="str">
        <f t="shared" si="1032"/>
        <v>Standard Class</v>
      </c>
      <c r="D3058" t="str">
        <f t="shared" ref="D3058:D3063" si="1034">D3057</f>
        <v>Corporate</v>
      </c>
      <c r="E3058" t="s">
        <v>20</v>
      </c>
      <c r="F3058">
        <v>15</v>
      </c>
      <c r="G3058">
        <v>2.0999999999999996</v>
      </c>
      <c r="H3058" s="2">
        <v>-1045.7636000000002</v>
      </c>
      <c r="I3058" s="2">
        <v>1363.5000000000002</v>
      </c>
    </row>
    <row r="3059" spans="1:9" x14ac:dyDescent="0.3">
      <c r="A3059" t="str">
        <f t="shared" si="1019"/>
        <v>United States</v>
      </c>
      <c r="B3059" t="str">
        <f t="shared" si="1026"/>
        <v>Miami</v>
      </c>
      <c r="C3059" t="str">
        <f t="shared" si="1032"/>
        <v>Standard Class</v>
      </c>
      <c r="D3059" t="str">
        <f t="shared" si="1034"/>
        <v>Corporate</v>
      </c>
      <c r="E3059" t="s">
        <v>33</v>
      </c>
      <c r="F3059">
        <v>3</v>
      </c>
      <c r="G3059">
        <v>0.2</v>
      </c>
      <c r="H3059" s="2">
        <v>-13.677599999999998</v>
      </c>
      <c r="I3059" s="2">
        <v>273.55200000000002</v>
      </c>
    </row>
    <row r="3060" spans="1:9" x14ac:dyDescent="0.3">
      <c r="A3060" t="str">
        <f t="shared" si="1019"/>
        <v>United States</v>
      </c>
      <c r="B3060" t="str">
        <f t="shared" si="1026"/>
        <v>Miami</v>
      </c>
      <c r="C3060" t="str">
        <f t="shared" si="1032"/>
        <v>Standard Class</v>
      </c>
      <c r="D3060" t="str">
        <f t="shared" si="1034"/>
        <v>Corporate</v>
      </c>
      <c r="E3060" t="s">
        <v>21</v>
      </c>
      <c r="F3060">
        <v>6</v>
      </c>
      <c r="G3060">
        <v>0.2</v>
      </c>
      <c r="H3060" s="2">
        <v>8.2055999999999987</v>
      </c>
      <c r="I3060" s="2">
        <v>50.496000000000002</v>
      </c>
    </row>
    <row r="3061" spans="1:9" x14ac:dyDescent="0.3">
      <c r="A3061" t="str">
        <f t="shared" si="1019"/>
        <v>United States</v>
      </c>
      <c r="B3061" t="str">
        <f t="shared" si="1026"/>
        <v>Miami</v>
      </c>
      <c r="C3061" t="str">
        <f t="shared" si="1032"/>
        <v>Standard Class</v>
      </c>
      <c r="D3061" t="str">
        <f t="shared" si="1034"/>
        <v>Corporate</v>
      </c>
      <c r="E3061" t="s">
        <v>43</v>
      </c>
      <c r="F3061">
        <v>6</v>
      </c>
      <c r="G3061">
        <v>0.2</v>
      </c>
      <c r="H3061" s="2">
        <v>4.6818000000000008</v>
      </c>
      <c r="I3061" s="2">
        <v>13.872000000000002</v>
      </c>
    </row>
    <row r="3062" spans="1:9" x14ac:dyDescent="0.3">
      <c r="A3062" t="str">
        <f t="shared" si="1019"/>
        <v>United States</v>
      </c>
      <c r="B3062" t="str">
        <f t="shared" si="1026"/>
        <v>Miami</v>
      </c>
      <c r="C3062" t="str">
        <f t="shared" si="1032"/>
        <v>Standard Class</v>
      </c>
      <c r="D3062" t="str">
        <f t="shared" si="1034"/>
        <v>Corporate</v>
      </c>
      <c r="E3062" t="s">
        <v>16</v>
      </c>
      <c r="F3062">
        <v>3</v>
      </c>
      <c r="G3062">
        <v>0.2</v>
      </c>
      <c r="H3062" s="2">
        <v>23.234999999999992</v>
      </c>
      <c r="I3062" s="2">
        <v>74.352000000000004</v>
      </c>
    </row>
    <row r="3063" spans="1:9" x14ac:dyDescent="0.3">
      <c r="A3063" t="str">
        <f t="shared" si="1019"/>
        <v>United States</v>
      </c>
      <c r="B3063" t="str">
        <f t="shared" si="1026"/>
        <v>Miami</v>
      </c>
      <c r="C3063" t="str">
        <f t="shared" si="1032"/>
        <v>Standard Class</v>
      </c>
      <c r="D3063" t="str">
        <f t="shared" si="1034"/>
        <v>Corporate</v>
      </c>
      <c r="E3063" t="s">
        <v>24</v>
      </c>
      <c r="F3063">
        <v>2</v>
      </c>
      <c r="G3063">
        <v>0.2</v>
      </c>
      <c r="H3063" s="2">
        <v>27.103200000000001</v>
      </c>
      <c r="I3063" s="2">
        <v>361.37600000000003</v>
      </c>
    </row>
    <row r="3064" spans="1:9" x14ac:dyDescent="0.3">
      <c r="A3064" t="str">
        <f t="shared" si="1019"/>
        <v>United States</v>
      </c>
      <c r="B3064" t="str">
        <f t="shared" si="1026"/>
        <v>Miami</v>
      </c>
      <c r="C3064" t="str">
        <f t="shared" si="1032"/>
        <v>Standard Class</v>
      </c>
      <c r="D3064" t="s">
        <v>17</v>
      </c>
      <c r="E3064" t="s">
        <v>23</v>
      </c>
      <c r="F3064">
        <v>7</v>
      </c>
      <c r="G3064">
        <v>0.2</v>
      </c>
      <c r="H3064" s="2">
        <v>41.718599999999995</v>
      </c>
      <c r="I3064" s="2">
        <v>158.928</v>
      </c>
    </row>
    <row r="3065" spans="1:9" x14ac:dyDescent="0.3">
      <c r="A3065" t="str">
        <f t="shared" si="1019"/>
        <v>United States</v>
      </c>
      <c r="B3065" t="str">
        <f t="shared" si="1026"/>
        <v>Miami</v>
      </c>
      <c r="C3065" t="str">
        <f t="shared" si="1032"/>
        <v>Standard Class</v>
      </c>
      <c r="D3065" t="str">
        <f t="shared" ref="D3065:D3069" si="1035">D3064</f>
        <v>Home Office</v>
      </c>
      <c r="E3065" t="s">
        <v>12</v>
      </c>
      <c r="F3065">
        <v>6</v>
      </c>
      <c r="G3065">
        <v>0.2</v>
      </c>
      <c r="H3065" s="2">
        <v>15.843599999999995</v>
      </c>
      <c r="I3065" s="2">
        <v>211.24799999999999</v>
      </c>
    </row>
    <row r="3066" spans="1:9" x14ac:dyDescent="0.3">
      <c r="A3066" t="str">
        <f t="shared" si="1019"/>
        <v>United States</v>
      </c>
      <c r="B3066" t="str">
        <f t="shared" si="1026"/>
        <v>Miami</v>
      </c>
      <c r="C3066" t="str">
        <f t="shared" si="1032"/>
        <v>Standard Class</v>
      </c>
      <c r="D3066" t="str">
        <f t="shared" si="1035"/>
        <v>Home Office</v>
      </c>
      <c r="E3066" t="s">
        <v>19</v>
      </c>
      <c r="F3066">
        <v>5</v>
      </c>
      <c r="G3066">
        <v>0.2</v>
      </c>
      <c r="H3066" s="2">
        <v>4.196499999999995</v>
      </c>
      <c r="I3066" s="2">
        <v>47.96</v>
      </c>
    </row>
    <row r="3067" spans="1:9" x14ac:dyDescent="0.3">
      <c r="A3067" t="str">
        <f t="shared" si="1019"/>
        <v>United States</v>
      </c>
      <c r="B3067" t="str">
        <f t="shared" si="1026"/>
        <v>Miami</v>
      </c>
      <c r="C3067" t="str">
        <f t="shared" si="1032"/>
        <v>Standard Class</v>
      </c>
      <c r="D3067" t="str">
        <f t="shared" si="1035"/>
        <v>Home Office</v>
      </c>
      <c r="E3067" t="s">
        <v>43</v>
      </c>
      <c r="F3067">
        <v>3</v>
      </c>
      <c r="G3067">
        <v>0.4</v>
      </c>
      <c r="H3067" s="2">
        <v>4.9436999999999998</v>
      </c>
      <c r="I3067" s="2">
        <v>14.648</v>
      </c>
    </row>
    <row r="3068" spans="1:9" x14ac:dyDescent="0.3">
      <c r="A3068" t="str">
        <f t="shared" si="1019"/>
        <v>United States</v>
      </c>
      <c r="B3068" t="str">
        <f t="shared" si="1026"/>
        <v>Miami</v>
      </c>
      <c r="C3068" t="str">
        <f t="shared" si="1032"/>
        <v>Standard Class</v>
      </c>
      <c r="D3068" t="str">
        <f t="shared" si="1035"/>
        <v>Home Office</v>
      </c>
      <c r="E3068" t="s">
        <v>16</v>
      </c>
      <c r="F3068">
        <v>6</v>
      </c>
      <c r="G3068">
        <v>0.2</v>
      </c>
      <c r="H3068" s="2">
        <v>10.8864</v>
      </c>
      <c r="I3068" s="2">
        <v>31.104000000000006</v>
      </c>
    </row>
    <row r="3069" spans="1:9" x14ac:dyDescent="0.3">
      <c r="A3069" t="str">
        <f t="shared" si="1019"/>
        <v>United States</v>
      </c>
      <c r="B3069" t="str">
        <f t="shared" si="1026"/>
        <v>Miami</v>
      </c>
      <c r="C3069" t="str">
        <f t="shared" si="1032"/>
        <v>Standard Class</v>
      </c>
      <c r="D3069" t="str">
        <f t="shared" si="1035"/>
        <v>Home Office</v>
      </c>
      <c r="E3069" t="s">
        <v>9</v>
      </c>
      <c r="F3069">
        <v>2</v>
      </c>
      <c r="G3069">
        <v>0.2</v>
      </c>
      <c r="H3069" s="2">
        <v>-1.0410000000000006</v>
      </c>
      <c r="I3069" s="2">
        <v>5.5520000000000005</v>
      </c>
    </row>
    <row r="3070" spans="1:9" x14ac:dyDescent="0.3">
      <c r="A3070" t="str">
        <f t="shared" si="1019"/>
        <v>United States</v>
      </c>
      <c r="B3070" t="s">
        <v>326</v>
      </c>
      <c r="C3070" t="s">
        <v>11</v>
      </c>
      <c r="D3070" t="s">
        <v>15</v>
      </c>
      <c r="E3070" t="s">
        <v>16</v>
      </c>
      <c r="F3070">
        <v>7</v>
      </c>
      <c r="G3070">
        <v>0</v>
      </c>
      <c r="H3070" s="2">
        <v>22.153599999999997</v>
      </c>
      <c r="I3070" s="2">
        <v>48.16</v>
      </c>
    </row>
    <row r="3071" spans="1:9" x14ac:dyDescent="0.3">
      <c r="A3071" t="str">
        <f t="shared" si="1019"/>
        <v>United States</v>
      </c>
      <c r="B3071" t="str">
        <f t="shared" ref="B3071:B3077" si="1036">B3070</f>
        <v>Middletown</v>
      </c>
      <c r="C3071" t="s">
        <v>27</v>
      </c>
      <c r="D3071" t="s">
        <v>8</v>
      </c>
      <c r="E3071" t="s">
        <v>21</v>
      </c>
      <c r="F3071">
        <v>2</v>
      </c>
      <c r="G3071">
        <v>0</v>
      </c>
      <c r="H3071" s="2">
        <v>9.8856000000000002</v>
      </c>
      <c r="I3071" s="2">
        <v>27.46</v>
      </c>
    </row>
    <row r="3072" spans="1:9" x14ac:dyDescent="0.3">
      <c r="A3072" t="str">
        <f t="shared" si="1019"/>
        <v>United States</v>
      </c>
      <c r="B3072" t="str">
        <f t="shared" si="1036"/>
        <v>Middletown</v>
      </c>
      <c r="C3072" t="s">
        <v>22</v>
      </c>
      <c r="D3072" t="s">
        <v>8</v>
      </c>
      <c r="E3072" t="s">
        <v>23</v>
      </c>
      <c r="F3072">
        <v>2</v>
      </c>
      <c r="G3072">
        <v>0</v>
      </c>
      <c r="H3072" s="2">
        <v>38.080000000000013</v>
      </c>
      <c r="I3072" s="2">
        <v>238</v>
      </c>
    </row>
    <row r="3073" spans="1:9" x14ac:dyDescent="0.3">
      <c r="A3073" t="str">
        <f t="shared" si="1019"/>
        <v>United States</v>
      </c>
      <c r="B3073" t="str">
        <f t="shared" si="1036"/>
        <v>Middletown</v>
      </c>
      <c r="C3073" t="str">
        <f t="shared" ref="C3073:C3077" si="1037">C3072</f>
        <v>Standard Class</v>
      </c>
      <c r="D3073" t="str">
        <f t="shared" ref="D3073:D3075" si="1038">D3072</f>
        <v>Consumer</v>
      </c>
      <c r="E3073" t="s">
        <v>20</v>
      </c>
      <c r="F3073">
        <v>2</v>
      </c>
      <c r="G3073">
        <v>0</v>
      </c>
      <c r="H3073" s="2">
        <v>4.7231999999999994</v>
      </c>
      <c r="I3073" s="2">
        <v>9.84</v>
      </c>
    </row>
    <row r="3074" spans="1:9" x14ac:dyDescent="0.3">
      <c r="A3074" t="str">
        <f t="shared" si="1019"/>
        <v>United States</v>
      </c>
      <c r="B3074" t="str">
        <f t="shared" si="1036"/>
        <v>Middletown</v>
      </c>
      <c r="C3074" t="str">
        <f t="shared" si="1037"/>
        <v>Standard Class</v>
      </c>
      <c r="D3074" t="str">
        <f t="shared" si="1038"/>
        <v>Consumer</v>
      </c>
      <c r="E3074" t="s">
        <v>16</v>
      </c>
      <c r="F3074">
        <v>3</v>
      </c>
      <c r="G3074">
        <v>0</v>
      </c>
      <c r="H3074" s="2">
        <v>31.382999999999996</v>
      </c>
      <c r="I3074" s="2">
        <v>69.739999999999995</v>
      </c>
    </row>
    <row r="3075" spans="1:9" x14ac:dyDescent="0.3">
      <c r="A3075" t="str">
        <f t="shared" si="1019"/>
        <v>United States</v>
      </c>
      <c r="B3075" t="str">
        <f t="shared" si="1036"/>
        <v>Middletown</v>
      </c>
      <c r="C3075" t="str">
        <f t="shared" si="1037"/>
        <v>Standard Class</v>
      </c>
      <c r="D3075" t="str">
        <f t="shared" si="1038"/>
        <v>Consumer</v>
      </c>
      <c r="E3075" t="s">
        <v>14</v>
      </c>
      <c r="F3075">
        <v>4</v>
      </c>
      <c r="G3075">
        <v>0</v>
      </c>
      <c r="H3075" s="2">
        <v>0</v>
      </c>
      <c r="I3075" s="2">
        <v>552.55999999999995</v>
      </c>
    </row>
    <row r="3076" spans="1:9" x14ac:dyDescent="0.3">
      <c r="A3076" t="str">
        <f t="shared" ref="A3076:A3139" si="1039">A3075</f>
        <v>United States</v>
      </c>
      <c r="B3076" t="str">
        <f t="shared" si="1036"/>
        <v>Middletown</v>
      </c>
      <c r="C3076" t="str">
        <f t="shared" si="1037"/>
        <v>Standard Class</v>
      </c>
      <c r="D3076" t="s">
        <v>15</v>
      </c>
      <c r="E3076" t="s">
        <v>20</v>
      </c>
      <c r="F3076">
        <v>5</v>
      </c>
      <c r="G3076">
        <v>0</v>
      </c>
      <c r="H3076" s="2">
        <v>13.181000000000001</v>
      </c>
      <c r="I3076" s="2">
        <v>26.9</v>
      </c>
    </row>
    <row r="3077" spans="1:9" x14ac:dyDescent="0.3">
      <c r="A3077" t="str">
        <f t="shared" si="1039"/>
        <v>United States</v>
      </c>
      <c r="B3077" t="str">
        <f t="shared" si="1036"/>
        <v>Middletown</v>
      </c>
      <c r="C3077" t="str">
        <f t="shared" si="1037"/>
        <v>Standard Class</v>
      </c>
      <c r="D3077" t="str">
        <f>D3076</f>
        <v>Corporate</v>
      </c>
      <c r="E3077" t="s">
        <v>21</v>
      </c>
      <c r="F3077">
        <v>3</v>
      </c>
      <c r="G3077">
        <v>0</v>
      </c>
      <c r="H3077" s="2">
        <v>38.209499999999998</v>
      </c>
      <c r="I3077" s="2">
        <v>181.95</v>
      </c>
    </row>
    <row r="3078" spans="1:9" x14ac:dyDescent="0.3">
      <c r="A3078" t="str">
        <f t="shared" si="1039"/>
        <v>United States</v>
      </c>
      <c r="B3078" t="s">
        <v>327</v>
      </c>
      <c r="C3078" t="s">
        <v>11</v>
      </c>
      <c r="D3078" t="s">
        <v>17</v>
      </c>
      <c r="E3078" t="s">
        <v>12</v>
      </c>
      <c r="F3078">
        <v>1</v>
      </c>
      <c r="G3078">
        <v>0.1</v>
      </c>
      <c r="H3078" s="2">
        <v>41.495999999999967</v>
      </c>
      <c r="I3078" s="2">
        <v>186.732</v>
      </c>
    </row>
    <row r="3079" spans="1:9" x14ac:dyDescent="0.3">
      <c r="A3079" t="str">
        <f t="shared" si="1039"/>
        <v>United States</v>
      </c>
      <c r="B3079" t="str">
        <f t="shared" ref="B3079:B3085" si="1040">B3078</f>
        <v>Midland</v>
      </c>
      <c r="C3079" t="str">
        <f>C3078</f>
        <v>First Class</v>
      </c>
      <c r="D3079" t="str">
        <f>D3078</f>
        <v>Home Office</v>
      </c>
      <c r="E3079" t="s">
        <v>20</v>
      </c>
      <c r="F3079">
        <v>3</v>
      </c>
      <c r="G3079">
        <v>0</v>
      </c>
      <c r="H3079" s="2">
        <v>1906.4850000000001</v>
      </c>
      <c r="I3079" s="2">
        <v>3812.9700000000003</v>
      </c>
    </row>
    <row r="3080" spans="1:9" x14ac:dyDescent="0.3">
      <c r="A3080" t="str">
        <f t="shared" si="1039"/>
        <v>United States</v>
      </c>
      <c r="B3080" t="str">
        <f t="shared" si="1040"/>
        <v>Midland</v>
      </c>
      <c r="C3080" t="s">
        <v>7</v>
      </c>
      <c r="D3080" t="s">
        <v>17</v>
      </c>
      <c r="E3080" t="s">
        <v>38</v>
      </c>
      <c r="F3080">
        <v>2</v>
      </c>
      <c r="G3080">
        <v>0</v>
      </c>
      <c r="H3080" s="2">
        <v>7.4871999999999996</v>
      </c>
      <c r="I3080" s="2">
        <v>15.28</v>
      </c>
    </row>
    <row r="3081" spans="1:9" x14ac:dyDescent="0.3">
      <c r="A3081" t="str">
        <f t="shared" si="1039"/>
        <v>United States</v>
      </c>
      <c r="B3081" t="str">
        <f t="shared" si="1040"/>
        <v>Midland</v>
      </c>
      <c r="C3081" t="s">
        <v>22</v>
      </c>
      <c r="D3081" t="s">
        <v>8</v>
      </c>
      <c r="E3081" t="s">
        <v>19</v>
      </c>
      <c r="F3081">
        <v>2</v>
      </c>
      <c r="G3081">
        <v>0</v>
      </c>
      <c r="H3081" s="2">
        <v>1.5209999999999999</v>
      </c>
      <c r="I3081" s="2">
        <v>3.9</v>
      </c>
    </row>
    <row r="3082" spans="1:9" x14ac:dyDescent="0.3">
      <c r="A3082" t="str">
        <f t="shared" si="1039"/>
        <v>United States</v>
      </c>
      <c r="B3082" t="str">
        <f t="shared" si="1040"/>
        <v>Midland</v>
      </c>
      <c r="C3082" t="str">
        <f t="shared" ref="C3082:C3085" si="1041">C3081</f>
        <v>Standard Class</v>
      </c>
      <c r="D3082" t="str">
        <f t="shared" ref="D3082:D3085" si="1042">D3081</f>
        <v>Consumer</v>
      </c>
      <c r="E3082" t="s">
        <v>20</v>
      </c>
      <c r="F3082">
        <v>16</v>
      </c>
      <c r="G3082">
        <v>0</v>
      </c>
      <c r="H3082" s="2">
        <v>38.417999999999992</v>
      </c>
      <c r="I3082" s="2">
        <v>81.66</v>
      </c>
    </row>
    <row r="3083" spans="1:9" x14ac:dyDescent="0.3">
      <c r="A3083" t="str">
        <f t="shared" si="1039"/>
        <v>United States</v>
      </c>
      <c r="B3083" t="str">
        <f t="shared" si="1040"/>
        <v>Midland</v>
      </c>
      <c r="C3083" t="str">
        <f t="shared" si="1041"/>
        <v>Standard Class</v>
      </c>
      <c r="D3083" t="str">
        <f t="shared" si="1042"/>
        <v>Consumer</v>
      </c>
      <c r="E3083" t="s">
        <v>33</v>
      </c>
      <c r="F3083">
        <v>3</v>
      </c>
      <c r="G3083">
        <v>0</v>
      </c>
      <c r="H3083" s="2">
        <v>112.78800000000001</v>
      </c>
      <c r="I3083" s="2">
        <v>563.93999999999994</v>
      </c>
    </row>
    <row r="3084" spans="1:9" x14ac:dyDescent="0.3">
      <c r="A3084" t="str">
        <f t="shared" si="1039"/>
        <v>United States</v>
      </c>
      <c r="B3084" t="str">
        <f t="shared" si="1040"/>
        <v>Midland</v>
      </c>
      <c r="C3084" t="str">
        <f t="shared" si="1041"/>
        <v>Standard Class</v>
      </c>
      <c r="D3084" t="str">
        <f t="shared" si="1042"/>
        <v>Consumer</v>
      </c>
      <c r="E3084" t="s">
        <v>16</v>
      </c>
      <c r="F3084">
        <v>6</v>
      </c>
      <c r="G3084">
        <v>0</v>
      </c>
      <c r="H3084" s="2">
        <v>12.905999999999999</v>
      </c>
      <c r="I3084" s="2">
        <v>28.68</v>
      </c>
    </row>
    <row r="3085" spans="1:9" x14ac:dyDescent="0.3">
      <c r="A3085" t="str">
        <f t="shared" si="1039"/>
        <v>United States</v>
      </c>
      <c r="B3085" t="str">
        <f t="shared" si="1040"/>
        <v>Midland</v>
      </c>
      <c r="C3085" t="str">
        <f t="shared" si="1041"/>
        <v>Standard Class</v>
      </c>
      <c r="D3085" t="str">
        <f t="shared" si="1042"/>
        <v>Consumer</v>
      </c>
      <c r="E3085" t="s">
        <v>14</v>
      </c>
      <c r="F3085">
        <v>6</v>
      </c>
      <c r="G3085">
        <v>0</v>
      </c>
      <c r="H3085" s="2">
        <v>172.58159999999992</v>
      </c>
      <c r="I3085" s="2">
        <v>598.34999999999991</v>
      </c>
    </row>
    <row r="3086" spans="1:9" x14ac:dyDescent="0.3">
      <c r="A3086" t="str">
        <f t="shared" si="1039"/>
        <v>United States</v>
      </c>
      <c r="B3086" t="s">
        <v>328</v>
      </c>
      <c r="C3086" t="s">
        <v>11</v>
      </c>
      <c r="D3086" t="s">
        <v>15</v>
      </c>
      <c r="E3086" t="s">
        <v>34</v>
      </c>
      <c r="F3086">
        <v>9</v>
      </c>
      <c r="G3086">
        <v>0</v>
      </c>
      <c r="H3086" s="2">
        <v>185.25779999999997</v>
      </c>
      <c r="I3086" s="2">
        <v>638.82000000000005</v>
      </c>
    </row>
    <row r="3087" spans="1:9" x14ac:dyDescent="0.3">
      <c r="A3087" t="str">
        <f t="shared" si="1039"/>
        <v>United States</v>
      </c>
      <c r="B3087" t="str">
        <f t="shared" ref="B3087:B3091" si="1043">B3086</f>
        <v>Milford</v>
      </c>
      <c r="C3087" t="str">
        <f t="shared" ref="C3087:C3088" si="1044">C3086</f>
        <v>First Class</v>
      </c>
      <c r="D3087" t="str">
        <f t="shared" ref="D3087:D3088" si="1045">D3086</f>
        <v>Corporate</v>
      </c>
      <c r="E3087" t="s">
        <v>21</v>
      </c>
      <c r="F3087">
        <v>2</v>
      </c>
      <c r="G3087">
        <v>0</v>
      </c>
      <c r="H3087" s="2">
        <v>8.5543999999999976</v>
      </c>
      <c r="I3087" s="2">
        <v>25.16</v>
      </c>
    </row>
    <row r="3088" spans="1:9" x14ac:dyDescent="0.3">
      <c r="A3088" t="str">
        <f t="shared" si="1039"/>
        <v>United States</v>
      </c>
      <c r="B3088" t="str">
        <f t="shared" si="1043"/>
        <v>Milford</v>
      </c>
      <c r="C3088" t="str">
        <f t="shared" si="1044"/>
        <v>First Class</v>
      </c>
      <c r="D3088" t="str">
        <f t="shared" si="1045"/>
        <v>Corporate</v>
      </c>
      <c r="E3088" t="s">
        <v>9</v>
      </c>
      <c r="F3088">
        <v>3</v>
      </c>
      <c r="G3088">
        <v>0</v>
      </c>
      <c r="H3088" s="2">
        <v>7.9794000000000018</v>
      </c>
      <c r="I3088" s="2">
        <v>30.69</v>
      </c>
    </row>
    <row r="3089" spans="1:9" x14ac:dyDescent="0.3">
      <c r="A3089" t="str">
        <f t="shared" si="1039"/>
        <v>United States</v>
      </c>
      <c r="B3089" t="str">
        <f t="shared" si="1043"/>
        <v>Milford</v>
      </c>
      <c r="C3089" t="s">
        <v>27</v>
      </c>
      <c r="D3089" t="s">
        <v>8</v>
      </c>
      <c r="E3089" t="s">
        <v>19</v>
      </c>
      <c r="F3089">
        <v>3</v>
      </c>
      <c r="G3089">
        <v>0</v>
      </c>
      <c r="H3089" s="2">
        <v>4.4891999999999985</v>
      </c>
      <c r="I3089" s="2">
        <v>15.48</v>
      </c>
    </row>
    <row r="3090" spans="1:9" x14ac:dyDescent="0.3">
      <c r="A3090" t="str">
        <f t="shared" si="1039"/>
        <v>United States</v>
      </c>
      <c r="B3090" t="str">
        <f t="shared" si="1043"/>
        <v>Milford</v>
      </c>
      <c r="C3090" t="str">
        <f>C3089</f>
        <v>Same Day</v>
      </c>
      <c r="D3090" t="str">
        <f>D3089</f>
        <v>Consumer</v>
      </c>
      <c r="E3090" t="s">
        <v>16</v>
      </c>
      <c r="F3090">
        <v>8</v>
      </c>
      <c r="G3090">
        <v>0</v>
      </c>
      <c r="H3090" s="2">
        <v>24.883200000000002</v>
      </c>
      <c r="I3090" s="2">
        <v>51.84</v>
      </c>
    </row>
    <row r="3091" spans="1:9" x14ac:dyDescent="0.3">
      <c r="A3091" t="str">
        <f t="shared" si="1039"/>
        <v>United States</v>
      </c>
      <c r="B3091" t="str">
        <f t="shared" si="1043"/>
        <v>Milford</v>
      </c>
      <c r="C3091" t="s">
        <v>22</v>
      </c>
      <c r="D3091" t="s">
        <v>17</v>
      </c>
      <c r="E3091" t="s">
        <v>23</v>
      </c>
      <c r="F3091">
        <v>5</v>
      </c>
      <c r="G3091">
        <v>0</v>
      </c>
      <c r="H3091" s="2">
        <v>87.890000000000015</v>
      </c>
      <c r="I3091" s="2">
        <v>199.75</v>
      </c>
    </row>
    <row r="3092" spans="1:9" x14ac:dyDescent="0.3">
      <c r="A3092" t="str">
        <f t="shared" si="1039"/>
        <v>United States</v>
      </c>
      <c r="B3092" t="s">
        <v>329</v>
      </c>
      <c r="C3092" t="s">
        <v>11</v>
      </c>
      <c r="D3092" t="s">
        <v>8</v>
      </c>
      <c r="E3092" t="s">
        <v>21</v>
      </c>
      <c r="F3092">
        <v>7</v>
      </c>
      <c r="G3092">
        <v>0</v>
      </c>
      <c r="H3092" s="2">
        <v>10.784899999999999</v>
      </c>
      <c r="I3092" s="2">
        <v>34.79</v>
      </c>
    </row>
    <row r="3093" spans="1:9" x14ac:dyDescent="0.3">
      <c r="A3093" t="str">
        <f t="shared" si="1039"/>
        <v>United States</v>
      </c>
      <c r="B3093" t="str">
        <f t="shared" ref="B3093:B3125" si="1046">B3092</f>
        <v>Milwaukee</v>
      </c>
      <c r="C3093" t="str">
        <f t="shared" ref="C3093:C3095" si="1047">C3092</f>
        <v>First Class</v>
      </c>
      <c r="D3093" t="s">
        <v>15</v>
      </c>
      <c r="E3093" t="s">
        <v>23</v>
      </c>
      <c r="F3093">
        <v>9</v>
      </c>
      <c r="G3093">
        <v>0</v>
      </c>
      <c r="H3093" s="2">
        <v>56.054700000000011</v>
      </c>
      <c r="I3093" s="2">
        <v>143.73000000000002</v>
      </c>
    </row>
    <row r="3094" spans="1:9" x14ac:dyDescent="0.3">
      <c r="A3094" t="str">
        <f t="shared" si="1039"/>
        <v>United States</v>
      </c>
      <c r="B3094" t="str">
        <f t="shared" si="1046"/>
        <v>Milwaukee</v>
      </c>
      <c r="C3094" t="str">
        <f t="shared" si="1047"/>
        <v>First Class</v>
      </c>
      <c r="D3094" t="str">
        <f t="shared" ref="D3094:D3095" si="1048">D3093</f>
        <v>Corporate</v>
      </c>
      <c r="E3094" t="s">
        <v>21</v>
      </c>
      <c r="F3094">
        <v>1</v>
      </c>
      <c r="G3094">
        <v>0</v>
      </c>
      <c r="H3094" s="2">
        <v>19.2454</v>
      </c>
      <c r="I3094" s="2">
        <v>46.94</v>
      </c>
    </row>
    <row r="3095" spans="1:9" x14ac:dyDescent="0.3">
      <c r="A3095" t="str">
        <f t="shared" si="1039"/>
        <v>United States</v>
      </c>
      <c r="B3095" t="str">
        <f t="shared" si="1046"/>
        <v>Milwaukee</v>
      </c>
      <c r="C3095" t="str">
        <f t="shared" si="1047"/>
        <v>First Class</v>
      </c>
      <c r="D3095" t="str">
        <f t="shared" si="1048"/>
        <v>Corporate</v>
      </c>
      <c r="E3095" t="s">
        <v>16</v>
      </c>
      <c r="F3095">
        <v>8</v>
      </c>
      <c r="G3095">
        <v>0</v>
      </c>
      <c r="H3095" s="2">
        <v>24.883200000000002</v>
      </c>
      <c r="I3095" s="2">
        <v>51.84</v>
      </c>
    </row>
    <row r="3096" spans="1:9" x14ac:dyDescent="0.3">
      <c r="A3096" t="str">
        <f t="shared" si="1039"/>
        <v>United States</v>
      </c>
      <c r="B3096" t="str">
        <f t="shared" si="1046"/>
        <v>Milwaukee</v>
      </c>
      <c r="C3096" t="s">
        <v>27</v>
      </c>
      <c r="D3096" t="s">
        <v>8</v>
      </c>
      <c r="E3096" t="s">
        <v>43</v>
      </c>
      <c r="F3096">
        <v>2</v>
      </c>
      <c r="G3096">
        <v>0</v>
      </c>
      <c r="H3096" s="2">
        <v>11.778199999999998</v>
      </c>
      <c r="I3096" s="2">
        <v>25.06</v>
      </c>
    </row>
    <row r="3097" spans="1:9" x14ac:dyDescent="0.3">
      <c r="A3097" t="str">
        <f t="shared" si="1039"/>
        <v>United States</v>
      </c>
      <c r="B3097" t="str">
        <f t="shared" si="1046"/>
        <v>Milwaukee</v>
      </c>
      <c r="C3097" t="str">
        <f t="shared" ref="C3097:C3099" si="1049">C3096</f>
        <v>Same Day</v>
      </c>
      <c r="D3097" t="s">
        <v>15</v>
      </c>
      <c r="E3097" t="s">
        <v>21</v>
      </c>
      <c r="F3097">
        <v>2</v>
      </c>
      <c r="G3097">
        <v>0</v>
      </c>
      <c r="H3097" s="2">
        <v>2.7353999999999998</v>
      </c>
      <c r="I3097" s="2">
        <v>5.82</v>
      </c>
    </row>
    <row r="3098" spans="1:9" x14ac:dyDescent="0.3">
      <c r="A3098" t="str">
        <f t="shared" si="1039"/>
        <v>United States</v>
      </c>
      <c r="B3098" t="str">
        <f t="shared" si="1046"/>
        <v>Milwaukee</v>
      </c>
      <c r="C3098" t="str">
        <f t="shared" si="1049"/>
        <v>Same Day</v>
      </c>
      <c r="D3098" t="str">
        <f t="shared" ref="D3098:D3099" si="1050">D3097</f>
        <v>Corporate</v>
      </c>
      <c r="E3098" t="s">
        <v>43</v>
      </c>
      <c r="F3098">
        <v>2</v>
      </c>
      <c r="G3098">
        <v>0</v>
      </c>
      <c r="H3098" s="2">
        <v>3.4685999999999999</v>
      </c>
      <c r="I3098" s="2">
        <v>7.38</v>
      </c>
    </row>
    <row r="3099" spans="1:9" x14ac:dyDescent="0.3">
      <c r="A3099" t="str">
        <f t="shared" si="1039"/>
        <v>United States</v>
      </c>
      <c r="B3099" t="str">
        <f t="shared" si="1046"/>
        <v>Milwaukee</v>
      </c>
      <c r="C3099" t="str">
        <f t="shared" si="1049"/>
        <v>Same Day</v>
      </c>
      <c r="D3099" t="str">
        <f t="shared" si="1050"/>
        <v>Corporate</v>
      </c>
      <c r="E3099" t="s">
        <v>14</v>
      </c>
      <c r="F3099">
        <v>7</v>
      </c>
      <c r="G3099">
        <v>0</v>
      </c>
      <c r="H3099" s="2">
        <v>35.553200000000004</v>
      </c>
      <c r="I3099" s="2">
        <v>130.28</v>
      </c>
    </row>
    <row r="3100" spans="1:9" x14ac:dyDescent="0.3">
      <c r="A3100" t="str">
        <f t="shared" si="1039"/>
        <v>United States</v>
      </c>
      <c r="B3100" t="str">
        <f t="shared" si="1046"/>
        <v>Milwaukee</v>
      </c>
      <c r="C3100" t="s">
        <v>7</v>
      </c>
      <c r="D3100" t="s">
        <v>15</v>
      </c>
      <c r="E3100" t="s">
        <v>23</v>
      </c>
      <c r="F3100">
        <v>7</v>
      </c>
      <c r="G3100">
        <v>0</v>
      </c>
      <c r="H3100" s="2">
        <v>48.457499999999996</v>
      </c>
      <c r="I3100" s="2">
        <v>124.25</v>
      </c>
    </row>
    <row r="3101" spans="1:9" x14ac:dyDescent="0.3">
      <c r="A3101" t="str">
        <f t="shared" si="1039"/>
        <v>United States</v>
      </c>
      <c r="B3101" t="str">
        <f t="shared" si="1046"/>
        <v>Milwaukee</v>
      </c>
      <c r="C3101" t="str">
        <f t="shared" ref="C3101:C3109" si="1051">C3100</f>
        <v>Second Class</v>
      </c>
      <c r="D3101" t="str">
        <f t="shared" ref="D3101:D3104" si="1052">D3100</f>
        <v>Corporate</v>
      </c>
      <c r="E3101" t="s">
        <v>33</v>
      </c>
      <c r="F3101">
        <v>9</v>
      </c>
      <c r="G3101">
        <v>0</v>
      </c>
      <c r="H3101" s="2">
        <v>475.1284</v>
      </c>
      <c r="I3101" s="2">
        <v>1858.46</v>
      </c>
    </row>
    <row r="3102" spans="1:9" x14ac:dyDescent="0.3">
      <c r="A3102" t="str">
        <f t="shared" si="1039"/>
        <v>United States</v>
      </c>
      <c r="B3102" t="str">
        <f t="shared" si="1046"/>
        <v>Milwaukee</v>
      </c>
      <c r="C3102" t="str">
        <f t="shared" si="1051"/>
        <v>Second Class</v>
      </c>
      <c r="D3102" t="str">
        <f t="shared" si="1052"/>
        <v>Corporate</v>
      </c>
      <c r="E3102" t="s">
        <v>21</v>
      </c>
      <c r="F3102">
        <v>5</v>
      </c>
      <c r="G3102">
        <v>0</v>
      </c>
      <c r="H3102" s="2">
        <v>27.60799999999999</v>
      </c>
      <c r="I3102" s="2">
        <v>95.199999999999989</v>
      </c>
    </row>
    <row r="3103" spans="1:9" x14ac:dyDescent="0.3">
      <c r="A3103" t="str">
        <f t="shared" si="1039"/>
        <v>United States</v>
      </c>
      <c r="B3103" t="str">
        <f t="shared" si="1046"/>
        <v>Milwaukee</v>
      </c>
      <c r="C3103" t="str">
        <f t="shared" si="1051"/>
        <v>Second Class</v>
      </c>
      <c r="D3103" t="str">
        <f t="shared" si="1052"/>
        <v>Corporate</v>
      </c>
      <c r="E3103" t="s">
        <v>16</v>
      </c>
      <c r="F3103">
        <v>2</v>
      </c>
      <c r="G3103">
        <v>0</v>
      </c>
      <c r="H3103" s="2">
        <v>9.6913999999999998</v>
      </c>
      <c r="I3103" s="2">
        <v>20.62</v>
      </c>
    </row>
    <row r="3104" spans="1:9" x14ac:dyDescent="0.3">
      <c r="A3104" t="str">
        <f t="shared" si="1039"/>
        <v>United States</v>
      </c>
      <c r="B3104" t="str">
        <f t="shared" si="1046"/>
        <v>Milwaukee</v>
      </c>
      <c r="C3104" t="str">
        <f t="shared" si="1051"/>
        <v>Second Class</v>
      </c>
      <c r="D3104" t="str">
        <f t="shared" si="1052"/>
        <v>Corporate</v>
      </c>
      <c r="E3104" t="s">
        <v>24</v>
      </c>
      <c r="F3104">
        <v>5</v>
      </c>
      <c r="G3104">
        <v>0</v>
      </c>
      <c r="H3104" s="2">
        <v>83.314000000000021</v>
      </c>
      <c r="I3104" s="2">
        <v>297.55</v>
      </c>
    </row>
    <row r="3105" spans="1:9" x14ac:dyDescent="0.3">
      <c r="A3105" t="str">
        <f t="shared" si="1039"/>
        <v>United States</v>
      </c>
      <c r="B3105" t="str">
        <f t="shared" si="1046"/>
        <v>Milwaukee</v>
      </c>
      <c r="C3105" t="str">
        <f t="shared" si="1051"/>
        <v>Second Class</v>
      </c>
      <c r="D3105" t="s">
        <v>17</v>
      </c>
      <c r="E3105" t="s">
        <v>23</v>
      </c>
      <c r="F3105">
        <v>4</v>
      </c>
      <c r="G3105">
        <v>0</v>
      </c>
      <c r="H3105" s="2">
        <v>229.99080000000004</v>
      </c>
      <c r="I3105" s="2">
        <v>999.96</v>
      </c>
    </row>
    <row r="3106" spans="1:9" x14ac:dyDescent="0.3">
      <c r="A3106" t="str">
        <f t="shared" si="1039"/>
        <v>United States</v>
      </c>
      <c r="B3106" t="str">
        <f t="shared" si="1046"/>
        <v>Milwaukee</v>
      </c>
      <c r="C3106" t="str">
        <f t="shared" si="1051"/>
        <v>Second Class</v>
      </c>
      <c r="D3106" t="str">
        <f t="shared" ref="D3106:D3109" si="1053">D3105</f>
        <v>Home Office</v>
      </c>
      <c r="E3106" t="s">
        <v>34</v>
      </c>
      <c r="F3106">
        <v>5</v>
      </c>
      <c r="G3106">
        <v>0</v>
      </c>
      <c r="H3106" s="2">
        <v>48.117999999999981</v>
      </c>
      <c r="I3106" s="2">
        <v>687.4</v>
      </c>
    </row>
    <row r="3107" spans="1:9" x14ac:dyDescent="0.3">
      <c r="A3107" t="str">
        <f t="shared" si="1039"/>
        <v>United States</v>
      </c>
      <c r="B3107" t="str">
        <f t="shared" si="1046"/>
        <v>Milwaukee</v>
      </c>
      <c r="C3107" t="str">
        <f t="shared" si="1051"/>
        <v>Second Class</v>
      </c>
      <c r="D3107" t="str">
        <f t="shared" si="1053"/>
        <v>Home Office</v>
      </c>
      <c r="E3107" t="s">
        <v>21</v>
      </c>
      <c r="F3107">
        <v>6</v>
      </c>
      <c r="G3107">
        <v>0</v>
      </c>
      <c r="H3107" s="2">
        <v>76.087800000000001</v>
      </c>
      <c r="I3107" s="2">
        <v>185.57999999999998</v>
      </c>
    </row>
    <row r="3108" spans="1:9" x14ac:dyDescent="0.3">
      <c r="A3108" t="str">
        <f t="shared" si="1039"/>
        <v>United States</v>
      </c>
      <c r="B3108" t="str">
        <f t="shared" si="1046"/>
        <v>Milwaukee</v>
      </c>
      <c r="C3108" t="str">
        <f t="shared" si="1051"/>
        <v>Second Class</v>
      </c>
      <c r="D3108" t="str">
        <f t="shared" si="1053"/>
        <v>Home Office</v>
      </c>
      <c r="E3108" t="s">
        <v>16</v>
      </c>
      <c r="F3108">
        <v>9</v>
      </c>
      <c r="G3108">
        <v>0</v>
      </c>
      <c r="H3108" s="2">
        <v>84.5154</v>
      </c>
      <c r="I3108" s="2">
        <v>179.82</v>
      </c>
    </row>
    <row r="3109" spans="1:9" x14ac:dyDescent="0.3">
      <c r="A3109" t="str">
        <f t="shared" si="1039"/>
        <v>United States</v>
      </c>
      <c r="B3109" t="str">
        <f t="shared" si="1046"/>
        <v>Milwaukee</v>
      </c>
      <c r="C3109" t="str">
        <f t="shared" si="1051"/>
        <v>Second Class</v>
      </c>
      <c r="D3109" t="str">
        <f t="shared" si="1053"/>
        <v>Home Office</v>
      </c>
      <c r="E3109" t="s">
        <v>25</v>
      </c>
      <c r="F3109">
        <v>6</v>
      </c>
      <c r="G3109">
        <v>0</v>
      </c>
      <c r="H3109" s="2">
        <v>147.5021999999999</v>
      </c>
      <c r="I3109" s="2">
        <v>867.66</v>
      </c>
    </row>
    <row r="3110" spans="1:9" x14ac:dyDescent="0.3">
      <c r="A3110" t="str">
        <f t="shared" si="1039"/>
        <v>United States</v>
      </c>
      <c r="B3110" t="str">
        <f t="shared" si="1046"/>
        <v>Milwaukee</v>
      </c>
      <c r="C3110" t="s">
        <v>22</v>
      </c>
      <c r="D3110" t="s">
        <v>8</v>
      </c>
      <c r="E3110" t="s">
        <v>23</v>
      </c>
      <c r="F3110">
        <v>1</v>
      </c>
      <c r="G3110">
        <v>0</v>
      </c>
      <c r="H3110" s="2">
        <v>1.8872</v>
      </c>
      <c r="I3110" s="2">
        <v>13.48</v>
      </c>
    </row>
    <row r="3111" spans="1:9" x14ac:dyDescent="0.3">
      <c r="A3111" t="str">
        <f t="shared" si="1039"/>
        <v>United States</v>
      </c>
      <c r="B3111" t="str">
        <f t="shared" si="1046"/>
        <v>Milwaukee</v>
      </c>
      <c r="C3111" t="str">
        <f t="shared" ref="C3111:C3125" si="1054">C3110</f>
        <v>Standard Class</v>
      </c>
      <c r="D3111" t="str">
        <f t="shared" ref="D3111:D3115" si="1055">D3110</f>
        <v>Consumer</v>
      </c>
      <c r="E3111" t="s">
        <v>12</v>
      </c>
      <c r="F3111">
        <v>5</v>
      </c>
      <c r="G3111">
        <v>0</v>
      </c>
      <c r="H3111" s="2">
        <v>76.27200000000002</v>
      </c>
      <c r="I3111" s="2">
        <v>272.39999999999998</v>
      </c>
    </row>
    <row r="3112" spans="1:9" x14ac:dyDescent="0.3">
      <c r="A3112" t="str">
        <f t="shared" si="1039"/>
        <v>United States</v>
      </c>
      <c r="B3112" t="str">
        <f t="shared" si="1046"/>
        <v>Milwaukee</v>
      </c>
      <c r="C3112" t="str">
        <f t="shared" si="1054"/>
        <v>Standard Class</v>
      </c>
      <c r="D3112" t="str">
        <f t="shared" si="1055"/>
        <v>Consumer</v>
      </c>
      <c r="E3112" t="s">
        <v>19</v>
      </c>
      <c r="F3112">
        <v>5</v>
      </c>
      <c r="G3112">
        <v>0</v>
      </c>
      <c r="H3112" s="2">
        <v>16.170000000000002</v>
      </c>
      <c r="I3112" s="2">
        <v>57.75</v>
      </c>
    </row>
    <row r="3113" spans="1:9" x14ac:dyDescent="0.3">
      <c r="A3113" t="str">
        <f t="shared" si="1039"/>
        <v>United States</v>
      </c>
      <c r="B3113" t="str">
        <f t="shared" si="1046"/>
        <v>Milwaukee</v>
      </c>
      <c r="C3113" t="str">
        <f t="shared" si="1054"/>
        <v>Standard Class</v>
      </c>
      <c r="D3113" t="str">
        <f t="shared" si="1055"/>
        <v>Consumer</v>
      </c>
      <c r="E3113" t="s">
        <v>33</v>
      </c>
      <c r="F3113">
        <v>5</v>
      </c>
      <c r="G3113">
        <v>0</v>
      </c>
      <c r="H3113" s="2">
        <v>60.356000000000023</v>
      </c>
      <c r="I3113" s="2">
        <v>754.44999999999993</v>
      </c>
    </row>
    <row r="3114" spans="1:9" x14ac:dyDescent="0.3">
      <c r="A3114" t="str">
        <f t="shared" si="1039"/>
        <v>United States</v>
      </c>
      <c r="B3114" t="str">
        <f t="shared" si="1046"/>
        <v>Milwaukee</v>
      </c>
      <c r="C3114" t="str">
        <f t="shared" si="1054"/>
        <v>Standard Class</v>
      </c>
      <c r="D3114" t="str">
        <f t="shared" si="1055"/>
        <v>Consumer</v>
      </c>
      <c r="E3114" t="s">
        <v>21</v>
      </c>
      <c r="F3114">
        <v>3</v>
      </c>
      <c r="G3114">
        <v>0</v>
      </c>
      <c r="H3114" s="2">
        <v>11.314800000000002</v>
      </c>
      <c r="I3114" s="2">
        <v>26.94</v>
      </c>
    </row>
    <row r="3115" spans="1:9" x14ac:dyDescent="0.3">
      <c r="A3115" t="str">
        <f t="shared" si="1039"/>
        <v>United States</v>
      </c>
      <c r="B3115" t="str">
        <f t="shared" si="1046"/>
        <v>Milwaukee</v>
      </c>
      <c r="C3115" t="str">
        <f t="shared" si="1054"/>
        <v>Standard Class</v>
      </c>
      <c r="D3115" t="str">
        <f t="shared" si="1055"/>
        <v>Consumer</v>
      </c>
      <c r="E3115" t="s">
        <v>24</v>
      </c>
      <c r="F3115">
        <v>4</v>
      </c>
      <c r="G3115">
        <v>0</v>
      </c>
      <c r="H3115" s="2">
        <v>285.9896</v>
      </c>
      <c r="I3115" s="2">
        <v>1099.96</v>
      </c>
    </row>
    <row r="3116" spans="1:9" x14ac:dyDescent="0.3">
      <c r="A3116" t="str">
        <f t="shared" si="1039"/>
        <v>United States</v>
      </c>
      <c r="B3116" t="str">
        <f t="shared" si="1046"/>
        <v>Milwaukee</v>
      </c>
      <c r="C3116" t="str">
        <f t="shared" si="1054"/>
        <v>Standard Class</v>
      </c>
      <c r="D3116" t="s">
        <v>15</v>
      </c>
      <c r="E3116" t="s">
        <v>23</v>
      </c>
      <c r="F3116">
        <v>9</v>
      </c>
      <c r="G3116">
        <v>0</v>
      </c>
      <c r="H3116" s="2">
        <v>20.671799999999994</v>
      </c>
      <c r="I3116" s="2">
        <v>127.5</v>
      </c>
    </row>
    <row r="3117" spans="1:9" x14ac:dyDescent="0.3">
      <c r="A3117" t="str">
        <f t="shared" si="1039"/>
        <v>United States</v>
      </c>
      <c r="B3117" t="str">
        <f t="shared" si="1046"/>
        <v>Milwaukee</v>
      </c>
      <c r="C3117" t="str">
        <f t="shared" si="1054"/>
        <v>Standard Class</v>
      </c>
      <c r="D3117" t="str">
        <f t="shared" ref="D3117:D3122" si="1056">D3116</f>
        <v>Corporate</v>
      </c>
      <c r="E3117" t="s">
        <v>12</v>
      </c>
      <c r="F3117">
        <v>6</v>
      </c>
      <c r="G3117">
        <v>0</v>
      </c>
      <c r="H3117" s="2">
        <v>54.558</v>
      </c>
      <c r="I3117" s="2">
        <v>155.88</v>
      </c>
    </row>
    <row r="3118" spans="1:9" x14ac:dyDescent="0.3">
      <c r="A3118" t="str">
        <f t="shared" si="1039"/>
        <v>United States</v>
      </c>
      <c r="B3118" t="str">
        <f t="shared" si="1046"/>
        <v>Milwaukee</v>
      </c>
      <c r="C3118" t="str">
        <f t="shared" si="1054"/>
        <v>Standard Class</v>
      </c>
      <c r="D3118" t="str">
        <f t="shared" si="1056"/>
        <v>Corporate</v>
      </c>
      <c r="E3118" t="s">
        <v>20</v>
      </c>
      <c r="F3118">
        <v>23</v>
      </c>
      <c r="G3118">
        <v>0</v>
      </c>
      <c r="H3118" s="2">
        <v>53.860399999999998</v>
      </c>
      <c r="I3118" s="2">
        <v>111.28</v>
      </c>
    </row>
    <row r="3119" spans="1:9" x14ac:dyDescent="0.3">
      <c r="A3119" t="str">
        <f t="shared" si="1039"/>
        <v>United States</v>
      </c>
      <c r="B3119" t="str">
        <f t="shared" si="1046"/>
        <v>Milwaukee</v>
      </c>
      <c r="C3119" t="str">
        <f t="shared" si="1054"/>
        <v>Standard Class</v>
      </c>
      <c r="D3119" t="str">
        <f t="shared" si="1056"/>
        <v>Corporate</v>
      </c>
      <c r="E3119" t="s">
        <v>33</v>
      </c>
      <c r="F3119">
        <v>11</v>
      </c>
      <c r="G3119">
        <v>0</v>
      </c>
      <c r="H3119" s="2">
        <v>482.58189999999991</v>
      </c>
      <c r="I3119" s="2">
        <v>1986.5200000000002</v>
      </c>
    </row>
    <row r="3120" spans="1:9" x14ac:dyDescent="0.3">
      <c r="A3120" t="str">
        <f t="shared" si="1039"/>
        <v>United States</v>
      </c>
      <c r="B3120" t="str">
        <f t="shared" si="1046"/>
        <v>Milwaukee</v>
      </c>
      <c r="C3120" t="str">
        <f t="shared" si="1054"/>
        <v>Standard Class</v>
      </c>
      <c r="D3120" t="str">
        <f t="shared" si="1056"/>
        <v>Corporate</v>
      </c>
      <c r="E3120" t="s">
        <v>21</v>
      </c>
      <c r="F3120">
        <v>5</v>
      </c>
      <c r="G3120">
        <v>0</v>
      </c>
      <c r="H3120" s="2">
        <v>22.988499999999998</v>
      </c>
      <c r="I3120" s="2">
        <v>99.949999999999989</v>
      </c>
    </row>
    <row r="3121" spans="1:9" x14ac:dyDescent="0.3">
      <c r="A3121" t="str">
        <f t="shared" si="1039"/>
        <v>United States</v>
      </c>
      <c r="B3121" t="str">
        <f t="shared" si="1046"/>
        <v>Milwaukee</v>
      </c>
      <c r="C3121" t="str">
        <f t="shared" si="1054"/>
        <v>Standard Class</v>
      </c>
      <c r="D3121" t="str">
        <f t="shared" si="1056"/>
        <v>Corporate</v>
      </c>
      <c r="E3121" t="s">
        <v>16</v>
      </c>
      <c r="F3121">
        <v>4</v>
      </c>
      <c r="G3121">
        <v>0</v>
      </c>
      <c r="H3121" s="2">
        <v>107.7216</v>
      </c>
      <c r="I3121" s="2">
        <v>219.84</v>
      </c>
    </row>
    <row r="3122" spans="1:9" x14ac:dyDescent="0.3">
      <c r="A3122" t="str">
        <f t="shared" si="1039"/>
        <v>United States</v>
      </c>
      <c r="B3122" t="str">
        <f t="shared" si="1046"/>
        <v>Milwaukee</v>
      </c>
      <c r="C3122" t="str">
        <f t="shared" si="1054"/>
        <v>Standard Class</v>
      </c>
      <c r="D3122" t="str">
        <f t="shared" si="1056"/>
        <v>Corporate</v>
      </c>
      <c r="E3122" t="s">
        <v>24</v>
      </c>
      <c r="F3122">
        <v>4</v>
      </c>
      <c r="G3122">
        <v>0</v>
      </c>
      <c r="H3122" s="2">
        <v>25.481099999999991</v>
      </c>
      <c r="I3122" s="2">
        <v>99.96</v>
      </c>
    </row>
    <row r="3123" spans="1:9" x14ac:dyDescent="0.3">
      <c r="A3123" t="str">
        <f t="shared" si="1039"/>
        <v>United States</v>
      </c>
      <c r="B3123" t="str">
        <f t="shared" si="1046"/>
        <v>Milwaukee</v>
      </c>
      <c r="C3123" t="str">
        <f t="shared" si="1054"/>
        <v>Standard Class</v>
      </c>
      <c r="D3123" t="s">
        <v>17</v>
      </c>
      <c r="E3123" t="s">
        <v>12</v>
      </c>
      <c r="F3123">
        <v>14</v>
      </c>
      <c r="G3123">
        <v>0</v>
      </c>
      <c r="H3123" s="2">
        <v>163.85360000000003</v>
      </c>
      <c r="I3123" s="2">
        <v>581.91999999999996</v>
      </c>
    </row>
    <row r="3124" spans="1:9" x14ac:dyDescent="0.3">
      <c r="A3124" t="str">
        <f t="shared" si="1039"/>
        <v>United States</v>
      </c>
      <c r="B3124" t="str">
        <f t="shared" si="1046"/>
        <v>Milwaukee</v>
      </c>
      <c r="C3124" t="str">
        <f t="shared" si="1054"/>
        <v>Standard Class</v>
      </c>
      <c r="D3124" t="str">
        <f t="shared" ref="D3124:D3125" si="1057">D3123</f>
        <v>Home Office</v>
      </c>
      <c r="E3124" t="s">
        <v>20</v>
      </c>
      <c r="F3124">
        <v>3</v>
      </c>
      <c r="G3124">
        <v>0</v>
      </c>
      <c r="H3124" s="2">
        <v>8.5727999999999991</v>
      </c>
      <c r="I3124" s="2">
        <v>18.240000000000002</v>
      </c>
    </row>
    <row r="3125" spans="1:9" x14ac:dyDescent="0.3">
      <c r="A3125" t="str">
        <f t="shared" si="1039"/>
        <v>United States</v>
      </c>
      <c r="B3125" t="str">
        <f t="shared" si="1046"/>
        <v>Milwaukee</v>
      </c>
      <c r="C3125" t="str">
        <f t="shared" si="1054"/>
        <v>Standard Class</v>
      </c>
      <c r="D3125" t="str">
        <f t="shared" si="1057"/>
        <v>Home Office</v>
      </c>
      <c r="E3125" t="s">
        <v>9</v>
      </c>
      <c r="F3125">
        <v>3</v>
      </c>
      <c r="G3125">
        <v>0</v>
      </c>
      <c r="H3125" s="2">
        <v>5.8887000000000009</v>
      </c>
      <c r="I3125" s="2">
        <v>21.81</v>
      </c>
    </row>
    <row r="3126" spans="1:9" x14ac:dyDescent="0.3">
      <c r="A3126" t="str">
        <f t="shared" si="1039"/>
        <v>United States</v>
      </c>
      <c r="B3126" t="s">
        <v>330</v>
      </c>
      <c r="C3126" t="s">
        <v>11</v>
      </c>
      <c r="D3126" t="s">
        <v>8</v>
      </c>
      <c r="E3126" t="s">
        <v>20</v>
      </c>
      <c r="F3126">
        <v>2</v>
      </c>
      <c r="G3126">
        <v>0</v>
      </c>
      <c r="H3126" s="2">
        <v>843.17059999999992</v>
      </c>
      <c r="I3126" s="2">
        <v>1793.98</v>
      </c>
    </row>
    <row r="3127" spans="1:9" x14ac:dyDescent="0.3">
      <c r="A3127" t="str">
        <f t="shared" si="1039"/>
        <v>United States</v>
      </c>
      <c r="B3127" t="str">
        <f t="shared" ref="B3127:B3143" si="1058">B3126</f>
        <v>Minneapolis</v>
      </c>
      <c r="C3127" t="str">
        <f t="shared" ref="C3127:C3128" si="1059">C3126</f>
        <v>First Class</v>
      </c>
      <c r="D3127" t="str">
        <f>D3126</f>
        <v>Consumer</v>
      </c>
      <c r="E3127" t="s">
        <v>14</v>
      </c>
      <c r="F3127">
        <v>6</v>
      </c>
      <c r="G3127">
        <v>0</v>
      </c>
      <c r="H3127" s="2">
        <v>9.716399999999993</v>
      </c>
      <c r="I3127" s="2">
        <v>663.75</v>
      </c>
    </row>
    <row r="3128" spans="1:9" x14ac:dyDescent="0.3">
      <c r="A3128" t="str">
        <f t="shared" si="1039"/>
        <v>United States</v>
      </c>
      <c r="B3128" t="str">
        <f t="shared" si="1058"/>
        <v>Minneapolis</v>
      </c>
      <c r="C3128" t="str">
        <f t="shared" si="1059"/>
        <v>First Class</v>
      </c>
      <c r="D3128" t="s">
        <v>17</v>
      </c>
      <c r="E3128" t="s">
        <v>38</v>
      </c>
      <c r="F3128">
        <v>2</v>
      </c>
      <c r="G3128">
        <v>0</v>
      </c>
      <c r="H3128" s="2">
        <v>7.4871999999999996</v>
      </c>
      <c r="I3128" s="2">
        <v>15.28</v>
      </c>
    </row>
    <row r="3129" spans="1:9" x14ac:dyDescent="0.3">
      <c r="A3129" t="str">
        <f t="shared" si="1039"/>
        <v>United States</v>
      </c>
      <c r="B3129" t="str">
        <f t="shared" si="1058"/>
        <v>Minneapolis</v>
      </c>
      <c r="C3129" t="s">
        <v>7</v>
      </c>
      <c r="D3129" t="s">
        <v>8</v>
      </c>
      <c r="E3129" t="s">
        <v>20</v>
      </c>
      <c r="F3129">
        <v>2</v>
      </c>
      <c r="G3129">
        <v>0</v>
      </c>
      <c r="H3129" s="2">
        <v>16.150400000000001</v>
      </c>
      <c r="I3129" s="2">
        <v>32.96</v>
      </c>
    </row>
    <row r="3130" spans="1:9" x14ac:dyDescent="0.3">
      <c r="A3130" t="str">
        <f t="shared" si="1039"/>
        <v>United States</v>
      </c>
      <c r="B3130" t="str">
        <f t="shared" si="1058"/>
        <v>Minneapolis</v>
      </c>
      <c r="C3130" t="str">
        <f t="shared" ref="C3130:C3134" si="1060">C3129</f>
        <v>Second Class</v>
      </c>
      <c r="D3130" t="str">
        <f t="shared" ref="D3130:D3131" si="1061">D3129</f>
        <v>Consumer</v>
      </c>
      <c r="E3130" t="s">
        <v>21</v>
      </c>
      <c r="F3130">
        <v>3</v>
      </c>
      <c r="G3130">
        <v>0</v>
      </c>
      <c r="H3130" s="2">
        <v>16.535399999999996</v>
      </c>
      <c r="I3130" s="2">
        <v>53.34</v>
      </c>
    </row>
    <row r="3131" spans="1:9" x14ac:dyDescent="0.3">
      <c r="A3131" t="str">
        <f t="shared" si="1039"/>
        <v>United States</v>
      </c>
      <c r="B3131" t="str">
        <f t="shared" si="1058"/>
        <v>Minneapolis</v>
      </c>
      <c r="C3131" t="str">
        <f t="shared" si="1060"/>
        <v>Second Class</v>
      </c>
      <c r="D3131" t="str">
        <f t="shared" si="1061"/>
        <v>Consumer</v>
      </c>
      <c r="E3131" t="s">
        <v>16</v>
      </c>
      <c r="F3131">
        <v>2</v>
      </c>
      <c r="G3131">
        <v>0</v>
      </c>
      <c r="H3131" s="2">
        <v>6.2208000000000006</v>
      </c>
      <c r="I3131" s="2">
        <v>12.96</v>
      </c>
    </row>
    <row r="3132" spans="1:9" x14ac:dyDescent="0.3">
      <c r="A3132" t="str">
        <f t="shared" si="1039"/>
        <v>United States</v>
      </c>
      <c r="B3132" t="str">
        <f t="shared" si="1058"/>
        <v>Minneapolis</v>
      </c>
      <c r="C3132" t="str">
        <f t="shared" si="1060"/>
        <v>Second Class</v>
      </c>
      <c r="D3132" t="s">
        <v>15</v>
      </c>
      <c r="E3132" t="s">
        <v>14</v>
      </c>
      <c r="F3132">
        <v>5</v>
      </c>
      <c r="G3132">
        <v>0</v>
      </c>
      <c r="H3132" s="2">
        <v>16.787500000000001</v>
      </c>
      <c r="I3132" s="2">
        <v>67.150000000000006</v>
      </c>
    </row>
    <row r="3133" spans="1:9" x14ac:dyDescent="0.3">
      <c r="A3133" t="str">
        <f t="shared" si="1039"/>
        <v>United States</v>
      </c>
      <c r="B3133" t="str">
        <f t="shared" si="1058"/>
        <v>Minneapolis</v>
      </c>
      <c r="C3133" t="str">
        <f t="shared" si="1060"/>
        <v>Second Class</v>
      </c>
      <c r="D3133" t="s">
        <v>17</v>
      </c>
      <c r="E3133" t="s">
        <v>19</v>
      </c>
      <c r="F3133">
        <v>5</v>
      </c>
      <c r="G3133">
        <v>0</v>
      </c>
      <c r="H3133" s="2">
        <v>3.6139999999999994</v>
      </c>
      <c r="I3133" s="2">
        <v>13.899999999999999</v>
      </c>
    </row>
    <row r="3134" spans="1:9" x14ac:dyDescent="0.3">
      <c r="A3134" t="str">
        <f t="shared" si="1039"/>
        <v>United States</v>
      </c>
      <c r="B3134" t="str">
        <f t="shared" si="1058"/>
        <v>Minneapolis</v>
      </c>
      <c r="C3134" t="str">
        <f t="shared" si="1060"/>
        <v>Second Class</v>
      </c>
      <c r="D3134" t="str">
        <f>D3133</f>
        <v>Home Office</v>
      </c>
      <c r="E3134" t="s">
        <v>16</v>
      </c>
      <c r="F3134">
        <v>1</v>
      </c>
      <c r="G3134">
        <v>0</v>
      </c>
      <c r="H3134" s="2">
        <v>12.134799999999998</v>
      </c>
      <c r="I3134" s="2">
        <v>26.38</v>
      </c>
    </row>
    <row r="3135" spans="1:9" x14ac:dyDescent="0.3">
      <c r="A3135" t="str">
        <f t="shared" si="1039"/>
        <v>United States</v>
      </c>
      <c r="B3135" t="str">
        <f t="shared" si="1058"/>
        <v>Minneapolis</v>
      </c>
      <c r="C3135" t="s">
        <v>22</v>
      </c>
      <c r="D3135" t="s">
        <v>8</v>
      </c>
      <c r="E3135" t="s">
        <v>12</v>
      </c>
      <c r="F3135">
        <v>11</v>
      </c>
      <c r="G3135">
        <v>0</v>
      </c>
      <c r="H3135" s="2">
        <v>129.71020000000001</v>
      </c>
      <c r="I3135" s="2">
        <v>453.58</v>
      </c>
    </row>
    <row r="3136" spans="1:9" x14ac:dyDescent="0.3">
      <c r="A3136" t="str">
        <f t="shared" si="1039"/>
        <v>United States</v>
      </c>
      <c r="B3136" t="str">
        <f t="shared" si="1058"/>
        <v>Minneapolis</v>
      </c>
      <c r="C3136" t="str">
        <f t="shared" ref="C3136:C3143" si="1062">C3135</f>
        <v>Standard Class</v>
      </c>
      <c r="D3136" t="str">
        <f t="shared" ref="D3136:D3141" si="1063">D3135</f>
        <v>Consumer</v>
      </c>
      <c r="E3136" t="s">
        <v>20</v>
      </c>
      <c r="F3136">
        <v>11</v>
      </c>
      <c r="G3136">
        <v>0</v>
      </c>
      <c r="H3136" s="2">
        <v>4664.7055000000009</v>
      </c>
      <c r="I3136" s="2">
        <v>9518.4100000000017</v>
      </c>
    </row>
    <row r="3137" spans="1:9" x14ac:dyDescent="0.3">
      <c r="A3137" t="str">
        <f t="shared" si="1039"/>
        <v>United States</v>
      </c>
      <c r="B3137" t="str">
        <f t="shared" si="1058"/>
        <v>Minneapolis</v>
      </c>
      <c r="C3137" t="str">
        <f t="shared" si="1062"/>
        <v>Standard Class</v>
      </c>
      <c r="D3137" t="str">
        <f t="shared" si="1063"/>
        <v>Consumer</v>
      </c>
      <c r="E3137" t="s">
        <v>33</v>
      </c>
      <c r="F3137">
        <v>8</v>
      </c>
      <c r="G3137">
        <v>0</v>
      </c>
      <c r="H3137" s="2">
        <v>770.35199999999986</v>
      </c>
      <c r="I3137" s="2">
        <v>2567.84</v>
      </c>
    </row>
    <row r="3138" spans="1:9" x14ac:dyDescent="0.3">
      <c r="A3138" t="str">
        <f t="shared" si="1039"/>
        <v>United States</v>
      </c>
      <c r="B3138" t="str">
        <f t="shared" si="1058"/>
        <v>Minneapolis</v>
      </c>
      <c r="C3138" t="str">
        <f t="shared" si="1062"/>
        <v>Standard Class</v>
      </c>
      <c r="D3138" t="str">
        <f t="shared" si="1063"/>
        <v>Consumer</v>
      </c>
      <c r="E3138" t="s">
        <v>21</v>
      </c>
      <c r="F3138">
        <v>3</v>
      </c>
      <c r="G3138">
        <v>0</v>
      </c>
      <c r="H3138" s="2">
        <v>11.156400000000005</v>
      </c>
      <c r="I3138" s="2">
        <v>123.96000000000001</v>
      </c>
    </row>
    <row r="3139" spans="1:9" x14ac:dyDescent="0.3">
      <c r="A3139" t="str">
        <f t="shared" si="1039"/>
        <v>United States</v>
      </c>
      <c r="B3139" t="str">
        <f t="shared" si="1058"/>
        <v>Minneapolis</v>
      </c>
      <c r="C3139" t="str">
        <f t="shared" si="1062"/>
        <v>Standard Class</v>
      </c>
      <c r="D3139" t="str">
        <f t="shared" si="1063"/>
        <v>Consumer</v>
      </c>
      <c r="E3139" t="s">
        <v>16</v>
      </c>
      <c r="F3139">
        <v>5</v>
      </c>
      <c r="G3139">
        <v>0</v>
      </c>
      <c r="H3139" s="2">
        <v>15.552000000000001</v>
      </c>
      <c r="I3139" s="2">
        <v>32.400000000000006</v>
      </c>
    </row>
    <row r="3140" spans="1:9" x14ac:dyDescent="0.3">
      <c r="A3140" t="str">
        <f t="shared" ref="A3140:A3203" si="1064">A3139</f>
        <v>United States</v>
      </c>
      <c r="B3140" t="str">
        <f t="shared" si="1058"/>
        <v>Minneapolis</v>
      </c>
      <c r="C3140" t="str">
        <f t="shared" si="1062"/>
        <v>Standard Class</v>
      </c>
      <c r="D3140" t="str">
        <f t="shared" si="1063"/>
        <v>Consumer</v>
      </c>
      <c r="E3140" t="s">
        <v>24</v>
      </c>
      <c r="F3140">
        <v>3</v>
      </c>
      <c r="G3140">
        <v>0</v>
      </c>
      <c r="H3140" s="2">
        <v>105.83160000000002</v>
      </c>
      <c r="I3140" s="2">
        <v>377.96999999999997</v>
      </c>
    </row>
    <row r="3141" spans="1:9" x14ac:dyDescent="0.3">
      <c r="A3141" t="str">
        <f t="shared" si="1064"/>
        <v>United States</v>
      </c>
      <c r="B3141" t="str">
        <f t="shared" si="1058"/>
        <v>Minneapolis</v>
      </c>
      <c r="C3141" t="str">
        <f t="shared" si="1062"/>
        <v>Standard Class</v>
      </c>
      <c r="D3141" t="str">
        <f t="shared" si="1063"/>
        <v>Consumer</v>
      </c>
      <c r="E3141" t="s">
        <v>14</v>
      </c>
      <c r="F3141">
        <v>5</v>
      </c>
      <c r="G3141">
        <v>0</v>
      </c>
      <c r="H3141" s="2">
        <v>16.195999999999984</v>
      </c>
      <c r="I3141" s="2">
        <v>404.90000000000003</v>
      </c>
    </row>
    <row r="3142" spans="1:9" x14ac:dyDescent="0.3">
      <c r="A3142" t="str">
        <f t="shared" si="1064"/>
        <v>United States</v>
      </c>
      <c r="B3142" t="str">
        <f t="shared" si="1058"/>
        <v>Minneapolis</v>
      </c>
      <c r="C3142" t="str">
        <f t="shared" si="1062"/>
        <v>Standard Class</v>
      </c>
      <c r="D3142" t="s">
        <v>15</v>
      </c>
      <c r="E3142" t="s">
        <v>21</v>
      </c>
      <c r="F3142">
        <v>3</v>
      </c>
      <c r="G3142">
        <v>0</v>
      </c>
      <c r="H3142" s="2">
        <v>6.0287999999999995</v>
      </c>
      <c r="I3142" s="2">
        <v>18.84</v>
      </c>
    </row>
    <row r="3143" spans="1:9" x14ac:dyDescent="0.3">
      <c r="A3143" t="str">
        <f t="shared" si="1064"/>
        <v>United States</v>
      </c>
      <c r="B3143" t="str">
        <f t="shared" si="1058"/>
        <v>Minneapolis</v>
      </c>
      <c r="C3143" t="str">
        <f t="shared" si="1062"/>
        <v>Standard Class</v>
      </c>
      <c r="D3143" t="s">
        <v>17</v>
      </c>
      <c r="E3143" t="s">
        <v>25</v>
      </c>
      <c r="F3143">
        <v>3</v>
      </c>
      <c r="G3143">
        <v>0</v>
      </c>
      <c r="H3143" s="2">
        <v>173.23500000000001</v>
      </c>
      <c r="I3143" s="2">
        <v>692.93999999999994</v>
      </c>
    </row>
    <row r="3144" spans="1:9" x14ac:dyDescent="0.3">
      <c r="A3144" t="str">
        <f t="shared" si="1064"/>
        <v>United States</v>
      </c>
      <c r="B3144" t="s">
        <v>331</v>
      </c>
      <c r="C3144" t="s">
        <v>7</v>
      </c>
      <c r="D3144" t="s">
        <v>15</v>
      </c>
      <c r="E3144" t="s">
        <v>12</v>
      </c>
      <c r="F3144">
        <v>4</v>
      </c>
      <c r="G3144">
        <v>0.2</v>
      </c>
      <c r="H3144" s="2">
        <v>48.631999999999948</v>
      </c>
      <c r="I3144" s="2">
        <v>389.05600000000004</v>
      </c>
    </row>
    <row r="3145" spans="1:9" x14ac:dyDescent="0.3">
      <c r="A3145" t="str">
        <f t="shared" si="1064"/>
        <v>United States</v>
      </c>
      <c r="B3145" t="str">
        <f t="shared" ref="B3145:B3149" si="1065">B3144</f>
        <v>Miramar</v>
      </c>
      <c r="C3145" t="str">
        <f t="shared" ref="C3145:C3147" si="1066">C3144</f>
        <v>Second Class</v>
      </c>
      <c r="D3145" t="str">
        <f t="shared" ref="D3145:D3147" si="1067">D3144</f>
        <v>Corporate</v>
      </c>
      <c r="E3145" t="s">
        <v>20</v>
      </c>
      <c r="F3145">
        <v>8</v>
      </c>
      <c r="G3145">
        <v>0.7</v>
      </c>
      <c r="H3145" s="2">
        <v>-16.185600000000001</v>
      </c>
      <c r="I3145" s="2">
        <v>20.232000000000003</v>
      </c>
    </row>
    <row r="3146" spans="1:9" x14ac:dyDescent="0.3">
      <c r="A3146" t="str">
        <f t="shared" si="1064"/>
        <v>United States</v>
      </c>
      <c r="B3146" t="str">
        <f t="shared" si="1065"/>
        <v>Miramar</v>
      </c>
      <c r="C3146" t="str">
        <f t="shared" si="1066"/>
        <v>Second Class</v>
      </c>
      <c r="D3146" t="str">
        <f t="shared" si="1067"/>
        <v>Corporate</v>
      </c>
      <c r="E3146" t="s">
        <v>16</v>
      </c>
      <c r="F3146">
        <v>12</v>
      </c>
      <c r="G3146">
        <v>0.4</v>
      </c>
      <c r="H3146" s="2">
        <v>21.7728</v>
      </c>
      <c r="I3146" s="2">
        <v>62.208000000000013</v>
      </c>
    </row>
    <row r="3147" spans="1:9" x14ac:dyDescent="0.3">
      <c r="A3147" t="str">
        <f t="shared" si="1064"/>
        <v>United States</v>
      </c>
      <c r="B3147" t="str">
        <f t="shared" si="1065"/>
        <v>Miramar</v>
      </c>
      <c r="C3147" t="str">
        <f t="shared" si="1066"/>
        <v>Second Class</v>
      </c>
      <c r="D3147" t="str">
        <f t="shared" si="1067"/>
        <v>Corporate</v>
      </c>
      <c r="E3147" t="s">
        <v>14</v>
      </c>
      <c r="F3147">
        <v>5</v>
      </c>
      <c r="G3147">
        <v>0.2</v>
      </c>
      <c r="H3147" s="2">
        <v>-19.323000000000011</v>
      </c>
      <c r="I3147" s="2">
        <v>81.360000000000014</v>
      </c>
    </row>
    <row r="3148" spans="1:9" x14ac:dyDescent="0.3">
      <c r="A3148" t="str">
        <f t="shared" si="1064"/>
        <v>United States</v>
      </c>
      <c r="B3148" t="str">
        <f t="shared" si="1065"/>
        <v>Miramar</v>
      </c>
      <c r="C3148" t="s">
        <v>22</v>
      </c>
      <c r="D3148" t="s">
        <v>8</v>
      </c>
      <c r="E3148" t="s">
        <v>21</v>
      </c>
      <c r="F3148">
        <v>8</v>
      </c>
      <c r="G3148">
        <v>0.4</v>
      </c>
      <c r="H3148" s="2">
        <v>55.016000000000012</v>
      </c>
      <c r="I3148" s="2">
        <v>559.20000000000005</v>
      </c>
    </row>
    <row r="3149" spans="1:9" x14ac:dyDescent="0.3">
      <c r="A3149" t="str">
        <f t="shared" si="1064"/>
        <v>United States</v>
      </c>
      <c r="B3149" t="str">
        <f t="shared" si="1065"/>
        <v>Miramar</v>
      </c>
      <c r="C3149" t="str">
        <f>C3148</f>
        <v>Standard Class</v>
      </c>
      <c r="D3149" t="s">
        <v>17</v>
      </c>
      <c r="E3149" t="s">
        <v>33</v>
      </c>
      <c r="F3149">
        <v>4</v>
      </c>
      <c r="G3149">
        <v>0.2</v>
      </c>
      <c r="H3149" s="2">
        <v>-57.631200000000035</v>
      </c>
      <c r="I3149" s="2">
        <v>419.13599999999997</v>
      </c>
    </row>
    <row r="3150" spans="1:9" x14ac:dyDescent="0.3">
      <c r="A3150" t="str">
        <f t="shared" si="1064"/>
        <v>United States</v>
      </c>
      <c r="B3150" t="s">
        <v>332</v>
      </c>
      <c r="C3150" t="s">
        <v>22</v>
      </c>
      <c r="D3150" t="s">
        <v>8</v>
      </c>
      <c r="E3150" t="s">
        <v>20</v>
      </c>
      <c r="F3150">
        <v>3</v>
      </c>
      <c r="G3150">
        <v>0</v>
      </c>
      <c r="H3150" s="2">
        <v>64.199999999999989</v>
      </c>
      <c r="I3150" s="2">
        <v>128.39999999999998</v>
      </c>
    </row>
    <row r="3151" spans="1:9" x14ac:dyDescent="0.3">
      <c r="A3151" t="str">
        <f t="shared" si="1064"/>
        <v>United States</v>
      </c>
      <c r="B3151" t="str">
        <f>B3150</f>
        <v>Mishawaka</v>
      </c>
      <c r="C3151" t="str">
        <f>C3150</f>
        <v>Standard Class</v>
      </c>
      <c r="D3151" t="str">
        <f>D3150</f>
        <v>Consumer</v>
      </c>
      <c r="E3151" t="s">
        <v>33</v>
      </c>
      <c r="F3151">
        <v>8</v>
      </c>
      <c r="G3151">
        <v>0</v>
      </c>
      <c r="H3151" s="2">
        <v>32.391999999999939</v>
      </c>
      <c r="I3151" s="2">
        <v>647.84</v>
      </c>
    </row>
    <row r="3152" spans="1:9" x14ac:dyDescent="0.3">
      <c r="A3152" t="str">
        <f t="shared" si="1064"/>
        <v>United States</v>
      </c>
      <c r="B3152" t="s">
        <v>333</v>
      </c>
      <c r="C3152" t="s">
        <v>11</v>
      </c>
      <c r="D3152" t="s">
        <v>8</v>
      </c>
      <c r="E3152" t="s">
        <v>34</v>
      </c>
      <c r="F3152">
        <v>2</v>
      </c>
      <c r="G3152">
        <v>0.15</v>
      </c>
      <c r="H3152" s="2">
        <v>3.4195999999999884</v>
      </c>
      <c r="I3152" s="2">
        <v>290.666</v>
      </c>
    </row>
    <row r="3153" spans="1:9" x14ac:dyDescent="0.3">
      <c r="A3153" t="str">
        <f t="shared" si="1064"/>
        <v>United States</v>
      </c>
      <c r="B3153" t="str">
        <f t="shared" ref="B3153:B3156" si="1068">B3152</f>
        <v>Mission Viejo</v>
      </c>
      <c r="C3153" t="s">
        <v>7</v>
      </c>
      <c r="D3153" t="s">
        <v>8</v>
      </c>
      <c r="E3153" t="s">
        <v>43</v>
      </c>
      <c r="F3153">
        <v>7</v>
      </c>
      <c r="G3153">
        <v>0</v>
      </c>
      <c r="H3153" s="2">
        <v>12.599999999999998</v>
      </c>
      <c r="I3153" s="2">
        <v>26.25</v>
      </c>
    </row>
    <row r="3154" spans="1:9" x14ac:dyDescent="0.3">
      <c r="A3154" t="str">
        <f t="shared" si="1064"/>
        <v>United States</v>
      </c>
      <c r="B3154" t="str">
        <f t="shared" si="1068"/>
        <v>Mission Viejo</v>
      </c>
      <c r="C3154" t="str">
        <f>C3153</f>
        <v>Second Class</v>
      </c>
      <c r="D3154" t="str">
        <f>D3153</f>
        <v>Consumer</v>
      </c>
      <c r="E3154" t="s">
        <v>14</v>
      </c>
      <c r="F3154">
        <v>2</v>
      </c>
      <c r="G3154">
        <v>0</v>
      </c>
      <c r="H3154" s="2">
        <v>85.903999999999996</v>
      </c>
      <c r="I3154" s="2">
        <v>330.4</v>
      </c>
    </row>
    <row r="3155" spans="1:9" x14ac:dyDescent="0.3">
      <c r="A3155" t="str">
        <f t="shared" si="1064"/>
        <v>United States</v>
      </c>
      <c r="B3155" t="str">
        <f t="shared" si="1068"/>
        <v>Mission Viejo</v>
      </c>
      <c r="C3155" t="s">
        <v>22</v>
      </c>
      <c r="D3155" t="s">
        <v>8</v>
      </c>
      <c r="E3155" t="s">
        <v>23</v>
      </c>
      <c r="F3155">
        <v>6</v>
      </c>
      <c r="G3155">
        <v>0</v>
      </c>
      <c r="H3155" s="2">
        <v>46.800000000000004</v>
      </c>
      <c r="I3155" s="2">
        <v>120</v>
      </c>
    </row>
    <row r="3156" spans="1:9" x14ac:dyDescent="0.3">
      <c r="A3156" t="str">
        <f t="shared" si="1064"/>
        <v>United States</v>
      </c>
      <c r="B3156" t="str">
        <f t="shared" si="1068"/>
        <v>Mission Viejo</v>
      </c>
      <c r="C3156" t="str">
        <f>C3155</f>
        <v>Standard Class</v>
      </c>
      <c r="D3156" t="str">
        <f>D3155</f>
        <v>Consumer</v>
      </c>
      <c r="E3156" t="s">
        <v>12</v>
      </c>
      <c r="F3156">
        <v>1</v>
      </c>
      <c r="G3156">
        <v>0</v>
      </c>
      <c r="H3156" s="2">
        <v>2.3409000000000004</v>
      </c>
      <c r="I3156" s="2">
        <v>8.67</v>
      </c>
    </row>
    <row r="3157" spans="1:9" x14ac:dyDescent="0.3">
      <c r="A3157" t="str">
        <f t="shared" si="1064"/>
        <v>United States</v>
      </c>
      <c r="B3157" t="s">
        <v>334</v>
      </c>
      <c r="C3157" t="s">
        <v>22</v>
      </c>
      <c r="D3157" t="s">
        <v>8</v>
      </c>
      <c r="E3157" t="s">
        <v>20</v>
      </c>
      <c r="F3157">
        <v>2</v>
      </c>
      <c r="G3157">
        <v>0.2</v>
      </c>
      <c r="H3157" s="2">
        <v>152.49499999999998</v>
      </c>
      <c r="I3157" s="2">
        <v>487.98400000000004</v>
      </c>
    </row>
    <row r="3158" spans="1:9" x14ac:dyDescent="0.3">
      <c r="A3158" t="str">
        <f t="shared" si="1064"/>
        <v>United States</v>
      </c>
      <c r="B3158" t="s">
        <v>335</v>
      </c>
      <c r="C3158" t="s">
        <v>22</v>
      </c>
      <c r="D3158" t="s">
        <v>15</v>
      </c>
      <c r="E3158" t="s">
        <v>20</v>
      </c>
      <c r="F3158">
        <v>7</v>
      </c>
      <c r="G3158">
        <v>0.8</v>
      </c>
      <c r="H3158" s="2">
        <v>-9.5550000000000015</v>
      </c>
      <c r="I3158" s="2">
        <v>6.3699999999999983</v>
      </c>
    </row>
    <row r="3159" spans="1:9" x14ac:dyDescent="0.3">
      <c r="A3159" t="str">
        <f t="shared" si="1064"/>
        <v>United States</v>
      </c>
      <c r="B3159" t="s">
        <v>336</v>
      </c>
      <c r="C3159" t="s">
        <v>11</v>
      </c>
      <c r="D3159" t="s">
        <v>8</v>
      </c>
      <c r="E3159" t="s">
        <v>21</v>
      </c>
      <c r="F3159">
        <v>2</v>
      </c>
      <c r="G3159">
        <v>0</v>
      </c>
      <c r="H3159" s="2">
        <v>2.7775999999999996</v>
      </c>
      <c r="I3159" s="2">
        <v>8.9600000000000009</v>
      </c>
    </row>
    <row r="3160" spans="1:9" x14ac:dyDescent="0.3">
      <c r="A3160" t="str">
        <f t="shared" si="1064"/>
        <v>United States</v>
      </c>
      <c r="B3160" t="str">
        <f t="shared" ref="B3160:B3168" si="1069">B3159</f>
        <v>Mobile</v>
      </c>
      <c r="C3160" t="str">
        <f t="shared" ref="C3160:C3162" si="1070">C3159</f>
        <v>First Class</v>
      </c>
      <c r="D3160" t="s">
        <v>15</v>
      </c>
      <c r="E3160" t="s">
        <v>20</v>
      </c>
      <c r="F3160">
        <v>8</v>
      </c>
      <c r="G3160">
        <v>0</v>
      </c>
      <c r="H3160" s="2">
        <v>62.714999999999996</v>
      </c>
      <c r="I3160" s="2">
        <v>125.42999999999999</v>
      </c>
    </row>
    <row r="3161" spans="1:9" x14ac:dyDescent="0.3">
      <c r="A3161" t="str">
        <f t="shared" si="1064"/>
        <v>United States</v>
      </c>
      <c r="B3161" t="str">
        <f t="shared" si="1069"/>
        <v>Mobile</v>
      </c>
      <c r="C3161" t="str">
        <f t="shared" si="1070"/>
        <v>First Class</v>
      </c>
      <c r="D3161" t="str">
        <f t="shared" ref="D3161:D3162" si="1071">D3160</f>
        <v>Corporate</v>
      </c>
      <c r="E3161" t="s">
        <v>46</v>
      </c>
      <c r="F3161">
        <v>8</v>
      </c>
      <c r="G3161">
        <v>0</v>
      </c>
      <c r="H3161" s="2">
        <v>1459.2</v>
      </c>
      <c r="I3161" s="2">
        <v>3040</v>
      </c>
    </row>
    <row r="3162" spans="1:9" x14ac:dyDescent="0.3">
      <c r="A3162" t="str">
        <f t="shared" si="1064"/>
        <v>United States</v>
      </c>
      <c r="B3162" t="str">
        <f t="shared" si="1069"/>
        <v>Mobile</v>
      </c>
      <c r="C3162" t="str">
        <f t="shared" si="1070"/>
        <v>First Class</v>
      </c>
      <c r="D3162" t="str">
        <f t="shared" si="1071"/>
        <v>Corporate</v>
      </c>
      <c r="E3162" t="s">
        <v>16</v>
      </c>
      <c r="F3162">
        <v>7</v>
      </c>
      <c r="G3162">
        <v>0</v>
      </c>
      <c r="H3162" s="2">
        <v>34.780200000000001</v>
      </c>
      <c r="I3162" s="2">
        <v>70.98</v>
      </c>
    </row>
    <row r="3163" spans="1:9" x14ac:dyDescent="0.3">
      <c r="A3163" t="str">
        <f t="shared" si="1064"/>
        <v>United States</v>
      </c>
      <c r="B3163" t="str">
        <f t="shared" si="1069"/>
        <v>Mobile</v>
      </c>
      <c r="C3163" t="s">
        <v>22</v>
      </c>
      <c r="D3163" t="s">
        <v>8</v>
      </c>
      <c r="E3163" t="s">
        <v>23</v>
      </c>
      <c r="F3163">
        <v>3</v>
      </c>
      <c r="G3163">
        <v>0</v>
      </c>
      <c r="H3163" s="2">
        <v>71.389799999999994</v>
      </c>
      <c r="I3163" s="2">
        <v>209.96999999999997</v>
      </c>
    </row>
    <row r="3164" spans="1:9" x14ac:dyDescent="0.3">
      <c r="A3164" t="str">
        <f t="shared" si="1064"/>
        <v>United States</v>
      </c>
      <c r="B3164" t="str">
        <f t="shared" si="1069"/>
        <v>Mobile</v>
      </c>
      <c r="C3164" t="str">
        <f t="shared" ref="C3164:C3168" si="1072">C3163</f>
        <v>Standard Class</v>
      </c>
      <c r="D3164" t="str">
        <f t="shared" ref="D3164:D3168" si="1073">D3163</f>
        <v>Consumer</v>
      </c>
      <c r="E3164" t="s">
        <v>19</v>
      </c>
      <c r="F3164">
        <v>9</v>
      </c>
      <c r="G3164">
        <v>0</v>
      </c>
      <c r="H3164" s="2">
        <v>7.7759999999999989</v>
      </c>
      <c r="I3164" s="2">
        <v>25.919999999999998</v>
      </c>
    </row>
    <row r="3165" spans="1:9" x14ac:dyDescent="0.3">
      <c r="A3165" t="str">
        <f t="shared" si="1064"/>
        <v>United States</v>
      </c>
      <c r="B3165" t="str">
        <f t="shared" si="1069"/>
        <v>Mobile</v>
      </c>
      <c r="C3165" t="str">
        <f t="shared" si="1072"/>
        <v>Standard Class</v>
      </c>
      <c r="D3165" t="str">
        <f t="shared" si="1073"/>
        <v>Consumer</v>
      </c>
      <c r="E3165" t="s">
        <v>20</v>
      </c>
      <c r="F3165">
        <v>3</v>
      </c>
      <c r="G3165">
        <v>0</v>
      </c>
      <c r="H3165" s="2">
        <v>30.211199999999998</v>
      </c>
      <c r="I3165" s="2">
        <v>62.94</v>
      </c>
    </row>
    <row r="3166" spans="1:9" x14ac:dyDescent="0.3">
      <c r="A3166" t="str">
        <f t="shared" si="1064"/>
        <v>United States</v>
      </c>
      <c r="B3166" t="str">
        <f t="shared" si="1069"/>
        <v>Mobile</v>
      </c>
      <c r="C3166" t="str">
        <f t="shared" si="1072"/>
        <v>Standard Class</v>
      </c>
      <c r="D3166" t="str">
        <f t="shared" si="1073"/>
        <v>Consumer</v>
      </c>
      <c r="E3166" t="s">
        <v>33</v>
      </c>
      <c r="F3166">
        <v>7</v>
      </c>
      <c r="G3166">
        <v>0</v>
      </c>
      <c r="H3166" s="2">
        <v>306.48939999999988</v>
      </c>
      <c r="I3166" s="2">
        <v>1056.8599999999999</v>
      </c>
    </row>
    <row r="3167" spans="1:9" x14ac:dyDescent="0.3">
      <c r="A3167" t="str">
        <f t="shared" si="1064"/>
        <v>United States</v>
      </c>
      <c r="B3167" t="str">
        <f t="shared" si="1069"/>
        <v>Mobile</v>
      </c>
      <c r="C3167" t="str">
        <f t="shared" si="1072"/>
        <v>Standard Class</v>
      </c>
      <c r="D3167" t="str">
        <f t="shared" si="1073"/>
        <v>Consumer</v>
      </c>
      <c r="E3167" t="s">
        <v>24</v>
      </c>
      <c r="F3167">
        <v>3</v>
      </c>
      <c r="G3167">
        <v>0</v>
      </c>
      <c r="H3167" s="2">
        <v>0</v>
      </c>
      <c r="I3167" s="2">
        <v>59.97</v>
      </c>
    </row>
    <row r="3168" spans="1:9" x14ac:dyDescent="0.3">
      <c r="A3168" t="str">
        <f t="shared" si="1064"/>
        <v>United States</v>
      </c>
      <c r="B3168" t="str">
        <f t="shared" si="1069"/>
        <v>Mobile</v>
      </c>
      <c r="C3168" t="str">
        <f t="shared" si="1072"/>
        <v>Standard Class</v>
      </c>
      <c r="D3168" t="str">
        <f t="shared" si="1073"/>
        <v>Consumer</v>
      </c>
      <c r="E3168" t="s">
        <v>25</v>
      </c>
      <c r="F3168">
        <v>2</v>
      </c>
      <c r="G3168">
        <v>0</v>
      </c>
      <c r="H3168" s="2">
        <v>200.49</v>
      </c>
      <c r="I3168" s="2">
        <v>801.96</v>
      </c>
    </row>
    <row r="3169" spans="1:9" x14ac:dyDescent="0.3">
      <c r="A3169" t="str">
        <f t="shared" si="1064"/>
        <v>United States</v>
      </c>
      <c r="B3169" t="s">
        <v>337</v>
      </c>
      <c r="C3169" t="s">
        <v>7</v>
      </c>
      <c r="D3169" t="s">
        <v>15</v>
      </c>
      <c r="E3169" t="s">
        <v>24</v>
      </c>
      <c r="F3169">
        <v>1</v>
      </c>
      <c r="G3169">
        <v>0.2</v>
      </c>
      <c r="H3169" s="2">
        <v>4.6193000000000026</v>
      </c>
      <c r="I3169" s="2">
        <v>52.792000000000002</v>
      </c>
    </row>
    <row r="3170" spans="1:9" x14ac:dyDescent="0.3">
      <c r="A3170" t="str">
        <f t="shared" si="1064"/>
        <v>United States</v>
      </c>
      <c r="B3170" t="str">
        <f t="shared" ref="B3170:B3171" si="1074">B3169</f>
        <v>Modesto</v>
      </c>
      <c r="C3170" t="s">
        <v>22</v>
      </c>
      <c r="D3170" t="s">
        <v>8</v>
      </c>
      <c r="E3170" t="s">
        <v>23</v>
      </c>
      <c r="F3170">
        <v>7</v>
      </c>
      <c r="G3170">
        <v>0</v>
      </c>
      <c r="H3170" s="2">
        <v>43.598100000000002</v>
      </c>
      <c r="I3170" s="2">
        <v>111.79</v>
      </c>
    </row>
    <row r="3171" spans="1:9" x14ac:dyDescent="0.3">
      <c r="A3171" t="str">
        <f t="shared" si="1064"/>
        <v>United States</v>
      </c>
      <c r="B3171" t="str">
        <f t="shared" si="1074"/>
        <v>Modesto</v>
      </c>
      <c r="C3171" t="str">
        <f>C3170</f>
        <v>Standard Class</v>
      </c>
      <c r="D3171" t="str">
        <f>D3170</f>
        <v>Consumer</v>
      </c>
      <c r="E3171" t="s">
        <v>33</v>
      </c>
      <c r="F3171">
        <v>2</v>
      </c>
      <c r="G3171">
        <v>0.2</v>
      </c>
      <c r="H3171" s="2">
        <v>-28.274400000000021</v>
      </c>
      <c r="I3171" s="2">
        <v>161.56800000000001</v>
      </c>
    </row>
    <row r="3172" spans="1:9" x14ac:dyDescent="0.3">
      <c r="A3172" t="str">
        <f t="shared" si="1064"/>
        <v>United States</v>
      </c>
      <c r="B3172" t="s">
        <v>338</v>
      </c>
      <c r="C3172" t="s">
        <v>11</v>
      </c>
      <c r="D3172" t="s">
        <v>8</v>
      </c>
      <c r="E3172" t="s">
        <v>23</v>
      </c>
      <c r="F3172">
        <v>6</v>
      </c>
      <c r="G3172">
        <v>0</v>
      </c>
      <c r="H3172" s="2">
        <v>41.534999999999997</v>
      </c>
      <c r="I3172" s="2">
        <v>106.5</v>
      </c>
    </row>
    <row r="3173" spans="1:9" x14ac:dyDescent="0.3">
      <c r="A3173" t="str">
        <f t="shared" si="1064"/>
        <v>United States</v>
      </c>
      <c r="B3173" t="str">
        <f t="shared" ref="B3173:B3188" si="1075">B3172</f>
        <v>Monroe</v>
      </c>
      <c r="C3173" t="str">
        <f t="shared" ref="C3173:C3174" si="1076">C3172</f>
        <v>First Class</v>
      </c>
      <c r="D3173" t="str">
        <f>D3172</f>
        <v>Consumer</v>
      </c>
      <c r="E3173" t="s">
        <v>21</v>
      </c>
      <c r="F3173">
        <v>1</v>
      </c>
      <c r="G3173">
        <v>0.2</v>
      </c>
      <c r="H3173" s="2">
        <v>4.7712000000000012</v>
      </c>
      <c r="I3173" s="2">
        <v>18.175999999999998</v>
      </c>
    </row>
    <row r="3174" spans="1:9" x14ac:dyDescent="0.3">
      <c r="A3174" t="str">
        <f t="shared" si="1064"/>
        <v>United States</v>
      </c>
      <c r="B3174" t="str">
        <f t="shared" si="1075"/>
        <v>Monroe</v>
      </c>
      <c r="C3174" t="str">
        <f t="shared" si="1076"/>
        <v>First Class</v>
      </c>
      <c r="D3174" t="s">
        <v>15</v>
      </c>
      <c r="E3174" t="s">
        <v>20</v>
      </c>
      <c r="F3174">
        <v>8</v>
      </c>
      <c r="G3174">
        <v>0</v>
      </c>
      <c r="H3174" s="2">
        <v>41.021599999999999</v>
      </c>
      <c r="I3174" s="2">
        <v>87.28</v>
      </c>
    </row>
    <row r="3175" spans="1:9" x14ac:dyDescent="0.3">
      <c r="A3175" t="str">
        <f t="shared" si="1064"/>
        <v>United States</v>
      </c>
      <c r="B3175" t="str">
        <f t="shared" si="1075"/>
        <v>Monroe</v>
      </c>
      <c r="C3175" t="s">
        <v>27</v>
      </c>
      <c r="D3175" t="s">
        <v>17</v>
      </c>
      <c r="E3175" t="s">
        <v>16</v>
      </c>
      <c r="F3175">
        <v>2</v>
      </c>
      <c r="G3175">
        <v>0.2</v>
      </c>
      <c r="H3175" s="2">
        <v>2.6892000000000005</v>
      </c>
      <c r="I3175" s="2">
        <v>7.9680000000000009</v>
      </c>
    </row>
    <row r="3176" spans="1:9" x14ac:dyDescent="0.3">
      <c r="A3176" t="str">
        <f t="shared" si="1064"/>
        <v>United States</v>
      </c>
      <c r="B3176" t="str">
        <f t="shared" si="1075"/>
        <v>Monroe</v>
      </c>
      <c r="C3176" t="s">
        <v>7</v>
      </c>
      <c r="D3176" t="s">
        <v>17</v>
      </c>
      <c r="E3176" t="s">
        <v>23</v>
      </c>
      <c r="F3176">
        <v>2</v>
      </c>
      <c r="G3176">
        <v>0</v>
      </c>
      <c r="H3176" s="2">
        <v>7.25</v>
      </c>
      <c r="I3176" s="2">
        <v>29</v>
      </c>
    </row>
    <row r="3177" spans="1:9" x14ac:dyDescent="0.3">
      <c r="A3177" t="str">
        <f t="shared" si="1064"/>
        <v>United States</v>
      </c>
      <c r="B3177" t="str">
        <f t="shared" si="1075"/>
        <v>Monroe</v>
      </c>
      <c r="C3177" t="str">
        <f>C3176</f>
        <v>Second Class</v>
      </c>
      <c r="D3177" t="str">
        <f>D3176</f>
        <v>Home Office</v>
      </c>
      <c r="E3177" t="s">
        <v>24</v>
      </c>
      <c r="F3177">
        <v>9</v>
      </c>
      <c r="G3177">
        <v>0</v>
      </c>
      <c r="H3177" s="2">
        <v>173.01560000000001</v>
      </c>
      <c r="I3177" s="2">
        <v>653.91</v>
      </c>
    </row>
    <row r="3178" spans="1:9" x14ac:dyDescent="0.3">
      <c r="A3178" t="str">
        <f t="shared" si="1064"/>
        <v>United States</v>
      </c>
      <c r="B3178" t="str">
        <f t="shared" si="1075"/>
        <v>Monroe</v>
      </c>
      <c r="C3178" t="s">
        <v>22</v>
      </c>
      <c r="D3178" t="s">
        <v>8</v>
      </c>
      <c r="E3178" t="s">
        <v>23</v>
      </c>
      <c r="F3178">
        <v>12</v>
      </c>
      <c r="G3178">
        <v>0.2</v>
      </c>
      <c r="H3178" s="2">
        <v>236.32239999999993</v>
      </c>
      <c r="I3178" s="2">
        <v>748.76800000000003</v>
      </c>
    </row>
    <row r="3179" spans="1:9" x14ac:dyDescent="0.3">
      <c r="A3179" t="str">
        <f t="shared" si="1064"/>
        <v>United States</v>
      </c>
      <c r="B3179" t="str">
        <f t="shared" si="1075"/>
        <v>Monroe</v>
      </c>
      <c r="C3179" t="str">
        <f t="shared" ref="C3179:C3188" si="1077">C3178</f>
        <v>Standard Class</v>
      </c>
      <c r="D3179" t="str">
        <f t="shared" ref="D3179:D3184" si="1078">D3178</f>
        <v>Consumer</v>
      </c>
      <c r="E3179" t="s">
        <v>19</v>
      </c>
      <c r="F3179">
        <v>2</v>
      </c>
      <c r="G3179">
        <v>0</v>
      </c>
      <c r="H3179" s="2">
        <v>15.764000000000003</v>
      </c>
      <c r="I3179" s="2">
        <v>56.3</v>
      </c>
    </row>
    <row r="3180" spans="1:9" x14ac:dyDescent="0.3">
      <c r="A3180" t="str">
        <f t="shared" si="1064"/>
        <v>United States</v>
      </c>
      <c r="B3180" t="str">
        <f t="shared" si="1075"/>
        <v>Monroe</v>
      </c>
      <c r="C3180" t="str">
        <f t="shared" si="1077"/>
        <v>Standard Class</v>
      </c>
      <c r="D3180" t="str">
        <f t="shared" si="1078"/>
        <v>Consumer</v>
      </c>
      <c r="E3180" t="s">
        <v>20</v>
      </c>
      <c r="F3180">
        <v>7</v>
      </c>
      <c r="G3180">
        <v>0</v>
      </c>
      <c r="H3180" s="2">
        <v>16.679599999999997</v>
      </c>
      <c r="I3180" s="2">
        <v>36.26</v>
      </c>
    </row>
    <row r="3181" spans="1:9" x14ac:dyDescent="0.3">
      <c r="A3181" t="str">
        <f t="shared" si="1064"/>
        <v>United States</v>
      </c>
      <c r="B3181" t="str">
        <f t="shared" si="1075"/>
        <v>Monroe</v>
      </c>
      <c r="C3181" t="str">
        <f t="shared" si="1077"/>
        <v>Standard Class</v>
      </c>
      <c r="D3181" t="str">
        <f t="shared" si="1078"/>
        <v>Consumer</v>
      </c>
      <c r="E3181" t="s">
        <v>34</v>
      </c>
      <c r="F3181">
        <v>2</v>
      </c>
      <c r="G3181">
        <v>0.2</v>
      </c>
      <c r="H3181" s="2">
        <v>-3.8863999999999947</v>
      </c>
      <c r="I3181" s="2">
        <v>77.728000000000009</v>
      </c>
    </row>
    <row r="3182" spans="1:9" x14ac:dyDescent="0.3">
      <c r="A3182" t="str">
        <f t="shared" si="1064"/>
        <v>United States</v>
      </c>
      <c r="B3182" t="str">
        <f t="shared" si="1075"/>
        <v>Monroe</v>
      </c>
      <c r="C3182" t="str">
        <f t="shared" si="1077"/>
        <v>Standard Class</v>
      </c>
      <c r="D3182" t="str">
        <f t="shared" si="1078"/>
        <v>Consumer</v>
      </c>
      <c r="E3182" t="s">
        <v>33</v>
      </c>
      <c r="F3182">
        <v>3</v>
      </c>
      <c r="G3182">
        <v>0.2</v>
      </c>
      <c r="H3182" s="2">
        <v>52.376399999999961</v>
      </c>
      <c r="I3182" s="2">
        <v>698.35200000000009</v>
      </c>
    </row>
    <row r="3183" spans="1:9" x14ac:dyDescent="0.3">
      <c r="A3183" t="str">
        <f t="shared" si="1064"/>
        <v>United States</v>
      </c>
      <c r="B3183" t="str">
        <f t="shared" si="1075"/>
        <v>Monroe</v>
      </c>
      <c r="C3183" t="str">
        <f t="shared" si="1077"/>
        <v>Standard Class</v>
      </c>
      <c r="D3183" t="str">
        <f t="shared" si="1078"/>
        <v>Consumer</v>
      </c>
      <c r="E3183" t="s">
        <v>21</v>
      </c>
      <c r="F3183">
        <v>2</v>
      </c>
      <c r="G3183">
        <v>0</v>
      </c>
      <c r="H3183" s="2">
        <v>10.789200000000001</v>
      </c>
      <c r="I3183" s="2">
        <v>29.16</v>
      </c>
    </row>
    <row r="3184" spans="1:9" x14ac:dyDescent="0.3">
      <c r="A3184" t="str">
        <f t="shared" si="1064"/>
        <v>United States</v>
      </c>
      <c r="B3184" t="str">
        <f t="shared" si="1075"/>
        <v>Monroe</v>
      </c>
      <c r="C3184" t="str">
        <f t="shared" si="1077"/>
        <v>Standard Class</v>
      </c>
      <c r="D3184" t="str">
        <f t="shared" si="1078"/>
        <v>Consumer</v>
      </c>
      <c r="E3184" t="s">
        <v>16</v>
      </c>
      <c r="F3184">
        <v>8</v>
      </c>
      <c r="G3184">
        <v>0.2</v>
      </c>
      <c r="H3184" s="2">
        <v>39.007199999999997</v>
      </c>
      <c r="I3184" s="2">
        <v>97.104000000000013</v>
      </c>
    </row>
    <row r="3185" spans="1:9" x14ac:dyDescent="0.3">
      <c r="A3185" t="str">
        <f t="shared" si="1064"/>
        <v>United States</v>
      </c>
      <c r="B3185" t="str">
        <f t="shared" si="1075"/>
        <v>Monroe</v>
      </c>
      <c r="C3185" t="str">
        <f t="shared" si="1077"/>
        <v>Standard Class</v>
      </c>
      <c r="D3185" t="s">
        <v>15</v>
      </c>
      <c r="E3185" t="s">
        <v>33</v>
      </c>
      <c r="F3185">
        <v>3</v>
      </c>
      <c r="G3185">
        <v>0.2</v>
      </c>
      <c r="H3185" s="2">
        <v>25.874999999999972</v>
      </c>
      <c r="I3185" s="2">
        <v>207</v>
      </c>
    </row>
    <row r="3186" spans="1:9" x14ac:dyDescent="0.3">
      <c r="A3186" t="str">
        <f t="shared" si="1064"/>
        <v>United States</v>
      </c>
      <c r="B3186" t="str">
        <f t="shared" si="1075"/>
        <v>Monroe</v>
      </c>
      <c r="C3186" t="str">
        <f t="shared" si="1077"/>
        <v>Standard Class</v>
      </c>
      <c r="D3186" t="str">
        <f t="shared" ref="D3186:D3188" si="1079">D3185</f>
        <v>Corporate</v>
      </c>
      <c r="E3186" t="s">
        <v>21</v>
      </c>
      <c r="F3186">
        <v>2</v>
      </c>
      <c r="G3186">
        <v>0.2</v>
      </c>
      <c r="H3186" s="2">
        <v>1.9989999999999979</v>
      </c>
      <c r="I3186" s="2">
        <v>31.983999999999998</v>
      </c>
    </row>
    <row r="3187" spans="1:9" x14ac:dyDescent="0.3">
      <c r="A3187" t="str">
        <f t="shared" si="1064"/>
        <v>United States</v>
      </c>
      <c r="B3187" t="str">
        <f t="shared" si="1075"/>
        <v>Monroe</v>
      </c>
      <c r="C3187" t="str">
        <f t="shared" si="1077"/>
        <v>Standard Class</v>
      </c>
      <c r="D3187" t="str">
        <f t="shared" si="1079"/>
        <v>Corporate</v>
      </c>
      <c r="E3187" t="s">
        <v>16</v>
      </c>
      <c r="F3187">
        <v>2</v>
      </c>
      <c r="G3187">
        <v>0</v>
      </c>
      <c r="H3187" s="2">
        <v>6.2208000000000006</v>
      </c>
      <c r="I3187" s="2">
        <v>12.96</v>
      </c>
    </row>
    <row r="3188" spans="1:9" x14ac:dyDescent="0.3">
      <c r="A3188" t="str">
        <f t="shared" si="1064"/>
        <v>United States</v>
      </c>
      <c r="B3188" t="str">
        <f t="shared" si="1075"/>
        <v>Monroe</v>
      </c>
      <c r="C3188" t="str">
        <f t="shared" si="1077"/>
        <v>Standard Class</v>
      </c>
      <c r="D3188" t="str">
        <f t="shared" si="1079"/>
        <v>Corporate</v>
      </c>
      <c r="E3188" t="s">
        <v>24</v>
      </c>
      <c r="F3188">
        <v>2</v>
      </c>
      <c r="G3188">
        <v>0.2</v>
      </c>
      <c r="H3188" s="2">
        <v>25.194399999999995</v>
      </c>
      <c r="I3188" s="2">
        <v>71.984000000000009</v>
      </c>
    </row>
    <row r="3189" spans="1:9" x14ac:dyDescent="0.3">
      <c r="A3189" t="str">
        <f t="shared" si="1064"/>
        <v>United States</v>
      </c>
      <c r="B3189" t="s">
        <v>339</v>
      </c>
      <c r="C3189" t="s">
        <v>22</v>
      </c>
      <c r="D3189" t="s">
        <v>15</v>
      </c>
      <c r="E3189" t="s">
        <v>23</v>
      </c>
      <c r="F3189">
        <v>2</v>
      </c>
      <c r="G3189">
        <v>0</v>
      </c>
      <c r="H3189" s="2">
        <v>3.9032000000000018</v>
      </c>
      <c r="I3189" s="2">
        <v>27.88</v>
      </c>
    </row>
    <row r="3190" spans="1:9" x14ac:dyDescent="0.3">
      <c r="A3190" t="str">
        <f t="shared" si="1064"/>
        <v>United States</v>
      </c>
      <c r="B3190" t="s">
        <v>340</v>
      </c>
      <c r="C3190" t="s">
        <v>7</v>
      </c>
      <c r="D3190" t="s">
        <v>8</v>
      </c>
      <c r="E3190" t="s">
        <v>20</v>
      </c>
      <c r="F3190">
        <v>5</v>
      </c>
      <c r="G3190">
        <v>0</v>
      </c>
      <c r="H3190" s="2">
        <v>11.375</v>
      </c>
      <c r="I3190" s="2">
        <v>22.75</v>
      </c>
    </row>
    <row r="3191" spans="1:9" x14ac:dyDescent="0.3">
      <c r="A3191" t="str">
        <f t="shared" si="1064"/>
        <v>United States</v>
      </c>
      <c r="B3191" t="str">
        <f t="shared" ref="B3191:B3199" si="1080">B3190</f>
        <v>Montgomery</v>
      </c>
      <c r="C3191" t="str">
        <f t="shared" ref="C3191:C3195" si="1081">C3190</f>
        <v>Second Class</v>
      </c>
      <c r="D3191" t="str">
        <f>D3190</f>
        <v>Consumer</v>
      </c>
      <c r="E3191" t="s">
        <v>24</v>
      </c>
      <c r="F3191">
        <v>5</v>
      </c>
      <c r="G3191">
        <v>0</v>
      </c>
      <c r="H3191" s="2">
        <v>274.38600000000008</v>
      </c>
      <c r="I3191" s="2">
        <v>979.95</v>
      </c>
    </row>
    <row r="3192" spans="1:9" x14ac:dyDescent="0.3">
      <c r="A3192" t="str">
        <f t="shared" si="1064"/>
        <v>United States</v>
      </c>
      <c r="B3192" t="str">
        <f t="shared" si="1080"/>
        <v>Montgomery</v>
      </c>
      <c r="C3192" t="str">
        <f t="shared" si="1081"/>
        <v>Second Class</v>
      </c>
      <c r="D3192" t="s">
        <v>15</v>
      </c>
      <c r="E3192" t="s">
        <v>33</v>
      </c>
      <c r="F3192">
        <v>6</v>
      </c>
      <c r="G3192">
        <v>0</v>
      </c>
      <c r="H3192" s="2">
        <v>70.964399999999983</v>
      </c>
      <c r="I3192" s="2">
        <v>545.88</v>
      </c>
    </row>
    <row r="3193" spans="1:9" x14ac:dyDescent="0.3">
      <c r="A3193" t="str">
        <f t="shared" si="1064"/>
        <v>United States</v>
      </c>
      <c r="B3193" t="str">
        <f t="shared" si="1080"/>
        <v>Montgomery</v>
      </c>
      <c r="C3193" t="str">
        <f t="shared" si="1081"/>
        <v>Second Class</v>
      </c>
      <c r="D3193" t="str">
        <f t="shared" ref="D3193:D3195" si="1082">D3192</f>
        <v>Corporate</v>
      </c>
      <c r="E3193" t="s">
        <v>21</v>
      </c>
      <c r="F3193">
        <v>2</v>
      </c>
      <c r="G3193">
        <v>0</v>
      </c>
      <c r="H3193" s="2">
        <v>3.4543999999999997</v>
      </c>
      <c r="I3193" s="2">
        <v>10.16</v>
      </c>
    </row>
    <row r="3194" spans="1:9" x14ac:dyDescent="0.3">
      <c r="A3194" t="str">
        <f t="shared" si="1064"/>
        <v>United States</v>
      </c>
      <c r="B3194" t="str">
        <f t="shared" si="1080"/>
        <v>Montgomery</v>
      </c>
      <c r="C3194" t="str">
        <f t="shared" si="1081"/>
        <v>Second Class</v>
      </c>
      <c r="D3194" t="str">
        <f t="shared" si="1082"/>
        <v>Corporate</v>
      </c>
      <c r="E3194" t="s">
        <v>24</v>
      </c>
      <c r="F3194">
        <v>5</v>
      </c>
      <c r="G3194">
        <v>0</v>
      </c>
      <c r="H3194" s="2">
        <v>362.68699999999995</v>
      </c>
      <c r="I3194" s="2">
        <v>1394.95</v>
      </c>
    </row>
    <row r="3195" spans="1:9" x14ac:dyDescent="0.3">
      <c r="A3195" t="str">
        <f t="shared" si="1064"/>
        <v>United States</v>
      </c>
      <c r="B3195" t="str">
        <f t="shared" si="1080"/>
        <v>Montgomery</v>
      </c>
      <c r="C3195" t="str">
        <f t="shared" si="1081"/>
        <v>Second Class</v>
      </c>
      <c r="D3195" t="str">
        <f t="shared" si="1082"/>
        <v>Corporate</v>
      </c>
      <c r="E3195" t="s">
        <v>14</v>
      </c>
      <c r="F3195">
        <v>3</v>
      </c>
      <c r="G3195">
        <v>0</v>
      </c>
      <c r="H3195" s="2">
        <v>11.038799999999981</v>
      </c>
      <c r="I3195" s="2">
        <v>275.96999999999997</v>
      </c>
    </row>
    <row r="3196" spans="1:9" x14ac:dyDescent="0.3">
      <c r="A3196" t="str">
        <f t="shared" si="1064"/>
        <v>United States</v>
      </c>
      <c r="B3196" t="str">
        <f t="shared" si="1080"/>
        <v>Montgomery</v>
      </c>
      <c r="C3196" t="s">
        <v>22</v>
      </c>
      <c r="D3196" t="s">
        <v>8</v>
      </c>
      <c r="E3196" t="s">
        <v>19</v>
      </c>
      <c r="F3196">
        <v>3</v>
      </c>
      <c r="G3196">
        <v>0</v>
      </c>
      <c r="H3196" s="2">
        <v>3.9609000000000001</v>
      </c>
      <c r="I3196" s="2">
        <v>14.669999999999998</v>
      </c>
    </row>
    <row r="3197" spans="1:9" x14ac:dyDescent="0.3">
      <c r="A3197" t="str">
        <f t="shared" si="1064"/>
        <v>United States</v>
      </c>
      <c r="B3197" t="str">
        <f t="shared" si="1080"/>
        <v>Montgomery</v>
      </c>
      <c r="C3197" t="str">
        <f t="shared" ref="C3197:C3199" si="1083">C3196</f>
        <v>Standard Class</v>
      </c>
      <c r="D3197" t="s">
        <v>15</v>
      </c>
      <c r="E3197" t="s">
        <v>38</v>
      </c>
      <c r="F3197">
        <v>9</v>
      </c>
      <c r="G3197">
        <v>0</v>
      </c>
      <c r="H3197" s="2">
        <v>49.23</v>
      </c>
      <c r="I3197" s="2">
        <v>98.46</v>
      </c>
    </row>
    <row r="3198" spans="1:9" x14ac:dyDescent="0.3">
      <c r="A3198" t="str">
        <f t="shared" si="1064"/>
        <v>United States</v>
      </c>
      <c r="B3198" t="str">
        <f t="shared" si="1080"/>
        <v>Montgomery</v>
      </c>
      <c r="C3198" t="str">
        <f t="shared" si="1083"/>
        <v>Standard Class</v>
      </c>
      <c r="D3198" t="str">
        <f t="shared" ref="D3198:D3199" si="1084">D3197</f>
        <v>Corporate</v>
      </c>
      <c r="E3198" t="s">
        <v>21</v>
      </c>
      <c r="F3198">
        <v>8</v>
      </c>
      <c r="G3198">
        <v>0</v>
      </c>
      <c r="H3198" s="2">
        <v>8.1167999999999996</v>
      </c>
      <c r="I3198" s="2">
        <v>21.36</v>
      </c>
    </row>
    <row r="3199" spans="1:9" x14ac:dyDescent="0.3">
      <c r="A3199" t="str">
        <f t="shared" si="1064"/>
        <v>United States</v>
      </c>
      <c r="B3199" t="str">
        <f t="shared" si="1080"/>
        <v>Montgomery</v>
      </c>
      <c r="C3199" t="str">
        <f t="shared" si="1083"/>
        <v>Standard Class</v>
      </c>
      <c r="D3199" t="str">
        <f t="shared" si="1084"/>
        <v>Corporate</v>
      </c>
      <c r="E3199" t="s">
        <v>25</v>
      </c>
      <c r="F3199">
        <v>2</v>
      </c>
      <c r="G3199">
        <v>0</v>
      </c>
      <c r="H3199" s="2">
        <v>39.44380000000001</v>
      </c>
      <c r="I3199" s="2">
        <v>358.58</v>
      </c>
    </row>
    <row r="3200" spans="1:9" x14ac:dyDescent="0.3">
      <c r="A3200" t="str">
        <f t="shared" si="1064"/>
        <v>United States</v>
      </c>
      <c r="B3200" t="s">
        <v>341</v>
      </c>
      <c r="C3200" t="s">
        <v>22</v>
      </c>
      <c r="D3200" t="s">
        <v>8</v>
      </c>
      <c r="E3200" t="s">
        <v>23</v>
      </c>
      <c r="F3200">
        <v>4</v>
      </c>
      <c r="G3200">
        <v>0</v>
      </c>
      <c r="H3200" s="2">
        <v>19.827599999999997</v>
      </c>
      <c r="I3200" s="2">
        <v>63.96</v>
      </c>
    </row>
    <row r="3201" spans="1:9" x14ac:dyDescent="0.3">
      <c r="A3201" t="str">
        <f t="shared" si="1064"/>
        <v>United States</v>
      </c>
      <c r="B3201" t="str">
        <f>B3200</f>
        <v>Moorhead</v>
      </c>
      <c r="C3201" t="str">
        <f>C3200</f>
        <v>Standard Class</v>
      </c>
      <c r="D3201" t="s">
        <v>17</v>
      </c>
      <c r="E3201" t="s">
        <v>33</v>
      </c>
      <c r="F3201">
        <v>5</v>
      </c>
      <c r="G3201">
        <v>0</v>
      </c>
      <c r="H3201" s="2">
        <v>81.58299999999997</v>
      </c>
      <c r="I3201" s="2">
        <v>479.90000000000003</v>
      </c>
    </row>
    <row r="3202" spans="1:9" x14ac:dyDescent="0.3">
      <c r="A3202" t="str">
        <f t="shared" si="1064"/>
        <v>United States</v>
      </c>
      <c r="B3202" t="s">
        <v>342</v>
      </c>
      <c r="C3202" t="s">
        <v>11</v>
      </c>
      <c r="D3202" t="s">
        <v>8</v>
      </c>
      <c r="E3202" t="s">
        <v>16</v>
      </c>
      <c r="F3202">
        <v>8</v>
      </c>
      <c r="G3202">
        <v>0</v>
      </c>
      <c r="H3202" s="2">
        <v>21.211199999999998</v>
      </c>
      <c r="I3202" s="2">
        <v>45.84</v>
      </c>
    </row>
    <row r="3203" spans="1:9" x14ac:dyDescent="0.3">
      <c r="A3203" t="str">
        <f t="shared" si="1064"/>
        <v>United States</v>
      </c>
      <c r="B3203" t="str">
        <f t="shared" ref="B3203:B3209" si="1085">B3202</f>
        <v>Moreno Valley</v>
      </c>
      <c r="C3203" t="str">
        <f>C3202</f>
        <v>First Class</v>
      </c>
      <c r="D3203" t="str">
        <f>D3202</f>
        <v>Consumer</v>
      </c>
      <c r="E3203" t="s">
        <v>14</v>
      </c>
      <c r="F3203">
        <v>6</v>
      </c>
      <c r="G3203">
        <v>0</v>
      </c>
      <c r="H3203" s="2">
        <v>0.83759999999999835</v>
      </c>
      <c r="I3203" s="2">
        <v>41.88</v>
      </c>
    </row>
    <row r="3204" spans="1:9" x14ac:dyDescent="0.3">
      <c r="A3204" t="str">
        <f t="shared" ref="A3204:A3267" si="1086">A3203</f>
        <v>United States</v>
      </c>
      <c r="B3204" t="str">
        <f t="shared" si="1085"/>
        <v>Moreno Valley</v>
      </c>
      <c r="C3204" t="s">
        <v>22</v>
      </c>
      <c r="D3204" t="s">
        <v>8</v>
      </c>
      <c r="E3204" t="s">
        <v>21</v>
      </c>
      <c r="F3204">
        <v>10</v>
      </c>
      <c r="G3204">
        <v>0</v>
      </c>
      <c r="H3204" s="2">
        <v>213.16239999999999</v>
      </c>
      <c r="I3204" s="2">
        <v>884.68000000000006</v>
      </c>
    </row>
    <row r="3205" spans="1:9" x14ac:dyDescent="0.3">
      <c r="A3205" t="str">
        <f t="shared" si="1086"/>
        <v>United States</v>
      </c>
      <c r="B3205" t="str">
        <f t="shared" si="1085"/>
        <v>Moreno Valley</v>
      </c>
      <c r="C3205" t="str">
        <f t="shared" ref="C3205:C3209" si="1087">C3204</f>
        <v>Standard Class</v>
      </c>
      <c r="D3205" t="s">
        <v>15</v>
      </c>
      <c r="E3205" t="s">
        <v>16</v>
      </c>
      <c r="F3205">
        <v>8</v>
      </c>
      <c r="G3205">
        <v>0</v>
      </c>
      <c r="H3205" s="2">
        <v>84.051199999999994</v>
      </c>
      <c r="I3205" s="2">
        <v>182.72</v>
      </c>
    </row>
    <row r="3206" spans="1:9" x14ac:dyDescent="0.3">
      <c r="A3206" t="str">
        <f t="shared" si="1086"/>
        <v>United States</v>
      </c>
      <c r="B3206" t="str">
        <f t="shared" si="1085"/>
        <v>Moreno Valley</v>
      </c>
      <c r="C3206" t="str">
        <f t="shared" si="1087"/>
        <v>Standard Class</v>
      </c>
      <c r="D3206" t="s">
        <v>17</v>
      </c>
      <c r="E3206" t="s">
        <v>12</v>
      </c>
      <c r="F3206">
        <v>1</v>
      </c>
      <c r="G3206">
        <v>0</v>
      </c>
      <c r="H3206" s="2">
        <v>2.9646000000000008</v>
      </c>
      <c r="I3206" s="2">
        <v>10.98</v>
      </c>
    </row>
    <row r="3207" spans="1:9" x14ac:dyDescent="0.3">
      <c r="A3207" t="str">
        <f t="shared" si="1086"/>
        <v>United States</v>
      </c>
      <c r="B3207" t="str">
        <f t="shared" si="1085"/>
        <v>Moreno Valley</v>
      </c>
      <c r="C3207" t="str">
        <f t="shared" si="1087"/>
        <v>Standard Class</v>
      </c>
      <c r="D3207" t="str">
        <f t="shared" ref="D3207:D3209" si="1088">D3206</f>
        <v>Home Office</v>
      </c>
      <c r="E3207" t="s">
        <v>20</v>
      </c>
      <c r="F3207">
        <v>3</v>
      </c>
      <c r="G3207">
        <v>0.2</v>
      </c>
      <c r="H3207" s="2">
        <v>13.896000000000001</v>
      </c>
      <c r="I3207" s="2">
        <v>37.055999999999997</v>
      </c>
    </row>
    <row r="3208" spans="1:9" x14ac:dyDescent="0.3">
      <c r="A3208" t="str">
        <f t="shared" si="1086"/>
        <v>United States</v>
      </c>
      <c r="B3208" t="str">
        <f t="shared" si="1085"/>
        <v>Moreno Valley</v>
      </c>
      <c r="C3208" t="str">
        <f t="shared" si="1087"/>
        <v>Standard Class</v>
      </c>
      <c r="D3208" t="str">
        <f t="shared" si="1088"/>
        <v>Home Office</v>
      </c>
      <c r="E3208" t="s">
        <v>18</v>
      </c>
      <c r="F3208">
        <v>3</v>
      </c>
      <c r="G3208">
        <v>0</v>
      </c>
      <c r="H3208" s="2">
        <v>3.6156000000000001</v>
      </c>
      <c r="I3208" s="2">
        <v>7.86</v>
      </c>
    </row>
    <row r="3209" spans="1:9" x14ac:dyDescent="0.3">
      <c r="A3209" t="str">
        <f t="shared" si="1086"/>
        <v>United States</v>
      </c>
      <c r="B3209" t="str">
        <f t="shared" si="1085"/>
        <v>Moreno Valley</v>
      </c>
      <c r="C3209" t="str">
        <f t="shared" si="1087"/>
        <v>Standard Class</v>
      </c>
      <c r="D3209" t="str">
        <f t="shared" si="1088"/>
        <v>Home Office</v>
      </c>
      <c r="E3209" t="s">
        <v>14</v>
      </c>
      <c r="F3209">
        <v>3</v>
      </c>
      <c r="G3209">
        <v>0</v>
      </c>
      <c r="H3209" s="2">
        <v>13.891499999999999</v>
      </c>
      <c r="I3209" s="2">
        <v>51.449999999999996</v>
      </c>
    </row>
    <row r="3210" spans="1:9" x14ac:dyDescent="0.3">
      <c r="A3210" t="str">
        <f t="shared" si="1086"/>
        <v>United States</v>
      </c>
      <c r="B3210" t="s">
        <v>343</v>
      </c>
      <c r="C3210" t="s">
        <v>22</v>
      </c>
      <c r="D3210" t="s">
        <v>8</v>
      </c>
      <c r="E3210" t="s">
        <v>19</v>
      </c>
      <c r="F3210">
        <v>8</v>
      </c>
      <c r="G3210">
        <v>0</v>
      </c>
      <c r="H3210" s="2">
        <v>5.9184000000000019</v>
      </c>
      <c r="I3210" s="2">
        <v>21.92</v>
      </c>
    </row>
    <row r="3211" spans="1:9" x14ac:dyDescent="0.3">
      <c r="A3211" t="str">
        <f t="shared" si="1086"/>
        <v>United States</v>
      </c>
      <c r="B3211" t="str">
        <f t="shared" ref="B3211:B3213" si="1089">B3210</f>
        <v>Morgan Hill</v>
      </c>
      <c r="C3211" t="str">
        <f t="shared" ref="C3211:C3213" si="1090">C3210</f>
        <v>Standard Class</v>
      </c>
      <c r="D3211" t="str">
        <f t="shared" ref="D3211:D3213" si="1091">D3210</f>
        <v>Consumer</v>
      </c>
      <c r="E3211" t="s">
        <v>34</v>
      </c>
      <c r="F3211">
        <v>2</v>
      </c>
      <c r="G3211">
        <v>0.15</v>
      </c>
      <c r="H3211" s="2">
        <v>-12.097999999999999</v>
      </c>
      <c r="I3211" s="2">
        <v>205.666</v>
      </c>
    </row>
    <row r="3212" spans="1:9" x14ac:dyDescent="0.3">
      <c r="A3212" t="str">
        <f t="shared" si="1086"/>
        <v>United States</v>
      </c>
      <c r="B3212" t="str">
        <f t="shared" si="1089"/>
        <v>Morgan Hill</v>
      </c>
      <c r="C3212" t="str">
        <f t="shared" si="1090"/>
        <v>Standard Class</v>
      </c>
      <c r="D3212" t="str">
        <f t="shared" si="1091"/>
        <v>Consumer</v>
      </c>
      <c r="E3212" t="s">
        <v>14</v>
      </c>
      <c r="F3212">
        <v>3</v>
      </c>
      <c r="G3212">
        <v>0</v>
      </c>
      <c r="H3212" s="2">
        <v>7.3079999999999998</v>
      </c>
      <c r="I3212" s="2">
        <v>48.72</v>
      </c>
    </row>
    <row r="3213" spans="1:9" x14ac:dyDescent="0.3">
      <c r="A3213" t="str">
        <f t="shared" si="1086"/>
        <v>United States</v>
      </c>
      <c r="B3213" t="str">
        <f t="shared" si="1089"/>
        <v>Morgan Hill</v>
      </c>
      <c r="C3213" t="str">
        <f t="shared" si="1090"/>
        <v>Standard Class</v>
      </c>
      <c r="D3213" t="str">
        <f t="shared" si="1091"/>
        <v>Consumer</v>
      </c>
      <c r="E3213" t="s">
        <v>25</v>
      </c>
      <c r="F3213">
        <v>3</v>
      </c>
      <c r="G3213">
        <v>0.2</v>
      </c>
      <c r="H3213" s="2">
        <v>6.717599999999976</v>
      </c>
      <c r="I3213" s="2">
        <v>268.70400000000001</v>
      </c>
    </row>
    <row r="3214" spans="1:9" x14ac:dyDescent="0.3">
      <c r="A3214" t="str">
        <f t="shared" si="1086"/>
        <v>United States</v>
      </c>
      <c r="B3214" t="s">
        <v>344</v>
      </c>
      <c r="C3214" t="s">
        <v>7</v>
      </c>
      <c r="D3214" t="s">
        <v>8</v>
      </c>
      <c r="E3214" t="s">
        <v>12</v>
      </c>
      <c r="F3214">
        <v>8</v>
      </c>
      <c r="G3214">
        <v>0</v>
      </c>
      <c r="H3214" s="2">
        <v>735.03359999999998</v>
      </c>
      <c r="I3214" s="2">
        <v>2625.12</v>
      </c>
    </row>
    <row r="3215" spans="1:9" x14ac:dyDescent="0.3">
      <c r="A3215" t="str">
        <f t="shared" si="1086"/>
        <v>United States</v>
      </c>
      <c r="B3215" t="str">
        <f t="shared" ref="B3215:B3220" si="1092">B3214</f>
        <v>Morristown</v>
      </c>
      <c r="C3215" t="str">
        <f>C3214</f>
        <v>Second Class</v>
      </c>
      <c r="D3215" t="str">
        <f>D3214</f>
        <v>Consumer</v>
      </c>
      <c r="E3215" t="s">
        <v>19</v>
      </c>
      <c r="F3215">
        <v>3</v>
      </c>
      <c r="G3215">
        <v>0</v>
      </c>
      <c r="H3215" s="2">
        <v>4.4850000000000003</v>
      </c>
      <c r="I3215" s="2">
        <v>17.940000000000001</v>
      </c>
    </row>
    <row r="3216" spans="1:9" x14ac:dyDescent="0.3">
      <c r="A3216" t="str">
        <f t="shared" si="1086"/>
        <v>United States</v>
      </c>
      <c r="B3216" t="str">
        <f t="shared" si="1092"/>
        <v>Morristown</v>
      </c>
      <c r="C3216" t="s">
        <v>22</v>
      </c>
      <c r="D3216" t="s">
        <v>8</v>
      </c>
      <c r="E3216" t="s">
        <v>18</v>
      </c>
      <c r="F3216">
        <v>6</v>
      </c>
      <c r="G3216">
        <v>0</v>
      </c>
      <c r="H3216" s="2">
        <v>0.3024</v>
      </c>
      <c r="I3216" s="2">
        <v>7.5600000000000005</v>
      </c>
    </row>
    <row r="3217" spans="1:9" x14ac:dyDescent="0.3">
      <c r="A3217" t="str">
        <f t="shared" si="1086"/>
        <v>United States</v>
      </c>
      <c r="B3217" t="str">
        <f t="shared" si="1092"/>
        <v>Morristown</v>
      </c>
      <c r="C3217" t="str">
        <f t="shared" ref="C3217:C3220" si="1093">C3216</f>
        <v>Standard Class</v>
      </c>
      <c r="D3217" t="str">
        <f t="shared" ref="D3217:D3218" si="1094">D3216</f>
        <v>Consumer</v>
      </c>
      <c r="E3217" t="s">
        <v>46</v>
      </c>
      <c r="F3217">
        <v>4</v>
      </c>
      <c r="G3217">
        <v>0</v>
      </c>
      <c r="H3217" s="2">
        <v>225.6</v>
      </c>
      <c r="I3217" s="2">
        <v>480</v>
      </c>
    </row>
    <row r="3218" spans="1:9" x14ac:dyDescent="0.3">
      <c r="A3218" t="str">
        <f t="shared" si="1086"/>
        <v>United States</v>
      </c>
      <c r="B3218" t="str">
        <f t="shared" si="1092"/>
        <v>Morristown</v>
      </c>
      <c r="C3218" t="str">
        <f t="shared" si="1093"/>
        <v>Standard Class</v>
      </c>
      <c r="D3218" t="str">
        <f t="shared" si="1094"/>
        <v>Consumer</v>
      </c>
      <c r="E3218" t="s">
        <v>14</v>
      </c>
      <c r="F3218">
        <v>3</v>
      </c>
      <c r="G3218">
        <v>0</v>
      </c>
      <c r="H3218" s="2">
        <v>9.5340000000000025</v>
      </c>
      <c r="I3218" s="2">
        <v>34.049999999999997</v>
      </c>
    </row>
    <row r="3219" spans="1:9" x14ac:dyDescent="0.3">
      <c r="A3219" t="str">
        <f t="shared" si="1086"/>
        <v>United States</v>
      </c>
      <c r="B3219" t="str">
        <f t="shared" si="1092"/>
        <v>Morristown</v>
      </c>
      <c r="C3219" t="str">
        <f t="shared" si="1093"/>
        <v>Standard Class</v>
      </c>
      <c r="D3219" t="s">
        <v>15</v>
      </c>
      <c r="E3219" t="s">
        <v>20</v>
      </c>
      <c r="F3219">
        <v>2</v>
      </c>
      <c r="G3219">
        <v>0</v>
      </c>
      <c r="H3219" s="2">
        <v>843.17059999999992</v>
      </c>
      <c r="I3219" s="2">
        <v>1793.98</v>
      </c>
    </row>
    <row r="3220" spans="1:9" x14ac:dyDescent="0.3">
      <c r="A3220" t="str">
        <f t="shared" si="1086"/>
        <v>United States</v>
      </c>
      <c r="B3220" t="str">
        <f t="shared" si="1092"/>
        <v>Morristown</v>
      </c>
      <c r="C3220" t="str">
        <f t="shared" si="1093"/>
        <v>Standard Class</v>
      </c>
      <c r="D3220" t="str">
        <f>D3219</f>
        <v>Corporate</v>
      </c>
      <c r="E3220" t="s">
        <v>21</v>
      </c>
      <c r="F3220">
        <v>5</v>
      </c>
      <c r="G3220">
        <v>0</v>
      </c>
      <c r="H3220" s="2">
        <v>20.101500000000001</v>
      </c>
      <c r="I3220" s="2">
        <v>74.45</v>
      </c>
    </row>
    <row r="3221" spans="1:9" x14ac:dyDescent="0.3">
      <c r="A3221" t="str">
        <f t="shared" si="1086"/>
        <v>United States</v>
      </c>
      <c r="B3221" t="s">
        <v>345</v>
      </c>
      <c r="C3221" t="s">
        <v>27</v>
      </c>
      <c r="D3221" t="s">
        <v>8</v>
      </c>
      <c r="E3221" t="s">
        <v>21</v>
      </c>
      <c r="F3221">
        <v>2</v>
      </c>
      <c r="G3221">
        <v>0</v>
      </c>
      <c r="H3221" s="2">
        <v>6.1704000000000008</v>
      </c>
      <c r="I3221" s="2">
        <v>17.14</v>
      </c>
    </row>
    <row r="3222" spans="1:9" x14ac:dyDescent="0.3">
      <c r="A3222" t="str">
        <f t="shared" si="1086"/>
        <v>United States</v>
      </c>
      <c r="B3222" t="str">
        <f>B3221</f>
        <v>Mount Pleasant</v>
      </c>
      <c r="C3222" t="s">
        <v>7</v>
      </c>
      <c r="D3222" t="s">
        <v>8</v>
      </c>
      <c r="E3222" t="s">
        <v>33</v>
      </c>
      <c r="F3222">
        <v>6</v>
      </c>
      <c r="G3222">
        <v>0</v>
      </c>
      <c r="H3222" s="2">
        <v>87.350400000000036</v>
      </c>
      <c r="I3222" s="2">
        <v>545.93999999999994</v>
      </c>
    </row>
    <row r="3223" spans="1:9" x14ac:dyDescent="0.3">
      <c r="A3223" t="str">
        <f t="shared" si="1086"/>
        <v>United States</v>
      </c>
      <c r="B3223" t="s">
        <v>346</v>
      </c>
      <c r="C3223" t="s">
        <v>22</v>
      </c>
      <c r="D3223" t="s">
        <v>8</v>
      </c>
      <c r="E3223" t="s">
        <v>38</v>
      </c>
      <c r="F3223">
        <v>7</v>
      </c>
      <c r="G3223">
        <v>0</v>
      </c>
      <c r="H3223" s="2">
        <v>40.241399999999999</v>
      </c>
      <c r="I3223" s="2">
        <v>85.62</v>
      </c>
    </row>
    <row r="3224" spans="1:9" x14ac:dyDescent="0.3">
      <c r="A3224" t="str">
        <f t="shared" si="1086"/>
        <v>United States</v>
      </c>
      <c r="B3224" t="str">
        <f t="shared" ref="B3224:B3229" si="1095">B3223</f>
        <v>Mount Vernon</v>
      </c>
      <c r="C3224" t="str">
        <f t="shared" ref="C3224:C3229" si="1096">C3223</f>
        <v>Standard Class</v>
      </c>
      <c r="D3224" t="str">
        <f>D3223</f>
        <v>Consumer</v>
      </c>
      <c r="E3224" t="s">
        <v>16</v>
      </c>
      <c r="F3224">
        <v>5</v>
      </c>
      <c r="G3224">
        <v>0</v>
      </c>
      <c r="H3224" s="2">
        <v>24.2285</v>
      </c>
      <c r="I3224" s="2">
        <v>51.550000000000004</v>
      </c>
    </row>
    <row r="3225" spans="1:9" x14ac:dyDescent="0.3">
      <c r="A3225" t="str">
        <f t="shared" si="1086"/>
        <v>United States</v>
      </c>
      <c r="B3225" t="str">
        <f t="shared" si="1095"/>
        <v>Mount Vernon</v>
      </c>
      <c r="C3225" t="str">
        <f t="shared" si="1096"/>
        <v>Standard Class</v>
      </c>
      <c r="D3225" t="s">
        <v>15</v>
      </c>
      <c r="E3225" t="s">
        <v>23</v>
      </c>
      <c r="F3225">
        <v>3</v>
      </c>
      <c r="G3225">
        <v>0</v>
      </c>
      <c r="H3225" s="2">
        <v>113.98860000000001</v>
      </c>
      <c r="I3225" s="2">
        <v>299.96999999999997</v>
      </c>
    </row>
    <row r="3226" spans="1:9" x14ac:dyDescent="0.3">
      <c r="A3226" t="str">
        <f t="shared" si="1086"/>
        <v>United States</v>
      </c>
      <c r="B3226" t="str">
        <f t="shared" si="1095"/>
        <v>Mount Vernon</v>
      </c>
      <c r="C3226" t="str">
        <f t="shared" si="1096"/>
        <v>Standard Class</v>
      </c>
      <c r="D3226" t="str">
        <f t="shared" ref="D3226:D3229" si="1097">D3225</f>
        <v>Corporate</v>
      </c>
      <c r="E3226" t="s">
        <v>12</v>
      </c>
      <c r="F3226">
        <v>6</v>
      </c>
      <c r="G3226">
        <v>0</v>
      </c>
      <c r="H3226" s="2">
        <v>109.72260000000001</v>
      </c>
      <c r="I3226" s="2">
        <v>281.34000000000003</v>
      </c>
    </row>
    <row r="3227" spans="1:9" x14ac:dyDescent="0.3">
      <c r="A3227" t="str">
        <f t="shared" si="1086"/>
        <v>United States</v>
      </c>
      <c r="B3227" t="str">
        <f t="shared" si="1095"/>
        <v>Mount Vernon</v>
      </c>
      <c r="C3227" t="str">
        <f t="shared" si="1096"/>
        <v>Standard Class</v>
      </c>
      <c r="D3227" t="str">
        <f t="shared" si="1097"/>
        <v>Corporate</v>
      </c>
      <c r="E3227" t="s">
        <v>20</v>
      </c>
      <c r="F3227">
        <v>3</v>
      </c>
      <c r="G3227">
        <v>0.2</v>
      </c>
      <c r="H3227" s="2">
        <v>2.8100999999999998</v>
      </c>
      <c r="I3227" s="2">
        <v>7.7520000000000007</v>
      </c>
    </row>
    <row r="3228" spans="1:9" x14ac:dyDescent="0.3">
      <c r="A3228" t="str">
        <f t="shared" si="1086"/>
        <v>United States</v>
      </c>
      <c r="B3228" t="str">
        <f t="shared" si="1095"/>
        <v>Mount Vernon</v>
      </c>
      <c r="C3228" t="str">
        <f t="shared" si="1096"/>
        <v>Standard Class</v>
      </c>
      <c r="D3228" t="str">
        <f t="shared" si="1097"/>
        <v>Corporate</v>
      </c>
      <c r="E3228" t="s">
        <v>24</v>
      </c>
      <c r="F3228">
        <v>2</v>
      </c>
      <c r="G3228">
        <v>0</v>
      </c>
      <c r="H3228" s="2">
        <v>89.314199999999971</v>
      </c>
      <c r="I3228" s="2">
        <v>307.98</v>
      </c>
    </row>
    <row r="3229" spans="1:9" x14ac:dyDescent="0.3">
      <c r="A3229" t="str">
        <f t="shared" si="1086"/>
        <v>United States</v>
      </c>
      <c r="B3229" t="str">
        <f t="shared" si="1095"/>
        <v>Mount Vernon</v>
      </c>
      <c r="C3229" t="str">
        <f t="shared" si="1096"/>
        <v>Standard Class</v>
      </c>
      <c r="D3229" t="str">
        <f t="shared" si="1097"/>
        <v>Corporate</v>
      </c>
      <c r="E3229" t="s">
        <v>14</v>
      </c>
      <c r="F3229">
        <v>7</v>
      </c>
      <c r="G3229">
        <v>0</v>
      </c>
      <c r="H3229" s="2">
        <v>282.20920000000001</v>
      </c>
      <c r="I3229" s="2">
        <v>1085.42</v>
      </c>
    </row>
    <row r="3230" spans="1:9" x14ac:dyDescent="0.3">
      <c r="A3230" t="str">
        <f t="shared" si="1086"/>
        <v>United States</v>
      </c>
      <c r="B3230" t="s">
        <v>347</v>
      </c>
      <c r="C3230" t="s">
        <v>11</v>
      </c>
      <c r="D3230" t="s">
        <v>15</v>
      </c>
      <c r="E3230" t="s">
        <v>16</v>
      </c>
      <c r="F3230">
        <v>3</v>
      </c>
      <c r="G3230">
        <v>0.2</v>
      </c>
      <c r="H3230" s="2">
        <v>5.2026000000000003</v>
      </c>
      <c r="I3230" s="2">
        <v>14.352000000000002</v>
      </c>
    </row>
    <row r="3231" spans="1:9" x14ac:dyDescent="0.3">
      <c r="A3231" t="str">
        <f t="shared" si="1086"/>
        <v>United States</v>
      </c>
      <c r="B3231" t="str">
        <f t="shared" ref="B3231:B3237" si="1098">B3230</f>
        <v>Murfreesboro</v>
      </c>
      <c r="C3231" t="s">
        <v>7</v>
      </c>
      <c r="D3231" t="s">
        <v>15</v>
      </c>
      <c r="E3231" t="s">
        <v>21</v>
      </c>
      <c r="F3231">
        <v>1</v>
      </c>
      <c r="G3231">
        <v>0.2</v>
      </c>
      <c r="H3231" s="2">
        <v>0.99949999999999894</v>
      </c>
      <c r="I3231" s="2">
        <v>15.991999999999999</v>
      </c>
    </row>
    <row r="3232" spans="1:9" x14ac:dyDescent="0.3">
      <c r="A3232" t="str">
        <f t="shared" si="1086"/>
        <v>United States</v>
      </c>
      <c r="B3232" t="str">
        <f t="shared" si="1098"/>
        <v>Murfreesboro</v>
      </c>
      <c r="C3232" t="s">
        <v>22</v>
      </c>
      <c r="D3232" t="s">
        <v>15</v>
      </c>
      <c r="E3232" t="s">
        <v>23</v>
      </c>
      <c r="F3232">
        <v>10</v>
      </c>
      <c r="G3232">
        <v>0.4</v>
      </c>
      <c r="H3232" s="2">
        <v>-12.021000000000011</v>
      </c>
      <c r="I3232" s="2">
        <v>77.472000000000008</v>
      </c>
    </row>
    <row r="3233" spans="1:9" x14ac:dyDescent="0.3">
      <c r="A3233" t="str">
        <f t="shared" si="1086"/>
        <v>United States</v>
      </c>
      <c r="B3233" t="str">
        <f t="shared" si="1098"/>
        <v>Murfreesboro</v>
      </c>
      <c r="C3233" t="str">
        <f t="shared" ref="C3233:C3237" si="1099">C3232</f>
        <v>Standard Class</v>
      </c>
      <c r="D3233" t="str">
        <f t="shared" ref="D3233:D3237" si="1100">D3232</f>
        <v>Corporate</v>
      </c>
      <c r="E3233" t="s">
        <v>20</v>
      </c>
      <c r="F3233">
        <v>7</v>
      </c>
      <c r="G3233">
        <v>2.0999999999999996</v>
      </c>
      <c r="H3233" s="2">
        <v>-8.7417999999999978</v>
      </c>
      <c r="I3233" s="2">
        <v>12.069000000000003</v>
      </c>
    </row>
    <row r="3234" spans="1:9" x14ac:dyDescent="0.3">
      <c r="A3234" t="str">
        <f t="shared" si="1086"/>
        <v>United States</v>
      </c>
      <c r="B3234" t="str">
        <f t="shared" si="1098"/>
        <v>Murfreesboro</v>
      </c>
      <c r="C3234" t="str">
        <f t="shared" si="1099"/>
        <v>Standard Class</v>
      </c>
      <c r="D3234" t="str">
        <f t="shared" si="1100"/>
        <v>Corporate</v>
      </c>
      <c r="E3234" t="s">
        <v>34</v>
      </c>
      <c r="F3234">
        <v>2</v>
      </c>
      <c r="G3234">
        <v>0.2</v>
      </c>
      <c r="H3234" s="2">
        <v>8.1939999999999955</v>
      </c>
      <c r="I3234" s="2">
        <v>131.10400000000001</v>
      </c>
    </row>
    <row r="3235" spans="1:9" x14ac:dyDescent="0.3">
      <c r="A3235" t="str">
        <f t="shared" si="1086"/>
        <v>United States</v>
      </c>
      <c r="B3235" t="str">
        <f t="shared" si="1098"/>
        <v>Murfreesboro</v>
      </c>
      <c r="C3235" t="str">
        <f t="shared" si="1099"/>
        <v>Standard Class</v>
      </c>
      <c r="D3235" t="str">
        <f t="shared" si="1100"/>
        <v>Corporate</v>
      </c>
      <c r="E3235" t="s">
        <v>21</v>
      </c>
      <c r="F3235">
        <v>3</v>
      </c>
      <c r="G3235">
        <v>0.2</v>
      </c>
      <c r="H3235" s="2">
        <v>16.005600000000005</v>
      </c>
      <c r="I3235" s="2">
        <v>53.352000000000004</v>
      </c>
    </row>
    <row r="3236" spans="1:9" x14ac:dyDescent="0.3">
      <c r="A3236" t="str">
        <f t="shared" si="1086"/>
        <v>United States</v>
      </c>
      <c r="B3236" t="str">
        <f t="shared" si="1098"/>
        <v>Murfreesboro</v>
      </c>
      <c r="C3236" t="str">
        <f t="shared" si="1099"/>
        <v>Standard Class</v>
      </c>
      <c r="D3236" t="str">
        <f t="shared" si="1100"/>
        <v>Corporate</v>
      </c>
      <c r="E3236" t="s">
        <v>16</v>
      </c>
      <c r="F3236">
        <v>1</v>
      </c>
      <c r="G3236">
        <v>0.2</v>
      </c>
      <c r="H3236" s="2">
        <v>3.7989999999999995</v>
      </c>
      <c r="I3236" s="2">
        <v>10.48</v>
      </c>
    </row>
    <row r="3237" spans="1:9" x14ac:dyDescent="0.3">
      <c r="A3237" t="str">
        <f t="shared" si="1086"/>
        <v>United States</v>
      </c>
      <c r="B3237" t="str">
        <f t="shared" si="1098"/>
        <v>Murfreesboro</v>
      </c>
      <c r="C3237" t="str">
        <f t="shared" si="1099"/>
        <v>Standard Class</v>
      </c>
      <c r="D3237" t="str">
        <f t="shared" si="1100"/>
        <v>Corporate</v>
      </c>
      <c r="E3237" t="s">
        <v>14</v>
      </c>
      <c r="F3237">
        <v>3</v>
      </c>
      <c r="G3237">
        <v>0.2</v>
      </c>
      <c r="H3237" s="2">
        <v>2.2511999999999999</v>
      </c>
      <c r="I3237" s="2">
        <v>22.512000000000004</v>
      </c>
    </row>
    <row r="3238" spans="1:9" x14ac:dyDescent="0.3">
      <c r="A3238" t="str">
        <f t="shared" si="1086"/>
        <v>United States</v>
      </c>
      <c r="B3238" t="s">
        <v>348</v>
      </c>
      <c r="C3238" t="s">
        <v>11</v>
      </c>
      <c r="D3238" t="s">
        <v>8</v>
      </c>
      <c r="E3238" t="s">
        <v>21</v>
      </c>
      <c r="F3238">
        <v>3</v>
      </c>
      <c r="G3238">
        <v>0</v>
      </c>
      <c r="H3238" s="2">
        <v>74.809799999999996</v>
      </c>
      <c r="I3238" s="2">
        <v>191.82</v>
      </c>
    </row>
    <row r="3239" spans="1:9" x14ac:dyDescent="0.3">
      <c r="A3239" t="str">
        <f t="shared" si="1086"/>
        <v>United States</v>
      </c>
      <c r="B3239" t="str">
        <f t="shared" ref="B3239:B3242" si="1101">B3238</f>
        <v>Murray</v>
      </c>
      <c r="C3239" t="str">
        <f>C3238</f>
        <v>First Class</v>
      </c>
      <c r="D3239" t="s">
        <v>17</v>
      </c>
      <c r="E3239" t="s">
        <v>16</v>
      </c>
      <c r="F3239">
        <v>5</v>
      </c>
      <c r="G3239">
        <v>0</v>
      </c>
      <c r="H3239" s="2">
        <v>23.231999999999999</v>
      </c>
      <c r="I3239" s="2">
        <v>48.4</v>
      </c>
    </row>
    <row r="3240" spans="1:9" x14ac:dyDescent="0.3">
      <c r="A3240" t="str">
        <f t="shared" si="1086"/>
        <v>United States</v>
      </c>
      <c r="B3240" t="str">
        <f t="shared" si="1101"/>
        <v>Murray</v>
      </c>
      <c r="C3240" t="s">
        <v>27</v>
      </c>
      <c r="D3240" t="s">
        <v>8</v>
      </c>
      <c r="E3240" t="s">
        <v>19</v>
      </c>
      <c r="F3240">
        <v>1</v>
      </c>
      <c r="G3240">
        <v>0</v>
      </c>
      <c r="H3240" s="2">
        <v>7.5370999999999988</v>
      </c>
      <c r="I3240" s="2">
        <v>25.99</v>
      </c>
    </row>
    <row r="3241" spans="1:9" x14ac:dyDescent="0.3">
      <c r="A3241" t="str">
        <f t="shared" si="1086"/>
        <v>United States</v>
      </c>
      <c r="B3241" t="str">
        <f t="shared" si="1101"/>
        <v>Murray</v>
      </c>
      <c r="C3241" t="str">
        <f>C3240</f>
        <v>Same Day</v>
      </c>
      <c r="D3241" t="str">
        <f>D3240</f>
        <v>Consumer</v>
      </c>
      <c r="E3241" t="s">
        <v>24</v>
      </c>
      <c r="F3241">
        <v>9</v>
      </c>
      <c r="G3241">
        <v>0.2</v>
      </c>
      <c r="H3241" s="2">
        <v>6.2936999999999976</v>
      </c>
      <c r="I3241" s="2">
        <v>71.928000000000011</v>
      </c>
    </row>
    <row r="3242" spans="1:9" x14ac:dyDescent="0.3">
      <c r="A3242" t="str">
        <f t="shared" si="1086"/>
        <v>United States</v>
      </c>
      <c r="B3242" t="str">
        <f t="shared" si="1101"/>
        <v>Murray</v>
      </c>
      <c r="C3242" t="s">
        <v>22</v>
      </c>
      <c r="D3242" t="s">
        <v>8</v>
      </c>
      <c r="E3242" t="s">
        <v>12</v>
      </c>
      <c r="F3242">
        <v>5</v>
      </c>
      <c r="G3242">
        <v>0</v>
      </c>
      <c r="H3242" s="2">
        <v>19.656000000000002</v>
      </c>
      <c r="I3242" s="2">
        <v>72.8</v>
      </c>
    </row>
    <row r="3243" spans="1:9" x14ac:dyDescent="0.3">
      <c r="A3243" t="str">
        <f t="shared" si="1086"/>
        <v>United States</v>
      </c>
      <c r="B3243" t="s">
        <v>349</v>
      </c>
      <c r="C3243" t="s">
        <v>22</v>
      </c>
      <c r="D3243" t="s">
        <v>8</v>
      </c>
      <c r="E3243" t="s">
        <v>14</v>
      </c>
      <c r="F3243">
        <v>3</v>
      </c>
      <c r="G3243">
        <v>0</v>
      </c>
      <c r="H3243" s="2">
        <v>92.083500000000015</v>
      </c>
      <c r="I3243" s="2">
        <v>484.65000000000003</v>
      </c>
    </row>
    <row r="3244" spans="1:9" x14ac:dyDescent="0.3">
      <c r="A3244" t="str">
        <f t="shared" si="1086"/>
        <v>United States</v>
      </c>
      <c r="B3244" t="s">
        <v>350</v>
      </c>
      <c r="C3244" t="s">
        <v>27</v>
      </c>
      <c r="D3244" t="s">
        <v>17</v>
      </c>
      <c r="E3244" t="s">
        <v>24</v>
      </c>
      <c r="F3244">
        <v>8</v>
      </c>
      <c r="G3244">
        <v>0</v>
      </c>
      <c r="H3244" s="2">
        <v>374.37920000000008</v>
      </c>
      <c r="I3244" s="2">
        <v>1439.92</v>
      </c>
    </row>
    <row r="3245" spans="1:9" x14ac:dyDescent="0.3">
      <c r="A3245" t="str">
        <f t="shared" si="1086"/>
        <v>United States</v>
      </c>
      <c r="B3245" t="str">
        <f t="shared" ref="B3245:B3247" si="1102">B3244</f>
        <v>Muskogee</v>
      </c>
      <c r="C3245" t="str">
        <f>C3244</f>
        <v>Same Day</v>
      </c>
      <c r="D3245" t="str">
        <f>D3244</f>
        <v>Home Office</v>
      </c>
      <c r="E3245" t="s">
        <v>25</v>
      </c>
      <c r="F3245">
        <v>1</v>
      </c>
      <c r="G3245">
        <v>0</v>
      </c>
      <c r="H3245" s="2">
        <v>62.906399999999991</v>
      </c>
      <c r="I3245" s="2">
        <v>262.11</v>
      </c>
    </row>
    <row r="3246" spans="1:9" x14ac:dyDescent="0.3">
      <c r="A3246" t="str">
        <f t="shared" si="1086"/>
        <v>United States</v>
      </c>
      <c r="B3246" t="str">
        <f t="shared" si="1102"/>
        <v>Muskogee</v>
      </c>
      <c r="C3246" t="s">
        <v>22</v>
      </c>
      <c r="D3246" t="s">
        <v>17</v>
      </c>
      <c r="E3246" t="s">
        <v>12</v>
      </c>
      <c r="F3246">
        <v>3</v>
      </c>
      <c r="G3246">
        <v>0</v>
      </c>
      <c r="H3246" s="2">
        <v>3.4086000000000003</v>
      </c>
      <c r="I3246" s="2">
        <v>13.11</v>
      </c>
    </row>
    <row r="3247" spans="1:9" x14ac:dyDescent="0.3">
      <c r="A3247" t="str">
        <f t="shared" si="1086"/>
        <v>United States</v>
      </c>
      <c r="B3247" t="str">
        <f t="shared" si="1102"/>
        <v>Muskogee</v>
      </c>
      <c r="C3247" t="str">
        <f>C3246</f>
        <v>Standard Class</v>
      </c>
      <c r="D3247" t="str">
        <f>D3246</f>
        <v>Home Office</v>
      </c>
      <c r="E3247" t="s">
        <v>19</v>
      </c>
      <c r="F3247">
        <v>2</v>
      </c>
      <c r="G3247">
        <v>0</v>
      </c>
      <c r="H3247" s="2">
        <v>1.9023999999999992</v>
      </c>
      <c r="I3247" s="2">
        <v>6.56</v>
      </c>
    </row>
    <row r="3248" spans="1:9" x14ac:dyDescent="0.3">
      <c r="A3248" t="str">
        <f t="shared" si="1086"/>
        <v>United States</v>
      </c>
      <c r="B3248" t="s">
        <v>351</v>
      </c>
      <c r="C3248" t="s">
        <v>7</v>
      </c>
      <c r="D3248" t="s">
        <v>8</v>
      </c>
      <c r="E3248" t="s">
        <v>23</v>
      </c>
      <c r="F3248">
        <v>5</v>
      </c>
      <c r="G3248">
        <v>0.2</v>
      </c>
      <c r="H3248" s="2">
        <v>83.98599999999999</v>
      </c>
      <c r="I3248" s="2">
        <v>239.96000000000004</v>
      </c>
    </row>
    <row r="3249" spans="1:9" x14ac:dyDescent="0.3">
      <c r="A3249" t="str">
        <f t="shared" si="1086"/>
        <v>United States</v>
      </c>
      <c r="B3249" t="str">
        <f t="shared" ref="B3249:B3255" si="1103">B3248</f>
        <v>Naperville</v>
      </c>
      <c r="C3249" t="str">
        <f t="shared" ref="C3249:C3250" si="1104">C3248</f>
        <v>Second Class</v>
      </c>
      <c r="D3249" t="str">
        <f t="shared" ref="D3249:D3250" si="1105">D3248</f>
        <v>Consumer</v>
      </c>
      <c r="E3249" t="s">
        <v>20</v>
      </c>
      <c r="F3249">
        <v>6</v>
      </c>
      <c r="G3249">
        <v>0.8</v>
      </c>
      <c r="H3249" s="2">
        <v>-13.015200000000004</v>
      </c>
      <c r="I3249" s="2">
        <v>7.6559999999999988</v>
      </c>
    </row>
    <row r="3250" spans="1:9" x14ac:dyDescent="0.3">
      <c r="A3250" t="str">
        <f t="shared" si="1086"/>
        <v>United States</v>
      </c>
      <c r="B3250" t="str">
        <f t="shared" si="1103"/>
        <v>Naperville</v>
      </c>
      <c r="C3250" t="str">
        <f t="shared" si="1104"/>
        <v>Second Class</v>
      </c>
      <c r="D3250" t="str">
        <f t="shared" si="1105"/>
        <v>Consumer</v>
      </c>
      <c r="E3250" t="s">
        <v>33</v>
      </c>
      <c r="F3250">
        <v>7</v>
      </c>
      <c r="G3250">
        <v>0.3</v>
      </c>
      <c r="H3250" s="2">
        <v>-163.57670000000005</v>
      </c>
      <c r="I3250" s="2">
        <v>602.65099999999995</v>
      </c>
    </row>
    <row r="3251" spans="1:9" x14ac:dyDescent="0.3">
      <c r="A3251" t="str">
        <f t="shared" si="1086"/>
        <v>United States</v>
      </c>
      <c r="B3251" t="str">
        <f t="shared" si="1103"/>
        <v>Naperville</v>
      </c>
      <c r="C3251" t="s">
        <v>22</v>
      </c>
      <c r="D3251" t="s">
        <v>8</v>
      </c>
      <c r="E3251" t="s">
        <v>20</v>
      </c>
      <c r="F3251">
        <v>3</v>
      </c>
      <c r="G3251">
        <v>0.8</v>
      </c>
      <c r="H3251" s="2">
        <v>-4.492799999999999</v>
      </c>
      <c r="I3251" s="2">
        <v>2.8079999999999989</v>
      </c>
    </row>
    <row r="3252" spans="1:9" x14ac:dyDescent="0.3">
      <c r="A3252" t="str">
        <f t="shared" si="1086"/>
        <v>United States</v>
      </c>
      <c r="B3252" t="str">
        <f t="shared" si="1103"/>
        <v>Naperville</v>
      </c>
      <c r="C3252" t="str">
        <f t="shared" ref="C3252:C3255" si="1106">C3251</f>
        <v>Standard Class</v>
      </c>
      <c r="D3252" t="s">
        <v>15</v>
      </c>
      <c r="E3252" t="s">
        <v>24</v>
      </c>
      <c r="F3252">
        <v>4</v>
      </c>
      <c r="G3252">
        <v>0.2</v>
      </c>
      <c r="H3252" s="2">
        <v>16.556399999999996</v>
      </c>
      <c r="I3252" s="2">
        <v>147.16800000000001</v>
      </c>
    </row>
    <row r="3253" spans="1:9" x14ac:dyDescent="0.3">
      <c r="A3253" t="str">
        <f t="shared" si="1086"/>
        <v>United States</v>
      </c>
      <c r="B3253" t="str">
        <f t="shared" si="1103"/>
        <v>Naperville</v>
      </c>
      <c r="C3253" t="str">
        <f t="shared" si="1106"/>
        <v>Standard Class</v>
      </c>
      <c r="D3253" t="s">
        <v>17</v>
      </c>
      <c r="E3253" t="s">
        <v>20</v>
      </c>
      <c r="F3253">
        <v>2</v>
      </c>
      <c r="G3253">
        <v>0.8</v>
      </c>
      <c r="H3253" s="2">
        <v>-5.4870000000000001</v>
      </c>
      <c r="I3253" s="2">
        <v>3.5399999999999991</v>
      </c>
    </row>
    <row r="3254" spans="1:9" x14ac:dyDescent="0.3">
      <c r="A3254" t="str">
        <f t="shared" si="1086"/>
        <v>United States</v>
      </c>
      <c r="B3254" t="str">
        <f t="shared" si="1103"/>
        <v>Naperville</v>
      </c>
      <c r="C3254" t="str">
        <f t="shared" si="1106"/>
        <v>Standard Class</v>
      </c>
      <c r="D3254" t="str">
        <f t="shared" ref="D3254:D3255" si="1107">D3253</f>
        <v>Home Office</v>
      </c>
      <c r="E3254" t="s">
        <v>43</v>
      </c>
      <c r="F3254">
        <v>3</v>
      </c>
      <c r="G3254">
        <v>0.2</v>
      </c>
      <c r="H3254" s="2">
        <v>4.2716999999999992</v>
      </c>
      <c r="I3254" s="2">
        <v>11.784000000000001</v>
      </c>
    </row>
    <row r="3255" spans="1:9" x14ac:dyDescent="0.3">
      <c r="A3255" t="str">
        <f t="shared" si="1086"/>
        <v>United States</v>
      </c>
      <c r="B3255" t="str">
        <f t="shared" si="1103"/>
        <v>Naperville</v>
      </c>
      <c r="C3255" t="str">
        <f t="shared" si="1106"/>
        <v>Standard Class</v>
      </c>
      <c r="D3255" t="str">
        <f t="shared" si="1107"/>
        <v>Home Office</v>
      </c>
      <c r="E3255" t="s">
        <v>14</v>
      </c>
      <c r="F3255">
        <v>3</v>
      </c>
      <c r="G3255">
        <v>0.2</v>
      </c>
      <c r="H3255" s="2">
        <v>-64.774800000000013</v>
      </c>
      <c r="I3255" s="2">
        <v>272.73599999999999</v>
      </c>
    </row>
    <row r="3256" spans="1:9" x14ac:dyDescent="0.3">
      <c r="A3256" t="str">
        <f t="shared" si="1086"/>
        <v>United States</v>
      </c>
      <c r="B3256" t="s">
        <v>352</v>
      </c>
      <c r="C3256" t="s">
        <v>7</v>
      </c>
      <c r="D3256" t="s">
        <v>8</v>
      </c>
      <c r="E3256" t="s">
        <v>18</v>
      </c>
      <c r="F3256">
        <v>6</v>
      </c>
      <c r="G3256">
        <v>0</v>
      </c>
      <c r="H3256" s="2">
        <v>6.9654000000000007</v>
      </c>
      <c r="I3256" s="2">
        <v>14.82</v>
      </c>
    </row>
    <row r="3257" spans="1:9" x14ac:dyDescent="0.3">
      <c r="A3257" t="str">
        <f t="shared" si="1086"/>
        <v>United States</v>
      </c>
      <c r="B3257" t="str">
        <f>B3256</f>
        <v>Nashua</v>
      </c>
      <c r="C3257" t="s">
        <v>22</v>
      </c>
      <c r="D3257" t="s">
        <v>15</v>
      </c>
      <c r="E3257" t="s">
        <v>21</v>
      </c>
      <c r="F3257">
        <v>4</v>
      </c>
      <c r="G3257">
        <v>0</v>
      </c>
      <c r="H3257" s="2">
        <v>6.5471999999999984</v>
      </c>
      <c r="I3257" s="2">
        <v>21.12</v>
      </c>
    </row>
    <row r="3258" spans="1:9" x14ac:dyDescent="0.3">
      <c r="A3258" t="str">
        <f t="shared" si="1086"/>
        <v>United States</v>
      </c>
      <c r="B3258" t="s">
        <v>353</v>
      </c>
      <c r="C3258" t="s">
        <v>11</v>
      </c>
      <c r="D3258" t="s">
        <v>8</v>
      </c>
      <c r="E3258" t="s">
        <v>16</v>
      </c>
      <c r="F3258">
        <v>3</v>
      </c>
      <c r="G3258">
        <v>0.2</v>
      </c>
      <c r="H3258" s="2">
        <v>5.4432</v>
      </c>
      <c r="I3258" s="2">
        <v>15.552000000000003</v>
      </c>
    </row>
    <row r="3259" spans="1:9" x14ac:dyDescent="0.3">
      <c r="A3259" t="str">
        <f t="shared" si="1086"/>
        <v>United States</v>
      </c>
      <c r="B3259" t="str">
        <f t="shared" ref="B3259:B3277" si="1108">B3258</f>
        <v>Nashville</v>
      </c>
      <c r="C3259" t="str">
        <f t="shared" ref="C3259:C3260" si="1109">C3258</f>
        <v>First Class</v>
      </c>
      <c r="D3259" t="s">
        <v>15</v>
      </c>
      <c r="E3259" t="s">
        <v>33</v>
      </c>
      <c r="F3259">
        <v>2</v>
      </c>
      <c r="G3259">
        <v>0.2</v>
      </c>
      <c r="H3259" s="2">
        <v>10.960199999999993</v>
      </c>
      <c r="I3259" s="2">
        <v>97.424000000000007</v>
      </c>
    </row>
    <row r="3260" spans="1:9" x14ac:dyDescent="0.3">
      <c r="A3260" t="str">
        <f t="shared" si="1086"/>
        <v>United States</v>
      </c>
      <c r="B3260" t="str">
        <f t="shared" si="1108"/>
        <v>Nashville</v>
      </c>
      <c r="C3260" t="str">
        <f t="shared" si="1109"/>
        <v>First Class</v>
      </c>
      <c r="D3260" t="s">
        <v>17</v>
      </c>
      <c r="E3260" t="s">
        <v>19</v>
      </c>
      <c r="F3260">
        <v>14</v>
      </c>
      <c r="G3260">
        <v>0.4</v>
      </c>
      <c r="H3260" s="2">
        <v>12.048</v>
      </c>
      <c r="I3260" s="2">
        <v>109.96799999999999</v>
      </c>
    </row>
    <row r="3261" spans="1:9" x14ac:dyDescent="0.3">
      <c r="A3261" t="str">
        <f t="shared" si="1086"/>
        <v>United States</v>
      </c>
      <c r="B3261" t="str">
        <f t="shared" si="1108"/>
        <v>Nashville</v>
      </c>
      <c r="C3261" t="s">
        <v>22</v>
      </c>
      <c r="D3261" t="s">
        <v>8</v>
      </c>
      <c r="E3261" t="s">
        <v>23</v>
      </c>
      <c r="F3261">
        <v>4</v>
      </c>
      <c r="G3261">
        <v>0.2</v>
      </c>
      <c r="H3261" s="2">
        <v>8.3524000000000012</v>
      </c>
      <c r="I3261" s="2">
        <v>35.167999999999999</v>
      </c>
    </row>
    <row r="3262" spans="1:9" x14ac:dyDescent="0.3">
      <c r="A3262" t="str">
        <f t="shared" si="1086"/>
        <v>United States</v>
      </c>
      <c r="B3262" t="str">
        <f t="shared" si="1108"/>
        <v>Nashville</v>
      </c>
      <c r="C3262" t="str">
        <f t="shared" ref="C3262:C3277" si="1110">C3261</f>
        <v>Standard Class</v>
      </c>
      <c r="D3262" t="str">
        <f t="shared" ref="D3262:D3268" si="1111">D3261</f>
        <v>Consumer</v>
      </c>
      <c r="E3262" t="s">
        <v>19</v>
      </c>
      <c r="F3262">
        <v>5</v>
      </c>
      <c r="G3262">
        <v>0.4</v>
      </c>
      <c r="H3262" s="2">
        <v>1.1720999999999993</v>
      </c>
      <c r="I3262" s="2">
        <v>9.6080000000000005</v>
      </c>
    </row>
    <row r="3263" spans="1:9" x14ac:dyDescent="0.3">
      <c r="A3263" t="str">
        <f t="shared" si="1086"/>
        <v>United States</v>
      </c>
      <c r="B3263" t="str">
        <f t="shared" si="1108"/>
        <v>Nashville</v>
      </c>
      <c r="C3263" t="str">
        <f t="shared" si="1110"/>
        <v>Standard Class</v>
      </c>
      <c r="D3263" t="str">
        <f t="shared" si="1111"/>
        <v>Consumer</v>
      </c>
      <c r="E3263" t="s">
        <v>20</v>
      </c>
      <c r="F3263">
        <v>9</v>
      </c>
      <c r="G3263">
        <v>1.4</v>
      </c>
      <c r="H3263" s="2">
        <v>-921.82169999999996</v>
      </c>
      <c r="I3263" s="2">
        <v>1381.0410000000002</v>
      </c>
    </row>
    <row r="3264" spans="1:9" x14ac:dyDescent="0.3">
      <c r="A3264" t="str">
        <f t="shared" si="1086"/>
        <v>United States</v>
      </c>
      <c r="B3264" t="str">
        <f t="shared" si="1108"/>
        <v>Nashville</v>
      </c>
      <c r="C3264" t="str">
        <f t="shared" si="1110"/>
        <v>Standard Class</v>
      </c>
      <c r="D3264" t="str">
        <f t="shared" si="1111"/>
        <v>Consumer</v>
      </c>
      <c r="E3264" t="s">
        <v>21</v>
      </c>
      <c r="F3264">
        <v>3</v>
      </c>
      <c r="G3264">
        <v>0.2</v>
      </c>
      <c r="H3264" s="2">
        <v>14.546999999999995</v>
      </c>
      <c r="I3264" s="2">
        <v>44.76</v>
      </c>
    </row>
    <row r="3265" spans="1:9" x14ac:dyDescent="0.3">
      <c r="A3265" t="str">
        <f t="shared" si="1086"/>
        <v>United States</v>
      </c>
      <c r="B3265" t="str">
        <f t="shared" si="1108"/>
        <v>Nashville</v>
      </c>
      <c r="C3265" t="str">
        <f t="shared" si="1110"/>
        <v>Standard Class</v>
      </c>
      <c r="D3265" t="str">
        <f t="shared" si="1111"/>
        <v>Consumer</v>
      </c>
      <c r="E3265" t="s">
        <v>43</v>
      </c>
      <c r="F3265">
        <v>4</v>
      </c>
      <c r="G3265">
        <v>0.2</v>
      </c>
      <c r="H3265" s="2">
        <v>3.3408000000000002</v>
      </c>
      <c r="I3265" s="2">
        <v>9.2159999999999993</v>
      </c>
    </row>
    <row r="3266" spans="1:9" x14ac:dyDescent="0.3">
      <c r="A3266" t="str">
        <f t="shared" si="1086"/>
        <v>United States</v>
      </c>
      <c r="B3266" t="str">
        <f t="shared" si="1108"/>
        <v>Nashville</v>
      </c>
      <c r="C3266" t="str">
        <f t="shared" si="1110"/>
        <v>Standard Class</v>
      </c>
      <c r="D3266" t="str">
        <f t="shared" si="1111"/>
        <v>Consumer</v>
      </c>
      <c r="E3266" t="s">
        <v>46</v>
      </c>
      <c r="F3266">
        <v>2</v>
      </c>
      <c r="G3266">
        <v>0.5</v>
      </c>
      <c r="H3266" s="2">
        <v>-272.58000000000015</v>
      </c>
      <c r="I3266" s="2">
        <v>649</v>
      </c>
    </row>
    <row r="3267" spans="1:9" x14ac:dyDescent="0.3">
      <c r="A3267" t="str">
        <f t="shared" si="1086"/>
        <v>United States</v>
      </c>
      <c r="B3267" t="str">
        <f t="shared" si="1108"/>
        <v>Nashville</v>
      </c>
      <c r="C3267" t="str">
        <f t="shared" si="1110"/>
        <v>Standard Class</v>
      </c>
      <c r="D3267" t="str">
        <f t="shared" si="1111"/>
        <v>Consumer</v>
      </c>
      <c r="E3267" t="s">
        <v>16</v>
      </c>
      <c r="F3267">
        <v>22</v>
      </c>
      <c r="G3267">
        <v>1</v>
      </c>
      <c r="H3267" s="2">
        <v>98.928399999999982</v>
      </c>
      <c r="I3267" s="2">
        <v>297.29600000000005</v>
      </c>
    </row>
    <row r="3268" spans="1:9" x14ac:dyDescent="0.3">
      <c r="A3268" t="str">
        <f t="shared" ref="A3268:A3331" si="1112">A3267</f>
        <v>United States</v>
      </c>
      <c r="B3268" t="str">
        <f t="shared" si="1108"/>
        <v>Nashville</v>
      </c>
      <c r="C3268" t="str">
        <f t="shared" si="1110"/>
        <v>Standard Class</v>
      </c>
      <c r="D3268" t="str">
        <f t="shared" si="1111"/>
        <v>Consumer</v>
      </c>
      <c r="E3268" t="s">
        <v>14</v>
      </c>
      <c r="F3268">
        <v>4</v>
      </c>
      <c r="G3268">
        <v>0.2</v>
      </c>
      <c r="H3268" s="2">
        <v>-58.873600000000025</v>
      </c>
      <c r="I3268" s="2">
        <v>294.36799999999999</v>
      </c>
    </row>
    <row r="3269" spans="1:9" x14ac:dyDescent="0.3">
      <c r="A3269" t="str">
        <f t="shared" si="1112"/>
        <v>United States</v>
      </c>
      <c r="B3269" t="str">
        <f t="shared" si="1108"/>
        <v>Nashville</v>
      </c>
      <c r="C3269" t="str">
        <f t="shared" si="1110"/>
        <v>Standard Class</v>
      </c>
      <c r="D3269" t="s">
        <v>15</v>
      </c>
      <c r="E3269" t="s">
        <v>12</v>
      </c>
      <c r="F3269">
        <v>10</v>
      </c>
      <c r="G3269">
        <v>0.4</v>
      </c>
      <c r="H3269" s="2">
        <v>13.840399999999999</v>
      </c>
      <c r="I3269" s="2">
        <v>158.17599999999999</v>
      </c>
    </row>
    <row r="3270" spans="1:9" x14ac:dyDescent="0.3">
      <c r="A3270" t="str">
        <f t="shared" si="1112"/>
        <v>United States</v>
      </c>
      <c r="B3270" t="str">
        <f t="shared" si="1108"/>
        <v>Nashville</v>
      </c>
      <c r="C3270" t="str">
        <f t="shared" si="1110"/>
        <v>Standard Class</v>
      </c>
      <c r="D3270" t="str">
        <f t="shared" ref="D3270:D3276" si="1113">D3269</f>
        <v>Corporate</v>
      </c>
      <c r="E3270" t="s">
        <v>20</v>
      </c>
      <c r="F3270">
        <v>3</v>
      </c>
      <c r="G3270">
        <v>0.7</v>
      </c>
      <c r="H3270" s="2">
        <v>-20.72399999999999</v>
      </c>
      <c r="I3270" s="2">
        <v>31.086000000000006</v>
      </c>
    </row>
    <row r="3271" spans="1:9" x14ac:dyDescent="0.3">
      <c r="A3271" t="str">
        <f t="shared" si="1112"/>
        <v>United States</v>
      </c>
      <c r="B3271" t="str">
        <f t="shared" si="1108"/>
        <v>Nashville</v>
      </c>
      <c r="C3271" t="str">
        <f t="shared" si="1110"/>
        <v>Standard Class</v>
      </c>
      <c r="D3271" t="str">
        <f t="shared" si="1113"/>
        <v>Corporate</v>
      </c>
      <c r="E3271" t="s">
        <v>18</v>
      </c>
      <c r="F3271">
        <v>5</v>
      </c>
      <c r="G3271">
        <v>0.2</v>
      </c>
      <c r="H3271" s="2">
        <v>1.1764999999999992</v>
      </c>
      <c r="I3271" s="2">
        <v>7.2400000000000011</v>
      </c>
    </row>
    <row r="3272" spans="1:9" x14ac:dyDescent="0.3">
      <c r="A3272" t="str">
        <f t="shared" si="1112"/>
        <v>United States</v>
      </c>
      <c r="B3272" t="str">
        <f t="shared" si="1108"/>
        <v>Nashville</v>
      </c>
      <c r="C3272" t="str">
        <f t="shared" si="1110"/>
        <v>Standard Class</v>
      </c>
      <c r="D3272" t="str">
        <f t="shared" si="1113"/>
        <v>Corporate</v>
      </c>
      <c r="E3272" t="s">
        <v>21</v>
      </c>
      <c r="F3272">
        <v>4</v>
      </c>
      <c r="G3272">
        <v>0.2</v>
      </c>
      <c r="H3272" s="2">
        <v>9.3504000000000005</v>
      </c>
      <c r="I3272" s="2">
        <v>31.168000000000003</v>
      </c>
    </row>
    <row r="3273" spans="1:9" x14ac:dyDescent="0.3">
      <c r="A3273" t="str">
        <f t="shared" si="1112"/>
        <v>United States</v>
      </c>
      <c r="B3273" t="str">
        <f t="shared" si="1108"/>
        <v>Nashville</v>
      </c>
      <c r="C3273" t="str">
        <f t="shared" si="1110"/>
        <v>Standard Class</v>
      </c>
      <c r="D3273" t="str">
        <f t="shared" si="1113"/>
        <v>Corporate</v>
      </c>
      <c r="E3273" t="s">
        <v>16</v>
      </c>
      <c r="F3273">
        <v>5</v>
      </c>
      <c r="G3273">
        <v>0.2</v>
      </c>
      <c r="H3273" s="2">
        <v>29.691999999999993</v>
      </c>
      <c r="I3273" s="2">
        <v>91.360000000000014</v>
      </c>
    </row>
    <row r="3274" spans="1:9" x14ac:dyDescent="0.3">
      <c r="A3274" t="str">
        <f t="shared" si="1112"/>
        <v>United States</v>
      </c>
      <c r="B3274" t="str">
        <f t="shared" si="1108"/>
        <v>Nashville</v>
      </c>
      <c r="C3274" t="str">
        <f t="shared" si="1110"/>
        <v>Standard Class</v>
      </c>
      <c r="D3274" t="str">
        <f t="shared" si="1113"/>
        <v>Corporate</v>
      </c>
      <c r="E3274" t="s">
        <v>24</v>
      </c>
      <c r="F3274">
        <v>11</v>
      </c>
      <c r="G3274">
        <v>0.4</v>
      </c>
      <c r="H3274" s="2">
        <v>250.9909000000001</v>
      </c>
      <c r="I3274" s="2">
        <v>2479.9120000000003</v>
      </c>
    </row>
    <row r="3275" spans="1:9" x14ac:dyDescent="0.3">
      <c r="A3275" t="str">
        <f t="shared" si="1112"/>
        <v>United States</v>
      </c>
      <c r="B3275" t="str">
        <f t="shared" si="1108"/>
        <v>Nashville</v>
      </c>
      <c r="C3275" t="str">
        <f t="shared" si="1110"/>
        <v>Standard Class</v>
      </c>
      <c r="D3275" t="str">
        <f t="shared" si="1113"/>
        <v>Corporate</v>
      </c>
      <c r="E3275" t="s">
        <v>14</v>
      </c>
      <c r="F3275">
        <v>1</v>
      </c>
      <c r="G3275">
        <v>0.2</v>
      </c>
      <c r="H3275" s="2">
        <v>17.84699999999998</v>
      </c>
      <c r="I3275" s="2">
        <v>142.77600000000001</v>
      </c>
    </row>
    <row r="3276" spans="1:9" x14ac:dyDescent="0.3">
      <c r="A3276" t="str">
        <f t="shared" si="1112"/>
        <v>United States</v>
      </c>
      <c r="B3276" t="str">
        <f t="shared" si="1108"/>
        <v>Nashville</v>
      </c>
      <c r="C3276" t="str">
        <f t="shared" si="1110"/>
        <v>Standard Class</v>
      </c>
      <c r="D3276" t="str">
        <f t="shared" si="1113"/>
        <v>Corporate</v>
      </c>
      <c r="E3276" t="s">
        <v>25</v>
      </c>
      <c r="F3276">
        <v>2</v>
      </c>
      <c r="G3276">
        <v>0.4</v>
      </c>
      <c r="H3276" s="2">
        <v>-28.224000000000004</v>
      </c>
      <c r="I3276" s="2">
        <v>120.96</v>
      </c>
    </row>
    <row r="3277" spans="1:9" x14ac:dyDescent="0.3">
      <c r="A3277" t="str">
        <f t="shared" si="1112"/>
        <v>United States</v>
      </c>
      <c r="B3277" t="str">
        <f t="shared" si="1108"/>
        <v>Nashville</v>
      </c>
      <c r="C3277" t="str">
        <f t="shared" si="1110"/>
        <v>Standard Class</v>
      </c>
      <c r="D3277" t="s">
        <v>17</v>
      </c>
      <c r="E3277" t="s">
        <v>14</v>
      </c>
      <c r="F3277">
        <v>1</v>
      </c>
      <c r="G3277">
        <v>0.2</v>
      </c>
      <c r="H3277" s="2">
        <v>-12.956800000000005</v>
      </c>
      <c r="I3277" s="2">
        <v>64.784000000000006</v>
      </c>
    </row>
    <row r="3278" spans="1:9" x14ac:dyDescent="0.3">
      <c r="A3278" t="str">
        <f t="shared" si="1112"/>
        <v>United States</v>
      </c>
      <c r="B3278" t="s">
        <v>354</v>
      </c>
      <c r="C3278" t="s">
        <v>22</v>
      </c>
      <c r="D3278" t="s">
        <v>8</v>
      </c>
      <c r="E3278" t="s">
        <v>20</v>
      </c>
      <c r="F3278">
        <v>6</v>
      </c>
      <c r="G3278">
        <v>0</v>
      </c>
      <c r="H3278" s="2">
        <v>17.9634</v>
      </c>
      <c r="I3278" s="2">
        <v>38.22</v>
      </c>
    </row>
    <row r="3279" spans="1:9" x14ac:dyDescent="0.3">
      <c r="A3279" t="str">
        <f t="shared" si="1112"/>
        <v>United States</v>
      </c>
      <c r="B3279" t="str">
        <f t="shared" ref="B3279:B3281" si="1114">B3278</f>
        <v>New Albany</v>
      </c>
      <c r="C3279" t="str">
        <f t="shared" ref="C3279:C3281" si="1115">C3278</f>
        <v>Standard Class</v>
      </c>
      <c r="D3279" t="str">
        <f t="shared" ref="D3279:D3281" si="1116">D3278</f>
        <v>Consumer</v>
      </c>
      <c r="E3279" t="s">
        <v>33</v>
      </c>
      <c r="F3279">
        <v>1</v>
      </c>
      <c r="G3279">
        <v>0</v>
      </c>
      <c r="H3279" s="2">
        <v>17.098099999999988</v>
      </c>
      <c r="I3279" s="2">
        <v>89.99</v>
      </c>
    </row>
    <row r="3280" spans="1:9" x14ac:dyDescent="0.3">
      <c r="A3280" t="str">
        <f t="shared" si="1112"/>
        <v>United States</v>
      </c>
      <c r="B3280" t="str">
        <f t="shared" si="1114"/>
        <v>New Albany</v>
      </c>
      <c r="C3280" t="str">
        <f t="shared" si="1115"/>
        <v>Standard Class</v>
      </c>
      <c r="D3280" t="str">
        <f t="shared" si="1116"/>
        <v>Consumer</v>
      </c>
      <c r="E3280" t="s">
        <v>21</v>
      </c>
      <c r="F3280">
        <v>2</v>
      </c>
      <c r="G3280">
        <v>0</v>
      </c>
      <c r="H3280" s="2">
        <v>2.9567999999999999</v>
      </c>
      <c r="I3280" s="2">
        <v>6.16</v>
      </c>
    </row>
    <row r="3281" spans="1:9" x14ac:dyDescent="0.3">
      <c r="A3281" t="str">
        <f t="shared" si="1112"/>
        <v>United States</v>
      </c>
      <c r="B3281" t="str">
        <f t="shared" si="1114"/>
        <v>New Albany</v>
      </c>
      <c r="C3281" t="str">
        <f t="shared" si="1115"/>
        <v>Standard Class</v>
      </c>
      <c r="D3281" t="str">
        <f t="shared" si="1116"/>
        <v>Consumer</v>
      </c>
      <c r="E3281" t="s">
        <v>43</v>
      </c>
      <c r="F3281">
        <v>6</v>
      </c>
      <c r="G3281">
        <v>0</v>
      </c>
      <c r="H3281" s="2">
        <v>35.334599999999995</v>
      </c>
      <c r="I3281" s="2">
        <v>75.179999999999993</v>
      </c>
    </row>
    <row r="3282" spans="1:9" x14ac:dyDescent="0.3">
      <c r="A3282" t="str">
        <f t="shared" si="1112"/>
        <v>United States</v>
      </c>
      <c r="B3282" t="s">
        <v>355</v>
      </c>
      <c r="C3282" t="s">
        <v>22</v>
      </c>
      <c r="D3282" t="s">
        <v>8</v>
      </c>
      <c r="E3282" t="s">
        <v>23</v>
      </c>
      <c r="F3282">
        <v>2</v>
      </c>
      <c r="G3282">
        <v>0</v>
      </c>
      <c r="H3282" s="2">
        <v>7.6493999999999982</v>
      </c>
      <c r="I3282" s="2">
        <v>23.18</v>
      </c>
    </row>
    <row r="3283" spans="1:9" x14ac:dyDescent="0.3">
      <c r="A3283" t="str">
        <f t="shared" si="1112"/>
        <v>United States</v>
      </c>
      <c r="B3283" t="str">
        <f t="shared" ref="B3283:B3285" si="1117">B3282</f>
        <v>New Bedford</v>
      </c>
      <c r="C3283" t="str">
        <f t="shared" ref="C3283:C3285" si="1118">C3282</f>
        <v>Standard Class</v>
      </c>
      <c r="D3283" t="s">
        <v>15</v>
      </c>
      <c r="E3283" t="s">
        <v>20</v>
      </c>
      <c r="F3283">
        <v>14</v>
      </c>
      <c r="G3283">
        <v>0</v>
      </c>
      <c r="H3283" s="2">
        <v>29.64</v>
      </c>
      <c r="I3283" s="2">
        <v>64.5</v>
      </c>
    </row>
    <row r="3284" spans="1:9" x14ac:dyDescent="0.3">
      <c r="A3284" t="str">
        <f t="shared" si="1112"/>
        <v>United States</v>
      </c>
      <c r="B3284" t="str">
        <f t="shared" si="1117"/>
        <v>New Bedford</v>
      </c>
      <c r="C3284" t="str">
        <f t="shared" si="1118"/>
        <v>Standard Class</v>
      </c>
      <c r="D3284" t="str">
        <f t="shared" ref="D3284:D3285" si="1119">D3283</f>
        <v>Corporate</v>
      </c>
      <c r="E3284" t="s">
        <v>16</v>
      </c>
      <c r="F3284">
        <v>3</v>
      </c>
      <c r="G3284">
        <v>0</v>
      </c>
      <c r="H3284" s="2">
        <v>9.3312000000000008</v>
      </c>
      <c r="I3284" s="2">
        <v>19.440000000000001</v>
      </c>
    </row>
    <row r="3285" spans="1:9" x14ac:dyDescent="0.3">
      <c r="A3285" t="str">
        <f t="shared" si="1112"/>
        <v>United States</v>
      </c>
      <c r="B3285" t="str">
        <f t="shared" si="1117"/>
        <v>New Bedford</v>
      </c>
      <c r="C3285" t="str">
        <f t="shared" si="1118"/>
        <v>Standard Class</v>
      </c>
      <c r="D3285" t="str">
        <f t="shared" si="1119"/>
        <v>Corporate</v>
      </c>
      <c r="E3285" t="s">
        <v>24</v>
      </c>
      <c r="F3285">
        <v>3</v>
      </c>
      <c r="G3285">
        <v>0</v>
      </c>
      <c r="H3285" s="2">
        <v>3.8654999999999973</v>
      </c>
      <c r="I3285" s="2">
        <v>128.85000000000002</v>
      </c>
    </row>
    <row r="3286" spans="1:9" x14ac:dyDescent="0.3">
      <c r="A3286" t="str">
        <f t="shared" si="1112"/>
        <v>United States</v>
      </c>
      <c r="B3286" t="s">
        <v>356</v>
      </c>
      <c r="C3286" t="s">
        <v>22</v>
      </c>
      <c r="D3286" t="s">
        <v>17</v>
      </c>
      <c r="E3286" t="s">
        <v>18</v>
      </c>
      <c r="F3286">
        <v>2</v>
      </c>
      <c r="G3286">
        <v>0</v>
      </c>
      <c r="H3286" s="2">
        <v>3.58</v>
      </c>
      <c r="I3286" s="2">
        <v>7.16</v>
      </c>
    </row>
    <row r="3287" spans="1:9" x14ac:dyDescent="0.3">
      <c r="A3287" t="str">
        <f t="shared" si="1112"/>
        <v>United States</v>
      </c>
      <c r="B3287" t="str">
        <f>B3286</f>
        <v>New Brunswick</v>
      </c>
      <c r="C3287" t="str">
        <f>C3286</f>
        <v>Standard Class</v>
      </c>
      <c r="D3287" t="str">
        <f>D3286</f>
        <v>Home Office</v>
      </c>
      <c r="E3287" t="s">
        <v>16</v>
      </c>
      <c r="F3287">
        <v>1</v>
      </c>
      <c r="G3287">
        <v>0</v>
      </c>
      <c r="H3287" s="2">
        <v>3.5766999999999998</v>
      </c>
      <c r="I3287" s="2">
        <v>7.61</v>
      </c>
    </row>
    <row r="3288" spans="1:9" x14ac:dyDescent="0.3">
      <c r="A3288" t="str">
        <f t="shared" si="1112"/>
        <v>United States</v>
      </c>
      <c r="B3288" t="s">
        <v>357</v>
      </c>
      <c r="C3288" t="s">
        <v>22</v>
      </c>
      <c r="D3288" t="s">
        <v>8</v>
      </c>
      <c r="E3288" t="s">
        <v>12</v>
      </c>
      <c r="F3288">
        <v>7</v>
      </c>
      <c r="G3288">
        <v>0</v>
      </c>
      <c r="H3288" s="2">
        <v>16.386300000000002</v>
      </c>
      <c r="I3288" s="2">
        <v>60.69</v>
      </c>
    </row>
    <row r="3289" spans="1:9" x14ac:dyDescent="0.3">
      <c r="A3289" t="str">
        <f t="shared" si="1112"/>
        <v>United States</v>
      </c>
      <c r="B3289" t="str">
        <f>B3288</f>
        <v>New Castle</v>
      </c>
      <c r="C3289" t="str">
        <f>C3288</f>
        <v>Standard Class</v>
      </c>
      <c r="D3289" t="str">
        <f>D3288</f>
        <v>Consumer</v>
      </c>
      <c r="E3289" t="s">
        <v>24</v>
      </c>
      <c r="F3289">
        <v>2</v>
      </c>
      <c r="G3289">
        <v>0</v>
      </c>
      <c r="H3289" s="2">
        <v>6.6976000000000013</v>
      </c>
      <c r="I3289" s="2">
        <v>23.92</v>
      </c>
    </row>
    <row r="3290" spans="1:9" x14ac:dyDescent="0.3">
      <c r="A3290" t="str">
        <f t="shared" si="1112"/>
        <v>United States</v>
      </c>
      <c r="B3290" t="s">
        <v>358</v>
      </c>
      <c r="C3290" t="s">
        <v>11</v>
      </c>
      <c r="D3290" t="s">
        <v>17</v>
      </c>
      <c r="E3290" t="s">
        <v>46</v>
      </c>
      <c r="F3290">
        <v>1</v>
      </c>
      <c r="G3290">
        <v>0</v>
      </c>
      <c r="H3290" s="2">
        <v>30.095700000000001</v>
      </c>
      <c r="I3290" s="2">
        <v>69.989999999999995</v>
      </c>
    </row>
    <row r="3291" spans="1:9" x14ac:dyDescent="0.3">
      <c r="A3291" t="str">
        <f t="shared" si="1112"/>
        <v>United States</v>
      </c>
      <c r="B3291" t="str">
        <f t="shared" ref="B3291:B3296" si="1120">B3290</f>
        <v>New Rochelle</v>
      </c>
      <c r="C3291" t="s">
        <v>22</v>
      </c>
      <c r="D3291" t="s">
        <v>8</v>
      </c>
      <c r="E3291" t="s">
        <v>23</v>
      </c>
      <c r="F3291">
        <v>5</v>
      </c>
      <c r="G3291">
        <v>0</v>
      </c>
      <c r="H3291" s="2">
        <v>14.994999999999994</v>
      </c>
      <c r="I3291" s="2">
        <v>149.94999999999999</v>
      </c>
    </row>
    <row r="3292" spans="1:9" x14ac:dyDescent="0.3">
      <c r="A3292" t="str">
        <f t="shared" si="1112"/>
        <v>United States</v>
      </c>
      <c r="B3292" t="str">
        <f t="shared" si="1120"/>
        <v>New Rochelle</v>
      </c>
      <c r="C3292" t="str">
        <f t="shared" ref="C3292:C3296" si="1121">C3291</f>
        <v>Standard Class</v>
      </c>
      <c r="D3292" t="str">
        <f t="shared" ref="D3292:D3294" si="1122">D3291</f>
        <v>Consumer</v>
      </c>
      <c r="E3292" t="s">
        <v>20</v>
      </c>
      <c r="F3292">
        <v>5</v>
      </c>
      <c r="G3292">
        <v>0.4</v>
      </c>
      <c r="H3292" s="2">
        <v>23.119399999999995</v>
      </c>
      <c r="I3292" s="2">
        <v>65.215999999999994</v>
      </c>
    </row>
    <row r="3293" spans="1:9" x14ac:dyDescent="0.3">
      <c r="A3293" t="str">
        <f t="shared" si="1112"/>
        <v>United States</v>
      </c>
      <c r="B3293" t="str">
        <f t="shared" si="1120"/>
        <v>New Rochelle</v>
      </c>
      <c r="C3293" t="str">
        <f t="shared" si="1121"/>
        <v>Standard Class</v>
      </c>
      <c r="D3293" t="str">
        <f t="shared" si="1122"/>
        <v>Consumer</v>
      </c>
      <c r="E3293" t="s">
        <v>33</v>
      </c>
      <c r="F3293">
        <v>2</v>
      </c>
      <c r="G3293">
        <v>0.1</v>
      </c>
      <c r="H3293" s="2">
        <v>140.39599999999993</v>
      </c>
      <c r="I3293" s="2">
        <v>631.78200000000004</v>
      </c>
    </row>
    <row r="3294" spans="1:9" x14ac:dyDescent="0.3">
      <c r="A3294" t="str">
        <f t="shared" si="1112"/>
        <v>United States</v>
      </c>
      <c r="B3294" t="str">
        <f t="shared" si="1120"/>
        <v>New Rochelle</v>
      </c>
      <c r="C3294" t="str">
        <f t="shared" si="1121"/>
        <v>Standard Class</v>
      </c>
      <c r="D3294" t="str">
        <f t="shared" si="1122"/>
        <v>Consumer</v>
      </c>
      <c r="E3294" t="s">
        <v>21</v>
      </c>
      <c r="F3294">
        <v>3</v>
      </c>
      <c r="G3294">
        <v>0</v>
      </c>
      <c r="H3294" s="2">
        <v>26.1096</v>
      </c>
      <c r="I3294" s="2">
        <v>60.72</v>
      </c>
    </row>
    <row r="3295" spans="1:9" x14ac:dyDescent="0.3">
      <c r="A3295" t="str">
        <f t="shared" si="1112"/>
        <v>United States</v>
      </c>
      <c r="B3295" t="str">
        <f t="shared" si="1120"/>
        <v>New Rochelle</v>
      </c>
      <c r="C3295" t="str">
        <f t="shared" si="1121"/>
        <v>Standard Class</v>
      </c>
      <c r="D3295" t="s">
        <v>17</v>
      </c>
      <c r="E3295" t="s">
        <v>16</v>
      </c>
      <c r="F3295">
        <v>9</v>
      </c>
      <c r="G3295">
        <v>0</v>
      </c>
      <c r="H3295" s="2">
        <v>131.50530000000001</v>
      </c>
      <c r="I3295" s="2">
        <v>270.27</v>
      </c>
    </row>
    <row r="3296" spans="1:9" x14ac:dyDescent="0.3">
      <c r="A3296" t="str">
        <f t="shared" si="1112"/>
        <v>United States</v>
      </c>
      <c r="B3296" t="str">
        <f t="shared" si="1120"/>
        <v>New Rochelle</v>
      </c>
      <c r="C3296" t="str">
        <f t="shared" si="1121"/>
        <v>Standard Class</v>
      </c>
      <c r="D3296" t="str">
        <f>D3295</f>
        <v>Home Office</v>
      </c>
      <c r="E3296" t="s">
        <v>9</v>
      </c>
      <c r="F3296">
        <v>2</v>
      </c>
      <c r="G3296">
        <v>0</v>
      </c>
      <c r="H3296" s="2">
        <v>2.1899999999999995</v>
      </c>
      <c r="I3296" s="2">
        <v>7.3</v>
      </c>
    </row>
    <row r="3297" spans="1:9" x14ac:dyDescent="0.3">
      <c r="A3297" t="str">
        <f t="shared" si="1112"/>
        <v>United States</v>
      </c>
      <c r="B3297" t="s">
        <v>359</v>
      </c>
      <c r="C3297" t="s">
        <v>11</v>
      </c>
      <c r="D3297" t="s">
        <v>8</v>
      </c>
      <c r="E3297" t="s">
        <v>23</v>
      </c>
      <c r="F3297">
        <v>15</v>
      </c>
      <c r="G3297">
        <v>0</v>
      </c>
      <c r="H3297" s="2">
        <v>141.35080000000005</v>
      </c>
      <c r="I3297" s="2">
        <v>634.29</v>
      </c>
    </row>
    <row r="3298" spans="1:9" x14ac:dyDescent="0.3">
      <c r="A3298" t="str">
        <f t="shared" si="1112"/>
        <v>United States</v>
      </c>
      <c r="B3298" t="str">
        <f t="shared" ref="B3298:B3329" si="1123">B3297</f>
        <v>New York City</v>
      </c>
      <c r="C3298" t="str">
        <f t="shared" ref="C3298:C3338" si="1124">C3297</f>
        <v>First Class</v>
      </c>
      <c r="D3298" t="str">
        <f t="shared" ref="D3298:D3312" si="1125">D3297</f>
        <v>Consumer</v>
      </c>
      <c r="E3298" t="s">
        <v>12</v>
      </c>
      <c r="F3298">
        <v>17</v>
      </c>
      <c r="G3298">
        <v>0</v>
      </c>
      <c r="H3298" s="2">
        <v>473.56579999999997</v>
      </c>
      <c r="I3298" s="2">
        <v>1533.21</v>
      </c>
    </row>
    <row r="3299" spans="1:9" x14ac:dyDescent="0.3">
      <c r="A3299" t="str">
        <f t="shared" si="1112"/>
        <v>United States</v>
      </c>
      <c r="B3299" t="str">
        <f t="shared" si="1123"/>
        <v>New York City</v>
      </c>
      <c r="C3299" t="str">
        <f t="shared" si="1124"/>
        <v>First Class</v>
      </c>
      <c r="D3299" t="str">
        <f t="shared" si="1125"/>
        <v>Consumer</v>
      </c>
      <c r="E3299" t="s">
        <v>19</v>
      </c>
      <c r="F3299">
        <v>11</v>
      </c>
      <c r="G3299">
        <v>0</v>
      </c>
      <c r="H3299" s="2">
        <v>43.552800000000005</v>
      </c>
      <c r="I3299" s="2">
        <v>147.96</v>
      </c>
    </row>
    <row r="3300" spans="1:9" x14ac:dyDescent="0.3">
      <c r="A3300" t="str">
        <f t="shared" si="1112"/>
        <v>United States</v>
      </c>
      <c r="B3300" t="str">
        <f t="shared" si="1123"/>
        <v>New York City</v>
      </c>
      <c r="C3300" t="str">
        <f t="shared" si="1124"/>
        <v>First Class</v>
      </c>
      <c r="D3300" t="str">
        <f t="shared" si="1125"/>
        <v>Consumer</v>
      </c>
      <c r="E3300" t="s">
        <v>20</v>
      </c>
      <c r="F3300">
        <v>40</v>
      </c>
      <c r="G3300">
        <v>2.1999999999999997</v>
      </c>
      <c r="H3300" s="2">
        <v>1792.0525000000002</v>
      </c>
      <c r="I3300" s="2">
        <v>4825.0720000000001</v>
      </c>
    </row>
    <row r="3301" spans="1:9" x14ac:dyDescent="0.3">
      <c r="A3301" t="str">
        <f t="shared" si="1112"/>
        <v>United States</v>
      </c>
      <c r="B3301" t="str">
        <f t="shared" si="1123"/>
        <v>New York City</v>
      </c>
      <c r="C3301" t="str">
        <f t="shared" si="1124"/>
        <v>First Class</v>
      </c>
      <c r="D3301" t="str">
        <f t="shared" si="1125"/>
        <v>Consumer</v>
      </c>
      <c r="E3301" t="s">
        <v>34</v>
      </c>
      <c r="F3301">
        <v>11</v>
      </c>
      <c r="G3301">
        <v>0.8</v>
      </c>
      <c r="H3301" s="2">
        <v>-174.78160000000017</v>
      </c>
      <c r="I3301" s="2">
        <v>2127.0239999999999</v>
      </c>
    </row>
    <row r="3302" spans="1:9" x14ac:dyDescent="0.3">
      <c r="A3302" t="str">
        <f t="shared" si="1112"/>
        <v>United States</v>
      </c>
      <c r="B3302" t="str">
        <f t="shared" si="1123"/>
        <v>New York City</v>
      </c>
      <c r="C3302" t="str">
        <f t="shared" si="1124"/>
        <v>First Class</v>
      </c>
      <c r="D3302" t="str">
        <f t="shared" si="1125"/>
        <v>Consumer</v>
      </c>
      <c r="E3302" t="s">
        <v>33</v>
      </c>
      <c r="F3302">
        <v>10</v>
      </c>
      <c r="G3302">
        <v>0.4</v>
      </c>
      <c r="H3302" s="2">
        <v>207.69119999999987</v>
      </c>
      <c r="I3302" s="2">
        <v>1747.08</v>
      </c>
    </row>
    <row r="3303" spans="1:9" x14ac:dyDescent="0.3">
      <c r="A3303" t="str">
        <f t="shared" si="1112"/>
        <v>United States</v>
      </c>
      <c r="B3303" t="str">
        <f t="shared" si="1123"/>
        <v>New York City</v>
      </c>
      <c r="C3303" t="str">
        <f t="shared" si="1124"/>
        <v>First Class</v>
      </c>
      <c r="D3303" t="str">
        <f t="shared" si="1125"/>
        <v>Consumer</v>
      </c>
      <c r="E3303" t="s">
        <v>45</v>
      </c>
      <c r="F3303">
        <v>1</v>
      </c>
      <c r="G3303">
        <v>0.2</v>
      </c>
      <c r="H3303" s="2">
        <v>174.99749999999997</v>
      </c>
      <c r="I3303" s="2">
        <v>559.99200000000008</v>
      </c>
    </row>
    <row r="3304" spans="1:9" x14ac:dyDescent="0.3">
      <c r="A3304" t="str">
        <f t="shared" si="1112"/>
        <v>United States</v>
      </c>
      <c r="B3304" t="str">
        <f t="shared" si="1123"/>
        <v>New York City</v>
      </c>
      <c r="C3304" t="str">
        <f t="shared" si="1124"/>
        <v>First Class</v>
      </c>
      <c r="D3304" t="str">
        <f t="shared" si="1125"/>
        <v>Consumer</v>
      </c>
      <c r="E3304" t="s">
        <v>38</v>
      </c>
      <c r="F3304">
        <v>4</v>
      </c>
      <c r="G3304">
        <v>0</v>
      </c>
      <c r="H3304" s="2">
        <v>162.864</v>
      </c>
      <c r="I3304" s="2">
        <v>361.92</v>
      </c>
    </row>
    <row r="3305" spans="1:9" x14ac:dyDescent="0.3">
      <c r="A3305" t="str">
        <f t="shared" si="1112"/>
        <v>United States</v>
      </c>
      <c r="B3305" t="str">
        <f t="shared" si="1123"/>
        <v>New York City</v>
      </c>
      <c r="C3305" t="str">
        <f t="shared" si="1124"/>
        <v>First Class</v>
      </c>
      <c r="D3305" t="str">
        <f t="shared" si="1125"/>
        <v>Consumer</v>
      </c>
      <c r="E3305" t="s">
        <v>18</v>
      </c>
      <c r="F3305">
        <v>6</v>
      </c>
      <c r="G3305">
        <v>0</v>
      </c>
      <c r="H3305" s="2">
        <v>7.9601999999999995</v>
      </c>
      <c r="I3305" s="2">
        <v>16.68</v>
      </c>
    </row>
    <row r="3306" spans="1:9" x14ac:dyDescent="0.3">
      <c r="A3306" t="str">
        <f t="shared" si="1112"/>
        <v>United States</v>
      </c>
      <c r="B3306" t="str">
        <f t="shared" si="1123"/>
        <v>New York City</v>
      </c>
      <c r="C3306" t="str">
        <f t="shared" si="1124"/>
        <v>First Class</v>
      </c>
      <c r="D3306" t="str">
        <f t="shared" si="1125"/>
        <v>Consumer</v>
      </c>
      <c r="E3306" t="s">
        <v>21</v>
      </c>
      <c r="F3306">
        <v>10</v>
      </c>
      <c r="G3306">
        <v>0</v>
      </c>
      <c r="H3306" s="2">
        <v>52.694199999999995</v>
      </c>
      <c r="I3306" s="2">
        <v>208.95</v>
      </c>
    </row>
    <row r="3307" spans="1:9" x14ac:dyDescent="0.3">
      <c r="A3307" t="str">
        <f t="shared" si="1112"/>
        <v>United States</v>
      </c>
      <c r="B3307" t="str">
        <f t="shared" si="1123"/>
        <v>New York City</v>
      </c>
      <c r="C3307" t="str">
        <f t="shared" si="1124"/>
        <v>First Class</v>
      </c>
      <c r="D3307" t="str">
        <f t="shared" si="1125"/>
        <v>Consumer</v>
      </c>
      <c r="E3307" t="s">
        <v>43</v>
      </c>
      <c r="F3307">
        <v>13</v>
      </c>
      <c r="G3307">
        <v>0</v>
      </c>
      <c r="H3307" s="2">
        <v>69.47059999999999</v>
      </c>
      <c r="I3307" s="2">
        <v>143.82999999999998</v>
      </c>
    </row>
    <row r="3308" spans="1:9" x14ac:dyDescent="0.3">
      <c r="A3308" t="str">
        <f t="shared" si="1112"/>
        <v>United States</v>
      </c>
      <c r="B3308" t="str">
        <f t="shared" si="1123"/>
        <v>New York City</v>
      </c>
      <c r="C3308" t="str">
        <f t="shared" si="1124"/>
        <v>First Class</v>
      </c>
      <c r="D3308" t="str">
        <f t="shared" si="1125"/>
        <v>Consumer</v>
      </c>
      <c r="E3308" t="s">
        <v>16</v>
      </c>
      <c r="F3308">
        <v>31</v>
      </c>
      <c r="G3308">
        <v>0</v>
      </c>
      <c r="H3308" s="2">
        <v>164.79680000000002</v>
      </c>
      <c r="I3308" s="2">
        <v>344.09</v>
      </c>
    </row>
    <row r="3309" spans="1:9" x14ac:dyDescent="0.3">
      <c r="A3309" t="str">
        <f t="shared" si="1112"/>
        <v>United States</v>
      </c>
      <c r="B3309" t="str">
        <f t="shared" si="1123"/>
        <v>New York City</v>
      </c>
      <c r="C3309" t="str">
        <f t="shared" si="1124"/>
        <v>First Class</v>
      </c>
      <c r="D3309" t="str">
        <f t="shared" si="1125"/>
        <v>Consumer</v>
      </c>
      <c r="E3309" t="s">
        <v>24</v>
      </c>
      <c r="F3309">
        <v>45</v>
      </c>
      <c r="G3309">
        <v>0</v>
      </c>
      <c r="H3309" s="2">
        <v>1968.6995999999999</v>
      </c>
      <c r="I3309" s="2">
        <v>6542.4299999999994</v>
      </c>
    </row>
    <row r="3310" spans="1:9" x14ac:dyDescent="0.3">
      <c r="A3310" t="str">
        <f t="shared" si="1112"/>
        <v>United States</v>
      </c>
      <c r="B3310" t="str">
        <f t="shared" si="1123"/>
        <v>New York City</v>
      </c>
      <c r="C3310" t="str">
        <f t="shared" si="1124"/>
        <v>First Class</v>
      </c>
      <c r="D3310" t="str">
        <f t="shared" si="1125"/>
        <v>Consumer</v>
      </c>
      <c r="E3310" t="s">
        <v>14</v>
      </c>
      <c r="F3310">
        <v>18</v>
      </c>
      <c r="G3310">
        <v>0</v>
      </c>
      <c r="H3310" s="2">
        <v>57.17519999999999</v>
      </c>
      <c r="I3310" s="2">
        <v>562.36</v>
      </c>
    </row>
    <row r="3311" spans="1:9" x14ac:dyDescent="0.3">
      <c r="A3311" t="str">
        <f t="shared" si="1112"/>
        <v>United States</v>
      </c>
      <c r="B3311" t="str">
        <f t="shared" si="1123"/>
        <v>New York City</v>
      </c>
      <c r="C3311" t="str">
        <f t="shared" si="1124"/>
        <v>First Class</v>
      </c>
      <c r="D3311" t="str">
        <f t="shared" si="1125"/>
        <v>Consumer</v>
      </c>
      <c r="E3311" t="s">
        <v>9</v>
      </c>
      <c r="F3311">
        <v>5</v>
      </c>
      <c r="G3311">
        <v>0</v>
      </c>
      <c r="H3311" s="2">
        <v>15.372000000000003</v>
      </c>
      <c r="I3311" s="2">
        <v>54.900000000000006</v>
      </c>
    </row>
    <row r="3312" spans="1:9" x14ac:dyDescent="0.3">
      <c r="A3312" t="str">
        <f t="shared" si="1112"/>
        <v>United States</v>
      </c>
      <c r="B3312" t="str">
        <f t="shared" si="1123"/>
        <v>New York City</v>
      </c>
      <c r="C3312" t="str">
        <f t="shared" si="1124"/>
        <v>First Class</v>
      </c>
      <c r="D3312" t="str">
        <f t="shared" si="1125"/>
        <v>Consumer</v>
      </c>
      <c r="E3312" t="s">
        <v>25</v>
      </c>
      <c r="F3312">
        <v>9</v>
      </c>
      <c r="G3312">
        <v>0.4</v>
      </c>
      <c r="H3312" s="2">
        <v>-153.12239999999997</v>
      </c>
      <c r="I3312" s="2">
        <v>382.80599999999998</v>
      </c>
    </row>
    <row r="3313" spans="1:9" x14ac:dyDescent="0.3">
      <c r="A3313" t="str">
        <f t="shared" si="1112"/>
        <v>United States</v>
      </c>
      <c r="B3313" t="str">
        <f t="shared" si="1123"/>
        <v>New York City</v>
      </c>
      <c r="C3313" t="str">
        <f t="shared" si="1124"/>
        <v>First Class</v>
      </c>
      <c r="D3313" t="s">
        <v>15</v>
      </c>
      <c r="E3313" t="s">
        <v>23</v>
      </c>
      <c r="F3313">
        <v>22</v>
      </c>
      <c r="G3313">
        <v>0</v>
      </c>
      <c r="H3313" s="2">
        <v>599.40250000000003</v>
      </c>
      <c r="I3313" s="2">
        <v>1534.58</v>
      </c>
    </row>
    <row r="3314" spans="1:9" x14ac:dyDescent="0.3">
      <c r="A3314" t="str">
        <f t="shared" si="1112"/>
        <v>United States</v>
      </c>
      <c r="B3314" t="str">
        <f t="shared" si="1123"/>
        <v>New York City</v>
      </c>
      <c r="C3314" t="str">
        <f t="shared" si="1124"/>
        <v>First Class</v>
      </c>
      <c r="D3314" t="str">
        <f t="shared" ref="D3314:D3324" si="1126">D3313</f>
        <v>Corporate</v>
      </c>
      <c r="E3314" t="s">
        <v>12</v>
      </c>
      <c r="F3314">
        <v>3</v>
      </c>
      <c r="G3314">
        <v>0</v>
      </c>
      <c r="H3314" s="2">
        <v>77.863499999999988</v>
      </c>
      <c r="I3314" s="2">
        <v>235.95000000000002</v>
      </c>
    </row>
    <row r="3315" spans="1:9" x14ac:dyDescent="0.3">
      <c r="A3315" t="str">
        <f t="shared" si="1112"/>
        <v>United States</v>
      </c>
      <c r="B3315" t="str">
        <f t="shared" si="1123"/>
        <v>New York City</v>
      </c>
      <c r="C3315" t="str">
        <f t="shared" si="1124"/>
        <v>First Class</v>
      </c>
      <c r="D3315" t="str">
        <f t="shared" si="1126"/>
        <v>Corporate</v>
      </c>
      <c r="E3315" t="s">
        <v>19</v>
      </c>
      <c r="F3315">
        <v>13</v>
      </c>
      <c r="G3315">
        <v>0</v>
      </c>
      <c r="H3315" s="2">
        <v>40.264799999999987</v>
      </c>
      <c r="I3315" s="2">
        <v>135.29999999999998</v>
      </c>
    </row>
    <row r="3316" spans="1:9" x14ac:dyDescent="0.3">
      <c r="A3316" t="str">
        <f t="shared" si="1112"/>
        <v>United States</v>
      </c>
      <c r="B3316" t="str">
        <f t="shared" si="1123"/>
        <v>New York City</v>
      </c>
      <c r="C3316" t="str">
        <f t="shared" si="1124"/>
        <v>First Class</v>
      </c>
      <c r="D3316" t="str">
        <f t="shared" si="1126"/>
        <v>Corporate</v>
      </c>
      <c r="E3316" t="s">
        <v>20</v>
      </c>
      <c r="F3316">
        <v>26</v>
      </c>
      <c r="G3316">
        <v>1.2</v>
      </c>
      <c r="H3316" s="2">
        <v>420.01929999999993</v>
      </c>
      <c r="I3316" s="2">
        <v>1281.9760000000001</v>
      </c>
    </row>
    <row r="3317" spans="1:9" x14ac:dyDescent="0.3">
      <c r="A3317" t="str">
        <f t="shared" si="1112"/>
        <v>United States</v>
      </c>
      <c r="B3317" t="str">
        <f t="shared" si="1123"/>
        <v>New York City</v>
      </c>
      <c r="C3317" t="str">
        <f t="shared" si="1124"/>
        <v>First Class</v>
      </c>
      <c r="D3317" t="str">
        <f t="shared" si="1126"/>
        <v>Corporate</v>
      </c>
      <c r="E3317" t="s">
        <v>33</v>
      </c>
      <c r="F3317">
        <v>3</v>
      </c>
      <c r="G3317">
        <v>0.1</v>
      </c>
      <c r="H3317" s="2">
        <v>2.3093999999999895</v>
      </c>
      <c r="I3317" s="2">
        <v>207.84600000000003</v>
      </c>
    </row>
    <row r="3318" spans="1:9" x14ac:dyDescent="0.3">
      <c r="A3318" t="str">
        <f t="shared" si="1112"/>
        <v>United States</v>
      </c>
      <c r="B3318" t="str">
        <f t="shared" si="1123"/>
        <v>New York City</v>
      </c>
      <c r="C3318" t="str">
        <f t="shared" si="1124"/>
        <v>First Class</v>
      </c>
      <c r="D3318" t="str">
        <f t="shared" si="1126"/>
        <v>Corporate</v>
      </c>
      <c r="E3318" t="s">
        <v>38</v>
      </c>
      <c r="F3318">
        <v>4</v>
      </c>
      <c r="G3318">
        <v>0</v>
      </c>
      <c r="H3318" s="2">
        <v>34.089699999999993</v>
      </c>
      <c r="I3318" s="2">
        <v>71</v>
      </c>
    </row>
    <row r="3319" spans="1:9" x14ac:dyDescent="0.3">
      <c r="A3319" t="str">
        <f t="shared" si="1112"/>
        <v>United States</v>
      </c>
      <c r="B3319" t="str">
        <f t="shared" si="1123"/>
        <v>New York City</v>
      </c>
      <c r="C3319" t="str">
        <f t="shared" si="1124"/>
        <v>First Class</v>
      </c>
      <c r="D3319" t="str">
        <f t="shared" si="1126"/>
        <v>Corporate</v>
      </c>
      <c r="E3319" t="s">
        <v>18</v>
      </c>
      <c r="F3319">
        <v>6</v>
      </c>
      <c r="G3319">
        <v>0</v>
      </c>
      <c r="H3319" s="2">
        <v>4.6448</v>
      </c>
      <c r="I3319" s="2">
        <v>9.6</v>
      </c>
    </row>
    <row r="3320" spans="1:9" x14ac:dyDescent="0.3">
      <c r="A3320" t="str">
        <f t="shared" si="1112"/>
        <v>United States</v>
      </c>
      <c r="B3320" t="str">
        <f t="shared" si="1123"/>
        <v>New York City</v>
      </c>
      <c r="C3320" t="str">
        <f t="shared" si="1124"/>
        <v>First Class</v>
      </c>
      <c r="D3320" t="str">
        <f t="shared" si="1126"/>
        <v>Corporate</v>
      </c>
      <c r="E3320" t="s">
        <v>21</v>
      </c>
      <c r="F3320">
        <v>20</v>
      </c>
      <c r="G3320">
        <v>0</v>
      </c>
      <c r="H3320" s="2">
        <v>241.67799999999994</v>
      </c>
      <c r="I3320" s="2">
        <v>683.1</v>
      </c>
    </row>
    <row r="3321" spans="1:9" x14ac:dyDescent="0.3">
      <c r="A3321" t="str">
        <f t="shared" si="1112"/>
        <v>United States</v>
      </c>
      <c r="B3321" t="str">
        <f t="shared" si="1123"/>
        <v>New York City</v>
      </c>
      <c r="C3321" t="str">
        <f t="shared" si="1124"/>
        <v>First Class</v>
      </c>
      <c r="D3321" t="str">
        <f t="shared" si="1126"/>
        <v>Corporate</v>
      </c>
      <c r="E3321" t="s">
        <v>43</v>
      </c>
      <c r="F3321">
        <v>3</v>
      </c>
      <c r="G3321">
        <v>0</v>
      </c>
      <c r="H3321" s="2">
        <v>8.6939999999999991</v>
      </c>
      <c r="I3321" s="2">
        <v>18.899999999999999</v>
      </c>
    </row>
    <row r="3322" spans="1:9" x14ac:dyDescent="0.3">
      <c r="A3322" t="str">
        <f t="shared" si="1112"/>
        <v>United States</v>
      </c>
      <c r="B3322" t="str">
        <f t="shared" si="1123"/>
        <v>New York City</v>
      </c>
      <c r="C3322" t="str">
        <f t="shared" si="1124"/>
        <v>First Class</v>
      </c>
      <c r="D3322" t="str">
        <f t="shared" si="1126"/>
        <v>Corporate</v>
      </c>
      <c r="E3322" t="s">
        <v>16</v>
      </c>
      <c r="F3322">
        <v>12</v>
      </c>
      <c r="G3322">
        <v>0</v>
      </c>
      <c r="H3322" s="2">
        <v>104.80959999999999</v>
      </c>
      <c r="I3322" s="2">
        <v>221.9</v>
      </c>
    </row>
    <row r="3323" spans="1:9" x14ac:dyDescent="0.3">
      <c r="A3323" t="str">
        <f t="shared" si="1112"/>
        <v>United States</v>
      </c>
      <c r="B3323" t="str">
        <f t="shared" si="1123"/>
        <v>New York City</v>
      </c>
      <c r="C3323" t="str">
        <f t="shared" si="1124"/>
        <v>First Class</v>
      </c>
      <c r="D3323" t="str">
        <f t="shared" si="1126"/>
        <v>Corporate</v>
      </c>
      <c r="E3323" t="s">
        <v>24</v>
      </c>
      <c r="F3323">
        <v>17</v>
      </c>
      <c r="G3323">
        <v>0</v>
      </c>
      <c r="H3323" s="2">
        <v>500.84669999999994</v>
      </c>
      <c r="I3323" s="2">
        <v>1807.52</v>
      </c>
    </row>
    <row r="3324" spans="1:9" x14ac:dyDescent="0.3">
      <c r="A3324" t="str">
        <f t="shared" si="1112"/>
        <v>United States</v>
      </c>
      <c r="B3324" t="str">
        <f t="shared" si="1123"/>
        <v>New York City</v>
      </c>
      <c r="C3324" t="str">
        <f t="shared" si="1124"/>
        <v>First Class</v>
      </c>
      <c r="D3324" t="str">
        <f t="shared" si="1126"/>
        <v>Corporate</v>
      </c>
      <c r="E3324" t="s">
        <v>14</v>
      </c>
      <c r="F3324">
        <v>7</v>
      </c>
      <c r="G3324">
        <v>0</v>
      </c>
      <c r="H3324" s="2">
        <v>40.716299999999997</v>
      </c>
      <c r="I3324" s="2">
        <v>154.87</v>
      </c>
    </row>
    <row r="3325" spans="1:9" x14ac:dyDescent="0.3">
      <c r="A3325" t="str">
        <f t="shared" si="1112"/>
        <v>United States</v>
      </c>
      <c r="B3325" t="str">
        <f t="shared" si="1123"/>
        <v>New York City</v>
      </c>
      <c r="C3325" t="str">
        <f t="shared" si="1124"/>
        <v>First Class</v>
      </c>
      <c r="D3325" t="s">
        <v>17</v>
      </c>
      <c r="E3325" t="s">
        <v>23</v>
      </c>
      <c r="F3325">
        <v>1</v>
      </c>
      <c r="G3325">
        <v>0</v>
      </c>
      <c r="H3325" s="2">
        <v>2.3086000000000002</v>
      </c>
      <c r="I3325" s="2">
        <v>6.79</v>
      </c>
    </row>
    <row r="3326" spans="1:9" x14ac:dyDescent="0.3">
      <c r="A3326" t="str">
        <f t="shared" si="1112"/>
        <v>United States</v>
      </c>
      <c r="B3326" t="str">
        <f t="shared" si="1123"/>
        <v>New York City</v>
      </c>
      <c r="C3326" t="str">
        <f t="shared" si="1124"/>
        <v>First Class</v>
      </c>
      <c r="D3326" t="str">
        <f t="shared" ref="D3326:D3338" si="1127">D3325</f>
        <v>Home Office</v>
      </c>
      <c r="E3326" t="s">
        <v>12</v>
      </c>
      <c r="F3326">
        <v>1</v>
      </c>
      <c r="G3326">
        <v>0</v>
      </c>
      <c r="H3326" s="2">
        <v>62.243999999999971</v>
      </c>
      <c r="I3326" s="2">
        <v>207.48</v>
      </c>
    </row>
    <row r="3327" spans="1:9" x14ac:dyDescent="0.3">
      <c r="A3327" t="str">
        <f t="shared" si="1112"/>
        <v>United States</v>
      </c>
      <c r="B3327" t="str">
        <f t="shared" si="1123"/>
        <v>New York City</v>
      </c>
      <c r="C3327" t="str">
        <f t="shared" si="1124"/>
        <v>First Class</v>
      </c>
      <c r="D3327" t="str">
        <f t="shared" si="1127"/>
        <v>Home Office</v>
      </c>
      <c r="E3327" t="s">
        <v>19</v>
      </c>
      <c r="F3327">
        <v>17</v>
      </c>
      <c r="G3327">
        <v>0</v>
      </c>
      <c r="H3327" s="2">
        <v>27.005999999999997</v>
      </c>
      <c r="I3327" s="2">
        <v>92.86</v>
      </c>
    </row>
    <row r="3328" spans="1:9" x14ac:dyDescent="0.3">
      <c r="A3328" t="str">
        <f t="shared" si="1112"/>
        <v>United States</v>
      </c>
      <c r="B3328" t="str">
        <f t="shared" si="1123"/>
        <v>New York City</v>
      </c>
      <c r="C3328" t="str">
        <f t="shared" si="1124"/>
        <v>First Class</v>
      </c>
      <c r="D3328" t="str">
        <f t="shared" si="1127"/>
        <v>Home Office</v>
      </c>
      <c r="E3328" t="s">
        <v>20</v>
      </c>
      <c r="F3328">
        <v>17</v>
      </c>
      <c r="G3328">
        <v>0.8</v>
      </c>
      <c r="H3328" s="2">
        <v>1441.9933999999998</v>
      </c>
      <c r="I3328" s="2">
        <v>4436.5039999999999</v>
      </c>
    </row>
    <row r="3329" spans="1:9" x14ac:dyDescent="0.3">
      <c r="A3329" t="str">
        <f t="shared" si="1112"/>
        <v>United States</v>
      </c>
      <c r="B3329" t="str">
        <f t="shared" si="1123"/>
        <v>New York City</v>
      </c>
      <c r="C3329" t="str">
        <f t="shared" si="1124"/>
        <v>First Class</v>
      </c>
      <c r="D3329" t="str">
        <f t="shared" si="1127"/>
        <v>Home Office</v>
      </c>
      <c r="E3329" t="s">
        <v>34</v>
      </c>
      <c r="F3329">
        <v>7</v>
      </c>
      <c r="G3329">
        <v>0.4</v>
      </c>
      <c r="H3329" s="2">
        <v>159.36839999999992</v>
      </c>
      <c r="I3329" s="2">
        <v>1525.4880000000003</v>
      </c>
    </row>
    <row r="3330" spans="1:9" x14ac:dyDescent="0.3">
      <c r="A3330" t="str">
        <f t="shared" si="1112"/>
        <v>United States</v>
      </c>
      <c r="B3330" t="str">
        <f t="shared" ref="B3330:B3361" si="1128">B3329</f>
        <v>New York City</v>
      </c>
      <c r="C3330" t="str">
        <f t="shared" si="1124"/>
        <v>First Class</v>
      </c>
      <c r="D3330" t="str">
        <f t="shared" si="1127"/>
        <v>Home Office</v>
      </c>
      <c r="E3330" t="s">
        <v>33</v>
      </c>
      <c r="F3330">
        <v>16</v>
      </c>
      <c r="G3330">
        <v>0.2</v>
      </c>
      <c r="H3330" s="2">
        <v>546.84119999999973</v>
      </c>
      <c r="I3330" s="2">
        <v>3210.732</v>
      </c>
    </row>
    <row r="3331" spans="1:9" x14ac:dyDescent="0.3">
      <c r="A3331" t="str">
        <f t="shared" si="1112"/>
        <v>United States</v>
      </c>
      <c r="B3331" t="str">
        <f t="shared" si="1128"/>
        <v>New York City</v>
      </c>
      <c r="C3331" t="str">
        <f t="shared" si="1124"/>
        <v>First Class</v>
      </c>
      <c r="D3331" t="str">
        <f t="shared" si="1127"/>
        <v>Home Office</v>
      </c>
      <c r="E3331" t="s">
        <v>45</v>
      </c>
      <c r="F3331">
        <v>4</v>
      </c>
      <c r="G3331">
        <v>0.2</v>
      </c>
      <c r="H3331" s="2">
        <v>3919.9887999999992</v>
      </c>
      <c r="I3331" s="2">
        <v>11199.968000000001</v>
      </c>
    </row>
    <row r="3332" spans="1:9" x14ac:dyDescent="0.3">
      <c r="A3332" t="str">
        <f t="shared" ref="A3332:A3395" si="1129">A3331</f>
        <v>United States</v>
      </c>
      <c r="B3332" t="str">
        <f t="shared" si="1128"/>
        <v>New York City</v>
      </c>
      <c r="C3332" t="str">
        <f t="shared" si="1124"/>
        <v>First Class</v>
      </c>
      <c r="D3332" t="str">
        <f t="shared" si="1127"/>
        <v>Home Office</v>
      </c>
      <c r="E3332" t="s">
        <v>38</v>
      </c>
      <c r="F3332">
        <v>5</v>
      </c>
      <c r="G3332">
        <v>0</v>
      </c>
      <c r="H3332" s="2">
        <v>28.754999999999995</v>
      </c>
      <c r="I3332" s="2">
        <v>63.9</v>
      </c>
    </row>
    <row r="3333" spans="1:9" x14ac:dyDescent="0.3">
      <c r="A3333" t="str">
        <f t="shared" si="1129"/>
        <v>United States</v>
      </c>
      <c r="B3333" t="str">
        <f t="shared" si="1128"/>
        <v>New York City</v>
      </c>
      <c r="C3333" t="str">
        <f t="shared" si="1124"/>
        <v>First Class</v>
      </c>
      <c r="D3333" t="str">
        <f t="shared" si="1127"/>
        <v>Home Office</v>
      </c>
      <c r="E3333" t="s">
        <v>43</v>
      </c>
      <c r="F3333">
        <v>5</v>
      </c>
      <c r="G3333">
        <v>0</v>
      </c>
      <c r="H3333" s="2">
        <v>9.0454000000000008</v>
      </c>
      <c r="I3333" s="2">
        <v>18.46</v>
      </c>
    </row>
    <row r="3334" spans="1:9" x14ac:dyDescent="0.3">
      <c r="A3334" t="str">
        <f t="shared" si="1129"/>
        <v>United States</v>
      </c>
      <c r="B3334" t="str">
        <f t="shared" si="1128"/>
        <v>New York City</v>
      </c>
      <c r="C3334" t="str">
        <f t="shared" si="1124"/>
        <v>First Class</v>
      </c>
      <c r="D3334" t="str">
        <f t="shared" si="1127"/>
        <v>Home Office</v>
      </c>
      <c r="E3334" t="s">
        <v>46</v>
      </c>
      <c r="F3334">
        <v>11</v>
      </c>
      <c r="G3334">
        <v>0</v>
      </c>
      <c r="H3334" s="2">
        <v>767.20049999999992</v>
      </c>
      <c r="I3334" s="2">
        <v>1704.89</v>
      </c>
    </row>
    <row r="3335" spans="1:9" x14ac:dyDescent="0.3">
      <c r="A3335" t="str">
        <f t="shared" si="1129"/>
        <v>United States</v>
      </c>
      <c r="B3335" t="str">
        <f t="shared" si="1128"/>
        <v>New York City</v>
      </c>
      <c r="C3335" t="str">
        <f t="shared" si="1124"/>
        <v>First Class</v>
      </c>
      <c r="D3335" t="str">
        <f t="shared" si="1127"/>
        <v>Home Office</v>
      </c>
      <c r="E3335" t="s">
        <v>16</v>
      </c>
      <c r="F3335">
        <v>35</v>
      </c>
      <c r="G3335">
        <v>0</v>
      </c>
      <c r="H3335" s="2">
        <v>274.00939999999997</v>
      </c>
      <c r="I3335" s="2">
        <v>570.67999999999995</v>
      </c>
    </row>
    <row r="3336" spans="1:9" x14ac:dyDescent="0.3">
      <c r="A3336" t="str">
        <f t="shared" si="1129"/>
        <v>United States</v>
      </c>
      <c r="B3336" t="str">
        <f t="shared" si="1128"/>
        <v>New York City</v>
      </c>
      <c r="C3336" t="str">
        <f t="shared" si="1124"/>
        <v>First Class</v>
      </c>
      <c r="D3336" t="str">
        <f t="shared" si="1127"/>
        <v>Home Office</v>
      </c>
      <c r="E3336" t="s">
        <v>24</v>
      </c>
      <c r="F3336">
        <v>24</v>
      </c>
      <c r="G3336">
        <v>0</v>
      </c>
      <c r="H3336" s="2">
        <v>1137.836</v>
      </c>
      <c r="I3336" s="2">
        <v>4112.41</v>
      </c>
    </row>
    <row r="3337" spans="1:9" x14ac:dyDescent="0.3">
      <c r="A3337" t="str">
        <f t="shared" si="1129"/>
        <v>United States</v>
      </c>
      <c r="B3337" t="str">
        <f t="shared" si="1128"/>
        <v>New York City</v>
      </c>
      <c r="C3337" t="str">
        <f t="shared" si="1124"/>
        <v>First Class</v>
      </c>
      <c r="D3337" t="str">
        <f t="shared" si="1127"/>
        <v>Home Office</v>
      </c>
      <c r="E3337" t="s">
        <v>14</v>
      </c>
      <c r="F3337">
        <v>18</v>
      </c>
      <c r="G3337">
        <v>0</v>
      </c>
      <c r="H3337" s="2">
        <v>57.365999999999985</v>
      </c>
      <c r="I3337" s="2">
        <v>764.97000000000014</v>
      </c>
    </row>
    <row r="3338" spans="1:9" x14ac:dyDescent="0.3">
      <c r="A3338" t="str">
        <f t="shared" si="1129"/>
        <v>United States</v>
      </c>
      <c r="B3338" t="str">
        <f t="shared" si="1128"/>
        <v>New York City</v>
      </c>
      <c r="C3338" t="str">
        <f t="shared" si="1124"/>
        <v>First Class</v>
      </c>
      <c r="D3338" t="str">
        <f t="shared" si="1127"/>
        <v>Home Office</v>
      </c>
      <c r="E3338" t="s">
        <v>9</v>
      </c>
      <c r="F3338">
        <v>1</v>
      </c>
      <c r="G3338">
        <v>0</v>
      </c>
      <c r="H3338" s="2">
        <v>7.2111000000000161</v>
      </c>
      <c r="I3338" s="2">
        <v>240.37</v>
      </c>
    </row>
    <row r="3339" spans="1:9" x14ac:dyDescent="0.3">
      <c r="A3339" t="str">
        <f t="shared" si="1129"/>
        <v>United States</v>
      </c>
      <c r="B3339" t="str">
        <f t="shared" si="1128"/>
        <v>New York City</v>
      </c>
      <c r="C3339" t="s">
        <v>27</v>
      </c>
      <c r="D3339" t="s">
        <v>8</v>
      </c>
      <c r="E3339" t="s">
        <v>23</v>
      </c>
      <c r="F3339">
        <v>16</v>
      </c>
      <c r="G3339">
        <v>0</v>
      </c>
      <c r="H3339" s="2">
        <v>800.32049999999992</v>
      </c>
      <c r="I3339" s="2">
        <v>2595.8900000000003</v>
      </c>
    </row>
    <row r="3340" spans="1:9" x14ac:dyDescent="0.3">
      <c r="A3340" t="str">
        <f t="shared" si="1129"/>
        <v>United States</v>
      </c>
      <c r="B3340" t="str">
        <f t="shared" si="1128"/>
        <v>New York City</v>
      </c>
      <c r="C3340" t="str">
        <f t="shared" ref="C3340:C3365" si="1130">C3339</f>
        <v>Same Day</v>
      </c>
      <c r="D3340" t="str">
        <f t="shared" ref="D3340:D3352" si="1131">D3339</f>
        <v>Consumer</v>
      </c>
      <c r="E3340" t="s">
        <v>12</v>
      </c>
      <c r="F3340">
        <v>2</v>
      </c>
      <c r="G3340">
        <v>0</v>
      </c>
      <c r="H3340" s="2">
        <v>198.42899999999997</v>
      </c>
      <c r="I3340" s="2">
        <v>601.29999999999995</v>
      </c>
    </row>
    <row r="3341" spans="1:9" x14ac:dyDescent="0.3">
      <c r="A3341" t="str">
        <f t="shared" si="1129"/>
        <v>United States</v>
      </c>
      <c r="B3341" t="str">
        <f t="shared" si="1128"/>
        <v>New York City</v>
      </c>
      <c r="C3341" t="str">
        <f t="shared" si="1130"/>
        <v>Same Day</v>
      </c>
      <c r="D3341" t="str">
        <f t="shared" si="1131"/>
        <v>Consumer</v>
      </c>
      <c r="E3341" t="s">
        <v>20</v>
      </c>
      <c r="F3341">
        <v>8</v>
      </c>
      <c r="G3341">
        <v>0.4</v>
      </c>
      <c r="H3341" s="2">
        <v>223.42659999999992</v>
      </c>
      <c r="I3341" s="2">
        <v>709.49599999999998</v>
      </c>
    </row>
    <row r="3342" spans="1:9" x14ac:dyDescent="0.3">
      <c r="A3342" t="str">
        <f t="shared" si="1129"/>
        <v>United States</v>
      </c>
      <c r="B3342" t="str">
        <f t="shared" si="1128"/>
        <v>New York City</v>
      </c>
      <c r="C3342" t="str">
        <f t="shared" si="1130"/>
        <v>Same Day</v>
      </c>
      <c r="D3342" t="str">
        <f t="shared" si="1131"/>
        <v>Consumer</v>
      </c>
      <c r="E3342" t="s">
        <v>34</v>
      </c>
      <c r="F3342">
        <v>1</v>
      </c>
      <c r="G3342">
        <v>0.2</v>
      </c>
      <c r="H3342" s="2">
        <v>5.129400000000004</v>
      </c>
      <c r="I3342" s="2">
        <v>136.78399999999999</v>
      </c>
    </row>
    <row r="3343" spans="1:9" x14ac:dyDescent="0.3">
      <c r="A3343" t="str">
        <f t="shared" si="1129"/>
        <v>United States</v>
      </c>
      <c r="B3343" t="str">
        <f t="shared" si="1128"/>
        <v>New York City</v>
      </c>
      <c r="C3343" t="str">
        <f t="shared" si="1130"/>
        <v>Same Day</v>
      </c>
      <c r="D3343" t="str">
        <f t="shared" si="1131"/>
        <v>Consumer</v>
      </c>
      <c r="E3343" t="s">
        <v>33</v>
      </c>
      <c r="F3343">
        <v>7</v>
      </c>
      <c r="G3343">
        <v>0.1</v>
      </c>
      <c r="H3343" s="2">
        <v>63.934499999999971</v>
      </c>
      <c r="I3343" s="2">
        <v>383.60700000000003</v>
      </c>
    </row>
    <row r="3344" spans="1:9" x14ac:dyDescent="0.3">
      <c r="A3344" t="str">
        <f t="shared" si="1129"/>
        <v>United States</v>
      </c>
      <c r="B3344" t="str">
        <f t="shared" si="1128"/>
        <v>New York City</v>
      </c>
      <c r="C3344" t="str">
        <f t="shared" si="1130"/>
        <v>Same Day</v>
      </c>
      <c r="D3344" t="str">
        <f t="shared" si="1131"/>
        <v>Consumer</v>
      </c>
      <c r="E3344" t="s">
        <v>38</v>
      </c>
      <c r="F3344">
        <v>10</v>
      </c>
      <c r="G3344">
        <v>0</v>
      </c>
      <c r="H3344" s="2">
        <v>46.161599999999993</v>
      </c>
      <c r="I3344" s="2">
        <v>97.799999999999983</v>
      </c>
    </row>
    <row r="3345" spans="1:9" x14ac:dyDescent="0.3">
      <c r="A3345" t="str">
        <f t="shared" si="1129"/>
        <v>United States</v>
      </c>
      <c r="B3345" t="str">
        <f t="shared" si="1128"/>
        <v>New York City</v>
      </c>
      <c r="C3345" t="str">
        <f t="shared" si="1130"/>
        <v>Same Day</v>
      </c>
      <c r="D3345" t="str">
        <f t="shared" si="1131"/>
        <v>Consumer</v>
      </c>
      <c r="E3345" t="s">
        <v>18</v>
      </c>
      <c r="F3345">
        <v>1</v>
      </c>
      <c r="G3345">
        <v>0</v>
      </c>
      <c r="H3345" s="2">
        <v>1.4804999999999999</v>
      </c>
      <c r="I3345" s="2">
        <v>3.29</v>
      </c>
    </row>
    <row r="3346" spans="1:9" x14ac:dyDescent="0.3">
      <c r="A3346" t="str">
        <f t="shared" si="1129"/>
        <v>United States</v>
      </c>
      <c r="B3346" t="str">
        <f t="shared" si="1128"/>
        <v>New York City</v>
      </c>
      <c r="C3346" t="str">
        <f t="shared" si="1130"/>
        <v>Same Day</v>
      </c>
      <c r="D3346" t="str">
        <f t="shared" si="1131"/>
        <v>Consumer</v>
      </c>
      <c r="E3346" t="s">
        <v>21</v>
      </c>
      <c r="F3346">
        <v>7</v>
      </c>
      <c r="G3346">
        <v>0</v>
      </c>
      <c r="H3346" s="2">
        <v>26.8096</v>
      </c>
      <c r="I3346" s="2">
        <v>79.959999999999994</v>
      </c>
    </row>
    <row r="3347" spans="1:9" x14ac:dyDescent="0.3">
      <c r="A3347" t="str">
        <f t="shared" si="1129"/>
        <v>United States</v>
      </c>
      <c r="B3347" t="str">
        <f t="shared" si="1128"/>
        <v>New York City</v>
      </c>
      <c r="C3347" t="str">
        <f t="shared" si="1130"/>
        <v>Same Day</v>
      </c>
      <c r="D3347" t="str">
        <f t="shared" si="1131"/>
        <v>Consumer</v>
      </c>
      <c r="E3347" t="s">
        <v>43</v>
      </c>
      <c r="F3347">
        <v>5</v>
      </c>
      <c r="G3347">
        <v>0</v>
      </c>
      <c r="H3347" s="2">
        <v>7.056</v>
      </c>
      <c r="I3347" s="2">
        <v>14.399999999999999</v>
      </c>
    </row>
    <row r="3348" spans="1:9" x14ac:dyDescent="0.3">
      <c r="A3348" t="str">
        <f t="shared" si="1129"/>
        <v>United States</v>
      </c>
      <c r="B3348" t="str">
        <f t="shared" si="1128"/>
        <v>New York City</v>
      </c>
      <c r="C3348" t="str">
        <f t="shared" si="1130"/>
        <v>Same Day</v>
      </c>
      <c r="D3348" t="str">
        <f t="shared" si="1131"/>
        <v>Consumer</v>
      </c>
      <c r="E3348" t="s">
        <v>46</v>
      </c>
      <c r="F3348">
        <v>7</v>
      </c>
      <c r="G3348">
        <v>0</v>
      </c>
      <c r="H3348" s="2">
        <v>1736.4398999999999</v>
      </c>
      <c r="I3348" s="2">
        <v>4149.8099999999995</v>
      </c>
    </row>
    <row r="3349" spans="1:9" x14ac:dyDescent="0.3">
      <c r="A3349" t="str">
        <f t="shared" si="1129"/>
        <v>United States</v>
      </c>
      <c r="B3349" t="str">
        <f t="shared" si="1128"/>
        <v>New York City</v>
      </c>
      <c r="C3349" t="str">
        <f t="shared" si="1130"/>
        <v>Same Day</v>
      </c>
      <c r="D3349" t="str">
        <f t="shared" si="1131"/>
        <v>Consumer</v>
      </c>
      <c r="E3349" t="s">
        <v>16</v>
      </c>
      <c r="F3349">
        <v>29</v>
      </c>
      <c r="G3349">
        <v>0</v>
      </c>
      <c r="H3349" s="2">
        <v>157.982</v>
      </c>
      <c r="I3349" s="2">
        <v>323.3</v>
      </c>
    </row>
    <row r="3350" spans="1:9" x14ac:dyDescent="0.3">
      <c r="A3350" t="str">
        <f t="shared" si="1129"/>
        <v>United States</v>
      </c>
      <c r="B3350" t="str">
        <f t="shared" si="1128"/>
        <v>New York City</v>
      </c>
      <c r="C3350" t="str">
        <f t="shared" si="1130"/>
        <v>Same Day</v>
      </c>
      <c r="D3350" t="str">
        <f t="shared" si="1131"/>
        <v>Consumer</v>
      </c>
      <c r="E3350" t="s">
        <v>24</v>
      </c>
      <c r="F3350">
        <v>4</v>
      </c>
      <c r="G3350">
        <v>0</v>
      </c>
      <c r="H3350" s="2">
        <v>85.049000000000007</v>
      </c>
      <c r="I3350" s="2">
        <v>304.95999999999998</v>
      </c>
    </row>
    <row r="3351" spans="1:9" x14ac:dyDescent="0.3">
      <c r="A3351" t="str">
        <f t="shared" si="1129"/>
        <v>United States</v>
      </c>
      <c r="B3351" t="str">
        <f t="shared" si="1128"/>
        <v>New York City</v>
      </c>
      <c r="C3351" t="str">
        <f t="shared" si="1130"/>
        <v>Same Day</v>
      </c>
      <c r="D3351" t="str">
        <f t="shared" si="1131"/>
        <v>Consumer</v>
      </c>
      <c r="E3351" t="s">
        <v>14</v>
      </c>
      <c r="F3351">
        <v>9</v>
      </c>
      <c r="G3351">
        <v>0</v>
      </c>
      <c r="H3351" s="2">
        <v>80.470400000000012</v>
      </c>
      <c r="I3351" s="2">
        <v>622.29999999999995</v>
      </c>
    </row>
    <row r="3352" spans="1:9" x14ac:dyDescent="0.3">
      <c r="A3352" t="str">
        <f t="shared" si="1129"/>
        <v>United States</v>
      </c>
      <c r="B3352" t="str">
        <f t="shared" si="1128"/>
        <v>New York City</v>
      </c>
      <c r="C3352" t="str">
        <f t="shared" si="1130"/>
        <v>Same Day</v>
      </c>
      <c r="D3352" t="str">
        <f t="shared" si="1131"/>
        <v>Consumer</v>
      </c>
      <c r="E3352" t="s">
        <v>25</v>
      </c>
      <c r="F3352">
        <v>24</v>
      </c>
      <c r="G3352">
        <v>1.6</v>
      </c>
      <c r="H3352" s="2">
        <v>-709.35239999999988</v>
      </c>
      <c r="I3352" s="2">
        <v>2627.1179999999999</v>
      </c>
    </row>
    <row r="3353" spans="1:9" x14ac:dyDescent="0.3">
      <c r="A3353" t="str">
        <f t="shared" si="1129"/>
        <v>United States</v>
      </c>
      <c r="B3353" t="str">
        <f t="shared" si="1128"/>
        <v>New York City</v>
      </c>
      <c r="C3353" t="str">
        <f t="shared" si="1130"/>
        <v>Same Day</v>
      </c>
      <c r="D3353" t="s">
        <v>15</v>
      </c>
      <c r="E3353" t="s">
        <v>33</v>
      </c>
      <c r="F3353">
        <v>9</v>
      </c>
      <c r="G3353">
        <v>0.2</v>
      </c>
      <c r="H3353" s="2">
        <v>292.97339999999997</v>
      </c>
      <c r="I3353" s="2">
        <v>1464.867</v>
      </c>
    </row>
    <row r="3354" spans="1:9" x14ac:dyDescent="0.3">
      <c r="A3354" t="str">
        <f t="shared" si="1129"/>
        <v>United States</v>
      </c>
      <c r="B3354" t="str">
        <f t="shared" si="1128"/>
        <v>New York City</v>
      </c>
      <c r="C3354" t="str">
        <f t="shared" si="1130"/>
        <v>Same Day</v>
      </c>
      <c r="D3354" t="str">
        <f t="shared" ref="D3354:D3358" si="1132">D3353</f>
        <v>Corporate</v>
      </c>
      <c r="E3354" t="s">
        <v>21</v>
      </c>
      <c r="F3354">
        <v>3</v>
      </c>
      <c r="G3354">
        <v>0</v>
      </c>
      <c r="H3354" s="2">
        <v>4.7279999999999998</v>
      </c>
      <c r="I3354" s="2">
        <v>11.82</v>
      </c>
    </row>
    <row r="3355" spans="1:9" x14ac:dyDescent="0.3">
      <c r="A3355" t="str">
        <f t="shared" si="1129"/>
        <v>United States</v>
      </c>
      <c r="B3355" t="str">
        <f t="shared" si="1128"/>
        <v>New York City</v>
      </c>
      <c r="C3355" t="str">
        <f t="shared" si="1130"/>
        <v>Same Day</v>
      </c>
      <c r="D3355" t="str">
        <f t="shared" si="1132"/>
        <v>Corporate</v>
      </c>
      <c r="E3355" t="s">
        <v>46</v>
      </c>
      <c r="F3355">
        <v>8</v>
      </c>
      <c r="G3355">
        <v>0</v>
      </c>
      <c r="H3355" s="2">
        <v>2498.3319999999999</v>
      </c>
      <c r="I3355" s="2">
        <v>5679.6</v>
      </c>
    </row>
    <row r="3356" spans="1:9" x14ac:dyDescent="0.3">
      <c r="A3356" t="str">
        <f t="shared" si="1129"/>
        <v>United States</v>
      </c>
      <c r="B3356" t="str">
        <f t="shared" si="1128"/>
        <v>New York City</v>
      </c>
      <c r="C3356" t="str">
        <f t="shared" si="1130"/>
        <v>Same Day</v>
      </c>
      <c r="D3356" t="str">
        <f t="shared" si="1132"/>
        <v>Corporate</v>
      </c>
      <c r="E3356" t="s">
        <v>24</v>
      </c>
      <c r="F3356">
        <v>2</v>
      </c>
      <c r="G3356">
        <v>0</v>
      </c>
      <c r="H3356" s="2">
        <v>142.9948</v>
      </c>
      <c r="I3356" s="2">
        <v>549.98</v>
      </c>
    </row>
    <row r="3357" spans="1:9" x14ac:dyDescent="0.3">
      <c r="A3357" t="str">
        <f t="shared" si="1129"/>
        <v>United States</v>
      </c>
      <c r="B3357" t="str">
        <f t="shared" si="1128"/>
        <v>New York City</v>
      </c>
      <c r="C3357" t="str">
        <f t="shared" si="1130"/>
        <v>Same Day</v>
      </c>
      <c r="D3357" t="str">
        <f t="shared" si="1132"/>
        <v>Corporate</v>
      </c>
      <c r="E3357" t="s">
        <v>14</v>
      </c>
      <c r="F3357">
        <v>5</v>
      </c>
      <c r="G3357">
        <v>0</v>
      </c>
      <c r="H3357" s="2">
        <v>16.787500000000001</v>
      </c>
      <c r="I3357" s="2">
        <v>67.150000000000006</v>
      </c>
    </row>
    <row r="3358" spans="1:9" x14ac:dyDescent="0.3">
      <c r="A3358" t="str">
        <f t="shared" si="1129"/>
        <v>United States</v>
      </c>
      <c r="B3358" t="str">
        <f t="shared" si="1128"/>
        <v>New York City</v>
      </c>
      <c r="C3358" t="str">
        <f t="shared" si="1130"/>
        <v>Same Day</v>
      </c>
      <c r="D3358" t="str">
        <f t="shared" si="1132"/>
        <v>Corporate</v>
      </c>
      <c r="E3358" t="s">
        <v>9</v>
      </c>
      <c r="F3358">
        <v>5</v>
      </c>
      <c r="G3358">
        <v>0</v>
      </c>
      <c r="H3358" s="2">
        <v>15.372000000000003</v>
      </c>
      <c r="I3358" s="2">
        <v>54.900000000000006</v>
      </c>
    </row>
    <row r="3359" spans="1:9" x14ac:dyDescent="0.3">
      <c r="A3359" t="str">
        <f t="shared" si="1129"/>
        <v>United States</v>
      </c>
      <c r="B3359" t="str">
        <f t="shared" si="1128"/>
        <v>New York City</v>
      </c>
      <c r="C3359" t="str">
        <f t="shared" si="1130"/>
        <v>Same Day</v>
      </c>
      <c r="D3359" t="s">
        <v>17</v>
      </c>
      <c r="E3359" t="s">
        <v>23</v>
      </c>
      <c r="F3359">
        <v>3</v>
      </c>
      <c r="G3359">
        <v>0</v>
      </c>
      <c r="H3359" s="2">
        <v>6.1679999999999975</v>
      </c>
      <c r="I3359" s="2">
        <v>30.839999999999996</v>
      </c>
    </row>
    <row r="3360" spans="1:9" x14ac:dyDescent="0.3">
      <c r="A3360" t="str">
        <f t="shared" si="1129"/>
        <v>United States</v>
      </c>
      <c r="B3360" t="str">
        <f t="shared" si="1128"/>
        <v>New York City</v>
      </c>
      <c r="C3360" t="str">
        <f t="shared" si="1130"/>
        <v>Same Day</v>
      </c>
      <c r="D3360" t="str">
        <f t="shared" ref="D3360:D3365" si="1133">D3359</f>
        <v>Home Office</v>
      </c>
      <c r="E3360" t="s">
        <v>20</v>
      </c>
      <c r="F3360">
        <v>7</v>
      </c>
      <c r="G3360">
        <v>0.2</v>
      </c>
      <c r="H3360" s="2">
        <v>18.252499999999998</v>
      </c>
      <c r="I3360" s="2">
        <v>58.407999999999994</v>
      </c>
    </row>
    <row r="3361" spans="1:9" x14ac:dyDescent="0.3">
      <c r="A3361" t="str">
        <f t="shared" si="1129"/>
        <v>United States</v>
      </c>
      <c r="B3361" t="str">
        <f t="shared" si="1128"/>
        <v>New York City</v>
      </c>
      <c r="C3361" t="str">
        <f t="shared" si="1130"/>
        <v>Same Day</v>
      </c>
      <c r="D3361" t="str">
        <f t="shared" si="1133"/>
        <v>Home Office</v>
      </c>
      <c r="E3361" t="s">
        <v>34</v>
      </c>
      <c r="F3361">
        <v>2</v>
      </c>
      <c r="G3361">
        <v>0.2</v>
      </c>
      <c r="H3361" s="2">
        <v>12.776399999999988</v>
      </c>
      <c r="I3361" s="2">
        <v>113.56800000000001</v>
      </c>
    </row>
    <row r="3362" spans="1:9" x14ac:dyDescent="0.3">
      <c r="A3362" t="str">
        <f t="shared" si="1129"/>
        <v>United States</v>
      </c>
      <c r="B3362" t="str">
        <f t="shared" ref="B3362:B3393" si="1134">B3361</f>
        <v>New York City</v>
      </c>
      <c r="C3362" t="str">
        <f t="shared" si="1130"/>
        <v>Same Day</v>
      </c>
      <c r="D3362" t="str">
        <f t="shared" si="1133"/>
        <v>Home Office</v>
      </c>
      <c r="E3362" t="s">
        <v>45</v>
      </c>
      <c r="F3362">
        <v>2</v>
      </c>
      <c r="G3362">
        <v>0.2</v>
      </c>
      <c r="H3362" s="2">
        <v>249.99499999999998</v>
      </c>
      <c r="I3362" s="2">
        <v>799.98400000000004</v>
      </c>
    </row>
    <row r="3363" spans="1:9" x14ac:dyDescent="0.3">
      <c r="A3363" t="str">
        <f t="shared" si="1129"/>
        <v>United States</v>
      </c>
      <c r="B3363" t="str">
        <f t="shared" si="1134"/>
        <v>New York City</v>
      </c>
      <c r="C3363" t="str">
        <f t="shared" si="1130"/>
        <v>Same Day</v>
      </c>
      <c r="D3363" t="str">
        <f t="shared" si="1133"/>
        <v>Home Office</v>
      </c>
      <c r="E3363" t="s">
        <v>43</v>
      </c>
      <c r="F3363">
        <v>7</v>
      </c>
      <c r="G3363">
        <v>0</v>
      </c>
      <c r="H3363" s="2">
        <v>29.509</v>
      </c>
      <c r="I3363" s="2">
        <v>62.39</v>
      </c>
    </row>
    <row r="3364" spans="1:9" x14ac:dyDescent="0.3">
      <c r="A3364" t="str">
        <f t="shared" si="1129"/>
        <v>United States</v>
      </c>
      <c r="B3364" t="str">
        <f t="shared" si="1134"/>
        <v>New York City</v>
      </c>
      <c r="C3364" t="str">
        <f t="shared" si="1130"/>
        <v>Same Day</v>
      </c>
      <c r="D3364" t="str">
        <f t="shared" si="1133"/>
        <v>Home Office</v>
      </c>
      <c r="E3364" t="s">
        <v>16</v>
      </c>
      <c r="F3364">
        <v>22</v>
      </c>
      <c r="G3364">
        <v>0</v>
      </c>
      <c r="H3364" s="2">
        <v>137.70939999999999</v>
      </c>
      <c r="I3364" s="2">
        <v>301</v>
      </c>
    </row>
    <row r="3365" spans="1:9" x14ac:dyDescent="0.3">
      <c r="A3365" t="str">
        <f t="shared" si="1129"/>
        <v>United States</v>
      </c>
      <c r="B3365" t="str">
        <f t="shared" si="1134"/>
        <v>New York City</v>
      </c>
      <c r="C3365" t="str">
        <f t="shared" si="1130"/>
        <v>Same Day</v>
      </c>
      <c r="D3365" t="str">
        <f t="shared" si="1133"/>
        <v>Home Office</v>
      </c>
      <c r="E3365" t="s">
        <v>25</v>
      </c>
      <c r="F3365">
        <v>3</v>
      </c>
      <c r="G3365">
        <v>0.4</v>
      </c>
      <c r="H3365" s="2">
        <v>-29.323800000000006</v>
      </c>
      <c r="I3365" s="2">
        <v>79.97399999999999</v>
      </c>
    </row>
    <row r="3366" spans="1:9" x14ac:dyDescent="0.3">
      <c r="A3366" t="str">
        <f t="shared" si="1129"/>
        <v>United States</v>
      </c>
      <c r="B3366" t="str">
        <f t="shared" si="1134"/>
        <v>New York City</v>
      </c>
      <c r="C3366" t="s">
        <v>7</v>
      </c>
      <c r="D3366" t="s">
        <v>8</v>
      </c>
      <c r="E3366" t="s">
        <v>23</v>
      </c>
      <c r="F3366">
        <v>36</v>
      </c>
      <c r="G3366">
        <v>0</v>
      </c>
      <c r="H3366" s="2">
        <v>319.32800000000009</v>
      </c>
      <c r="I3366" s="2">
        <v>1666.3600000000001</v>
      </c>
    </row>
    <row r="3367" spans="1:9" x14ac:dyDescent="0.3">
      <c r="A3367" t="str">
        <f t="shared" si="1129"/>
        <v>United States</v>
      </c>
      <c r="B3367" t="str">
        <f t="shared" si="1134"/>
        <v>New York City</v>
      </c>
      <c r="C3367" t="str">
        <f t="shared" ref="C3367:C3401" si="1135">C3366</f>
        <v>Second Class</v>
      </c>
      <c r="D3367" t="str">
        <f t="shared" ref="D3367:D3378" si="1136">D3366</f>
        <v>Consumer</v>
      </c>
      <c r="E3367" t="s">
        <v>12</v>
      </c>
      <c r="F3367">
        <v>6</v>
      </c>
      <c r="G3367">
        <v>0</v>
      </c>
      <c r="H3367" s="2">
        <v>76.315200000000004</v>
      </c>
      <c r="I3367" s="2">
        <v>293.52</v>
      </c>
    </row>
    <row r="3368" spans="1:9" x14ac:dyDescent="0.3">
      <c r="A3368" t="str">
        <f t="shared" si="1129"/>
        <v>United States</v>
      </c>
      <c r="B3368" t="str">
        <f t="shared" si="1134"/>
        <v>New York City</v>
      </c>
      <c r="C3368" t="str">
        <f t="shared" si="1135"/>
        <v>Second Class</v>
      </c>
      <c r="D3368" t="str">
        <f t="shared" si="1136"/>
        <v>Consumer</v>
      </c>
      <c r="E3368" t="s">
        <v>19</v>
      </c>
      <c r="F3368">
        <v>17</v>
      </c>
      <c r="G3368">
        <v>0</v>
      </c>
      <c r="H3368" s="2">
        <v>44.340699999999998</v>
      </c>
      <c r="I3368" s="2">
        <v>128.99</v>
      </c>
    </row>
    <row r="3369" spans="1:9" x14ac:dyDescent="0.3">
      <c r="A3369" t="str">
        <f t="shared" si="1129"/>
        <v>United States</v>
      </c>
      <c r="B3369" t="str">
        <f t="shared" si="1134"/>
        <v>New York City</v>
      </c>
      <c r="C3369" t="str">
        <f t="shared" si="1135"/>
        <v>Second Class</v>
      </c>
      <c r="D3369" t="str">
        <f t="shared" si="1136"/>
        <v>Consumer</v>
      </c>
      <c r="E3369" t="s">
        <v>20</v>
      </c>
      <c r="F3369">
        <v>37</v>
      </c>
      <c r="G3369">
        <v>2.1999999999999997</v>
      </c>
      <c r="H3369" s="2">
        <v>259.24909999999994</v>
      </c>
      <c r="I3369" s="2">
        <v>764.31200000000001</v>
      </c>
    </row>
    <row r="3370" spans="1:9" x14ac:dyDescent="0.3">
      <c r="A3370" t="str">
        <f t="shared" si="1129"/>
        <v>United States</v>
      </c>
      <c r="B3370" t="str">
        <f t="shared" si="1134"/>
        <v>New York City</v>
      </c>
      <c r="C3370" t="str">
        <f t="shared" si="1135"/>
        <v>Second Class</v>
      </c>
      <c r="D3370" t="str">
        <f t="shared" si="1136"/>
        <v>Consumer</v>
      </c>
      <c r="E3370" t="s">
        <v>34</v>
      </c>
      <c r="F3370">
        <v>4</v>
      </c>
      <c r="G3370">
        <v>0.4</v>
      </c>
      <c r="H3370" s="2">
        <v>85.284199999999899</v>
      </c>
      <c r="I3370" s="2">
        <v>1123.1360000000002</v>
      </c>
    </row>
    <row r="3371" spans="1:9" x14ac:dyDescent="0.3">
      <c r="A3371" t="str">
        <f t="shared" si="1129"/>
        <v>United States</v>
      </c>
      <c r="B3371" t="str">
        <f t="shared" si="1134"/>
        <v>New York City</v>
      </c>
      <c r="C3371" t="str">
        <f t="shared" si="1135"/>
        <v>Second Class</v>
      </c>
      <c r="D3371" t="str">
        <f t="shared" si="1136"/>
        <v>Consumer</v>
      </c>
      <c r="E3371" t="s">
        <v>33</v>
      </c>
      <c r="F3371">
        <v>39</v>
      </c>
      <c r="G3371">
        <v>0.79999999999999993</v>
      </c>
      <c r="H3371" s="2">
        <v>952.33880000000011</v>
      </c>
      <c r="I3371" s="2">
        <v>7557.75</v>
      </c>
    </row>
    <row r="3372" spans="1:9" x14ac:dyDescent="0.3">
      <c r="A3372" t="str">
        <f t="shared" si="1129"/>
        <v>United States</v>
      </c>
      <c r="B3372" t="str">
        <f t="shared" si="1134"/>
        <v>New York City</v>
      </c>
      <c r="C3372" t="str">
        <f t="shared" si="1135"/>
        <v>Second Class</v>
      </c>
      <c r="D3372" t="str">
        <f t="shared" si="1136"/>
        <v>Consumer</v>
      </c>
      <c r="E3372" t="s">
        <v>38</v>
      </c>
      <c r="F3372">
        <v>9</v>
      </c>
      <c r="G3372">
        <v>0</v>
      </c>
      <c r="H3372" s="2">
        <v>33.517799999999994</v>
      </c>
      <c r="I3372" s="2">
        <v>70.2</v>
      </c>
    </row>
    <row r="3373" spans="1:9" x14ac:dyDescent="0.3">
      <c r="A3373" t="str">
        <f t="shared" si="1129"/>
        <v>United States</v>
      </c>
      <c r="B3373" t="str">
        <f t="shared" si="1134"/>
        <v>New York City</v>
      </c>
      <c r="C3373" t="str">
        <f t="shared" si="1135"/>
        <v>Second Class</v>
      </c>
      <c r="D3373" t="str">
        <f t="shared" si="1136"/>
        <v>Consumer</v>
      </c>
      <c r="E3373" t="s">
        <v>21</v>
      </c>
      <c r="F3373">
        <v>34</v>
      </c>
      <c r="G3373">
        <v>0</v>
      </c>
      <c r="H3373" s="2">
        <v>270.94569999999993</v>
      </c>
      <c r="I3373" s="2">
        <v>991.2399999999999</v>
      </c>
    </row>
    <row r="3374" spans="1:9" x14ac:dyDescent="0.3">
      <c r="A3374" t="str">
        <f t="shared" si="1129"/>
        <v>United States</v>
      </c>
      <c r="B3374" t="str">
        <f t="shared" si="1134"/>
        <v>New York City</v>
      </c>
      <c r="C3374" t="str">
        <f t="shared" si="1135"/>
        <v>Second Class</v>
      </c>
      <c r="D3374" t="str">
        <f t="shared" si="1136"/>
        <v>Consumer</v>
      </c>
      <c r="E3374" t="s">
        <v>43</v>
      </c>
      <c r="F3374">
        <v>25</v>
      </c>
      <c r="G3374">
        <v>0</v>
      </c>
      <c r="H3374" s="2">
        <v>52.381600000000006</v>
      </c>
      <c r="I3374" s="2">
        <v>111.62</v>
      </c>
    </row>
    <row r="3375" spans="1:9" x14ac:dyDescent="0.3">
      <c r="A3375" t="str">
        <f t="shared" si="1129"/>
        <v>United States</v>
      </c>
      <c r="B3375" t="str">
        <f t="shared" si="1134"/>
        <v>New York City</v>
      </c>
      <c r="C3375" t="str">
        <f t="shared" si="1135"/>
        <v>Second Class</v>
      </c>
      <c r="D3375" t="str">
        <f t="shared" si="1136"/>
        <v>Consumer</v>
      </c>
      <c r="E3375" t="s">
        <v>16</v>
      </c>
      <c r="F3375">
        <v>58</v>
      </c>
      <c r="G3375">
        <v>0</v>
      </c>
      <c r="H3375" s="2">
        <v>400.55520000000001</v>
      </c>
      <c r="I3375" s="2">
        <v>854.9</v>
      </c>
    </row>
    <row r="3376" spans="1:9" x14ac:dyDescent="0.3">
      <c r="A3376" t="str">
        <f t="shared" si="1129"/>
        <v>United States</v>
      </c>
      <c r="B3376" t="str">
        <f t="shared" si="1134"/>
        <v>New York City</v>
      </c>
      <c r="C3376" t="str">
        <f t="shared" si="1135"/>
        <v>Second Class</v>
      </c>
      <c r="D3376" t="str">
        <f t="shared" si="1136"/>
        <v>Consumer</v>
      </c>
      <c r="E3376" t="s">
        <v>24</v>
      </c>
      <c r="F3376">
        <v>42</v>
      </c>
      <c r="G3376">
        <v>0</v>
      </c>
      <c r="H3376" s="2">
        <v>1579.5085999999999</v>
      </c>
      <c r="I3376" s="2">
        <v>5032.75</v>
      </c>
    </row>
    <row r="3377" spans="1:9" x14ac:dyDescent="0.3">
      <c r="A3377" t="str">
        <f t="shared" si="1129"/>
        <v>United States</v>
      </c>
      <c r="B3377" t="str">
        <f t="shared" si="1134"/>
        <v>New York City</v>
      </c>
      <c r="C3377" t="str">
        <f t="shared" si="1135"/>
        <v>Second Class</v>
      </c>
      <c r="D3377" t="str">
        <f t="shared" si="1136"/>
        <v>Consumer</v>
      </c>
      <c r="E3377" t="s">
        <v>14</v>
      </c>
      <c r="F3377">
        <v>45</v>
      </c>
      <c r="G3377">
        <v>0</v>
      </c>
      <c r="H3377" s="2">
        <v>835.44619999999998</v>
      </c>
      <c r="I3377" s="2">
        <v>4209.49</v>
      </c>
    </row>
    <row r="3378" spans="1:9" x14ac:dyDescent="0.3">
      <c r="A3378" t="str">
        <f t="shared" si="1129"/>
        <v>United States</v>
      </c>
      <c r="B3378" t="str">
        <f t="shared" si="1134"/>
        <v>New York City</v>
      </c>
      <c r="C3378" t="str">
        <f t="shared" si="1135"/>
        <v>Second Class</v>
      </c>
      <c r="D3378" t="str">
        <f t="shared" si="1136"/>
        <v>Consumer</v>
      </c>
      <c r="E3378" t="s">
        <v>25</v>
      </c>
      <c r="F3378">
        <v>4</v>
      </c>
      <c r="G3378">
        <v>0.8</v>
      </c>
      <c r="H3378" s="2">
        <v>-132.83019999999999</v>
      </c>
      <c r="I3378" s="2">
        <v>375.64800000000002</v>
      </c>
    </row>
    <row r="3379" spans="1:9" x14ac:dyDescent="0.3">
      <c r="A3379" t="str">
        <f t="shared" si="1129"/>
        <v>United States</v>
      </c>
      <c r="B3379" t="str">
        <f t="shared" si="1134"/>
        <v>New York City</v>
      </c>
      <c r="C3379" t="str">
        <f t="shared" si="1135"/>
        <v>Second Class</v>
      </c>
      <c r="D3379" t="s">
        <v>15</v>
      </c>
      <c r="E3379" t="s">
        <v>23</v>
      </c>
      <c r="F3379">
        <v>7</v>
      </c>
      <c r="G3379">
        <v>0</v>
      </c>
      <c r="H3379" s="2">
        <v>22.536699999999996</v>
      </c>
      <c r="I3379" s="2">
        <v>63.97999999999999</v>
      </c>
    </row>
    <row r="3380" spans="1:9" x14ac:dyDescent="0.3">
      <c r="A3380" t="str">
        <f t="shared" si="1129"/>
        <v>United States</v>
      </c>
      <c r="B3380" t="str">
        <f t="shared" si="1134"/>
        <v>New York City</v>
      </c>
      <c r="C3380" t="str">
        <f t="shared" si="1135"/>
        <v>Second Class</v>
      </c>
      <c r="D3380" t="str">
        <f t="shared" ref="D3380:D3392" si="1137">D3379</f>
        <v>Corporate</v>
      </c>
      <c r="E3380" t="s">
        <v>12</v>
      </c>
      <c r="F3380">
        <v>12</v>
      </c>
      <c r="G3380">
        <v>0</v>
      </c>
      <c r="H3380" s="2">
        <v>102.89820000000002</v>
      </c>
      <c r="I3380" s="2">
        <v>368.43</v>
      </c>
    </row>
    <row r="3381" spans="1:9" x14ac:dyDescent="0.3">
      <c r="A3381" t="str">
        <f t="shared" si="1129"/>
        <v>United States</v>
      </c>
      <c r="B3381" t="str">
        <f t="shared" si="1134"/>
        <v>New York City</v>
      </c>
      <c r="C3381" t="str">
        <f t="shared" si="1135"/>
        <v>Second Class</v>
      </c>
      <c r="D3381" t="str">
        <f t="shared" si="1137"/>
        <v>Corporate</v>
      </c>
      <c r="E3381" t="s">
        <v>19</v>
      </c>
      <c r="F3381">
        <v>15</v>
      </c>
      <c r="G3381">
        <v>0</v>
      </c>
      <c r="H3381" s="2">
        <v>33.826799999999992</v>
      </c>
      <c r="I3381" s="2">
        <v>122.84</v>
      </c>
    </row>
    <row r="3382" spans="1:9" x14ac:dyDescent="0.3">
      <c r="A3382" t="str">
        <f t="shared" si="1129"/>
        <v>United States</v>
      </c>
      <c r="B3382" t="str">
        <f t="shared" si="1134"/>
        <v>New York City</v>
      </c>
      <c r="C3382" t="str">
        <f t="shared" si="1135"/>
        <v>Second Class</v>
      </c>
      <c r="D3382" t="str">
        <f t="shared" si="1137"/>
        <v>Corporate</v>
      </c>
      <c r="E3382" t="s">
        <v>20</v>
      </c>
      <c r="F3382">
        <v>33</v>
      </c>
      <c r="G3382">
        <v>1.5999999999999999</v>
      </c>
      <c r="H3382" s="2">
        <v>116.19349999999999</v>
      </c>
      <c r="I3382" s="2">
        <v>338.44800000000004</v>
      </c>
    </row>
    <row r="3383" spans="1:9" x14ac:dyDescent="0.3">
      <c r="A3383" t="str">
        <f t="shared" si="1129"/>
        <v>United States</v>
      </c>
      <c r="B3383" t="str">
        <f t="shared" si="1134"/>
        <v>New York City</v>
      </c>
      <c r="C3383" t="str">
        <f t="shared" si="1135"/>
        <v>Second Class</v>
      </c>
      <c r="D3383" t="str">
        <f t="shared" si="1137"/>
        <v>Corporate</v>
      </c>
      <c r="E3383" t="s">
        <v>34</v>
      </c>
      <c r="F3383">
        <v>5</v>
      </c>
      <c r="G3383">
        <v>0.4</v>
      </c>
      <c r="H3383" s="2">
        <v>22.877199999999949</v>
      </c>
      <c r="I3383" s="2">
        <v>625.52</v>
      </c>
    </row>
    <row r="3384" spans="1:9" x14ac:dyDescent="0.3">
      <c r="A3384" t="str">
        <f t="shared" si="1129"/>
        <v>United States</v>
      </c>
      <c r="B3384" t="str">
        <f t="shared" si="1134"/>
        <v>New York City</v>
      </c>
      <c r="C3384" t="str">
        <f t="shared" si="1135"/>
        <v>Second Class</v>
      </c>
      <c r="D3384" t="str">
        <f t="shared" si="1137"/>
        <v>Corporate</v>
      </c>
      <c r="E3384" t="s">
        <v>33</v>
      </c>
      <c r="F3384">
        <v>8</v>
      </c>
      <c r="G3384">
        <v>0.30000000000000004</v>
      </c>
      <c r="H3384" s="2">
        <v>69.626799999999974</v>
      </c>
      <c r="I3384" s="2">
        <v>653.79600000000005</v>
      </c>
    </row>
    <row r="3385" spans="1:9" x14ac:dyDescent="0.3">
      <c r="A3385" t="str">
        <f t="shared" si="1129"/>
        <v>United States</v>
      </c>
      <c r="B3385" t="str">
        <f t="shared" si="1134"/>
        <v>New York City</v>
      </c>
      <c r="C3385" t="str">
        <f t="shared" si="1135"/>
        <v>Second Class</v>
      </c>
      <c r="D3385" t="str">
        <f t="shared" si="1137"/>
        <v>Corporate</v>
      </c>
      <c r="E3385" t="s">
        <v>38</v>
      </c>
      <c r="F3385">
        <v>6</v>
      </c>
      <c r="G3385">
        <v>0</v>
      </c>
      <c r="H3385" s="2">
        <v>52.322000000000003</v>
      </c>
      <c r="I3385" s="2">
        <v>110.94</v>
      </c>
    </row>
    <row r="3386" spans="1:9" x14ac:dyDescent="0.3">
      <c r="A3386" t="str">
        <f t="shared" si="1129"/>
        <v>United States</v>
      </c>
      <c r="B3386" t="str">
        <f t="shared" si="1134"/>
        <v>New York City</v>
      </c>
      <c r="C3386" t="str">
        <f t="shared" si="1135"/>
        <v>Second Class</v>
      </c>
      <c r="D3386" t="str">
        <f t="shared" si="1137"/>
        <v>Corporate</v>
      </c>
      <c r="E3386" t="s">
        <v>18</v>
      </c>
      <c r="F3386">
        <v>10</v>
      </c>
      <c r="G3386">
        <v>0</v>
      </c>
      <c r="H3386" s="2">
        <v>7.6007999999999996</v>
      </c>
      <c r="I3386" s="2">
        <v>28.199999999999996</v>
      </c>
    </row>
    <row r="3387" spans="1:9" x14ac:dyDescent="0.3">
      <c r="A3387" t="str">
        <f t="shared" si="1129"/>
        <v>United States</v>
      </c>
      <c r="B3387" t="str">
        <f t="shared" si="1134"/>
        <v>New York City</v>
      </c>
      <c r="C3387" t="str">
        <f t="shared" si="1135"/>
        <v>Second Class</v>
      </c>
      <c r="D3387" t="str">
        <f t="shared" si="1137"/>
        <v>Corporate</v>
      </c>
      <c r="E3387" t="s">
        <v>21</v>
      </c>
      <c r="F3387">
        <v>15</v>
      </c>
      <c r="G3387">
        <v>0</v>
      </c>
      <c r="H3387" s="2">
        <v>126.57319999999997</v>
      </c>
      <c r="I3387" s="2">
        <v>472.87</v>
      </c>
    </row>
    <row r="3388" spans="1:9" x14ac:dyDescent="0.3">
      <c r="A3388" t="str">
        <f t="shared" si="1129"/>
        <v>United States</v>
      </c>
      <c r="B3388" t="str">
        <f t="shared" si="1134"/>
        <v>New York City</v>
      </c>
      <c r="C3388" t="str">
        <f t="shared" si="1135"/>
        <v>Second Class</v>
      </c>
      <c r="D3388" t="str">
        <f t="shared" si="1137"/>
        <v>Corporate</v>
      </c>
      <c r="E3388" t="s">
        <v>16</v>
      </c>
      <c r="F3388">
        <v>6</v>
      </c>
      <c r="G3388">
        <v>0</v>
      </c>
      <c r="H3388" s="2">
        <v>112.74239999999999</v>
      </c>
      <c r="I3388" s="2">
        <v>234.88</v>
      </c>
    </row>
    <row r="3389" spans="1:9" x14ac:dyDescent="0.3">
      <c r="A3389" t="str">
        <f t="shared" si="1129"/>
        <v>United States</v>
      </c>
      <c r="B3389" t="str">
        <f t="shared" si="1134"/>
        <v>New York City</v>
      </c>
      <c r="C3389" t="str">
        <f t="shared" si="1135"/>
        <v>Second Class</v>
      </c>
      <c r="D3389" t="str">
        <f t="shared" si="1137"/>
        <v>Corporate</v>
      </c>
      <c r="E3389" t="s">
        <v>24</v>
      </c>
      <c r="F3389">
        <v>8</v>
      </c>
      <c r="G3389">
        <v>0</v>
      </c>
      <c r="H3389" s="2">
        <v>449.93499999999995</v>
      </c>
      <c r="I3389" s="2">
        <v>1630.84</v>
      </c>
    </row>
    <row r="3390" spans="1:9" x14ac:dyDescent="0.3">
      <c r="A3390" t="str">
        <f t="shared" si="1129"/>
        <v>United States</v>
      </c>
      <c r="B3390" t="str">
        <f t="shared" si="1134"/>
        <v>New York City</v>
      </c>
      <c r="C3390" t="str">
        <f t="shared" si="1135"/>
        <v>Second Class</v>
      </c>
      <c r="D3390" t="str">
        <f t="shared" si="1137"/>
        <v>Corporate</v>
      </c>
      <c r="E3390" t="s">
        <v>14</v>
      </c>
      <c r="F3390">
        <v>34</v>
      </c>
      <c r="G3390">
        <v>0</v>
      </c>
      <c r="H3390" s="2">
        <v>811.755</v>
      </c>
      <c r="I3390" s="2">
        <v>3908.66</v>
      </c>
    </row>
    <row r="3391" spans="1:9" x14ac:dyDescent="0.3">
      <c r="A3391" t="str">
        <f t="shared" si="1129"/>
        <v>United States</v>
      </c>
      <c r="B3391" t="str">
        <f t="shared" si="1134"/>
        <v>New York City</v>
      </c>
      <c r="C3391" t="str">
        <f t="shared" si="1135"/>
        <v>Second Class</v>
      </c>
      <c r="D3391" t="str">
        <f t="shared" si="1137"/>
        <v>Corporate</v>
      </c>
      <c r="E3391" t="s">
        <v>9</v>
      </c>
      <c r="F3391">
        <v>3</v>
      </c>
      <c r="G3391">
        <v>0</v>
      </c>
      <c r="H3391" s="2">
        <v>17.378999999999976</v>
      </c>
      <c r="I3391" s="2">
        <v>347.58</v>
      </c>
    </row>
    <row r="3392" spans="1:9" x14ac:dyDescent="0.3">
      <c r="A3392" t="str">
        <f t="shared" si="1129"/>
        <v>United States</v>
      </c>
      <c r="B3392" t="str">
        <f t="shared" si="1134"/>
        <v>New York City</v>
      </c>
      <c r="C3392" t="str">
        <f t="shared" si="1135"/>
        <v>Second Class</v>
      </c>
      <c r="D3392" t="str">
        <f t="shared" si="1137"/>
        <v>Corporate</v>
      </c>
      <c r="E3392" t="s">
        <v>25</v>
      </c>
      <c r="F3392">
        <v>5</v>
      </c>
      <c r="G3392">
        <v>0.8</v>
      </c>
      <c r="H3392" s="2">
        <v>-219.39610000000005</v>
      </c>
      <c r="I3392" s="2">
        <v>626.89799999999991</v>
      </c>
    </row>
    <row r="3393" spans="1:9" x14ac:dyDescent="0.3">
      <c r="A3393" t="str">
        <f t="shared" si="1129"/>
        <v>United States</v>
      </c>
      <c r="B3393" t="str">
        <f t="shared" si="1134"/>
        <v>New York City</v>
      </c>
      <c r="C3393" t="str">
        <f t="shared" si="1135"/>
        <v>Second Class</v>
      </c>
      <c r="D3393" t="s">
        <v>17</v>
      </c>
      <c r="E3393" t="s">
        <v>23</v>
      </c>
      <c r="F3393">
        <v>3</v>
      </c>
      <c r="G3393">
        <v>0</v>
      </c>
      <c r="H3393" s="2">
        <v>66.954599999999971</v>
      </c>
      <c r="I3393" s="2">
        <v>371.96999999999997</v>
      </c>
    </row>
    <row r="3394" spans="1:9" x14ac:dyDescent="0.3">
      <c r="A3394" t="str">
        <f t="shared" si="1129"/>
        <v>United States</v>
      </c>
      <c r="B3394" t="str">
        <f t="shared" ref="B3394:B3425" si="1138">B3393</f>
        <v>New York City</v>
      </c>
      <c r="C3394" t="str">
        <f t="shared" si="1135"/>
        <v>Second Class</v>
      </c>
      <c r="D3394" t="str">
        <f t="shared" ref="D3394:D3401" si="1139">D3393</f>
        <v>Home Office</v>
      </c>
      <c r="E3394" t="s">
        <v>19</v>
      </c>
      <c r="F3394">
        <v>13</v>
      </c>
      <c r="G3394">
        <v>0</v>
      </c>
      <c r="H3394" s="2">
        <v>44.6173</v>
      </c>
      <c r="I3394" s="2">
        <v>139.61000000000001</v>
      </c>
    </row>
    <row r="3395" spans="1:9" x14ac:dyDescent="0.3">
      <c r="A3395" t="str">
        <f t="shared" si="1129"/>
        <v>United States</v>
      </c>
      <c r="B3395" t="str">
        <f t="shared" si="1138"/>
        <v>New York City</v>
      </c>
      <c r="C3395" t="str">
        <f t="shared" si="1135"/>
        <v>Second Class</v>
      </c>
      <c r="D3395" t="str">
        <f t="shared" si="1139"/>
        <v>Home Office</v>
      </c>
      <c r="E3395" t="s">
        <v>20</v>
      </c>
      <c r="F3395">
        <v>13</v>
      </c>
      <c r="G3395">
        <v>0.60000000000000009</v>
      </c>
      <c r="H3395" s="2">
        <v>52.373899999999985</v>
      </c>
      <c r="I3395" s="2">
        <v>154.792</v>
      </c>
    </row>
    <row r="3396" spans="1:9" x14ac:dyDescent="0.3">
      <c r="A3396" t="str">
        <f t="shared" ref="A3396:A3459" si="1140">A3395</f>
        <v>United States</v>
      </c>
      <c r="B3396" t="str">
        <f t="shared" si="1138"/>
        <v>New York City</v>
      </c>
      <c r="C3396" t="str">
        <f t="shared" si="1135"/>
        <v>Second Class</v>
      </c>
      <c r="D3396" t="str">
        <f t="shared" si="1139"/>
        <v>Home Office</v>
      </c>
      <c r="E3396" t="s">
        <v>34</v>
      </c>
      <c r="F3396">
        <v>3</v>
      </c>
      <c r="G3396">
        <v>0.2</v>
      </c>
      <c r="H3396" s="2">
        <v>-37.943400000000025</v>
      </c>
      <c r="I3396" s="2">
        <v>275.952</v>
      </c>
    </row>
    <row r="3397" spans="1:9" x14ac:dyDescent="0.3">
      <c r="A3397" t="str">
        <f t="shared" si="1140"/>
        <v>United States</v>
      </c>
      <c r="B3397" t="str">
        <f t="shared" si="1138"/>
        <v>New York City</v>
      </c>
      <c r="C3397" t="str">
        <f t="shared" si="1135"/>
        <v>Second Class</v>
      </c>
      <c r="D3397" t="str">
        <f t="shared" si="1139"/>
        <v>Home Office</v>
      </c>
      <c r="E3397" t="s">
        <v>33</v>
      </c>
      <c r="F3397">
        <v>8</v>
      </c>
      <c r="G3397">
        <v>0.30000000000000004</v>
      </c>
      <c r="H3397" s="2">
        <v>268.43619999999981</v>
      </c>
      <c r="I3397" s="2">
        <v>1515.4649999999997</v>
      </c>
    </row>
    <row r="3398" spans="1:9" x14ac:dyDescent="0.3">
      <c r="A3398" t="str">
        <f t="shared" si="1140"/>
        <v>United States</v>
      </c>
      <c r="B3398" t="str">
        <f t="shared" si="1138"/>
        <v>New York City</v>
      </c>
      <c r="C3398" t="str">
        <f t="shared" si="1135"/>
        <v>Second Class</v>
      </c>
      <c r="D3398" t="str">
        <f t="shared" si="1139"/>
        <v>Home Office</v>
      </c>
      <c r="E3398" t="s">
        <v>21</v>
      </c>
      <c r="F3398">
        <v>14</v>
      </c>
      <c r="G3398">
        <v>0</v>
      </c>
      <c r="H3398" s="2">
        <v>74.356999999999999</v>
      </c>
      <c r="I3398" s="2">
        <v>215.73000000000002</v>
      </c>
    </row>
    <row r="3399" spans="1:9" x14ac:dyDescent="0.3">
      <c r="A3399" t="str">
        <f t="shared" si="1140"/>
        <v>United States</v>
      </c>
      <c r="B3399" t="str">
        <f t="shared" si="1138"/>
        <v>New York City</v>
      </c>
      <c r="C3399" t="str">
        <f t="shared" si="1135"/>
        <v>Second Class</v>
      </c>
      <c r="D3399" t="str">
        <f t="shared" si="1139"/>
        <v>Home Office</v>
      </c>
      <c r="E3399" t="s">
        <v>16</v>
      </c>
      <c r="F3399">
        <v>12</v>
      </c>
      <c r="G3399">
        <v>0</v>
      </c>
      <c r="H3399" s="2">
        <v>235.91619999999998</v>
      </c>
      <c r="I3399" s="2">
        <v>490.96999999999997</v>
      </c>
    </row>
    <row r="3400" spans="1:9" x14ac:dyDescent="0.3">
      <c r="A3400" t="str">
        <f t="shared" si="1140"/>
        <v>United States</v>
      </c>
      <c r="B3400" t="str">
        <f t="shared" si="1138"/>
        <v>New York City</v>
      </c>
      <c r="C3400" t="str">
        <f t="shared" si="1135"/>
        <v>Second Class</v>
      </c>
      <c r="D3400" t="str">
        <f t="shared" si="1139"/>
        <v>Home Office</v>
      </c>
      <c r="E3400" t="s">
        <v>24</v>
      </c>
      <c r="F3400">
        <v>7</v>
      </c>
      <c r="G3400">
        <v>0</v>
      </c>
      <c r="H3400" s="2">
        <v>3.2186000000000092</v>
      </c>
      <c r="I3400" s="2">
        <v>160.92999999999998</v>
      </c>
    </row>
    <row r="3401" spans="1:9" x14ac:dyDescent="0.3">
      <c r="A3401" t="str">
        <f t="shared" si="1140"/>
        <v>United States</v>
      </c>
      <c r="B3401" t="str">
        <f t="shared" si="1138"/>
        <v>New York City</v>
      </c>
      <c r="C3401" t="str">
        <f t="shared" si="1135"/>
        <v>Second Class</v>
      </c>
      <c r="D3401" t="str">
        <f t="shared" si="1139"/>
        <v>Home Office</v>
      </c>
      <c r="E3401" t="s">
        <v>14</v>
      </c>
      <c r="F3401">
        <v>10</v>
      </c>
      <c r="G3401">
        <v>0</v>
      </c>
      <c r="H3401" s="2">
        <v>181.82839999999996</v>
      </c>
      <c r="I3401" s="2">
        <v>2077.48</v>
      </c>
    </row>
    <row r="3402" spans="1:9" x14ac:dyDescent="0.3">
      <c r="A3402" t="str">
        <f t="shared" si="1140"/>
        <v>United States</v>
      </c>
      <c r="B3402" t="str">
        <f t="shared" si="1138"/>
        <v>New York City</v>
      </c>
      <c r="C3402" t="s">
        <v>22</v>
      </c>
      <c r="D3402" t="s">
        <v>8</v>
      </c>
      <c r="E3402" t="s">
        <v>23</v>
      </c>
      <c r="F3402">
        <v>73</v>
      </c>
      <c r="G3402">
        <v>0</v>
      </c>
      <c r="H3402" s="2">
        <v>2228.9230000000002</v>
      </c>
      <c r="I3402" s="2">
        <v>7240.5999999999985</v>
      </c>
    </row>
    <row r="3403" spans="1:9" x14ac:dyDescent="0.3">
      <c r="A3403" t="str">
        <f t="shared" si="1140"/>
        <v>United States</v>
      </c>
      <c r="B3403" t="str">
        <f t="shared" si="1138"/>
        <v>New York City</v>
      </c>
      <c r="C3403" t="str">
        <f t="shared" ref="C3403:C3447" si="1141">C3402</f>
        <v>Standard Class</v>
      </c>
      <c r="D3403" t="str">
        <f t="shared" ref="D3403:D3418" si="1142">D3402</f>
        <v>Consumer</v>
      </c>
      <c r="E3403" t="s">
        <v>12</v>
      </c>
      <c r="F3403">
        <v>47</v>
      </c>
      <c r="G3403">
        <v>0</v>
      </c>
      <c r="H3403" s="2">
        <v>979.80439999999999</v>
      </c>
      <c r="I3403" s="2">
        <v>3315.2599999999998</v>
      </c>
    </row>
    <row r="3404" spans="1:9" x14ac:dyDescent="0.3">
      <c r="A3404" t="str">
        <f t="shared" si="1140"/>
        <v>United States</v>
      </c>
      <c r="B3404" t="str">
        <f t="shared" si="1138"/>
        <v>New York City</v>
      </c>
      <c r="C3404" t="str">
        <f t="shared" si="1141"/>
        <v>Standard Class</v>
      </c>
      <c r="D3404" t="str">
        <f t="shared" si="1142"/>
        <v>Consumer</v>
      </c>
      <c r="E3404" t="s">
        <v>19</v>
      </c>
      <c r="F3404">
        <v>73</v>
      </c>
      <c r="G3404">
        <v>0</v>
      </c>
      <c r="H3404" s="2">
        <v>168.2885</v>
      </c>
      <c r="I3404" s="2">
        <v>538.21999999999991</v>
      </c>
    </row>
    <row r="3405" spans="1:9" x14ac:dyDescent="0.3">
      <c r="A3405" t="str">
        <f t="shared" si="1140"/>
        <v>United States</v>
      </c>
      <c r="B3405" t="str">
        <f t="shared" si="1138"/>
        <v>New York City</v>
      </c>
      <c r="C3405" t="str">
        <f t="shared" si="1141"/>
        <v>Standard Class</v>
      </c>
      <c r="D3405" t="str">
        <f t="shared" si="1142"/>
        <v>Consumer</v>
      </c>
      <c r="E3405" t="s">
        <v>20</v>
      </c>
      <c r="F3405">
        <v>236</v>
      </c>
      <c r="G3405">
        <v>12.199999999999989</v>
      </c>
      <c r="H3405" s="2">
        <v>2661.0241999999989</v>
      </c>
      <c r="I3405" s="2">
        <v>7954.5120000000015</v>
      </c>
    </row>
    <row r="3406" spans="1:9" x14ac:dyDescent="0.3">
      <c r="A3406" t="str">
        <f t="shared" si="1140"/>
        <v>United States</v>
      </c>
      <c r="B3406" t="str">
        <f t="shared" si="1138"/>
        <v>New York City</v>
      </c>
      <c r="C3406" t="str">
        <f t="shared" si="1141"/>
        <v>Standard Class</v>
      </c>
      <c r="D3406" t="str">
        <f t="shared" si="1142"/>
        <v>Consumer</v>
      </c>
      <c r="E3406" t="s">
        <v>34</v>
      </c>
      <c r="F3406">
        <v>55</v>
      </c>
      <c r="G3406">
        <v>2.8000000000000003</v>
      </c>
      <c r="H3406" s="2">
        <v>137.17199999999963</v>
      </c>
      <c r="I3406" s="2">
        <v>10617.535999999998</v>
      </c>
    </row>
    <row r="3407" spans="1:9" x14ac:dyDescent="0.3">
      <c r="A3407" t="str">
        <f t="shared" si="1140"/>
        <v>United States</v>
      </c>
      <c r="B3407" t="str">
        <f t="shared" si="1138"/>
        <v>New York City</v>
      </c>
      <c r="C3407" t="str">
        <f t="shared" si="1141"/>
        <v>Standard Class</v>
      </c>
      <c r="D3407" t="str">
        <f t="shared" si="1142"/>
        <v>Consumer</v>
      </c>
      <c r="E3407" t="s">
        <v>33</v>
      </c>
      <c r="F3407">
        <v>111</v>
      </c>
      <c r="G3407">
        <v>2.2000000000000006</v>
      </c>
      <c r="H3407" s="2">
        <v>2634.9533999999999</v>
      </c>
      <c r="I3407" s="2">
        <v>16459.596000000001</v>
      </c>
    </row>
    <row r="3408" spans="1:9" x14ac:dyDescent="0.3">
      <c r="A3408" t="str">
        <f t="shared" si="1140"/>
        <v>United States</v>
      </c>
      <c r="B3408" t="str">
        <f t="shared" si="1138"/>
        <v>New York City</v>
      </c>
      <c r="C3408" t="str">
        <f t="shared" si="1141"/>
        <v>Standard Class</v>
      </c>
      <c r="D3408" t="str">
        <f t="shared" si="1142"/>
        <v>Consumer</v>
      </c>
      <c r="E3408" t="s">
        <v>45</v>
      </c>
      <c r="F3408">
        <v>11</v>
      </c>
      <c r="G3408">
        <v>0.60000000000000009</v>
      </c>
      <c r="H3408" s="2">
        <v>1404.9717000000001</v>
      </c>
      <c r="I3408" s="2">
        <v>4159.9120000000003</v>
      </c>
    </row>
    <row r="3409" spans="1:9" x14ac:dyDescent="0.3">
      <c r="A3409" t="str">
        <f t="shared" si="1140"/>
        <v>United States</v>
      </c>
      <c r="B3409" t="str">
        <f t="shared" si="1138"/>
        <v>New York City</v>
      </c>
      <c r="C3409" t="str">
        <f t="shared" si="1141"/>
        <v>Standard Class</v>
      </c>
      <c r="D3409" t="str">
        <f t="shared" si="1142"/>
        <v>Consumer</v>
      </c>
      <c r="E3409" t="s">
        <v>38</v>
      </c>
      <c r="F3409">
        <v>11</v>
      </c>
      <c r="G3409">
        <v>0</v>
      </c>
      <c r="H3409" s="2">
        <v>115.64419999999998</v>
      </c>
      <c r="I3409" s="2">
        <v>248.28</v>
      </c>
    </row>
    <row r="3410" spans="1:9" x14ac:dyDescent="0.3">
      <c r="A3410" t="str">
        <f t="shared" si="1140"/>
        <v>United States</v>
      </c>
      <c r="B3410" t="str">
        <f t="shared" si="1138"/>
        <v>New York City</v>
      </c>
      <c r="C3410" t="str">
        <f t="shared" si="1141"/>
        <v>Standard Class</v>
      </c>
      <c r="D3410" t="str">
        <f t="shared" si="1142"/>
        <v>Consumer</v>
      </c>
      <c r="E3410" t="s">
        <v>18</v>
      </c>
      <c r="F3410">
        <v>27</v>
      </c>
      <c r="G3410">
        <v>0</v>
      </c>
      <c r="H3410" s="2">
        <v>37.698500000000003</v>
      </c>
      <c r="I3410" s="2">
        <v>96.91</v>
      </c>
    </row>
    <row r="3411" spans="1:9" x14ac:dyDescent="0.3">
      <c r="A3411" t="str">
        <f t="shared" si="1140"/>
        <v>United States</v>
      </c>
      <c r="B3411" t="str">
        <f t="shared" si="1138"/>
        <v>New York City</v>
      </c>
      <c r="C3411" t="str">
        <f t="shared" si="1141"/>
        <v>Standard Class</v>
      </c>
      <c r="D3411" t="str">
        <f t="shared" si="1142"/>
        <v>Consumer</v>
      </c>
      <c r="E3411" t="s">
        <v>21</v>
      </c>
      <c r="F3411">
        <v>102</v>
      </c>
      <c r="G3411">
        <v>0</v>
      </c>
      <c r="H3411" s="2">
        <v>1165.6760000000002</v>
      </c>
      <c r="I3411" s="2">
        <v>3352.4100000000003</v>
      </c>
    </row>
    <row r="3412" spans="1:9" x14ac:dyDescent="0.3">
      <c r="A3412" t="str">
        <f t="shared" si="1140"/>
        <v>United States</v>
      </c>
      <c r="B3412" t="str">
        <f t="shared" si="1138"/>
        <v>New York City</v>
      </c>
      <c r="C3412" t="str">
        <f t="shared" si="1141"/>
        <v>Standard Class</v>
      </c>
      <c r="D3412" t="str">
        <f t="shared" si="1142"/>
        <v>Consumer</v>
      </c>
      <c r="E3412" t="s">
        <v>43</v>
      </c>
      <c r="F3412">
        <v>49</v>
      </c>
      <c r="G3412">
        <v>0</v>
      </c>
      <c r="H3412" s="2">
        <v>255.71119999999999</v>
      </c>
      <c r="I3412" s="2">
        <v>544.07000000000005</v>
      </c>
    </row>
    <row r="3413" spans="1:9" x14ac:dyDescent="0.3">
      <c r="A3413" t="str">
        <f t="shared" si="1140"/>
        <v>United States</v>
      </c>
      <c r="B3413" t="str">
        <f t="shared" si="1138"/>
        <v>New York City</v>
      </c>
      <c r="C3413" t="str">
        <f t="shared" si="1141"/>
        <v>Standard Class</v>
      </c>
      <c r="D3413" t="str">
        <f t="shared" si="1142"/>
        <v>Consumer</v>
      </c>
      <c r="E3413" t="s">
        <v>46</v>
      </c>
      <c r="F3413">
        <v>9</v>
      </c>
      <c r="G3413">
        <v>0</v>
      </c>
      <c r="H3413" s="2">
        <v>3399.9726999999993</v>
      </c>
      <c r="I3413" s="2">
        <v>10999.91</v>
      </c>
    </row>
    <row r="3414" spans="1:9" x14ac:dyDescent="0.3">
      <c r="A3414" t="str">
        <f t="shared" si="1140"/>
        <v>United States</v>
      </c>
      <c r="B3414" t="str">
        <f t="shared" si="1138"/>
        <v>New York City</v>
      </c>
      <c r="C3414" t="str">
        <f t="shared" si="1141"/>
        <v>Standard Class</v>
      </c>
      <c r="D3414" t="str">
        <f t="shared" si="1142"/>
        <v>Consumer</v>
      </c>
      <c r="E3414" t="s">
        <v>16</v>
      </c>
      <c r="F3414">
        <v>154</v>
      </c>
      <c r="G3414">
        <v>0</v>
      </c>
      <c r="H3414" s="2">
        <v>818.55819999999994</v>
      </c>
      <c r="I3414" s="2">
        <v>1729.5700000000002</v>
      </c>
    </row>
    <row r="3415" spans="1:9" x14ac:dyDescent="0.3">
      <c r="A3415" t="str">
        <f t="shared" si="1140"/>
        <v>United States</v>
      </c>
      <c r="B3415" t="str">
        <f t="shared" si="1138"/>
        <v>New York City</v>
      </c>
      <c r="C3415" t="str">
        <f t="shared" si="1141"/>
        <v>Standard Class</v>
      </c>
      <c r="D3415" t="str">
        <f t="shared" si="1142"/>
        <v>Consumer</v>
      </c>
      <c r="E3415" t="s">
        <v>24</v>
      </c>
      <c r="F3415">
        <v>75</v>
      </c>
      <c r="G3415">
        <v>0</v>
      </c>
      <c r="H3415" s="2">
        <v>1877.5389999999998</v>
      </c>
      <c r="I3415" s="2">
        <v>7038.9399999999987</v>
      </c>
    </row>
    <row r="3416" spans="1:9" x14ac:dyDescent="0.3">
      <c r="A3416" t="str">
        <f t="shared" si="1140"/>
        <v>United States</v>
      </c>
      <c r="B3416" t="str">
        <f t="shared" si="1138"/>
        <v>New York City</v>
      </c>
      <c r="C3416" t="str">
        <f t="shared" si="1141"/>
        <v>Standard Class</v>
      </c>
      <c r="D3416" t="str">
        <f t="shared" si="1142"/>
        <v>Consumer</v>
      </c>
      <c r="E3416" t="s">
        <v>14</v>
      </c>
      <c r="F3416">
        <v>76</v>
      </c>
      <c r="G3416">
        <v>0</v>
      </c>
      <c r="H3416" s="2">
        <v>580.03079999999989</v>
      </c>
      <c r="I3416" s="2">
        <v>4378.2499999999991</v>
      </c>
    </row>
    <row r="3417" spans="1:9" x14ac:dyDescent="0.3">
      <c r="A3417" t="str">
        <f t="shared" si="1140"/>
        <v>United States</v>
      </c>
      <c r="B3417" t="str">
        <f t="shared" si="1138"/>
        <v>New York City</v>
      </c>
      <c r="C3417" t="str">
        <f t="shared" si="1141"/>
        <v>Standard Class</v>
      </c>
      <c r="D3417" t="str">
        <f t="shared" si="1142"/>
        <v>Consumer</v>
      </c>
      <c r="E3417" t="s">
        <v>9</v>
      </c>
      <c r="F3417">
        <v>50</v>
      </c>
      <c r="G3417">
        <v>0</v>
      </c>
      <c r="H3417" s="2">
        <v>137.83019999999999</v>
      </c>
      <c r="I3417" s="2">
        <v>824.63</v>
      </c>
    </row>
    <row r="3418" spans="1:9" x14ac:dyDescent="0.3">
      <c r="A3418" t="str">
        <f t="shared" si="1140"/>
        <v>United States</v>
      </c>
      <c r="B3418" t="str">
        <f t="shared" si="1138"/>
        <v>New York City</v>
      </c>
      <c r="C3418" t="str">
        <f t="shared" si="1141"/>
        <v>Standard Class</v>
      </c>
      <c r="D3418" t="str">
        <f t="shared" si="1142"/>
        <v>Consumer</v>
      </c>
      <c r="E3418" t="s">
        <v>25</v>
      </c>
      <c r="F3418">
        <v>5</v>
      </c>
      <c r="G3418">
        <v>0.8</v>
      </c>
      <c r="H3418" s="2">
        <v>-489.01060000000007</v>
      </c>
      <c r="I3418" s="2">
        <v>1348.692</v>
      </c>
    </row>
    <row r="3419" spans="1:9" x14ac:dyDescent="0.3">
      <c r="A3419" t="str">
        <f t="shared" si="1140"/>
        <v>United States</v>
      </c>
      <c r="B3419" t="str">
        <f t="shared" si="1138"/>
        <v>New York City</v>
      </c>
      <c r="C3419" t="str">
        <f t="shared" si="1141"/>
        <v>Standard Class</v>
      </c>
      <c r="D3419" t="s">
        <v>15</v>
      </c>
      <c r="E3419" t="s">
        <v>23</v>
      </c>
      <c r="F3419">
        <v>38</v>
      </c>
      <c r="G3419">
        <v>0</v>
      </c>
      <c r="H3419" s="2">
        <v>255.59759999999997</v>
      </c>
      <c r="I3419" s="2">
        <v>1169.47</v>
      </c>
    </row>
    <row r="3420" spans="1:9" x14ac:dyDescent="0.3">
      <c r="A3420" t="str">
        <f t="shared" si="1140"/>
        <v>United States</v>
      </c>
      <c r="B3420" t="str">
        <f t="shared" si="1138"/>
        <v>New York City</v>
      </c>
      <c r="C3420" t="str">
        <f t="shared" si="1141"/>
        <v>Standard Class</v>
      </c>
      <c r="D3420" t="str">
        <f t="shared" ref="D3420:D3434" si="1143">D3419</f>
        <v>Corporate</v>
      </c>
      <c r="E3420" t="s">
        <v>12</v>
      </c>
      <c r="F3420">
        <v>32</v>
      </c>
      <c r="G3420">
        <v>0</v>
      </c>
      <c r="H3420" s="2">
        <v>1212.2209</v>
      </c>
      <c r="I3420" s="2">
        <v>4646.63</v>
      </c>
    </row>
    <row r="3421" spans="1:9" x14ac:dyDescent="0.3">
      <c r="A3421" t="str">
        <f t="shared" si="1140"/>
        <v>United States</v>
      </c>
      <c r="B3421" t="str">
        <f t="shared" si="1138"/>
        <v>New York City</v>
      </c>
      <c r="C3421" t="str">
        <f t="shared" si="1141"/>
        <v>Standard Class</v>
      </c>
      <c r="D3421" t="str">
        <f t="shared" si="1143"/>
        <v>Corporate</v>
      </c>
      <c r="E3421" t="s">
        <v>19</v>
      </c>
      <c r="F3421">
        <v>74</v>
      </c>
      <c r="G3421">
        <v>0</v>
      </c>
      <c r="H3421" s="2">
        <v>201.83180000000004</v>
      </c>
      <c r="I3421" s="2">
        <v>671.56</v>
      </c>
    </row>
    <row r="3422" spans="1:9" x14ac:dyDescent="0.3">
      <c r="A3422" t="str">
        <f t="shared" si="1140"/>
        <v>United States</v>
      </c>
      <c r="B3422" t="str">
        <f t="shared" si="1138"/>
        <v>New York City</v>
      </c>
      <c r="C3422" t="str">
        <f t="shared" si="1141"/>
        <v>Standard Class</v>
      </c>
      <c r="D3422" t="str">
        <f t="shared" si="1143"/>
        <v>Corporate</v>
      </c>
      <c r="E3422" t="s">
        <v>20</v>
      </c>
      <c r="F3422">
        <v>88</v>
      </c>
      <c r="G3422">
        <v>5.200000000000002</v>
      </c>
      <c r="H3422" s="2">
        <v>1090.0991999999999</v>
      </c>
      <c r="I3422" s="2">
        <v>3171.2400000000002</v>
      </c>
    </row>
    <row r="3423" spans="1:9" x14ac:dyDescent="0.3">
      <c r="A3423" t="str">
        <f t="shared" si="1140"/>
        <v>United States</v>
      </c>
      <c r="B3423" t="str">
        <f t="shared" si="1138"/>
        <v>New York City</v>
      </c>
      <c r="C3423" t="str">
        <f t="shared" si="1141"/>
        <v>Standard Class</v>
      </c>
      <c r="D3423" t="str">
        <f t="shared" si="1143"/>
        <v>Corporate</v>
      </c>
      <c r="E3423" t="s">
        <v>34</v>
      </c>
      <c r="F3423">
        <v>7</v>
      </c>
      <c r="G3423">
        <v>0.4</v>
      </c>
      <c r="H3423" s="2">
        <v>16.501799999999974</v>
      </c>
      <c r="I3423" s="2">
        <v>474.024</v>
      </c>
    </row>
    <row r="3424" spans="1:9" x14ac:dyDescent="0.3">
      <c r="A3424" t="str">
        <f t="shared" si="1140"/>
        <v>United States</v>
      </c>
      <c r="B3424" t="str">
        <f t="shared" si="1138"/>
        <v>New York City</v>
      </c>
      <c r="C3424" t="str">
        <f t="shared" si="1141"/>
        <v>Standard Class</v>
      </c>
      <c r="D3424" t="str">
        <f t="shared" si="1143"/>
        <v>Corporate</v>
      </c>
      <c r="E3424" t="s">
        <v>33</v>
      </c>
      <c r="F3424">
        <v>28</v>
      </c>
      <c r="G3424">
        <v>0.89999999999999991</v>
      </c>
      <c r="H3424" s="2">
        <v>818.68899999999996</v>
      </c>
      <c r="I3424" s="2">
        <v>4951.6560000000009</v>
      </c>
    </row>
    <row r="3425" spans="1:9" x14ac:dyDescent="0.3">
      <c r="A3425" t="str">
        <f t="shared" si="1140"/>
        <v>United States</v>
      </c>
      <c r="B3425" t="str">
        <f t="shared" si="1138"/>
        <v>New York City</v>
      </c>
      <c r="C3425" t="str">
        <f t="shared" si="1141"/>
        <v>Standard Class</v>
      </c>
      <c r="D3425" t="str">
        <f t="shared" si="1143"/>
        <v>Corporate</v>
      </c>
      <c r="E3425" t="s">
        <v>38</v>
      </c>
      <c r="F3425">
        <v>18</v>
      </c>
      <c r="G3425">
        <v>0</v>
      </c>
      <c r="H3425" s="2">
        <v>99.190399999999983</v>
      </c>
      <c r="I3425" s="2">
        <v>211.16</v>
      </c>
    </row>
    <row r="3426" spans="1:9" x14ac:dyDescent="0.3">
      <c r="A3426" t="str">
        <f t="shared" si="1140"/>
        <v>United States</v>
      </c>
      <c r="B3426" t="str">
        <f t="shared" ref="B3426:B3447" si="1144">B3425</f>
        <v>New York City</v>
      </c>
      <c r="C3426" t="str">
        <f t="shared" si="1141"/>
        <v>Standard Class</v>
      </c>
      <c r="D3426" t="str">
        <f t="shared" si="1143"/>
        <v>Corporate</v>
      </c>
      <c r="E3426" t="s">
        <v>18</v>
      </c>
      <c r="F3426">
        <v>17</v>
      </c>
      <c r="G3426">
        <v>0</v>
      </c>
      <c r="H3426" s="2">
        <v>26.885800000000003</v>
      </c>
      <c r="I3426" s="2">
        <v>58.980000000000004</v>
      </c>
    </row>
    <row r="3427" spans="1:9" x14ac:dyDescent="0.3">
      <c r="A3427" t="str">
        <f t="shared" si="1140"/>
        <v>United States</v>
      </c>
      <c r="B3427" t="str">
        <f t="shared" si="1144"/>
        <v>New York City</v>
      </c>
      <c r="C3427" t="str">
        <f t="shared" si="1141"/>
        <v>Standard Class</v>
      </c>
      <c r="D3427" t="str">
        <f t="shared" si="1143"/>
        <v>Corporate</v>
      </c>
      <c r="E3427" t="s">
        <v>21</v>
      </c>
      <c r="F3427">
        <v>56</v>
      </c>
      <c r="G3427">
        <v>0</v>
      </c>
      <c r="H3427" s="2">
        <v>365.94130000000001</v>
      </c>
      <c r="I3427" s="2">
        <v>1212.8499999999997</v>
      </c>
    </row>
    <row r="3428" spans="1:9" x14ac:dyDescent="0.3">
      <c r="A3428" t="str">
        <f t="shared" si="1140"/>
        <v>United States</v>
      </c>
      <c r="B3428" t="str">
        <f t="shared" si="1144"/>
        <v>New York City</v>
      </c>
      <c r="C3428" t="str">
        <f t="shared" si="1141"/>
        <v>Standard Class</v>
      </c>
      <c r="D3428" t="str">
        <f t="shared" si="1143"/>
        <v>Corporate</v>
      </c>
      <c r="E3428" t="s">
        <v>43</v>
      </c>
      <c r="F3428">
        <v>15</v>
      </c>
      <c r="G3428">
        <v>0</v>
      </c>
      <c r="H3428" s="2">
        <v>40.397999999999996</v>
      </c>
      <c r="I3428" s="2">
        <v>85.2</v>
      </c>
    </row>
    <row r="3429" spans="1:9" x14ac:dyDescent="0.3">
      <c r="A3429" t="str">
        <f t="shared" si="1140"/>
        <v>United States</v>
      </c>
      <c r="B3429" t="str">
        <f t="shared" si="1144"/>
        <v>New York City</v>
      </c>
      <c r="C3429" t="str">
        <f t="shared" si="1141"/>
        <v>Standard Class</v>
      </c>
      <c r="D3429" t="str">
        <f t="shared" si="1143"/>
        <v>Corporate</v>
      </c>
      <c r="E3429" t="s">
        <v>46</v>
      </c>
      <c r="F3429">
        <v>10</v>
      </c>
      <c r="G3429">
        <v>0</v>
      </c>
      <c r="H3429" s="2">
        <v>1388.1732</v>
      </c>
      <c r="I3429" s="2">
        <v>5278.62</v>
      </c>
    </row>
    <row r="3430" spans="1:9" x14ac:dyDescent="0.3">
      <c r="A3430" t="str">
        <f t="shared" si="1140"/>
        <v>United States</v>
      </c>
      <c r="B3430" t="str">
        <f t="shared" si="1144"/>
        <v>New York City</v>
      </c>
      <c r="C3430" t="str">
        <f t="shared" si="1141"/>
        <v>Standard Class</v>
      </c>
      <c r="D3430" t="str">
        <f t="shared" si="1143"/>
        <v>Corporate</v>
      </c>
      <c r="E3430" t="s">
        <v>16</v>
      </c>
      <c r="F3430">
        <v>80</v>
      </c>
      <c r="G3430">
        <v>0</v>
      </c>
      <c r="H3430" s="2">
        <v>640.21569999999997</v>
      </c>
      <c r="I3430" s="2">
        <v>1328.87</v>
      </c>
    </row>
    <row r="3431" spans="1:9" x14ac:dyDescent="0.3">
      <c r="A3431" t="str">
        <f t="shared" si="1140"/>
        <v>United States</v>
      </c>
      <c r="B3431" t="str">
        <f t="shared" si="1144"/>
        <v>New York City</v>
      </c>
      <c r="C3431" t="str">
        <f t="shared" si="1141"/>
        <v>Standard Class</v>
      </c>
      <c r="D3431" t="str">
        <f t="shared" si="1143"/>
        <v>Corporate</v>
      </c>
      <c r="E3431" t="s">
        <v>24</v>
      </c>
      <c r="F3431">
        <v>72</v>
      </c>
      <c r="G3431">
        <v>0</v>
      </c>
      <c r="H3431" s="2">
        <v>2137.0401999999999</v>
      </c>
      <c r="I3431" s="2">
        <v>7500.4799999999987</v>
      </c>
    </row>
    <row r="3432" spans="1:9" x14ac:dyDescent="0.3">
      <c r="A3432" t="str">
        <f t="shared" si="1140"/>
        <v>United States</v>
      </c>
      <c r="B3432" t="str">
        <f t="shared" si="1144"/>
        <v>New York City</v>
      </c>
      <c r="C3432" t="str">
        <f t="shared" si="1141"/>
        <v>Standard Class</v>
      </c>
      <c r="D3432" t="str">
        <f t="shared" si="1143"/>
        <v>Corporate</v>
      </c>
      <c r="E3432" t="s">
        <v>14</v>
      </c>
      <c r="F3432">
        <v>54</v>
      </c>
      <c r="G3432">
        <v>0</v>
      </c>
      <c r="H3432" s="2">
        <v>701.66609999999991</v>
      </c>
      <c r="I3432" s="2">
        <v>3637.3200000000006</v>
      </c>
    </row>
    <row r="3433" spans="1:9" x14ac:dyDescent="0.3">
      <c r="A3433" t="str">
        <f t="shared" si="1140"/>
        <v>United States</v>
      </c>
      <c r="B3433" t="str">
        <f t="shared" si="1144"/>
        <v>New York City</v>
      </c>
      <c r="C3433" t="str">
        <f t="shared" si="1141"/>
        <v>Standard Class</v>
      </c>
      <c r="D3433" t="str">
        <f t="shared" si="1143"/>
        <v>Corporate</v>
      </c>
      <c r="E3433" t="s">
        <v>9</v>
      </c>
      <c r="F3433">
        <v>13</v>
      </c>
      <c r="G3433">
        <v>0</v>
      </c>
      <c r="H3433" s="2">
        <v>23.313400000000001</v>
      </c>
      <c r="I3433" s="2">
        <v>81.710000000000008</v>
      </c>
    </row>
    <row r="3434" spans="1:9" x14ac:dyDescent="0.3">
      <c r="A3434" t="str">
        <f t="shared" si="1140"/>
        <v>United States</v>
      </c>
      <c r="B3434" t="str">
        <f t="shared" si="1144"/>
        <v>New York City</v>
      </c>
      <c r="C3434" t="str">
        <f t="shared" si="1141"/>
        <v>Standard Class</v>
      </c>
      <c r="D3434" t="str">
        <f t="shared" si="1143"/>
        <v>Corporate</v>
      </c>
      <c r="E3434" t="s">
        <v>25</v>
      </c>
      <c r="F3434">
        <v>26</v>
      </c>
      <c r="G3434">
        <v>3.9999999999999996</v>
      </c>
      <c r="H3434" s="2">
        <v>-1706.4201</v>
      </c>
      <c r="I3434" s="2">
        <v>5178.7380000000003</v>
      </c>
    </row>
    <row r="3435" spans="1:9" x14ac:dyDescent="0.3">
      <c r="A3435" t="str">
        <f t="shared" si="1140"/>
        <v>United States</v>
      </c>
      <c r="B3435" t="str">
        <f t="shared" si="1144"/>
        <v>New York City</v>
      </c>
      <c r="C3435" t="str">
        <f t="shared" si="1141"/>
        <v>Standard Class</v>
      </c>
      <c r="D3435" t="s">
        <v>17</v>
      </c>
      <c r="E3435" t="s">
        <v>23</v>
      </c>
      <c r="F3435">
        <v>27</v>
      </c>
      <c r="G3435">
        <v>0</v>
      </c>
      <c r="H3435" s="2">
        <v>578.34029999999996</v>
      </c>
      <c r="I3435" s="2">
        <v>1791.14</v>
      </c>
    </row>
    <row r="3436" spans="1:9" x14ac:dyDescent="0.3">
      <c r="A3436" t="str">
        <f t="shared" si="1140"/>
        <v>United States</v>
      </c>
      <c r="B3436" t="str">
        <f t="shared" si="1144"/>
        <v>New York City</v>
      </c>
      <c r="C3436" t="str">
        <f t="shared" si="1141"/>
        <v>Standard Class</v>
      </c>
      <c r="D3436" t="str">
        <f t="shared" ref="D3436:D3447" si="1145">D3435</f>
        <v>Home Office</v>
      </c>
      <c r="E3436" t="s">
        <v>12</v>
      </c>
      <c r="F3436">
        <v>23</v>
      </c>
      <c r="G3436">
        <v>0</v>
      </c>
      <c r="H3436" s="2">
        <v>307.84999999999991</v>
      </c>
      <c r="I3436" s="2">
        <v>1092.7600000000002</v>
      </c>
    </row>
    <row r="3437" spans="1:9" x14ac:dyDescent="0.3">
      <c r="A3437" t="str">
        <f t="shared" si="1140"/>
        <v>United States</v>
      </c>
      <c r="B3437" t="str">
        <f t="shared" si="1144"/>
        <v>New York City</v>
      </c>
      <c r="C3437" t="str">
        <f t="shared" si="1141"/>
        <v>Standard Class</v>
      </c>
      <c r="D3437" t="str">
        <f t="shared" si="1145"/>
        <v>Home Office</v>
      </c>
      <c r="E3437" t="s">
        <v>19</v>
      </c>
      <c r="F3437">
        <v>23</v>
      </c>
      <c r="G3437">
        <v>0</v>
      </c>
      <c r="H3437" s="2">
        <v>50.795299999999997</v>
      </c>
      <c r="I3437" s="2">
        <v>161.94</v>
      </c>
    </row>
    <row r="3438" spans="1:9" x14ac:dyDescent="0.3">
      <c r="A3438" t="str">
        <f t="shared" si="1140"/>
        <v>United States</v>
      </c>
      <c r="B3438" t="str">
        <f t="shared" si="1144"/>
        <v>New York City</v>
      </c>
      <c r="C3438" t="str">
        <f t="shared" si="1141"/>
        <v>Standard Class</v>
      </c>
      <c r="D3438" t="str">
        <f t="shared" si="1145"/>
        <v>Home Office</v>
      </c>
      <c r="E3438" t="s">
        <v>20</v>
      </c>
      <c r="F3438">
        <v>57</v>
      </c>
      <c r="G3438">
        <v>2.4</v>
      </c>
      <c r="H3438" s="2">
        <v>298.2627</v>
      </c>
      <c r="I3438" s="2">
        <v>872.93600000000015</v>
      </c>
    </row>
    <row r="3439" spans="1:9" x14ac:dyDescent="0.3">
      <c r="A3439" t="str">
        <f t="shared" si="1140"/>
        <v>United States</v>
      </c>
      <c r="B3439" t="str">
        <f t="shared" si="1144"/>
        <v>New York City</v>
      </c>
      <c r="C3439" t="str">
        <f t="shared" si="1141"/>
        <v>Standard Class</v>
      </c>
      <c r="D3439" t="str">
        <f t="shared" si="1145"/>
        <v>Home Office</v>
      </c>
      <c r="E3439" t="s">
        <v>33</v>
      </c>
      <c r="F3439">
        <v>26</v>
      </c>
      <c r="G3439">
        <v>0.7</v>
      </c>
      <c r="H3439" s="2">
        <v>329.25999999999988</v>
      </c>
      <c r="I3439" s="2">
        <v>1997.2980000000002</v>
      </c>
    </row>
    <row r="3440" spans="1:9" x14ac:dyDescent="0.3">
      <c r="A3440" t="str">
        <f t="shared" si="1140"/>
        <v>United States</v>
      </c>
      <c r="B3440" t="str">
        <f t="shared" si="1144"/>
        <v>New York City</v>
      </c>
      <c r="C3440" t="str">
        <f t="shared" si="1141"/>
        <v>Standard Class</v>
      </c>
      <c r="D3440" t="str">
        <f t="shared" si="1145"/>
        <v>Home Office</v>
      </c>
      <c r="E3440" t="s">
        <v>38</v>
      </c>
      <c r="F3440">
        <v>3</v>
      </c>
      <c r="G3440">
        <v>0</v>
      </c>
      <c r="H3440" s="2">
        <v>13.8292</v>
      </c>
      <c r="I3440" s="2">
        <v>28.34</v>
      </c>
    </row>
    <row r="3441" spans="1:9" x14ac:dyDescent="0.3">
      <c r="A3441" t="str">
        <f t="shared" si="1140"/>
        <v>United States</v>
      </c>
      <c r="B3441" t="str">
        <f t="shared" si="1144"/>
        <v>New York City</v>
      </c>
      <c r="C3441" t="str">
        <f t="shared" si="1141"/>
        <v>Standard Class</v>
      </c>
      <c r="D3441" t="str">
        <f t="shared" si="1145"/>
        <v>Home Office</v>
      </c>
      <c r="E3441" t="s">
        <v>21</v>
      </c>
      <c r="F3441">
        <v>21</v>
      </c>
      <c r="G3441">
        <v>0</v>
      </c>
      <c r="H3441" s="2">
        <v>106.5718</v>
      </c>
      <c r="I3441" s="2">
        <v>329.29999999999995</v>
      </c>
    </row>
    <row r="3442" spans="1:9" x14ac:dyDescent="0.3">
      <c r="A3442" t="str">
        <f t="shared" si="1140"/>
        <v>United States</v>
      </c>
      <c r="B3442" t="str">
        <f t="shared" si="1144"/>
        <v>New York City</v>
      </c>
      <c r="C3442" t="str">
        <f t="shared" si="1141"/>
        <v>Standard Class</v>
      </c>
      <c r="D3442" t="str">
        <f t="shared" si="1145"/>
        <v>Home Office</v>
      </c>
      <c r="E3442" t="s">
        <v>43</v>
      </c>
      <c r="F3442">
        <v>10</v>
      </c>
      <c r="G3442">
        <v>0</v>
      </c>
      <c r="H3442" s="2">
        <v>20.170999999999999</v>
      </c>
      <c r="I3442" s="2">
        <v>43.85</v>
      </c>
    </row>
    <row r="3443" spans="1:9" x14ac:dyDescent="0.3">
      <c r="A3443" t="str">
        <f t="shared" si="1140"/>
        <v>United States</v>
      </c>
      <c r="B3443" t="str">
        <f t="shared" si="1144"/>
        <v>New York City</v>
      </c>
      <c r="C3443" t="str">
        <f t="shared" si="1141"/>
        <v>Standard Class</v>
      </c>
      <c r="D3443" t="str">
        <f t="shared" si="1145"/>
        <v>Home Office</v>
      </c>
      <c r="E3443" t="s">
        <v>46</v>
      </c>
      <c r="F3443">
        <v>9</v>
      </c>
      <c r="G3443">
        <v>0</v>
      </c>
      <c r="H3443" s="2">
        <v>4778.7070000000003</v>
      </c>
      <c r="I3443" s="2">
        <v>9718.380000000001</v>
      </c>
    </row>
    <row r="3444" spans="1:9" x14ac:dyDescent="0.3">
      <c r="A3444" t="str">
        <f t="shared" si="1140"/>
        <v>United States</v>
      </c>
      <c r="B3444" t="str">
        <f t="shared" si="1144"/>
        <v>New York City</v>
      </c>
      <c r="C3444" t="str">
        <f t="shared" si="1141"/>
        <v>Standard Class</v>
      </c>
      <c r="D3444" t="str">
        <f t="shared" si="1145"/>
        <v>Home Office</v>
      </c>
      <c r="E3444" t="s">
        <v>16</v>
      </c>
      <c r="F3444">
        <v>25</v>
      </c>
      <c r="G3444">
        <v>0</v>
      </c>
      <c r="H3444" s="2">
        <v>224.23559999999998</v>
      </c>
      <c r="I3444" s="2">
        <v>476.6</v>
      </c>
    </row>
    <row r="3445" spans="1:9" x14ac:dyDescent="0.3">
      <c r="A3445" t="str">
        <f t="shared" si="1140"/>
        <v>United States</v>
      </c>
      <c r="B3445" t="str">
        <f t="shared" si="1144"/>
        <v>New York City</v>
      </c>
      <c r="C3445" t="str">
        <f t="shared" si="1141"/>
        <v>Standard Class</v>
      </c>
      <c r="D3445" t="str">
        <f t="shared" si="1145"/>
        <v>Home Office</v>
      </c>
      <c r="E3445" t="s">
        <v>24</v>
      </c>
      <c r="F3445">
        <v>23</v>
      </c>
      <c r="G3445">
        <v>0</v>
      </c>
      <c r="H3445" s="2">
        <v>882.82940000000008</v>
      </c>
      <c r="I3445" s="2">
        <v>3277.8900000000003</v>
      </c>
    </row>
    <row r="3446" spans="1:9" x14ac:dyDescent="0.3">
      <c r="A3446" t="str">
        <f t="shared" si="1140"/>
        <v>United States</v>
      </c>
      <c r="B3446" t="str">
        <f t="shared" si="1144"/>
        <v>New York City</v>
      </c>
      <c r="C3446" t="str">
        <f t="shared" si="1141"/>
        <v>Standard Class</v>
      </c>
      <c r="D3446" t="str">
        <f t="shared" si="1145"/>
        <v>Home Office</v>
      </c>
      <c r="E3446" t="s">
        <v>14</v>
      </c>
      <c r="F3446">
        <v>18</v>
      </c>
      <c r="G3446">
        <v>0</v>
      </c>
      <c r="H3446" s="2">
        <v>89.79310000000001</v>
      </c>
      <c r="I3446" s="2">
        <v>975.87</v>
      </c>
    </row>
    <row r="3447" spans="1:9" x14ac:dyDescent="0.3">
      <c r="A3447" t="str">
        <f t="shared" si="1140"/>
        <v>United States</v>
      </c>
      <c r="B3447" t="str">
        <f t="shared" si="1144"/>
        <v>New York City</v>
      </c>
      <c r="C3447" t="str">
        <f t="shared" si="1141"/>
        <v>Standard Class</v>
      </c>
      <c r="D3447" t="str">
        <f t="shared" si="1145"/>
        <v>Home Office</v>
      </c>
      <c r="E3447" t="s">
        <v>25</v>
      </c>
      <c r="F3447">
        <v>2</v>
      </c>
      <c r="G3447">
        <v>0.4</v>
      </c>
      <c r="H3447" s="2">
        <v>-103.26600000000002</v>
      </c>
      <c r="I3447" s="2">
        <v>344.22</v>
      </c>
    </row>
    <row r="3448" spans="1:9" x14ac:dyDescent="0.3">
      <c r="A3448" t="str">
        <f t="shared" si="1140"/>
        <v>United States</v>
      </c>
      <c r="B3448" t="s">
        <v>360</v>
      </c>
      <c r="C3448" t="s">
        <v>11</v>
      </c>
      <c r="D3448" t="s">
        <v>8</v>
      </c>
      <c r="E3448" t="s">
        <v>23</v>
      </c>
      <c r="F3448">
        <v>14</v>
      </c>
      <c r="G3448">
        <v>0.60000000000000009</v>
      </c>
      <c r="H3448" s="2">
        <v>566.79870000000005</v>
      </c>
      <c r="I3448" s="2">
        <v>2589.8560000000002</v>
      </c>
    </row>
    <row r="3449" spans="1:9" x14ac:dyDescent="0.3">
      <c r="A3449" t="str">
        <f t="shared" si="1140"/>
        <v>United States</v>
      </c>
      <c r="B3449" t="str">
        <f t="shared" ref="B3449:B3480" si="1146">B3448</f>
        <v>Newark</v>
      </c>
      <c r="C3449" t="str">
        <f t="shared" ref="C3449:C3459" si="1147">C3448</f>
        <v>First Class</v>
      </c>
      <c r="D3449" t="str">
        <f t="shared" ref="D3449:D3454" si="1148">D3448</f>
        <v>Consumer</v>
      </c>
      <c r="E3449" t="s">
        <v>19</v>
      </c>
      <c r="F3449">
        <v>3</v>
      </c>
      <c r="G3449">
        <v>0.2</v>
      </c>
      <c r="H3449" s="2">
        <v>0.71520000000000028</v>
      </c>
      <c r="I3449" s="2">
        <v>7.1519999999999992</v>
      </c>
    </row>
    <row r="3450" spans="1:9" x14ac:dyDescent="0.3">
      <c r="A3450" t="str">
        <f t="shared" si="1140"/>
        <v>United States</v>
      </c>
      <c r="B3450" t="str">
        <f t="shared" si="1146"/>
        <v>Newark</v>
      </c>
      <c r="C3450" t="str">
        <f t="shared" si="1147"/>
        <v>First Class</v>
      </c>
      <c r="D3450" t="str">
        <f t="shared" si="1148"/>
        <v>Consumer</v>
      </c>
      <c r="E3450" t="s">
        <v>21</v>
      </c>
      <c r="F3450">
        <v>9</v>
      </c>
      <c r="G3450">
        <v>0.4</v>
      </c>
      <c r="H3450" s="2">
        <v>79.395400000000009</v>
      </c>
      <c r="I3450" s="2">
        <v>314.83199999999999</v>
      </c>
    </row>
    <row r="3451" spans="1:9" x14ac:dyDescent="0.3">
      <c r="A3451" t="str">
        <f t="shared" si="1140"/>
        <v>United States</v>
      </c>
      <c r="B3451" t="str">
        <f t="shared" si="1146"/>
        <v>Newark</v>
      </c>
      <c r="C3451" t="str">
        <f t="shared" si="1147"/>
        <v>First Class</v>
      </c>
      <c r="D3451" t="str">
        <f t="shared" si="1148"/>
        <v>Consumer</v>
      </c>
      <c r="E3451" t="s">
        <v>43</v>
      </c>
      <c r="F3451">
        <v>2</v>
      </c>
      <c r="G3451">
        <v>0.2</v>
      </c>
      <c r="H3451" s="2">
        <v>2.0999999999999996</v>
      </c>
      <c r="I3451" s="2">
        <v>6</v>
      </c>
    </row>
    <row r="3452" spans="1:9" x14ac:dyDescent="0.3">
      <c r="A3452" t="str">
        <f t="shared" si="1140"/>
        <v>United States</v>
      </c>
      <c r="B3452" t="str">
        <f t="shared" si="1146"/>
        <v>Newark</v>
      </c>
      <c r="C3452" t="str">
        <f t="shared" si="1147"/>
        <v>First Class</v>
      </c>
      <c r="D3452" t="str">
        <f t="shared" si="1148"/>
        <v>Consumer</v>
      </c>
      <c r="E3452" t="s">
        <v>46</v>
      </c>
      <c r="F3452">
        <v>5</v>
      </c>
      <c r="G3452">
        <v>1.4</v>
      </c>
      <c r="H3452" s="2">
        <v>-2804.9450000000006</v>
      </c>
      <c r="I3452" s="2">
        <v>2024.9310000000003</v>
      </c>
    </row>
    <row r="3453" spans="1:9" x14ac:dyDescent="0.3">
      <c r="A3453" t="str">
        <f t="shared" si="1140"/>
        <v>United States</v>
      </c>
      <c r="B3453" t="str">
        <f t="shared" si="1146"/>
        <v>Newark</v>
      </c>
      <c r="C3453" t="str">
        <f t="shared" si="1147"/>
        <v>First Class</v>
      </c>
      <c r="D3453" t="str">
        <f t="shared" si="1148"/>
        <v>Consumer</v>
      </c>
      <c r="E3453" t="s">
        <v>24</v>
      </c>
      <c r="F3453">
        <v>2</v>
      </c>
      <c r="G3453">
        <v>0.4</v>
      </c>
      <c r="H3453" s="2">
        <v>-16.998000000000019</v>
      </c>
      <c r="I3453" s="2">
        <v>101.98799999999999</v>
      </c>
    </row>
    <row r="3454" spans="1:9" x14ac:dyDescent="0.3">
      <c r="A3454" t="str">
        <f t="shared" si="1140"/>
        <v>United States</v>
      </c>
      <c r="B3454" t="str">
        <f t="shared" si="1146"/>
        <v>Newark</v>
      </c>
      <c r="C3454" t="str">
        <f t="shared" si="1147"/>
        <v>First Class</v>
      </c>
      <c r="D3454" t="str">
        <f t="shared" si="1148"/>
        <v>Consumer</v>
      </c>
      <c r="E3454" t="s">
        <v>14</v>
      </c>
      <c r="F3454">
        <v>5</v>
      </c>
      <c r="G3454">
        <v>0.2</v>
      </c>
      <c r="H3454" s="2">
        <v>-44.018999999999991</v>
      </c>
      <c r="I3454" s="2">
        <v>195.64</v>
      </c>
    </row>
    <row r="3455" spans="1:9" x14ac:dyDescent="0.3">
      <c r="A3455" t="str">
        <f t="shared" si="1140"/>
        <v>United States</v>
      </c>
      <c r="B3455" t="str">
        <f t="shared" si="1146"/>
        <v>Newark</v>
      </c>
      <c r="C3455" t="str">
        <f t="shared" si="1147"/>
        <v>First Class</v>
      </c>
      <c r="D3455" t="s">
        <v>15</v>
      </c>
      <c r="E3455" t="s">
        <v>23</v>
      </c>
      <c r="F3455">
        <v>3</v>
      </c>
      <c r="G3455">
        <v>0</v>
      </c>
      <c r="H3455" s="2">
        <v>7.3479000000000028</v>
      </c>
      <c r="I3455" s="2">
        <v>104.97</v>
      </c>
    </row>
    <row r="3456" spans="1:9" x14ac:dyDescent="0.3">
      <c r="A3456" t="str">
        <f t="shared" si="1140"/>
        <v>United States</v>
      </c>
      <c r="B3456" t="str">
        <f t="shared" si="1146"/>
        <v>Newark</v>
      </c>
      <c r="C3456" t="str">
        <f t="shared" si="1147"/>
        <v>First Class</v>
      </c>
      <c r="D3456" t="str">
        <f>D3455</f>
        <v>Corporate</v>
      </c>
      <c r="E3456" t="s">
        <v>24</v>
      </c>
      <c r="F3456">
        <v>3</v>
      </c>
      <c r="G3456">
        <v>0</v>
      </c>
      <c r="H3456" s="2">
        <v>23.511599999999998</v>
      </c>
      <c r="I3456" s="2">
        <v>83.97</v>
      </c>
    </row>
    <row r="3457" spans="1:9" x14ac:dyDescent="0.3">
      <c r="A3457" t="str">
        <f t="shared" si="1140"/>
        <v>United States</v>
      </c>
      <c r="B3457" t="str">
        <f t="shared" si="1146"/>
        <v>Newark</v>
      </c>
      <c r="C3457" t="str">
        <f t="shared" si="1147"/>
        <v>First Class</v>
      </c>
      <c r="D3457" t="s">
        <v>17</v>
      </c>
      <c r="E3457" t="s">
        <v>23</v>
      </c>
      <c r="F3457">
        <v>3</v>
      </c>
      <c r="G3457">
        <v>0</v>
      </c>
      <c r="H3457" s="2">
        <v>52.734000000000009</v>
      </c>
      <c r="I3457" s="2">
        <v>119.85000000000001</v>
      </c>
    </row>
    <row r="3458" spans="1:9" x14ac:dyDescent="0.3">
      <c r="A3458" t="str">
        <f t="shared" si="1140"/>
        <v>United States</v>
      </c>
      <c r="B3458" t="str">
        <f t="shared" si="1146"/>
        <v>Newark</v>
      </c>
      <c r="C3458" t="str">
        <f t="shared" si="1147"/>
        <v>First Class</v>
      </c>
      <c r="D3458" t="str">
        <f t="shared" ref="D3458:D3459" si="1149">D3457</f>
        <v>Home Office</v>
      </c>
      <c r="E3458" t="s">
        <v>20</v>
      </c>
      <c r="F3458">
        <v>4</v>
      </c>
      <c r="G3458">
        <v>0</v>
      </c>
      <c r="H3458" s="2">
        <v>48.169999999999995</v>
      </c>
      <c r="I3458" s="2">
        <v>99.72</v>
      </c>
    </row>
    <row r="3459" spans="1:9" x14ac:dyDescent="0.3">
      <c r="A3459" t="str">
        <f t="shared" si="1140"/>
        <v>United States</v>
      </c>
      <c r="B3459" t="str">
        <f t="shared" si="1146"/>
        <v>Newark</v>
      </c>
      <c r="C3459" t="str">
        <f t="shared" si="1147"/>
        <v>First Class</v>
      </c>
      <c r="D3459" t="str">
        <f t="shared" si="1149"/>
        <v>Home Office</v>
      </c>
      <c r="E3459" t="s">
        <v>24</v>
      </c>
      <c r="F3459">
        <v>3</v>
      </c>
      <c r="G3459">
        <v>0</v>
      </c>
      <c r="H3459" s="2">
        <v>170.51129999999998</v>
      </c>
      <c r="I3459" s="2">
        <v>587.97</v>
      </c>
    </row>
    <row r="3460" spans="1:9" x14ac:dyDescent="0.3">
      <c r="A3460" t="str">
        <f t="shared" ref="A3460:A3523" si="1150">A3459</f>
        <v>United States</v>
      </c>
      <c r="B3460" t="str">
        <f t="shared" si="1146"/>
        <v>Newark</v>
      </c>
      <c r="C3460" t="s">
        <v>27</v>
      </c>
      <c r="D3460" t="s">
        <v>8</v>
      </c>
      <c r="E3460" t="s">
        <v>20</v>
      </c>
      <c r="F3460">
        <v>2</v>
      </c>
      <c r="G3460">
        <v>0</v>
      </c>
      <c r="H3460" s="2">
        <v>15.944599999999998</v>
      </c>
      <c r="I3460" s="2">
        <v>32.54</v>
      </c>
    </row>
    <row r="3461" spans="1:9" x14ac:dyDescent="0.3">
      <c r="A3461" t="str">
        <f t="shared" si="1150"/>
        <v>United States</v>
      </c>
      <c r="B3461" t="str">
        <f t="shared" si="1146"/>
        <v>Newark</v>
      </c>
      <c r="C3461" t="str">
        <f t="shared" ref="C3461:C3465" si="1151">C3460</f>
        <v>Same Day</v>
      </c>
      <c r="D3461" t="str">
        <f>D3460</f>
        <v>Consumer</v>
      </c>
      <c r="E3461" t="s">
        <v>24</v>
      </c>
      <c r="F3461">
        <v>2</v>
      </c>
      <c r="G3461">
        <v>0</v>
      </c>
      <c r="H3461" s="2">
        <v>62.3904</v>
      </c>
      <c r="I3461" s="2">
        <v>129.97999999999999</v>
      </c>
    </row>
    <row r="3462" spans="1:9" x14ac:dyDescent="0.3">
      <c r="A3462" t="str">
        <f t="shared" si="1150"/>
        <v>United States</v>
      </c>
      <c r="B3462" t="str">
        <f t="shared" si="1146"/>
        <v>Newark</v>
      </c>
      <c r="C3462" t="str">
        <f t="shared" si="1151"/>
        <v>Same Day</v>
      </c>
      <c r="D3462" t="s">
        <v>15</v>
      </c>
      <c r="E3462" t="s">
        <v>19</v>
      </c>
      <c r="F3462">
        <v>6</v>
      </c>
      <c r="G3462">
        <v>0.4</v>
      </c>
      <c r="H3462" s="2">
        <v>5.0424000000000007</v>
      </c>
      <c r="I3462" s="2">
        <v>31.904000000000003</v>
      </c>
    </row>
    <row r="3463" spans="1:9" x14ac:dyDescent="0.3">
      <c r="A3463" t="str">
        <f t="shared" si="1150"/>
        <v>United States</v>
      </c>
      <c r="B3463" t="str">
        <f t="shared" si="1146"/>
        <v>Newark</v>
      </c>
      <c r="C3463" t="str">
        <f t="shared" si="1151"/>
        <v>Same Day</v>
      </c>
      <c r="D3463" t="str">
        <f t="shared" ref="D3463:D3465" si="1152">D3462</f>
        <v>Corporate</v>
      </c>
      <c r="E3463" t="s">
        <v>20</v>
      </c>
      <c r="F3463">
        <v>7</v>
      </c>
      <c r="G3463">
        <v>0.7</v>
      </c>
      <c r="H3463" s="2">
        <v>-8.1311999999999998</v>
      </c>
      <c r="I3463" s="2">
        <v>11.088000000000003</v>
      </c>
    </row>
    <row r="3464" spans="1:9" x14ac:dyDescent="0.3">
      <c r="A3464" t="str">
        <f t="shared" si="1150"/>
        <v>United States</v>
      </c>
      <c r="B3464" t="str">
        <f t="shared" si="1146"/>
        <v>Newark</v>
      </c>
      <c r="C3464" t="str">
        <f t="shared" si="1151"/>
        <v>Same Day</v>
      </c>
      <c r="D3464" t="str">
        <f t="shared" si="1152"/>
        <v>Corporate</v>
      </c>
      <c r="E3464" t="s">
        <v>24</v>
      </c>
      <c r="F3464">
        <v>5</v>
      </c>
      <c r="G3464">
        <v>0.8</v>
      </c>
      <c r="H3464" s="2">
        <v>-128.31290000000004</v>
      </c>
      <c r="I3464" s="2">
        <v>535.16999999999996</v>
      </c>
    </row>
    <row r="3465" spans="1:9" x14ac:dyDescent="0.3">
      <c r="A3465" t="str">
        <f t="shared" si="1150"/>
        <v>United States</v>
      </c>
      <c r="B3465" t="str">
        <f t="shared" si="1146"/>
        <v>Newark</v>
      </c>
      <c r="C3465" t="str">
        <f t="shared" si="1151"/>
        <v>Same Day</v>
      </c>
      <c r="D3465" t="str">
        <f t="shared" si="1152"/>
        <v>Corporate</v>
      </c>
      <c r="E3465" t="s">
        <v>14</v>
      </c>
      <c r="F3465">
        <v>3</v>
      </c>
      <c r="G3465">
        <v>0.4</v>
      </c>
      <c r="H3465" s="2">
        <v>12.873200000000008</v>
      </c>
      <c r="I3465" s="2">
        <v>166.17599999999999</v>
      </c>
    </row>
    <row r="3466" spans="1:9" x14ac:dyDescent="0.3">
      <c r="A3466" t="str">
        <f t="shared" si="1150"/>
        <v>United States</v>
      </c>
      <c r="B3466" t="str">
        <f t="shared" si="1146"/>
        <v>Newark</v>
      </c>
      <c r="C3466" t="s">
        <v>7</v>
      </c>
      <c r="D3466" t="s">
        <v>8</v>
      </c>
      <c r="E3466" t="s">
        <v>33</v>
      </c>
      <c r="F3466">
        <v>7</v>
      </c>
      <c r="G3466">
        <v>0.3</v>
      </c>
      <c r="H3466" s="2">
        <v>-11.337199999999939</v>
      </c>
      <c r="I3466" s="2">
        <v>396.80200000000002</v>
      </c>
    </row>
    <row r="3467" spans="1:9" x14ac:dyDescent="0.3">
      <c r="A3467" t="str">
        <f t="shared" si="1150"/>
        <v>United States</v>
      </c>
      <c r="B3467" t="str">
        <f t="shared" si="1146"/>
        <v>Newark</v>
      </c>
      <c r="C3467" t="str">
        <f t="shared" ref="C3467:C3477" si="1153">C3466</f>
        <v>Second Class</v>
      </c>
      <c r="D3467" t="str">
        <f t="shared" ref="D3467:D3468" si="1154">D3466</f>
        <v>Consumer</v>
      </c>
      <c r="E3467" t="s">
        <v>38</v>
      </c>
      <c r="F3467">
        <v>5</v>
      </c>
      <c r="G3467">
        <v>0.2</v>
      </c>
      <c r="H3467" s="2">
        <v>17.52</v>
      </c>
      <c r="I3467" s="2">
        <v>46.72</v>
      </c>
    </row>
    <row r="3468" spans="1:9" x14ac:dyDescent="0.3">
      <c r="A3468" t="str">
        <f t="shared" si="1150"/>
        <v>United States</v>
      </c>
      <c r="B3468" t="str">
        <f t="shared" si="1146"/>
        <v>Newark</v>
      </c>
      <c r="C3468" t="str">
        <f t="shared" si="1153"/>
        <v>Second Class</v>
      </c>
      <c r="D3468" t="str">
        <f t="shared" si="1154"/>
        <v>Consumer</v>
      </c>
      <c r="E3468" t="s">
        <v>9</v>
      </c>
      <c r="F3468">
        <v>5</v>
      </c>
      <c r="G3468">
        <v>0.2</v>
      </c>
      <c r="H3468" s="2">
        <v>-3.771500000000001</v>
      </c>
      <c r="I3468" s="2">
        <v>15.88</v>
      </c>
    </row>
    <row r="3469" spans="1:9" x14ac:dyDescent="0.3">
      <c r="A3469" t="str">
        <f t="shared" si="1150"/>
        <v>United States</v>
      </c>
      <c r="B3469" t="str">
        <f t="shared" si="1146"/>
        <v>Newark</v>
      </c>
      <c r="C3469" t="str">
        <f t="shared" si="1153"/>
        <v>Second Class</v>
      </c>
      <c r="D3469" t="s">
        <v>15</v>
      </c>
      <c r="E3469" t="s">
        <v>23</v>
      </c>
      <c r="F3469">
        <v>9</v>
      </c>
      <c r="G3469">
        <v>0.2</v>
      </c>
      <c r="H3469" s="2">
        <v>1.5291000000000032</v>
      </c>
      <c r="I3469" s="2">
        <v>122.32799999999999</v>
      </c>
    </row>
    <row r="3470" spans="1:9" x14ac:dyDescent="0.3">
      <c r="A3470" t="str">
        <f t="shared" si="1150"/>
        <v>United States</v>
      </c>
      <c r="B3470" t="str">
        <f t="shared" si="1146"/>
        <v>Newark</v>
      </c>
      <c r="C3470" t="str">
        <f t="shared" si="1153"/>
        <v>Second Class</v>
      </c>
      <c r="D3470" t="str">
        <f t="shared" ref="D3470:D3476" si="1155">D3469</f>
        <v>Corporate</v>
      </c>
      <c r="E3470" t="s">
        <v>19</v>
      </c>
      <c r="F3470">
        <v>3</v>
      </c>
      <c r="G3470">
        <v>0</v>
      </c>
      <c r="H3470" s="2">
        <v>2.6568000000000005</v>
      </c>
      <c r="I3470" s="2">
        <v>9.84</v>
      </c>
    </row>
    <row r="3471" spans="1:9" x14ac:dyDescent="0.3">
      <c r="A3471" t="str">
        <f t="shared" si="1150"/>
        <v>United States</v>
      </c>
      <c r="B3471" t="str">
        <f t="shared" si="1146"/>
        <v>Newark</v>
      </c>
      <c r="C3471" t="str">
        <f t="shared" si="1153"/>
        <v>Second Class</v>
      </c>
      <c r="D3471" t="str">
        <f t="shared" si="1155"/>
        <v>Corporate</v>
      </c>
      <c r="E3471" t="s">
        <v>33</v>
      </c>
      <c r="F3471">
        <v>6</v>
      </c>
      <c r="G3471">
        <v>0.3</v>
      </c>
      <c r="H3471" s="2">
        <v>-43.435200000000009</v>
      </c>
      <c r="I3471" s="2">
        <v>760.11599999999987</v>
      </c>
    </row>
    <row r="3472" spans="1:9" x14ac:dyDescent="0.3">
      <c r="A3472" t="str">
        <f t="shared" si="1150"/>
        <v>United States</v>
      </c>
      <c r="B3472" t="str">
        <f t="shared" si="1146"/>
        <v>Newark</v>
      </c>
      <c r="C3472" t="str">
        <f t="shared" si="1153"/>
        <v>Second Class</v>
      </c>
      <c r="D3472" t="str">
        <f t="shared" si="1155"/>
        <v>Corporate</v>
      </c>
      <c r="E3472" t="s">
        <v>38</v>
      </c>
      <c r="F3472">
        <v>7</v>
      </c>
      <c r="G3472">
        <v>0</v>
      </c>
      <c r="H3472" s="2">
        <v>51.554299999999991</v>
      </c>
      <c r="I3472" s="2">
        <v>109.69</v>
      </c>
    </row>
    <row r="3473" spans="1:9" x14ac:dyDescent="0.3">
      <c r="A3473" t="str">
        <f t="shared" si="1150"/>
        <v>United States</v>
      </c>
      <c r="B3473" t="str">
        <f t="shared" si="1146"/>
        <v>Newark</v>
      </c>
      <c r="C3473" t="str">
        <f t="shared" si="1153"/>
        <v>Second Class</v>
      </c>
      <c r="D3473" t="str">
        <f t="shared" si="1155"/>
        <v>Corporate</v>
      </c>
      <c r="E3473" t="s">
        <v>18</v>
      </c>
      <c r="F3473">
        <v>7</v>
      </c>
      <c r="G3473">
        <v>0</v>
      </c>
      <c r="H3473" s="2">
        <v>0.5236000000000014</v>
      </c>
      <c r="I3473" s="2">
        <v>26.18</v>
      </c>
    </row>
    <row r="3474" spans="1:9" x14ac:dyDescent="0.3">
      <c r="A3474" t="str">
        <f t="shared" si="1150"/>
        <v>United States</v>
      </c>
      <c r="B3474" t="str">
        <f t="shared" si="1146"/>
        <v>Newark</v>
      </c>
      <c r="C3474" t="str">
        <f t="shared" si="1153"/>
        <v>Second Class</v>
      </c>
      <c r="D3474" t="str">
        <f t="shared" si="1155"/>
        <v>Corporate</v>
      </c>
      <c r="E3474" t="s">
        <v>21</v>
      </c>
      <c r="F3474">
        <v>4</v>
      </c>
      <c r="G3474">
        <v>0.2</v>
      </c>
      <c r="H3474" s="2">
        <v>13.703999999999994</v>
      </c>
      <c r="I3474" s="2">
        <v>52.184000000000005</v>
      </c>
    </row>
    <row r="3475" spans="1:9" x14ac:dyDescent="0.3">
      <c r="A3475" t="str">
        <f t="shared" si="1150"/>
        <v>United States</v>
      </c>
      <c r="B3475" t="str">
        <f t="shared" si="1146"/>
        <v>Newark</v>
      </c>
      <c r="C3475" t="str">
        <f t="shared" si="1153"/>
        <v>Second Class</v>
      </c>
      <c r="D3475" t="str">
        <f t="shared" si="1155"/>
        <v>Corporate</v>
      </c>
      <c r="E3475" t="s">
        <v>16</v>
      </c>
      <c r="F3475">
        <v>6</v>
      </c>
      <c r="G3475">
        <v>0</v>
      </c>
      <c r="H3475" s="2">
        <v>15.390799999999999</v>
      </c>
      <c r="I3475" s="2">
        <v>32.32</v>
      </c>
    </row>
    <row r="3476" spans="1:9" x14ac:dyDescent="0.3">
      <c r="A3476" t="str">
        <f t="shared" si="1150"/>
        <v>United States</v>
      </c>
      <c r="B3476" t="str">
        <f t="shared" si="1146"/>
        <v>Newark</v>
      </c>
      <c r="C3476" t="str">
        <f t="shared" si="1153"/>
        <v>Second Class</v>
      </c>
      <c r="D3476" t="str">
        <f t="shared" si="1155"/>
        <v>Corporate</v>
      </c>
      <c r="E3476" t="s">
        <v>14</v>
      </c>
      <c r="F3476">
        <v>2</v>
      </c>
      <c r="G3476">
        <v>0</v>
      </c>
      <c r="H3476" s="2">
        <v>22.235199999999999</v>
      </c>
      <c r="I3476" s="2">
        <v>85.52</v>
      </c>
    </row>
    <row r="3477" spans="1:9" x14ac:dyDescent="0.3">
      <c r="A3477" t="str">
        <f t="shared" si="1150"/>
        <v>United States</v>
      </c>
      <c r="B3477" t="str">
        <f t="shared" si="1146"/>
        <v>Newark</v>
      </c>
      <c r="C3477" t="str">
        <f t="shared" si="1153"/>
        <v>Second Class</v>
      </c>
      <c r="D3477" t="s">
        <v>17</v>
      </c>
      <c r="E3477" t="s">
        <v>20</v>
      </c>
      <c r="F3477">
        <v>9</v>
      </c>
      <c r="G3477">
        <v>0</v>
      </c>
      <c r="H3477" s="2">
        <v>149.76</v>
      </c>
      <c r="I3477" s="2">
        <v>299.52</v>
      </c>
    </row>
    <row r="3478" spans="1:9" x14ac:dyDescent="0.3">
      <c r="A3478" t="str">
        <f t="shared" si="1150"/>
        <v>United States</v>
      </c>
      <c r="B3478" t="str">
        <f t="shared" si="1146"/>
        <v>Newark</v>
      </c>
      <c r="C3478" t="s">
        <v>22</v>
      </c>
      <c r="D3478" t="s">
        <v>8</v>
      </c>
      <c r="E3478" t="s">
        <v>12</v>
      </c>
      <c r="F3478">
        <v>7</v>
      </c>
      <c r="G3478">
        <v>0</v>
      </c>
      <c r="H3478" s="2">
        <v>33.310199999999995</v>
      </c>
      <c r="I3478" s="2">
        <v>100.94</v>
      </c>
    </row>
    <row r="3479" spans="1:9" x14ac:dyDescent="0.3">
      <c r="A3479" t="str">
        <f t="shared" si="1150"/>
        <v>United States</v>
      </c>
      <c r="B3479" t="str">
        <f t="shared" si="1146"/>
        <v>Newark</v>
      </c>
      <c r="C3479" t="str">
        <f t="shared" ref="C3479:C3503" si="1156">C3478</f>
        <v>Standard Class</v>
      </c>
      <c r="D3479" t="str">
        <f t="shared" ref="D3479:D3488" si="1157">D3478</f>
        <v>Consumer</v>
      </c>
      <c r="E3479" t="s">
        <v>19</v>
      </c>
      <c r="F3479">
        <v>15</v>
      </c>
      <c r="G3479">
        <v>0.2</v>
      </c>
      <c r="H3479" s="2">
        <v>56.345399999999998</v>
      </c>
      <c r="I3479" s="2">
        <v>278.20400000000001</v>
      </c>
    </row>
    <row r="3480" spans="1:9" x14ac:dyDescent="0.3">
      <c r="A3480" t="str">
        <f t="shared" si="1150"/>
        <v>United States</v>
      </c>
      <c r="B3480" t="str">
        <f t="shared" si="1146"/>
        <v>Newark</v>
      </c>
      <c r="C3480" t="str">
        <f t="shared" si="1156"/>
        <v>Standard Class</v>
      </c>
      <c r="D3480" t="str">
        <f t="shared" si="1157"/>
        <v>Consumer</v>
      </c>
      <c r="E3480" t="s">
        <v>20</v>
      </c>
      <c r="F3480">
        <v>12</v>
      </c>
      <c r="G3480">
        <v>0.7</v>
      </c>
      <c r="H3480" s="2">
        <v>279.84619999999995</v>
      </c>
      <c r="I3480" s="2">
        <v>579.69799999999998</v>
      </c>
    </row>
    <row r="3481" spans="1:9" x14ac:dyDescent="0.3">
      <c r="A3481" t="str">
        <f t="shared" si="1150"/>
        <v>United States</v>
      </c>
      <c r="B3481" t="str">
        <f t="shared" ref="B3481:B3503" si="1158">B3480</f>
        <v>Newark</v>
      </c>
      <c r="C3481" t="str">
        <f t="shared" si="1156"/>
        <v>Standard Class</v>
      </c>
      <c r="D3481" t="str">
        <f t="shared" si="1157"/>
        <v>Consumer</v>
      </c>
      <c r="E3481" t="s">
        <v>34</v>
      </c>
      <c r="F3481">
        <v>3</v>
      </c>
      <c r="G3481">
        <v>0</v>
      </c>
      <c r="H3481" s="2">
        <v>56.994299999999981</v>
      </c>
      <c r="I3481" s="2">
        <v>299.96999999999997</v>
      </c>
    </row>
    <row r="3482" spans="1:9" x14ac:dyDescent="0.3">
      <c r="A3482" t="str">
        <f t="shared" si="1150"/>
        <v>United States</v>
      </c>
      <c r="B3482" t="str">
        <f t="shared" si="1158"/>
        <v>Newark</v>
      </c>
      <c r="C3482" t="str">
        <f t="shared" si="1156"/>
        <v>Standard Class</v>
      </c>
      <c r="D3482" t="str">
        <f t="shared" si="1157"/>
        <v>Consumer</v>
      </c>
      <c r="E3482" t="s">
        <v>45</v>
      </c>
      <c r="F3482">
        <v>3</v>
      </c>
      <c r="G3482">
        <v>0</v>
      </c>
      <c r="H3482" s="2">
        <v>5039.9856</v>
      </c>
      <c r="I3482" s="2">
        <v>10499.97</v>
      </c>
    </row>
    <row r="3483" spans="1:9" x14ac:dyDescent="0.3">
      <c r="A3483" t="str">
        <f t="shared" si="1150"/>
        <v>United States</v>
      </c>
      <c r="B3483" t="str">
        <f t="shared" si="1158"/>
        <v>Newark</v>
      </c>
      <c r="C3483" t="str">
        <f t="shared" si="1156"/>
        <v>Standard Class</v>
      </c>
      <c r="D3483" t="str">
        <f t="shared" si="1157"/>
        <v>Consumer</v>
      </c>
      <c r="E3483" t="s">
        <v>21</v>
      </c>
      <c r="F3483">
        <v>18</v>
      </c>
      <c r="G3483">
        <v>0.60000000000000009</v>
      </c>
      <c r="H3483" s="2">
        <v>64.809200000000004</v>
      </c>
      <c r="I3483" s="2">
        <v>215.91199999999998</v>
      </c>
    </row>
    <row r="3484" spans="1:9" x14ac:dyDescent="0.3">
      <c r="A3484" t="str">
        <f t="shared" si="1150"/>
        <v>United States</v>
      </c>
      <c r="B3484" t="str">
        <f t="shared" si="1158"/>
        <v>Newark</v>
      </c>
      <c r="C3484" t="str">
        <f t="shared" si="1156"/>
        <v>Standard Class</v>
      </c>
      <c r="D3484" t="str">
        <f t="shared" si="1157"/>
        <v>Consumer</v>
      </c>
      <c r="E3484" t="s">
        <v>43</v>
      </c>
      <c r="F3484">
        <v>12</v>
      </c>
      <c r="G3484">
        <v>0</v>
      </c>
      <c r="H3484" s="2">
        <v>19.357199999999999</v>
      </c>
      <c r="I3484" s="2">
        <v>41.67</v>
      </c>
    </row>
    <row r="3485" spans="1:9" x14ac:dyDescent="0.3">
      <c r="A3485" t="str">
        <f t="shared" si="1150"/>
        <v>United States</v>
      </c>
      <c r="B3485" t="str">
        <f t="shared" si="1158"/>
        <v>Newark</v>
      </c>
      <c r="C3485" t="str">
        <f t="shared" si="1156"/>
        <v>Standard Class</v>
      </c>
      <c r="D3485" t="str">
        <f t="shared" si="1157"/>
        <v>Consumer</v>
      </c>
      <c r="E3485" t="s">
        <v>46</v>
      </c>
      <c r="F3485">
        <v>3</v>
      </c>
      <c r="G3485">
        <v>0</v>
      </c>
      <c r="H3485" s="2">
        <v>31.005899999999997</v>
      </c>
      <c r="I3485" s="2">
        <v>65.97</v>
      </c>
    </row>
    <row r="3486" spans="1:9" x14ac:dyDescent="0.3">
      <c r="A3486" t="str">
        <f t="shared" si="1150"/>
        <v>United States</v>
      </c>
      <c r="B3486" t="str">
        <f t="shared" si="1158"/>
        <v>Newark</v>
      </c>
      <c r="C3486" t="str">
        <f t="shared" si="1156"/>
        <v>Standard Class</v>
      </c>
      <c r="D3486" t="str">
        <f t="shared" si="1157"/>
        <v>Consumer</v>
      </c>
      <c r="E3486" t="s">
        <v>16</v>
      </c>
      <c r="F3486">
        <v>26</v>
      </c>
      <c r="G3486">
        <v>0.2</v>
      </c>
      <c r="H3486" s="2">
        <v>130.47399999999999</v>
      </c>
      <c r="I3486" s="2">
        <v>283.298</v>
      </c>
    </row>
    <row r="3487" spans="1:9" x14ac:dyDescent="0.3">
      <c r="A3487" t="str">
        <f t="shared" si="1150"/>
        <v>United States</v>
      </c>
      <c r="B3487" t="str">
        <f t="shared" si="1158"/>
        <v>Newark</v>
      </c>
      <c r="C3487" t="str">
        <f t="shared" si="1156"/>
        <v>Standard Class</v>
      </c>
      <c r="D3487" t="str">
        <f t="shared" si="1157"/>
        <v>Consumer</v>
      </c>
      <c r="E3487" t="s">
        <v>24</v>
      </c>
      <c r="F3487">
        <v>10</v>
      </c>
      <c r="G3487">
        <v>0</v>
      </c>
      <c r="H3487" s="2">
        <v>267.26940000000002</v>
      </c>
      <c r="I3487" s="2">
        <v>947.9</v>
      </c>
    </row>
    <row r="3488" spans="1:9" x14ac:dyDescent="0.3">
      <c r="A3488" t="str">
        <f t="shared" si="1150"/>
        <v>United States</v>
      </c>
      <c r="B3488" t="str">
        <f t="shared" si="1158"/>
        <v>Newark</v>
      </c>
      <c r="C3488" t="str">
        <f t="shared" si="1156"/>
        <v>Standard Class</v>
      </c>
      <c r="D3488" t="str">
        <f t="shared" si="1157"/>
        <v>Consumer</v>
      </c>
      <c r="E3488" t="s">
        <v>14</v>
      </c>
      <c r="F3488">
        <v>7</v>
      </c>
      <c r="G3488">
        <v>0</v>
      </c>
      <c r="H3488" s="2">
        <v>98.781800000000004</v>
      </c>
      <c r="I3488" s="2">
        <v>390.28</v>
      </c>
    </row>
    <row r="3489" spans="1:9" x14ac:dyDescent="0.3">
      <c r="A3489" t="str">
        <f t="shared" si="1150"/>
        <v>United States</v>
      </c>
      <c r="B3489" t="str">
        <f t="shared" si="1158"/>
        <v>Newark</v>
      </c>
      <c r="C3489" t="str">
        <f t="shared" si="1156"/>
        <v>Standard Class</v>
      </c>
      <c r="D3489" t="s">
        <v>15</v>
      </c>
      <c r="E3489" t="s">
        <v>23</v>
      </c>
      <c r="F3489">
        <v>8</v>
      </c>
      <c r="G3489">
        <v>0.2</v>
      </c>
      <c r="H3489" s="2">
        <v>80.674499999999995</v>
      </c>
      <c r="I3489" s="2">
        <v>261.87600000000003</v>
      </c>
    </row>
    <row r="3490" spans="1:9" x14ac:dyDescent="0.3">
      <c r="A3490" t="str">
        <f t="shared" si="1150"/>
        <v>United States</v>
      </c>
      <c r="B3490" t="str">
        <f t="shared" si="1158"/>
        <v>Newark</v>
      </c>
      <c r="C3490" t="str">
        <f t="shared" si="1156"/>
        <v>Standard Class</v>
      </c>
      <c r="D3490" t="str">
        <f t="shared" ref="D3490:D3499" si="1159">D3489</f>
        <v>Corporate</v>
      </c>
      <c r="E3490" t="s">
        <v>19</v>
      </c>
      <c r="F3490">
        <v>20</v>
      </c>
      <c r="G3490">
        <v>0</v>
      </c>
      <c r="H3490" s="2">
        <v>96.200199999999995</v>
      </c>
      <c r="I3490" s="2">
        <v>321.13</v>
      </c>
    </row>
    <row r="3491" spans="1:9" x14ac:dyDescent="0.3">
      <c r="A3491" t="str">
        <f t="shared" si="1150"/>
        <v>United States</v>
      </c>
      <c r="B3491" t="str">
        <f t="shared" si="1158"/>
        <v>Newark</v>
      </c>
      <c r="C3491" t="str">
        <f t="shared" si="1156"/>
        <v>Standard Class</v>
      </c>
      <c r="D3491" t="str">
        <f t="shared" si="1159"/>
        <v>Corporate</v>
      </c>
      <c r="E3491" t="s">
        <v>20</v>
      </c>
      <c r="F3491">
        <v>8</v>
      </c>
      <c r="G3491">
        <v>0</v>
      </c>
      <c r="H3491" s="2">
        <v>9.0127999999999986</v>
      </c>
      <c r="I3491" s="2">
        <v>19.04</v>
      </c>
    </row>
    <row r="3492" spans="1:9" x14ac:dyDescent="0.3">
      <c r="A3492" t="str">
        <f t="shared" si="1150"/>
        <v>United States</v>
      </c>
      <c r="B3492" t="str">
        <f t="shared" si="1158"/>
        <v>Newark</v>
      </c>
      <c r="C3492" t="str">
        <f t="shared" si="1156"/>
        <v>Standard Class</v>
      </c>
      <c r="D3492" t="str">
        <f t="shared" si="1159"/>
        <v>Corporate</v>
      </c>
      <c r="E3492" t="s">
        <v>34</v>
      </c>
      <c r="F3492">
        <v>2</v>
      </c>
      <c r="G3492">
        <v>0</v>
      </c>
      <c r="H3492" s="2">
        <v>101.6508</v>
      </c>
      <c r="I3492" s="2">
        <v>441.96</v>
      </c>
    </row>
    <row r="3493" spans="1:9" x14ac:dyDescent="0.3">
      <c r="A3493" t="str">
        <f t="shared" si="1150"/>
        <v>United States</v>
      </c>
      <c r="B3493" t="str">
        <f t="shared" si="1158"/>
        <v>Newark</v>
      </c>
      <c r="C3493" t="str">
        <f t="shared" si="1156"/>
        <v>Standard Class</v>
      </c>
      <c r="D3493" t="str">
        <f t="shared" si="1159"/>
        <v>Corporate</v>
      </c>
      <c r="E3493" t="s">
        <v>33</v>
      </c>
      <c r="F3493">
        <v>5</v>
      </c>
      <c r="G3493">
        <v>0</v>
      </c>
      <c r="H3493" s="2">
        <v>75.686000000000007</v>
      </c>
      <c r="I3493" s="2">
        <v>291.10000000000002</v>
      </c>
    </row>
    <row r="3494" spans="1:9" x14ac:dyDescent="0.3">
      <c r="A3494" t="str">
        <f t="shared" si="1150"/>
        <v>United States</v>
      </c>
      <c r="B3494" t="str">
        <f t="shared" si="1158"/>
        <v>Newark</v>
      </c>
      <c r="C3494" t="str">
        <f t="shared" si="1156"/>
        <v>Standard Class</v>
      </c>
      <c r="D3494" t="str">
        <f t="shared" si="1159"/>
        <v>Corporate</v>
      </c>
      <c r="E3494" t="s">
        <v>38</v>
      </c>
      <c r="F3494">
        <v>7</v>
      </c>
      <c r="G3494">
        <v>0</v>
      </c>
      <c r="H3494" s="2">
        <v>27.241199999999996</v>
      </c>
      <c r="I3494" s="2">
        <v>57.959999999999994</v>
      </c>
    </row>
    <row r="3495" spans="1:9" x14ac:dyDescent="0.3">
      <c r="A3495" t="str">
        <f t="shared" si="1150"/>
        <v>United States</v>
      </c>
      <c r="B3495" t="str">
        <f t="shared" si="1158"/>
        <v>Newark</v>
      </c>
      <c r="C3495" t="str">
        <f t="shared" si="1156"/>
        <v>Standard Class</v>
      </c>
      <c r="D3495" t="str">
        <f t="shared" si="1159"/>
        <v>Corporate</v>
      </c>
      <c r="E3495" t="s">
        <v>21</v>
      </c>
      <c r="F3495">
        <v>9</v>
      </c>
      <c r="G3495">
        <v>0</v>
      </c>
      <c r="H3495" s="2">
        <v>29.998999999999988</v>
      </c>
      <c r="I3495" s="2">
        <v>248.30999999999997</v>
      </c>
    </row>
    <row r="3496" spans="1:9" x14ac:dyDescent="0.3">
      <c r="A3496" t="str">
        <f t="shared" si="1150"/>
        <v>United States</v>
      </c>
      <c r="B3496" t="str">
        <f t="shared" si="1158"/>
        <v>Newark</v>
      </c>
      <c r="C3496" t="str">
        <f t="shared" si="1156"/>
        <v>Standard Class</v>
      </c>
      <c r="D3496" t="str">
        <f t="shared" si="1159"/>
        <v>Corporate</v>
      </c>
      <c r="E3496" t="s">
        <v>43</v>
      </c>
      <c r="F3496">
        <v>3</v>
      </c>
      <c r="G3496">
        <v>0.2</v>
      </c>
      <c r="H3496" s="2">
        <v>2.5056000000000003</v>
      </c>
      <c r="I3496" s="2">
        <v>6.911999999999999</v>
      </c>
    </row>
    <row r="3497" spans="1:9" x14ac:dyDescent="0.3">
      <c r="A3497" t="str">
        <f t="shared" si="1150"/>
        <v>United States</v>
      </c>
      <c r="B3497" t="str">
        <f t="shared" si="1158"/>
        <v>Newark</v>
      </c>
      <c r="C3497" t="str">
        <f t="shared" si="1156"/>
        <v>Standard Class</v>
      </c>
      <c r="D3497" t="str">
        <f t="shared" si="1159"/>
        <v>Corporate</v>
      </c>
      <c r="E3497" t="s">
        <v>16</v>
      </c>
      <c r="F3497">
        <v>6</v>
      </c>
      <c r="G3497">
        <v>0</v>
      </c>
      <c r="H3497" s="2">
        <v>33.339599999999997</v>
      </c>
      <c r="I3497" s="2">
        <v>68.039999999999992</v>
      </c>
    </row>
    <row r="3498" spans="1:9" x14ac:dyDescent="0.3">
      <c r="A3498" t="str">
        <f t="shared" si="1150"/>
        <v>United States</v>
      </c>
      <c r="B3498" t="str">
        <f t="shared" si="1158"/>
        <v>Newark</v>
      </c>
      <c r="C3498" t="str">
        <f t="shared" si="1156"/>
        <v>Standard Class</v>
      </c>
      <c r="D3498" t="str">
        <f t="shared" si="1159"/>
        <v>Corporate</v>
      </c>
      <c r="E3498" t="s">
        <v>24</v>
      </c>
      <c r="F3498">
        <v>1</v>
      </c>
      <c r="G3498">
        <v>0</v>
      </c>
      <c r="H3498" s="2">
        <v>41.337400000000002</v>
      </c>
      <c r="I3498" s="2">
        <v>158.99</v>
      </c>
    </row>
    <row r="3499" spans="1:9" x14ac:dyDescent="0.3">
      <c r="A3499" t="str">
        <f t="shared" si="1150"/>
        <v>United States</v>
      </c>
      <c r="B3499" t="str">
        <f t="shared" si="1158"/>
        <v>Newark</v>
      </c>
      <c r="C3499" t="str">
        <f t="shared" si="1156"/>
        <v>Standard Class</v>
      </c>
      <c r="D3499" t="str">
        <f t="shared" si="1159"/>
        <v>Corporate</v>
      </c>
      <c r="E3499" t="s">
        <v>14</v>
      </c>
      <c r="F3499">
        <v>15</v>
      </c>
      <c r="G3499">
        <v>0.4</v>
      </c>
      <c r="H3499" s="2">
        <v>877.51490000000024</v>
      </c>
      <c r="I3499" s="2">
        <v>3604.174</v>
      </c>
    </row>
    <row r="3500" spans="1:9" x14ac:dyDescent="0.3">
      <c r="A3500" t="str">
        <f t="shared" si="1150"/>
        <v>United States</v>
      </c>
      <c r="B3500" t="str">
        <f t="shared" si="1158"/>
        <v>Newark</v>
      </c>
      <c r="C3500" t="str">
        <f t="shared" si="1156"/>
        <v>Standard Class</v>
      </c>
      <c r="D3500" t="s">
        <v>17</v>
      </c>
      <c r="E3500" t="s">
        <v>23</v>
      </c>
      <c r="F3500">
        <v>3</v>
      </c>
      <c r="G3500">
        <v>0</v>
      </c>
      <c r="H3500" s="2">
        <v>52.489499999999992</v>
      </c>
      <c r="I3500" s="2">
        <v>149.97</v>
      </c>
    </row>
    <row r="3501" spans="1:9" x14ac:dyDescent="0.3">
      <c r="A3501" t="str">
        <f t="shared" si="1150"/>
        <v>United States</v>
      </c>
      <c r="B3501" t="str">
        <f t="shared" si="1158"/>
        <v>Newark</v>
      </c>
      <c r="C3501" t="str">
        <f t="shared" si="1156"/>
        <v>Standard Class</v>
      </c>
      <c r="D3501" t="str">
        <f t="shared" ref="D3501:D3503" si="1160">D3500</f>
        <v>Home Office</v>
      </c>
      <c r="E3501" t="s">
        <v>12</v>
      </c>
      <c r="F3501">
        <v>1</v>
      </c>
      <c r="G3501">
        <v>0</v>
      </c>
      <c r="H3501" s="2">
        <v>11.054400000000001</v>
      </c>
      <c r="I3501" s="2">
        <v>39.479999999999997</v>
      </c>
    </row>
    <row r="3502" spans="1:9" x14ac:dyDescent="0.3">
      <c r="A3502" t="str">
        <f t="shared" si="1150"/>
        <v>United States</v>
      </c>
      <c r="B3502" t="str">
        <f t="shared" si="1158"/>
        <v>Newark</v>
      </c>
      <c r="C3502" t="str">
        <f t="shared" si="1156"/>
        <v>Standard Class</v>
      </c>
      <c r="D3502" t="str">
        <f t="shared" si="1160"/>
        <v>Home Office</v>
      </c>
      <c r="E3502" t="s">
        <v>19</v>
      </c>
      <c r="F3502">
        <v>3</v>
      </c>
      <c r="G3502">
        <v>0</v>
      </c>
      <c r="H3502" s="2">
        <v>2.5055999999999998</v>
      </c>
      <c r="I3502" s="2">
        <v>8.64</v>
      </c>
    </row>
    <row r="3503" spans="1:9" x14ac:dyDescent="0.3">
      <c r="A3503" t="str">
        <f t="shared" si="1150"/>
        <v>United States</v>
      </c>
      <c r="B3503" t="str">
        <f t="shared" si="1158"/>
        <v>Newark</v>
      </c>
      <c r="C3503" t="str">
        <f t="shared" si="1156"/>
        <v>Standard Class</v>
      </c>
      <c r="D3503" t="str">
        <f t="shared" si="1160"/>
        <v>Home Office</v>
      </c>
      <c r="E3503" t="s">
        <v>21</v>
      </c>
      <c r="F3503">
        <v>4</v>
      </c>
      <c r="G3503">
        <v>0.2</v>
      </c>
      <c r="H3503" s="2">
        <v>12.90959999999999</v>
      </c>
      <c r="I3503" s="2">
        <v>93.888000000000005</v>
      </c>
    </row>
    <row r="3504" spans="1:9" x14ac:dyDescent="0.3">
      <c r="A3504" t="str">
        <f t="shared" si="1150"/>
        <v>United States</v>
      </c>
      <c r="B3504" t="s">
        <v>361</v>
      </c>
      <c r="C3504" t="s">
        <v>27</v>
      </c>
      <c r="D3504" t="s">
        <v>17</v>
      </c>
      <c r="E3504" t="s">
        <v>16</v>
      </c>
      <c r="F3504">
        <v>4</v>
      </c>
      <c r="G3504">
        <v>0</v>
      </c>
      <c r="H3504" s="2">
        <v>91.967999999999989</v>
      </c>
      <c r="I3504" s="2">
        <v>191.6</v>
      </c>
    </row>
    <row r="3505" spans="1:9" x14ac:dyDescent="0.3">
      <c r="A3505" t="str">
        <f t="shared" si="1150"/>
        <v>United States</v>
      </c>
      <c r="B3505" t="str">
        <f t="shared" ref="B3505:B3512" si="1161">B3504</f>
        <v>Newport News</v>
      </c>
      <c r="C3505" t="str">
        <f>C3504</f>
        <v>Same Day</v>
      </c>
      <c r="D3505" t="str">
        <f>D3504</f>
        <v>Home Office</v>
      </c>
      <c r="E3505" t="s">
        <v>9</v>
      </c>
      <c r="F3505">
        <v>5</v>
      </c>
      <c r="G3505">
        <v>0</v>
      </c>
      <c r="H3505" s="2">
        <v>20.154999999999994</v>
      </c>
      <c r="I3505" s="2">
        <v>69.5</v>
      </c>
    </row>
    <row r="3506" spans="1:9" x14ac:dyDescent="0.3">
      <c r="A3506" t="str">
        <f t="shared" si="1150"/>
        <v>United States</v>
      </c>
      <c r="B3506" t="str">
        <f t="shared" si="1161"/>
        <v>Newport News</v>
      </c>
      <c r="C3506" t="s">
        <v>22</v>
      </c>
      <c r="D3506" t="s">
        <v>8</v>
      </c>
      <c r="E3506" t="s">
        <v>45</v>
      </c>
      <c r="F3506">
        <v>8</v>
      </c>
      <c r="G3506">
        <v>0</v>
      </c>
      <c r="H3506" s="2">
        <v>751.9624</v>
      </c>
      <c r="I3506" s="2">
        <v>1599.92</v>
      </c>
    </row>
    <row r="3507" spans="1:9" x14ac:dyDescent="0.3">
      <c r="A3507" t="str">
        <f t="shared" si="1150"/>
        <v>United States</v>
      </c>
      <c r="B3507" t="str">
        <f t="shared" si="1161"/>
        <v>Newport News</v>
      </c>
      <c r="C3507" t="str">
        <f t="shared" ref="C3507:C3512" si="1162">C3506</f>
        <v>Standard Class</v>
      </c>
      <c r="D3507" t="str">
        <f t="shared" ref="D3507:D3509" si="1163">D3506</f>
        <v>Consumer</v>
      </c>
      <c r="E3507" t="s">
        <v>38</v>
      </c>
      <c r="F3507">
        <v>5</v>
      </c>
      <c r="G3507">
        <v>0</v>
      </c>
      <c r="H3507" s="2">
        <v>20.060500000000001</v>
      </c>
      <c r="I3507" s="2">
        <v>42.21</v>
      </c>
    </row>
    <row r="3508" spans="1:9" x14ac:dyDescent="0.3">
      <c r="A3508" t="str">
        <f t="shared" si="1150"/>
        <v>United States</v>
      </c>
      <c r="B3508" t="str">
        <f t="shared" si="1161"/>
        <v>Newport News</v>
      </c>
      <c r="C3508" t="str">
        <f t="shared" si="1162"/>
        <v>Standard Class</v>
      </c>
      <c r="D3508" t="str">
        <f t="shared" si="1163"/>
        <v>Consumer</v>
      </c>
      <c r="E3508" t="s">
        <v>16</v>
      </c>
      <c r="F3508">
        <v>6</v>
      </c>
      <c r="G3508">
        <v>0</v>
      </c>
      <c r="H3508" s="2">
        <v>19.651499999999999</v>
      </c>
      <c r="I3508" s="2">
        <v>41.510000000000005</v>
      </c>
    </row>
    <row r="3509" spans="1:9" x14ac:dyDescent="0.3">
      <c r="A3509" t="str">
        <f t="shared" si="1150"/>
        <v>United States</v>
      </c>
      <c r="B3509" t="str">
        <f t="shared" si="1161"/>
        <v>Newport News</v>
      </c>
      <c r="C3509" t="str">
        <f t="shared" si="1162"/>
        <v>Standard Class</v>
      </c>
      <c r="D3509" t="str">
        <f t="shared" si="1163"/>
        <v>Consumer</v>
      </c>
      <c r="E3509" t="s">
        <v>14</v>
      </c>
      <c r="F3509">
        <v>5</v>
      </c>
      <c r="G3509">
        <v>0</v>
      </c>
      <c r="H3509" s="2">
        <v>170.28329999999994</v>
      </c>
      <c r="I3509" s="2">
        <v>588.35</v>
      </c>
    </row>
    <row r="3510" spans="1:9" x14ac:dyDescent="0.3">
      <c r="A3510" t="str">
        <f t="shared" si="1150"/>
        <v>United States</v>
      </c>
      <c r="B3510" t="str">
        <f t="shared" si="1161"/>
        <v>Newport News</v>
      </c>
      <c r="C3510" t="str">
        <f t="shared" si="1162"/>
        <v>Standard Class</v>
      </c>
      <c r="D3510" t="s">
        <v>15</v>
      </c>
      <c r="E3510" t="s">
        <v>19</v>
      </c>
      <c r="F3510">
        <v>1</v>
      </c>
      <c r="G3510">
        <v>0</v>
      </c>
      <c r="H3510" s="2">
        <v>0.88039999999999985</v>
      </c>
      <c r="I3510" s="2">
        <v>2.84</v>
      </c>
    </row>
    <row r="3511" spans="1:9" x14ac:dyDescent="0.3">
      <c r="A3511" t="str">
        <f t="shared" si="1150"/>
        <v>United States</v>
      </c>
      <c r="B3511" t="str">
        <f t="shared" si="1161"/>
        <v>Newport News</v>
      </c>
      <c r="C3511" t="str">
        <f t="shared" si="1162"/>
        <v>Standard Class</v>
      </c>
      <c r="D3511" t="str">
        <f t="shared" ref="D3511:D3512" si="1164">D3510</f>
        <v>Corporate</v>
      </c>
      <c r="E3511" t="s">
        <v>14</v>
      </c>
      <c r="F3511">
        <v>5</v>
      </c>
      <c r="G3511">
        <v>0</v>
      </c>
      <c r="H3511" s="2">
        <v>9.7349999999999781</v>
      </c>
      <c r="I3511" s="2">
        <v>194.7</v>
      </c>
    </row>
    <row r="3512" spans="1:9" x14ac:dyDescent="0.3">
      <c r="A3512" t="str">
        <f t="shared" si="1150"/>
        <v>United States</v>
      </c>
      <c r="B3512" t="str">
        <f t="shared" si="1161"/>
        <v>Newport News</v>
      </c>
      <c r="C3512" t="str">
        <f t="shared" si="1162"/>
        <v>Standard Class</v>
      </c>
      <c r="D3512" t="str">
        <f t="shared" si="1164"/>
        <v>Corporate</v>
      </c>
      <c r="E3512" t="s">
        <v>25</v>
      </c>
      <c r="F3512">
        <v>4</v>
      </c>
      <c r="G3512">
        <v>0</v>
      </c>
      <c r="H3512" s="2">
        <v>112.35079999999999</v>
      </c>
      <c r="I3512" s="2">
        <v>591.32000000000005</v>
      </c>
    </row>
    <row r="3513" spans="1:9" x14ac:dyDescent="0.3">
      <c r="A3513" t="str">
        <f t="shared" si="1150"/>
        <v>United States</v>
      </c>
      <c r="B3513" t="s">
        <v>362</v>
      </c>
      <c r="C3513" t="s">
        <v>11</v>
      </c>
      <c r="D3513" t="s">
        <v>8</v>
      </c>
      <c r="E3513" t="s">
        <v>24</v>
      </c>
      <c r="F3513">
        <v>3</v>
      </c>
      <c r="G3513">
        <v>0</v>
      </c>
      <c r="H3513" s="2">
        <v>47.806499999999993</v>
      </c>
      <c r="I3513" s="2">
        <v>164.85000000000002</v>
      </c>
    </row>
    <row r="3514" spans="1:9" x14ac:dyDescent="0.3">
      <c r="A3514" t="str">
        <f t="shared" si="1150"/>
        <v>United States</v>
      </c>
      <c r="B3514" t="str">
        <f t="shared" ref="B3514:B3515" si="1165">B3513</f>
        <v>Niagara Falls</v>
      </c>
      <c r="C3514" t="s">
        <v>22</v>
      </c>
      <c r="D3514" t="s">
        <v>17</v>
      </c>
      <c r="E3514" t="s">
        <v>19</v>
      </c>
      <c r="F3514">
        <v>6</v>
      </c>
      <c r="G3514">
        <v>0</v>
      </c>
      <c r="H3514" s="2">
        <v>5.0111999999999997</v>
      </c>
      <c r="I3514" s="2">
        <v>17.28</v>
      </c>
    </row>
    <row r="3515" spans="1:9" x14ac:dyDescent="0.3">
      <c r="A3515" t="str">
        <f t="shared" si="1150"/>
        <v>United States</v>
      </c>
      <c r="B3515" t="str">
        <f t="shared" si="1165"/>
        <v>Niagara Falls</v>
      </c>
      <c r="C3515" t="str">
        <f>C3514</f>
        <v>Standard Class</v>
      </c>
      <c r="D3515" t="str">
        <f>D3514</f>
        <v>Home Office</v>
      </c>
      <c r="E3515" t="s">
        <v>20</v>
      </c>
      <c r="F3515">
        <v>3</v>
      </c>
      <c r="G3515">
        <v>0.2</v>
      </c>
      <c r="H3515" s="2">
        <v>6.4206000000000012</v>
      </c>
      <c r="I3515" s="2">
        <v>17.712</v>
      </c>
    </row>
    <row r="3516" spans="1:9" x14ac:dyDescent="0.3">
      <c r="A3516" t="str">
        <f t="shared" si="1150"/>
        <v>United States</v>
      </c>
      <c r="B3516" t="s">
        <v>363</v>
      </c>
      <c r="C3516" t="s">
        <v>7</v>
      </c>
      <c r="D3516" t="s">
        <v>8</v>
      </c>
      <c r="E3516" t="s">
        <v>20</v>
      </c>
      <c r="F3516">
        <v>2</v>
      </c>
      <c r="G3516">
        <v>0</v>
      </c>
      <c r="H3516" s="2">
        <v>5.6519999999999992</v>
      </c>
      <c r="I3516" s="2">
        <v>12.56</v>
      </c>
    </row>
    <row r="3517" spans="1:9" x14ac:dyDescent="0.3">
      <c r="A3517" t="str">
        <f t="shared" si="1150"/>
        <v>United States</v>
      </c>
      <c r="B3517" t="str">
        <f t="shared" ref="B3517:B3518" si="1166">B3516</f>
        <v>Noblesville</v>
      </c>
      <c r="C3517" t="str">
        <f>C3516</f>
        <v>Second Class</v>
      </c>
      <c r="D3517" t="str">
        <f>D3516</f>
        <v>Consumer</v>
      </c>
      <c r="E3517" t="s">
        <v>24</v>
      </c>
      <c r="F3517">
        <v>7</v>
      </c>
      <c r="G3517">
        <v>0</v>
      </c>
      <c r="H3517" s="2">
        <v>106.55640000000001</v>
      </c>
      <c r="I3517" s="2">
        <v>399.67999999999995</v>
      </c>
    </row>
    <row r="3518" spans="1:9" x14ac:dyDescent="0.3">
      <c r="A3518" t="str">
        <f t="shared" si="1150"/>
        <v>United States</v>
      </c>
      <c r="B3518" t="str">
        <f t="shared" si="1166"/>
        <v>Noblesville</v>
      </c>
      <c r="C3518" t="s">
        <v>22</v>
      </c>
      <c r="D3518" t="s">
        <v>15</v>
      </c>
      <c r="E3518" t="s">
        <v>25</v>
      </c>
      <c r="F3518">
        <v>6</v>
      </c>
      <c r="G3518">
        <v>0</v>
      </c>
      <c r="H3518" s="2">
        <v>241.1046</v>
      </c>
      <c r="I3518" s="2">
        <v>2678.94</v>
      </c>
    </row>
    <row r="3519" spans="1:9" x14ac:dyDescent="0.3">
      <c r="A3519" t="str">
        <f t="shared" si="1150"/>
        <v>United States</v>
      </c>
      <c r="B3519" t="s">
        <v>364</v>
      </c>
      <c r="C3519" t="s">
        <v>22</v>
      </c>
      <c r="D3519" t="s">
        <v>8</v>
      </c>
      <c r="E3519" t="s">
        <v>20</v>
      </c>
      <c r="F3519">
        <v>3</v>
      </c>
      <c r="G3519">
        <v>0</v>
      </c>
      <c r="H3519" s="2">
        <v>8.0177999999999994</v>
      </c>
      <c r="I3519" s="2">
        <v>17.43</v>
      </c>
    </row>
    <row r="3520" spans="1:9" x14ac:dyDescent="0.3">
      <c r="A3520" t="str">
        <f t="shared" si="1150"/>
        <v>United States</v>
      </c>
      <c r="B3520" t="s">
        <v>365</v>
      </c>
      <c r="C3520" t="s">
        <v>22</v>
      </c>
      <c r="D3520" t="s">
        <v>17</v>
      </c>
      <c r="E3520" t="s">
        <v>33</v>
      </c>
      <c r="F3520">
        <v>4</v>
      </c>
      <c r="G3520">
        <v>0.3</v>
      </c>
      <c r="H3520" s="2">
        <v>-110.02320000000003</v>
      </c>
      <c r="I3520" s="2">
        <v>366.74399999999997</v>
      </c>
    </row>
    <row r="3521" spans="1:9" x14ac:dyDescent="0.3">
      <c r="A3521" t="str">
        <f t="shared" si="1150"/>
        <v>United States</v>
      </c>
      <c r="B3521" t="s">
        <v>366</v>
      </c>
      <c r="C3521" t="s">
        <v>27</v>
      </c>
      <c r="D3521" t="s">
        <v>8</v>
      </c>
      <c r="E3521" t="s">
        <v>23</v>
      </c>
      <c r="F3521">
        <v>5</v>
      </c>
      <c r="G3521">
        <v>0</v>
      </c>
      <c r="H3521" s="2">
        <v>244.61549999999988</v>
      </c>
      <c r="I3521" s="2">
        <v>1287.45</v>
      </c>
    </row>
    <row r="3522" spans="1:9" x14ac:dyDescent="0.3">
      <c r="A3522" t="str">
        <f t="shared" si="1150"/>
        <v>United States</v>
      </c>
      <c r="B3522" t="str">
        <f>B3521</f>
        <v>Norman</v>
      </c>
      <c r="C3522" t="s">
        <v>22</v>
      </c>
      <c r="D3522" t="s">
        <v>15</v>
      </c>
      <c r="E3522" t="s">
        <v>23</v>
      </c>
      <c r="F3522">
        <v>4</v>
      </c>
      <c r="G3522">
        <v>0</v>
      </c>
      <c r="H3522" s="2">
        <v>24.913200000000003</v>
      </c>
      <c r="I3522" s="2">
        <v>63.88</v>
      </c>
    </row>
    <row r="3523" spans="1:9" x14ac:dyDescent="0.3">
      <c r="A3523" t="str">
        <f t="shared" si="1150"/>
        <v>United States</v>
      </c>
      <c r="B3523" t="s">
        <v>367</v>
      </c>
      <c r="C3523" t="s">
        <v>7</v>
      </c>
      <c r="D3523" t="s">
        <v>8</v>
      </c>
      <c r="E3523" t="s">
        <v>14</v>
      </c>
      <c r="F3523">
        <v>3</v>
      </c>
      <c r="G3523">
        <v>0</v>
      </c>
      <c r="H3523" s="2">
        <v>5.3897999999999939</v>
      </c>
      <c r="I3523" s="2">
        <v>269.49</v>
      </c>
    </row>
    <row r="3524" spans="1:9" x14ac:dyDescent="0.3">
      <c r="A3524" t="str">
        <f t="shared" ref="A3524:A3587" si="1167">A3523</f>
        <v>United States</v>
      </c>
      <c r="B3524" t="str">
        <f>B3523</f>
        <v>North Charleston</v>
      </c>
      <c r="C3524" t="s">
        <v>22</v>
      </c>
      <c r="D3524" t="s">
        <v>15</v>
      </c>
      <c r="E3524" t="s">
        <v>21</v>
      </c>
      <c r="F3524">
        <v>2</v>
      </c>
      <c r="G3524">
        <v>0</v>
      </c>
      <c r="H3524" s="2">
        <v>4.2803999999999984</v>
      </c>
      <c r="I3524" s="2">
        <v>14.76</v>
      </c>
    </row>
    <row r="3525" spans="1:9" x14ac:dyDescent="0.3">
      <c r="A3525" t="str">
        <f t="shared" si="1167"/>
        <v>United States</v>
      </c>
      <c r="B3525" t="s">
        <v>368</v>
      </c>
      <c r="C3525" t="s">
        <v>11</v>
      </c>
      <c r="D3525" t="s">
        <v>15</v>
      </c>
      <c r="E3525" t="s">
        <v>23</v>
      </c>
      <c r="F3525">
        <v>2</v>
      </c>
      <c r="G3525">
        <v>0</v>
      </c>
      <c r="H3525" s="2">
        <v>19.331399999999995</v>
      </c>
      <c r="I3525" s="2">
        <v>58.58</v>
      </c>
    </row>
    <row r="3526" spans="1:9" x14ac:dyDescent="0.3">
      <c r="A3526" t="str">
        <f t="shared" si="1167"/>
        <v>United States</v>
      </c>
      <c r="B3526" t="str">
        <f t="shared" ref="B3526:B3540" si="1168">B3525</f>
        <v>North Las Vegas</v>
      </c>
      <c r="C3526" t="str">
        <f>C3525</f>
        <v>First Class</v>
      </c>
      <c r="D3526" t="s">
        <v>17</v>
      </c>
      <c r="E3526" t="s">
        <v>21</v>
      </c>
      <c r="F3526">
        <v>2</v>
      </c>
      <c r="G3526">
        <v>0</v>
      </c>
      <c r="H3526" s="2">
        <v>5.5327999999999999</v>
      </c>
      <c r="I3526" s="2">
        <v>14.56</v>
      </c>
    </row>
    <row r="3527" spans="1:9" x14ac:dyDescent="0.3">
      <c r="A3527" t="str">
        <f t="shared" si="1167"/>
        <v>United States</v>
      </c>
      <c r="B3527" t="str">
        <f t="shared" si="1168"/>
        <v>North Las Vegas</v>
      </c>
      <c r="C3527" t="s">
        <v>7</v>
      </c>
      <c r="D3527" t="s">
        <v>8</v>
      </c>
      <c r="E3527" t="s">
        <v>25</v>
      </c>
      <c r="F3527">
        <v>4</v>
      </c>
      <c r="G3527">
        <v>0</v>
      </c>
      <c r="H3527" s="2">
        <v>116.87199999999984</v>
      </c>
      <c r="I3527" s="2">
        <v>1669.6</v>
      </c>
    </row>
    <row r="3528" spans="1:9" x14ac:dyDescent="0.3">
      <c r="A3528" t="str">
        <f t="shared" si="1167"/>
        <v>United States</v>
      </c>
      <c r="B3528" t="str">
        <f t="shared" si="1168"/>
        <v>North Las Vegas</v>
      </c>
      <c r="C3528" t="str">
        <f t="shared" ref="C3528:C3533" si="1169">C3527</f>
        <v>Second Class</v>
      </c>
      <c r="D3528" t="s">
        <v>15</v>
      </c>
      <c r="E3528" t="s">
        <v>19</v>
      </c>
      <c r="F3528">
        <v>7</v>
      </c>
      <c r="G3528">
        <v>0</v>
      </c>
      <c r="H3528" s="2">
        <v>4.6956000000000007</v>
      </c>
      <c r="I3528" s="2">
        <v>18.060000000000002</v>
      </c>
    </row>
    <row r="3529" spans="1:9" x14ac:dyDescent="0.3">
      <c r="A3529" t="str">
        <f t="shared" si="1167"/>
        <v>United States</v>
      </c>
      <c r="B3529" t="str">
        <f t="shared" si="1168"/>
        <v>North Las Vegas</v>
      </c>
      <c r="C3529" t="str">
        <f t="shared" si="1169"/>
        <v>Second Class</v>
      </c>
      <c r="D3529" t="str">
        <f t="shared" ref="D3529:D3530" si="1170">D3528</f>
        <v>Corporate</v>
      </c>
      <c r="E3529" t="s">
        <v>21</v>
      </c>
      <c r="F3529">
        <v>2</v>
      </c>
      <c r="G3529">
        <v>0</v>
      </c>
      <c r="H3529" s="2">
        <v>14.212</v>
      </c>
      <c r="I3529" s="2">
        <v>37.4</v>
      </c>
    </row>
    <row r="3530" spans="1:9" x14ac:dyDescent="0.3">
      <c r="A3530" t="str">
        <f t="shared" si="1167"/>
        <v>United States</v>
      </c>
      <c r="B3530" t="str">
        <f t="shared" si="1168"/>
        <v>North Las Vegas</v>
      </c>
      <c r="C3530" t="str">
        <f t="shared" si="1169"/>
        <v>Second Class</v>
      </c>
      <c r="D3530" t="str">
        <f t="shared" si="1170"/>
        <v>Corporate</v>
      </c>
      <c r="E3530" t="s">
        <v>16</v>
      </c>
      <c r="F3530">
        <v>3</v>
      </c>
      <c r="G3530">
        <v>0</v>
      </c>
      <c r="H3530" s="2">
        <v>36.404399999999995</v>
      </c>
      <c r="I3530" s="2">
        <v>79.14</v>
      </c>
    </row>
    <row r="3531" spans="1:9" x14ac:dyDescent="0.3">
      <c r="A3531" t="str">
        <f t="shared" si="1167"/>
        <v>United States</v>
      </c>
      <c r="B3531" t="str">
        <f t="shared" si="1168"/>
        <v>North Las Vegas</v>
      </c>
      <c r="C3531" t="str">
        <f t="shared" si="1169"/>
        <v>Second Class</v>
      </c>
      <c r="D3531" t="s">
        <v>17</v>
      </c>
      <c r="E3531" t="s">
        <v>19</v>
      </c>
      <c r="F3531">
        <v>3</v>
      </c>
      <c r="G3531">
        <v>0</v>
      </c>
      <c r="H3531" s="2">
        <v>29.437200000000001</v>
      </c>
      <c r="I3531" s="2">
        <v>113.22</v>
      </c>
    </row>
    <row r="3532" spans="1:9" x14ac:dyDescent="0.3">
      <c r="A3532" t="str">
        <f t="shared" si="1167"/>
        <v>United States</v>
      </c>
      <c r="B3532" t="str">
        <f t="shared" si="1168"/>
        <v>North Las Vegas</v>
      </c>
      <c r="C3532" t="str">
        <f t="shared" si="1169"/>
        <v>Second Class</v>
      </c>
      <c r="D3532" t="str">
        <f t="shared" ref="D3532:D3533" si="1171">D3531</f>
        <v>Home Office</v>
      </c>
      <c r="E3532" t="s">
        <v>20</v>
      </c>
      <c r="F3532">
        <v>3</v>
      </c>
      <c r="G3532">
        <v>0.2</v>
      </c>
      <c r="H3532" s="2">
        <v>1644.2912999999999</v>
      </c>
      <c r="I3532" s="2">
        <v>4535.9760000000006</v>
      </c>
    </row>
    <row r="3533" spans="1:9" x14ac:dyDescent="0.3">
      <c r="A3533" t="str">
        <f t="shared" si="1167"/>
        <v>United States</v>
      </c>
      <c r="B3533" t="str">
        <f t="shared" si="1168"/>
        <v>North Las Vegas</v>
      </c>
      <c r="C3533" t="str">
        <f t="shared" si="1169"/>
        <v>Second Class</v>
      </c>
      <c r="D3533" t="str">
        <f t="shared" si="1171"/>
        <v>Home Office</v>
      </c>
      <c r="E3533" t="s">
        <v>16</v>
      </c>
      <c r="F3533">
        <v>6</v>
      </c>
      <c r="G3533">
        <v>0</v>
      </c>
      <c r="H3533" s="2">
        <v>17.581200000000003</v>
      </c>
      <c r="I3533" s="2">
        <v>35.880000000000003</v>
      </c>
    </row>
    <row r="3534" spans="1:9" x14ac:dyDescent="0.3">
      <c r="A3534" t="str">
        <f t="shared" si="1167"/>
        <v>United States</v>
      </c>
      <c r="B3534" t="str">
        <f t="shared" si="1168"/>
        <v>North Las Vegas</v>
      </c>
      <c r="C3534" t="s">
        <v>22</v>
      </c>
      <c r="D3534" t="s">
        <v>8</v>
      </c>
      <c r="E3534" t="s">
        <v>23</v>
      </c>
      <c r="F3534">
        <v>3</v>
      </c>
      <c r="G3534">
        <v>0</v>
      </c>
      <c r="H3534" s="2">
        <v>70.097700000000003</v>
      </c>
      <c r="I3534" s="2">
        <v>170.97</v>
      </c>
    </row>
    <row r="3535" spans="1:9" x14ac:dyDescent="0.3">
      <c r="A3535" t="str">
        <f t="shared" si="1167"/>
        <v>United States</v>
      </c>
      <c r="B3535" t="str">
        <f t="shared" si="1168"/>
        <v>North Las Vegas</v>
      </c>
      <c r="C3535" t="str">
        <f t="shared" ref="C3535:C3540" si="1172">C3534</f>
        <v>Standard Class</v>
      </c>
      <c r="D3535" t="str">
        <f t="shared" ref="D3535:D3540" si="1173">D3534</f>
        <v>Consumer</v>
      </c>
      <c r="E3535" t="s">
        <v>33</v>
      </c>
      <c r="F3535">
        <v>3</v>
      </c>
      <c r="G3535">
        <v>0.2</v>
      </c>
      <c r="H3535" s="2">
        <v>-109.58220000000011</v>
      </c>
      <c r="I3535" s="2">
        <v>674.35200000000009</v>
      </c>
    </row>
    <row r="3536" spans="1:9" x14ac:dyDescent="0.3">
      <c r="A3536" t="str">
        <f t="shared" si="1167"/>
        <v>United States</v>
      </c>
      <c r="B3536" t="str">
        <f t="shared" si="1168"/>
        <v>North Las Vegas</v>
      </c>
      <c r="C3536" t="str">
        <f t="shared" si="1172"/>
        <v>Standard Class</v>
      </c>
      <c r="D3536" t="str">
        <f t="shared" si="1173"/>
        <v>Consumer</v>
      </c>
      <c r="E3536" t="s">
        <v>21</v>
      </c>
      <c r="F3536">
        <v>9</v>
      </c>
      <c r="G3536">
        <v>0</v>
      </c>
      <c r="H3536" s="2">
        <v>36.182700000000004</v>
      </c>
      <c r="I3536" s="2">
        <v>134.01</v>
      </c>
    </row>
    <row r="3537" spans="1:9" x14ac:dyDescent="0.3">
      <c r="A3537" t="str">
        <f t="shared" si="1167"/>
        <v>United States</v>
      </c>
      <c r="B3537" t="str">
        <f t="shared" si="1168"/>
        <v>North Las Vegas</v>
      </c>
      <c r="C3537" t="str">
        <f t="shared" si="1172"/>
        <v>Standard Class</v>
      </c>
      <c r="D3537" t="str">
        <f t="shared" si="1173"/>
        <v>Consumer</v>
      </c>
      <c r="E3537" t="s">
        <v>43</v>
      </c>
      <c r="F3537">
        <v>3</v>
      </c>
      <c r="G3537">
        <v>0</v>
      </c>
      <c r="H3537" s="2">
        <v>6.8723999999999998</v>
      </c>
      <c r="I3537" s="2">
        <v>14.940000000000001</v>
      </c>
    </row>
    <row r="3538" spans="1:9" x14ac:dyDescent="0.3">
      <c r="A3538" t="str">
        <f t="shared" si="1167"/>
        <v>United States</v>
      </c>
      <c r="B3538" t="str">
        <f t="shared" si="1168"/>
        <v>North Las Vegas</v>
      </c>
      <c r="C3538" t="str">
        <f t="shared" si="1172"/>
        <v>Standard Class</v>
      </c>
      <c r="D3538" t="str">
        <f t="shared" si="1173"/>
        <v>Consumer</v>
      </c>
      <c r="E3538" t="s">
        <v>16</v>
      </c>
      <c r="F3538">
        <v>1</v>
      </c>
      <c r="G3538">
        <v>0</v>
      </c>
      <c r="H3538" s="2">
        <v>3.1104000000000003</v>
      </c>
      <c r="I3538" s="2">
        <v>6.48</v>
      </c>
    </row>
    <row r="3539" spans="1:9" x14ac:dyDescent="0.3">
      <c r="A3539" t="str">
        <f t="shared" si="1167"/>
        <v>United States</v>
      </c>
      <c r="B3539" t="str">
        <f t="shared" si="1168"/>
        <v>North Las Vegas</v>
      </c>
      <c r="C3539" t="str">
        <f t="shared" si="1172"/>
        <v>Standard Class</v>
      </c>
      <c r="D3539" t="str">
        <f t="shared" si="1173"/>
        <v>Consumer</v>
      </c>
      <c r="E3539" t="s">
        <v>24</v>
      </c>
      <c r="F3539">
        <v>2</v>
      </c>
      <c r="G3539">
        <v>0.2</v>
      </c>
      <c r="H3539" s="2">
        <v>113.99799999999991</v>
      </c>
      <c r="I3539" s="2">
        <v>911.98400000000004</v>
      </c>
    </row>
    <row r="3540" spans="1:9" x14ac:dyDescent="0.3">
      <c r="A3540" t="str">
        <f t="shared" si="1167"/>
        <v>United States</v>
      </c>
      <c r="B3540" t="str">
        <f t="shared" si="1168"/>
        <v>North Las Vegas</v>
      </c>
      <c r="C3540" t="str">
        <f t="shared" si="1172"/>
        <v>Standard Class</v>
      </c>
      <c r="D3540" t="str">
        <f t="shared" si="1173"/>
        <v>Consumer</v>
      </c>
      <c r="E3540" t="s">
        <v>14</v>
      </c>
      <c r="F3540">
        <v>5</v>
      </c>
      <c r="G3540">
        <v>0</v>
      </c>
      <c r="H3540" s="2">
        <v>238.65299999999991</v>
      </c>
      <c r="I3540" s="2">
        <v>1325.8500000000001</v>
      </c>
    </row>
    <row r="3541" spans="1:9" x14ac:dyDescent="0.3">
      <c r="A3541" t="str">
        <f t="shared" si="1167"/>
        <v>United States</v>
      </c>
      <c r="B3541" t="s">
        <v>369</v>
      </c>
      <c r="C3541" t="s">
        <v>7</v>
      </c>
      <c r="D3541" t="s">
        <v>8</v>
      </c>
      <c r="E3541" t="s">
        <v>9</v>
      </c>
      <c r="F3541">
        <v>3</v>
      </c>
      <c r="G3541">
        <v>0.2</v>
      </c>
      <c r="H3541" s="2">
        <v>-1.8126000000000002</v>
      </c>
      <c r="I3541" s="2">
        <v>7.6320000000000014</v>
      </c>
    </row>
    <row r="3542" spans="1:9" x14ac:dyDescent="0.3">
      <c r="A3542" t="str">
        <f t="shared" si="1167"/>
        <v>United States</v>
      </c>
      <c r="B3542" t="str">
        <f>B3541</f>
        <v>North Miami</v>
      </c>
      <c r="C3542" t="s">
        <v>22</v>
      </c>
      <c r="D3542" t="s">
        <v>8</v>
      </c>
      <c r="E3542" t="s">
        <v>16</v>
      </c>
      <c r="F3542">
        <v>3</v>
      </c>
      <c r="G3542">
        <v>0.2</v>
      </c>
      <c r="H3542" s="2">
        <v>4.8924000000000003</v>
      </c>
      <c r="I3542" s="2">
        <v>14.496000000000002</v>
      </c>
    </row>
    <row r="3543" spans="1:9" x14ac:dyDescent="0.3">
      <c r="A3543" t="str">
        <f t="shared" si="1167"/>
        <v>United States</v>
      </c>
      <c r="B3543" t="s">
        <v>370</v>
      </c>
      <c r="C3543" t="s">
        <v>11</v>
      </c>
      <c r="D3543" t="s">
        <v>15</v>
      </c>
      <c r="E3543" t="s">
        <v>16</v>
      </c>
      <c r="F3543">
        <v>1</v>
      </c>
      <c r="G3543">
        <v>0</v>
      </c>
      <c r="H3543" s="2">
        <v>5.5565999999999995</v>
      </c>
      <c r="I3543" s="2">
        <v>11.34</v>
      </c>
    </row>
    <row r="3544" spans="1:9" x14ac:dyDescent="0.3">
      <c r="A3544" t="str">
        <f t="shared" si="1167"/>
        <v>United States</v>
      </c>
      <c r="B3544" t="str">
        <f t="shared" ref="B3544:B3546" si="1174">B3543</f>
        <v>Norwich</v>
      </c>
      <c r="C3544" t="s">
        <v>22</v>
      </c>
      <c r="D3544" t="s">
        <v>8</v>
      </c>
      <c r="E3544" t="s">
        <v>12</v>
      </c>
      <c r="F3544">
        <v>3</v>
      </c>
      <c r="G3544">
        <v>0</v>
      </c>
      <c r="H3544" s="2">
        <v>144.3546</v>
      </c>
      <c r="I3544" s="2">
        <v>370.14</v>
      </c>
    </row>
    <row r="3545" spans="1:9" x14ac:dyDescent="0.3">
      <c r="A3545" t="str">
        <f t="shared" si="1167"/>
        <v>United States</v>
      </c>
      <c r="B3545" t="str">
        <f t="shared" si="1174"/>
        <v>Norwich</v>
      </c>
      <c r="C3545" t="str">
        <f t="shared" ref="C3545:C3546" si="1175">C3544</f>
        <v>Standard Class</v>
      </c>
      <c r="D3545" t="str">
        <f>D3544</f>
        <v>Consumer</v>
      </c>
      <c r="E3545" t="s">
        <v>20</v>
      </c>
      <c r="F3545">
        <v>2</v>
      </c>
      <c r="G3545">
        <v>0</v>
      </c>
      <c r="H3545" s="2">
        <v>5.0763999999999996</v>
      </c>
      <c r="I3545" s="2">
        <v>10.36</v>
      </c>
    </row>
    <row r="3546" spans="1:9" x14ac:dyDescent="0.3">
      <c r="A3546" t="str">
        <f t="shared" si="1167"/>
        <v>United States</v>
      </c>
      <c r="B3546" t="str">
        <f t="shared" si="1174"/>
        <v>Norwich</v>
      </c>
      <c r="C3546" t="str">
        <f t="shared" si="1175"/>
        <v>Standard Class</v>
      </c>
      <c r="D3546" t="s">
        <v>17</v>
      </c>
      <c r="E3546" t="s">
        <v>21</v>
      </c>
      <c r="F3546">
        <v>6</v>
      </c>
      <c r="G3546">
        <v>0</v>
      </c>
      <c r="H3546" s="2">
        <v>9.1020000000000021</v>
      </c>
      <c r="I3546" s="2">
        <v>22.200000000000003</v>
      </c>
    </row>
    <row r="3547" spans="1:9" x14ac:dyDescent="0.3">
      <c r="A3547" t="str">
        <f t="shared" si="1167"/>
        <v>United States</v>
      </c>
      <c r="B3547" t="s">
        <v>371</v>
      </c>
      <c r="C3547" t="s">
        <v>22</v>
      </c>
      <c r="D3547" t="s">
        <v>15</v>
      </c>
      <c r="E3547" t="s">
        <v>19</v>
      </c>
      <c r="F3547">
        <v>7</v>
      </c>
      <c r="G3547">
        <v>0.2</v>
      </c>
      <c r="H3547" s="2">
        <v>1.0192000000000001</v>
      </c>
      <c r="I3547" s="2">
        <v>10.192000000000002</v>
      </c>
    </row>
    <row r="3548" spans="1:9" x14ac:dyDescent="0.3">
      <c r="A3548" t="str">
        <f t="shared" si="1167"/>
        <v>United States</v>
      </c>
      <c r="B3548" t="str">
        <f>B3547</f>
        <v>Oak Park</v>
      </c>
      <c r="C3548" t="str">
        <f>C3547</f>
        <v>Standard Class</v>
      </c>
      <c r="D3548" t="str">
        <f>D3547</f>
        <v>Corporate</v>
      </c>
      <c r="E3548" t="s">
        <v>21</v>
      </c>
      <c r="F3548">
        <v>5</v>
      </c>
      <c r="G3548">
        <v>0</v>
      </c>
      <c r="H3548" s="2">
        <v>151.02359999999999</v>
      </c>
      <c r="I3548" s="2">
        <v>580.8599999999999</v>
      </c>
    </row>
    <row r="3549" spans="1:9" x14ac:dyDescent="0.3">
      <c r="A3549" t="str">
        <f t="shared" si="1167"/>
        <v>United States</v>
      </c>
      <c r="B3549" t="s">
        <v>372</v>
      </c>
      <c r="C3549" t="s">
        <v>11</v>
      </c>
      <c r="D3549" t="s">
        <v>8</v>
      </c>
      <c r="E3549" t="s">
        <v>12</v>
      </c>
      <c r="F3549">
        <v>3</v>
      </c>
      <c r="G3549">
        <v>0</v>
      </c>
      <c r="H3549" s="2">
        <v>54.950400000000002</v>
      </c>
      <c r="I3549" s="2">
        <v>203.52</v>
      </c>
    </row>
    <row r="3550" spans="1:9" x14ac:dyDescent="0.3">
      <c r="A3550" t="str">
        <f t="shared" si="1167"/>
        <v>United States</v>
      </c>
      <c r="B3550" t="str">
        <f t="shared" ref="B3550:B3571" si="1176">B3549</f>
        <v>Oakland</v>
      </c>
      <c r="C3550" t="str">
        <f t="shared" ref="C3550:C3556" si="1177">C3549</f>
        <v>First Class</v>
      </c>
      <c r="D3550" t="str">
        <f t="shared" ref="D3550:D3555" si="1178">D3549</f>
        <v>Consumer</v>
      </c>
      <c r="E3550" t="s">
        <v>19</v>
      </c>
      <c r="F3550">
        <v>4</v>
      </c>
      <c r="G3550">
        <v>0</v>
      </c>
      <c r="H3550" s="2">
        <v>4.9647999999999985</v>
      </c>
      <c r="I3550" s="2">
        <v>17.12</v>
      </c>
    </row>
    <row r="3551" spans="1:9" x14ac:dyDescent="0.3">
      <c r="A3551" t="str">
        <f t="shared" si="1167"/>
        <v>United States</v>
      </c>
      <c r="B3551" t="str">
        <f t="shared" si="1176"/>
        <v>Oakland</v>
      </c>
      <c r="C3551" t="str">
        <f t="shared" si="1177"/>
        <v>First Class</v>
      </c>
      <c r="D3551" t="str">
        <f t="shared" si="1178"/>
        <v>Consumer</v>
      </c>
      <c r="E3551" t="s">
        <v>20</v>
      </c>
      <c r="F3551">
        <v>9</v>
      </c>
      <c r="G3551">
        <v>0.2</v>
      </c>
      <c r="H3551" s="2">
        <v>42.464699999999993</v>
      </c>
      <c r="I3551" s="2">
        <v>117.14400000000001</v>
      </c>
    </row>
    <row r="3552" spans="1:9" x14ac:dyDescent="0.3">
      <c r="A3552" t="str">
        <f t="shared" si="1167"/>
        <v>United States</v>
      </c>
      <c r="B3552" t="str">
        <f t="shared" si="1176"/>
        <v>Oakland</v>
      </c>
      <c r="C3552" t="str">
        <f t="shared" si="1177"/>
        <v>First Class</v>
      </c>
      <c r="D3552" t="str">
        <f t="shared" si="1178"/>
        <v>Consumer</v>
      </c>
      <c r="E3552" t="s">
        <v>21</v>
      </c>
      <c r="F3552">
        <v>6</v>
      </c>
      <c r="G3552">
        <v>0</v>
      </c>
      <c r="H3552" s="2">
        <v>14.082999999999993</v>
      </c>
      <c r="I3552" s="2">
        <v>139.38</v>
      </c>
    </row>
    <row r="3553" spans="1:9" x14ac:dyDescent="0.3">
      <c r="A3553" t="str">
        <f t="shared" si="1167"/>
        <v>United States</v>
      </c>
      <c r="B3553" t="str">
        <f t="shared" si="1176"/>
        <v>Oakland</v>
      </c>
      <c r="C3553" t="str">
        <f t="shared" si="1177"/>
        <v>First Class</v>
      </c>
      <c r="D3553" t="str">
        <f t="shared" si="1178"/>
        <v>Consumer</v>
      </c>
      <c r="E3553" t="s">
        <v>43</v>
      </c>
      <c r="F3553">
        <v>5</v>
      </c>
      <c r="G3553">
        <v>0</v>
      </c>
      <c r="H3553" s="2">
        <v>24.84</v>
      </c>
      <c r="I3553" s="2">
        <v>51.75</v>
      </c>
    </row>
    <row r="3554" spans="1:9" x14ac:dyDescent="0.3">
      <c r="A3554" t="str">
        <f t="shared" si="1167"/>
        <v>United States</v>
      </c>
      <c r="B3554" t="str">
        <f t="shared" si="1176"/>
        <v>Oakland</v>
      </c>
      <c r="C3554" t="str">
        <f t="shared" si="1177"/>
        <v>First Class</v>
      </c>
      <c r="D3554" t="str">
        <f t="shared" si="1178"/>
        <v>Consumer</v>
      </c>
      <c r="E3554" t="s">
        <v>24</v>
      </c>
      <c r="F3554">
        <v>4</v>
      </c>
      <c r="G3554">
        <v>0.2</v>
      </c>
      <c r="H3554" s="2">
        <v>37.797199999999975</v>
      </c>
      <c r="I3554" s="2">
        <v>431.96800000000007</v>
      </c>
    </row>
    <row r="3555" spans="1:9" x14ac:dyDescent="0.3">
      <c r="A3555" t="str">
        <f t="shared" si="1167"/>
        <v>United States</v>
      </c>
      <c r="B3555" t="str">
        <f t="shared" si="1176"/>
        <v>Oakland</v>
      </c>
      <c r="C3555" t="str">
        <f t="shared" si="1177"/>
        <v>First Class</v>
      </c>
      <c r="D3555" t="str">
        <f t="shared" si="1178"/>
        <v>Consumer</v>
      </c>
      <c r="E3555" t="s">
        <v>25</v>
      </c>
      <c r="F3555">
        <v>3</v>
      </c>
      <c r="G3555">
        <v>0.2</v>
      </c>
      <c r="H3555" s="2">
        <v>28.436399999999935</v>
      </c>
      <c r="I3555" s="2">
        <v>568.72800000000007</v>
      </c>
    </row>
    <row r="3556" spans="1:9" x14ac:dyDescent="0.3">
      <c r="A3556" t="str">
        <f t="shared" si="1167"/>
        <v>United States</v>
      </c>
      <c r="B3556" t="str">
        <f t="shared" si="1176"/>
        <v>Oakland</v>
      </c>
      <c r="C3556" t="str">
        <f t="shared" si="1177"/>
        <v>First Class</v>
      </c>
      <c r="D3556" t="s">
        <v>17</v>
      </c>
      <c r="E3556" t="s">
        <v>33</v>
      </c>
      <c r="F3556">
        <v>8</v>
      </c>
      <c r="G3556">
        <v>0.2</v>
      </c>
      <c r="H3556" s="2">
        <v>-73.819200000000052</v>
      </c>
      <c r="I3556" s="2">
        <v>454.27200000000005</v>
      </c>
    </row>
    <row r="3557" spans="1:9" x14ac:dyDescent="0.3">
      <c r="A3557" t="str">
        <f t="shared" si="1167"/>
        <v>United States</v>
      </c>
      <c r="B3557" t="str">
        <f t="shared" si="1176"/>
        <v>Oakland</v>
      </c>
      <c r="C3557" t="s">
        <v>7</v>
      </c>
      <c r="D3557" t="s">
        <v>8</v>
      </c>
      <c r="E3557" t="s">
        <v>21</v>
      </c>
      <c r="F3557">
        <v>6</v>
      </c>
      <c r="G3557">
        <v>0</v>
      </c>
      <c r="H3557" s="2">
        <v>8.9496000000000002</v>
      </c>
      <c r="I3557" s="2">
        <v>21.78</v>
      </c>
    </row>
    <row r="3558" spans="1:9" x14ac:dyDescent="0.3">
      <c r="A3558" t="str">
        <f t="shared" si="1167"/>
        <v>United States</v>
      </c>
      <c r="B3558" t="str">
        <f t="shared" si="1176"/>
        <v>Oakland</v>
      </c>
      <c r="C3558" t="str">
        <f t="shared" ref="C3558:C3560" si="1179">C3557</f>
        <v>Second Class</v>
      </c>
      <c r="D3558" t="str">
        <f>D3557</f>
        <v>Consumer</v>
      </c>
      <c r="E3558" t="s">
        <v>14</v>
      </c>
      <c r="F3558">
        <v>3</v>
      </c>
      <c r="G3558">
        <v>0</v>
      </c>
      <c r="H3558" s="2">
        <v>0.62579999999999902</v>
      </c>
      <c r="I3558" s="2">
        <v>8.94</v>
      </c>
    </row>
    <row r="3559" spans="1:9" x14ac:dyDescent="0.3">
      <c r="A3559" t="str">
        <f t="shared" si="1167"/>
        <v>United States</v>
      </c>
      <c r="B3559" t="str">
        <f t="shared" si="1176"/>
        <v>Oakland</v>
      </c>
      <c r="C3559" t="str">
        <f t="shared" si="1179"/>
        <v>Second Class</v>
      </c>
      <c r="D3559" t="s">
        <v>15</v>
      </c>
      <c r="E3559" t="s">
        <v>43</v>
      </c>
      <c r="F3559">
        <v>1</v>
      </c>
      <c r="G3559">
        <v>0</v>
      </c>
      <c r="H3559" s="2">
        <v>1.512</v>
      </c>
      <c r="I3559" s="2">
        <v>3.15</v>
      </c>
    </row>
    <row r="3560" spans="1:9" x14ac:dyDescent="0.3">
      <c r="A3560" t="str">
        <f t="shared" si="1167"/>
        <v>United States</v>
      </c>
      <c r="B3560" t="str">
        <f t="shared" si="1176"/>
        <v>Oakland</v>
      </c>
      <c r="C3560" t="str">
        <f t="shared" si="1179"/>
        <v>Second Class</v>
      </c>
      <c r="D3560" t="str">
        <f>D3559</f>
        <v>Corporate</v>
      </c>
      <c r="E3560" t="s">
        <v>24</v>
      </c>
      <c r="F3560">
        <v>3</v>
      </c>
      <c r="G3560">
        <v>0.2</v>
      </c>
      <c r="H3560" s="2">
        <v>7.1976000000000049</v>
      </c>
      <c r="I3560" s="2">
        <v>71.975999999999999</v>
      </c>
    </row>
    <row r="3561" spans="1:9" x14ac:dyDescent="0.3">
      <c r="A3561" t="str">
        <f t="shared" si="1167"/>
        <v>United States</v>
      </c>
      <c r="B3561" t="str">
        <f t="shared" si="1176"/>
        <v>Oakland</v>
      </c>
      <c r="C3561" t="s">
        <v>22</v>
      </c>
      <c r="D3561" t="s">
        <v>8</v>
      </c>
      <c r="E3561" t="s">
        <v>23</v>
      </c>
      <c r="F3561">
        <v>6</v>
      </c>
      <c r="G3561">
        <v>0</v>
      </c>
      <c r="H3561" s="2">
        <v>230.07840000000002</v>
      </c>
      <c r="I3561" s="2">
        <v>629.94000000000005</v>
      </c>
    </row>
    <row r="3562" spans="1:9" x14ac:dyDescent="0.3">
      <c r="A3562" t="str">
        <f t="shared" si="1167"/>
        <v>United States</v>
      </c>
      <c r="B3562" t="str">
        <f t="shared" si="1176"/>
        <v>Oakland</v>
      </c>
      <c r="C3562" t="str">
        <f t="shared" ref="C3562:C3571" si="1180">C3561</f>
        <v>Standard Class</v>
      </c>
      <c r="D3562" t="str">
        <f t="shared" ref="D3562:D3565" si="1181">D3561</f>
        <v>Consumer</v>
      </c>
      <c r="E3562" t="s">
        <v>33</v>
      </c>
      <c r="F3562">
        <v>3</v>
      </c>
      <c r="G3562">
        <v>0.2</v>
      </c>
      <c r="H3562" s="2">
        <v>35.759999999999962</v>
      </c>
      <c r="I3562" s="2">
        <v>572.16000000000008</v>
      </c>
    </row>
    <row r="3563" spans="1:9" x14ac:dyDescent="0.3">
      <c r="A3563" t="str">
        <f t="shared" si="1167"/>
        <v>United States</v>
      </c>
      <c r="B3563" t="str">
        <f t="shared" si="1176"/>
        <v>Oakland</v>
      </c>
      <c r="C3563" t="str">
        <f t="shared" si="1180"/>
        <v>Standard Class</v>
      </c>
      <c r="D3563" t="str">
        <f t="shared" si="1181"/>
        <v>Consumer</v>
      </c>
      <c r="E3563" t="s">
        <v>21</v>
      </c>
      <c r="F3563">
        <v>7</v>
      </c>
      <c r="G3563">
        <v>0</v>
      </c>
      <c r="H3563" s="2">
        <v>28.142100000000006</v>
      </c>
      <c r="I3563" s="2">
        <v>104.23</v>
      </c>
    </row>
    <row r="3564" spans="1:9" x14ac:dyDescent="0.3">
      <c r="A3564" t="str">
        <f t="shared" si="1167"/>
        <v>United States</v>
      </c>
      <c r="B3564" t="str">
        <f t="shared" si="1176"/>
        <v>Oakland</v>
      </c>
      <c r="C3564" t="str">
        <f t="shared" si="1180"/>
        <v>Standard Class</v>
      </c>
      <c r="D3564" t="str">
        <f t="shared" si="1181"/>
        <v>Consumer</v>
      </c>
      <c r="E3564" t="s">
        <v>24</v>
      </c>
      <c r="F3564">
        <v>7</v>
      </c>
      <c r="G3564">
        <v>0.2</v>
      </c>
      <c r="H3564" s="2">
        <v>-15.458100000000007</v>
      </c>
      <c r="I3564" s="2">
        <v>72.744000000000014</v>
      </c>
    </row>
    <row r="3565" spans="1:9" x14ac:dyDescent="0.3">
      <c r="A3565" t="str">
        <f t="shared" si="1167"/>
        <v>United States</v>
      </c>
      <c r="B3565" t="str">
        <f t="shared" si="1176"/>
        <v>Oakland</v>
      </c>
      <c r="C3565" t="str">
        <f t="shared" si="1180"/>
        <v>Standard Class</v>
      </c>
      <c r="D3565" t="str">
        <f t="shared" si="1181"/>
        <v>Consumer</v>
      </c>
      <c r="E3565" t="s">
        <v>14</v>
      </c>
      <c r="F3565">
        <v>3</v>
      </c>
      <c r="G3565">
        <v>0</v>
      </c>
      <c r="H3565" s="2">
        <v>18.970199999999998</v>
      </c>
      <c r="I3565" s="2">
        <v>70.260000000000005</v>
      </c>
    </row>
    <row r="3566" spans="1:9" x14ac:dyDescent="0.3">
      <c r="A3566" t="str">
        <f t="shared" si="1167"/>
        <v>United States</v>
      </c>
      <c r="B3566" t="str">
        <f t="shared" si="1176"/>
        <v>Oakland</v>
      </c>
      <c r="C3566" t="str">
        <f t="shared" si="1180"/>
        <v>Standard Class</v>
      </c>
      <c r="D3566" t="s">
        <v>15</v>
      </c>
      <c r="E3566" t="s">
        <v>19</v>
      </c>
      <c r="F3566">
        <v>5</v>
      </c>
      <c r="G3566">
        <v>0</v>
      </c>
      <c r="H3566" s="2">
        <v>44.974999999999987</v>
      </c>
      <c r="I3566" s="2">
        <v>179.89999999999998</v>
      </c>
    </row>
    <row r="3567" spans="1:9" x14ac:dyDescent="0.3">
      <c r="A3567" t="str">
        <f t="shared" si="1167"/>
        <v>United States</v>
      </c>
      <c r="B3567" t="str">
        <f t="shared" si="1176"/>
        <v>Oakland</v>
      </c>
      <c r="C3567" t="str">
        <f t="shared" si="1180"/>
        <v>Standard Class</v>
      </c>
      <c r="D3567" t="str">
        <f t="shared" ref="D3567:D3570" si="1182">D3566</f>
        <v>Corporate</v>
      </c>
      <c r="E3567" t="s">
        <v>20</v>
      </c>
      <c r="F3567">
        <v>3</v>
      </c>
      <c r="G3567">
        <v>0.2</v>
      </c>
      <c r="H3567" s="2">
        <v>4.1327999999999996</v>
      </c>
      <c r="I3567" s="2">
        <v>11.808</v>
      </c>
    </row>
    <row r="3568" spans="1:9" x14ac:dyDescent="0.3">
      <c r="A3568" t="str">
        <f t="shared" si="1167"/>
        <v>United States</v>
      </c>
      <c r="B3568" t="str">
        <f t="shared" si="1176"/>
        <v>Oakland</v>
      </c>
      <c r="C3568" t="str">
        <f t="shared" si="1180"/>
        <v>Standard Class</v>
      </c>
      <c r="D3568" t="str">
        <f t="shared" si="1182"/>
        <v>Corporate</v>
      </c>
      <c r="E3568" t="s">
        <v>33</v>
      </c>
      <c r="F3568">
        <v>9</v>
      </c>
      <c r="G3568">
        <v>0.2</v>
      </c>
      <c r="H3568" s="2">
        <v>43.464599999999905</v>
      </c>
      <c r="I3568" s="2">
        <v>1159.056</v>
      </c>
    </row>
    <row r="3569" spans="1:9" x14ac:dyDescent="0.3">
      <c r="A3569" t="str">
        <f t="shared" si="1167"/>
        <v>United States</v>
      </c>
      <c r="B3569" t="str">
        <f t="shared" si="1176"/>
        <v>Oakland</v>
      </c>
      <c r="C3569" t="str">
        <f t="shared" si="1180"/>
        <v>Standard Class</v>
      </c>
      <c r="D3569" t="str">
        <f t="shared" si="1182"/>
        <v>Corporate</v>
      </c>
      <c r="E3569" t="s">
        <v>24</v>
      </c>
      <c r="F3569">
        <v>1</v>
      </c>
      <c r="G3569">
        <v>0.2</v>
      </c>
      <c r="H3569" s="2">
        <v>-7.9984000000000073</v>
      </c>
      <c r="I3569" s="2">
        <v>39.992000000000004</v>
      </c>
    </row>
    <row r="3570" spans="1:9" x14ac:dyDescent="0.3">
      <c r="A3570" t="str">
        <f t="shared" si="1167"/>
        <v>United States</v>
      </c>
      <c r="B3570" t="str">
        <f t="shared" si="1176"/>
        <v>Oakland</v>
      </c>
      <c r="C3570" t="str">
        <f t="shared" si="1180"/>
        <v>Standard Class</v>
      </c>
      <c r="D3570" t="str">
        <f t="shared" si="1182"/>
        <v>Corporate</v>
      </c>
      <c r="E3570" t="s">
        <v>14</v>
      </c>
      <c r="F3570">
        <v>7</v>
      </c>
      <c r="G3570">
        <v>0</v>
      </c>
      <c r="H3570" s="2">
        <v>290.00579999999991</v>
      </c>
      <c r="I3570" s="2">
        <v>1000.0200000000001</v>
      </c>
    </row>
    <row r="3571" spans="1:9" x14ac:dyDescent="0.3">
      <c r="A3571" t="str">
        <f t="shared" si="1167"/>
        <v>United States</v>
      </c>
      <c r="B3571" t="str">
        <f t="shared" si="1176"/>
        <v>Oakland</v>
      </c>
      <c r="C3571" t="str">
        <f t="shared" si="1180"/>
        <v>Standard Class</v>
      </c>
      <c r="D3571" t="s">
        <v>17</v>
      </c>
      <c r="E3571" t="s">
        <v>19</v>
      </c>
      <c r="F3571">
        <v>1</v>
      </c>
      <c r="G3571">
        <v>0</v>
      </c>
      <c r="H3571" s="2">
        <v>10.028199999999998</v>
      </c>
      <c r="I3571" s="2">
        <v>34.58</v>
      </c>
    </row>
    <row r="3572" spans="1:9" x14ac:dyDescent="0.3">
      <c r="A3572" t="str">
        <f t="shared" si="1167"/>
        <v>United States</v>
      </c>
      <c r="B3572" t="s">
        <v>373</v>
      </c>
      <c r="C3572" t="s">
        <v>11</v>
      </c>
      <c r="D3572" t="s">
        <v>8</v>
      </c>
      <c r="E3572" t="s">
        <v>33</v>
      </c>
      <c r="F3572">
        <v>3</v>
      </c>
      <c r="G3572">
        <v>0.1</v>
      </c>
      <c r="H3572" s="2">
        <v>102.49980000000001</v>
      </c>
      <c r="I3572" s="2">
        <v>542.64599999999996</v>
      </c>
    </row>
    <row r="3573" spans="1:9" x14ac:dyDescent="0.3">
      <c r="A3573" t="str">
        <f t="shared" si="1167"/>
        <v>United States</v>
      </c>
      <c r="B3573" t="str">
        <f t="shared" ref="B3573:B3596" si="1183">B3572</f>
        <v>Oceanside</v>
      </c>
      <c r="C3573" t="str">
        <f t="shared" ref="C3573:C3578" si="1184">C3572</f>
        <v>First Class</v>
      </c>
      <c r="D3573" t="str">
        <f t="shared" ref="D3573:D3576" si="1185">D3572</f>
        <v>Consumer</v>
      </c>
      <c r="E3573" t="s">
        <v>43</v>
      </c>
      <c r="F3573">
        <v>2</v>
      </c>
      <c r="G3573">
        <v>0</v>
      </c>
      <c r="H3573" s="2">
        <v>3.024</v>
      </c>
      <c r="I3573" s="2">
        <v>6.3</v>
      </c>
    </row>
    <row r="3574" spans="1:9" x14ac:dyDescent="0.3">
      <c r="A3574" t="str">
        <f t="shared" si="1167"/>
        <v>United States</v>
      </c>
      <c r="B3574" t="str">
        <f t="shared" si="1183"/>
        <v>Oceanside</v>
      </c>
      <c r="C3574" t="str">
        <f t="shared" si="1184"/>
        <v>First Class</v>
      </c>
      <c r="D3574" t="str">
        <f t="shared" si="1185"/>
        <v>Consumer</v>
      </c>
      <c r="E3574" t="s">
        <v>16</v>
      </c>
      <c r="F3574">
        <v>8</v>
      </c>
      <c r="G3574">
        <v>0</v>
      </c>
      <c r="H3574" s="2">
        <v>84.051199999999994</v>
      </c>
      <c r="I3574" s="2">
        <v>182.72</v>
      </c>
    </row>
    <row r="3575" spans="1:9" x14ac:dyDescent="0.3">
      <c r="A3575" t="str">
        <f t="shared" si="1167"/>
        <v>United States</v>
      </c>
      <c r="B3575" t="str">
        <f t="shared" si="1183"/>
        <v>Oceanside</v>
      </c>
      <c r="C3575" t="str">
        <f t="shared" si="1184"/>
        <v>First Class</v>
      </c>
      <c r="D3575" t="str">
        <f t="shared" si="1185"/>
        <v>Consumer</v>
      </c>
      <c r="E3575" t="s">
        <v>14</v>
      </c>
      <c r="F3575">
        <v>3</v>
      </c>
      <c r="G3575">
        <v>0</v>
      </c>
      <c r="H3575" s="2">
        <v>10.088999999999999</v>
      </c>
      <c r="I3575" s="2">
        <v>33.630000000000003</v>
      </c>
    </row>
    <row r="3576" spans="1:9" x14ac:dyDescent="0.3">
      <c r="A3576" t="str">
        <f t="shared" si="1167"/>
        <v>United States</v>
      </c>
      <c r="B3576" t="str">
        <f t="shared" si="1183"/>
        <v>Oceanside</v>
      </c>
      <c r="C3576" t="str">
        <f t="shared" si="1184"/>
        <v>First Class</v>
      </c>
      <c r="D3576" t="str">
        <f t="shared" si="1185"/>
        <v>Consumer</v>
      </c>
      <c r="E3576" t="s">
        <v>25</v>
      </c>
      <c r="F3576">
        <v>2</v>
      </c>
      <c r="G3576">
        <v>0.4</v>
      </c>
      <c r="H3576" s="2">
        <v>-153.34560000000005</v>
      </c>
      <c r="I3576" s="2">
        <v>400.03199999999998</v>
      </c>
    </row>
    <row r="3577" spans="1:9" x14ac:dyDescent="0.3">
      <c r="A3577" t="str">
        <f t="shared" si="1167"/>
        <v>United States</v>
      </c>
      <c r="B3577" t="str">
        <f t="shared" si="1183"/>
        <v>Oceanside</v>
      </c>
      <c r="C3577" t="str">
        <f t="shared" si="1184"/>
        <v>First Class</v>
      </c>
      <c r="D3577" t="s">
        <v>15</v>
      </c>
      <c r="E3577" t="s">
        <v>20</v>
      </c>
      <c r="F3577">
        <v>3</v>
      </c>
      <c r="G3577">
        <v>0.2</v>
      </c>
      <c r="H3577" s="2">
        <v>4.4352000000000009</v>
      </c>
      <c r="I3577" s="2">
        <v>12.672000000000001</v>
      </c>
    </row>
    <row r="3578" spans="1:9" x14ac:dyDescent="0.3">
      <c r="A3578" t="str">
        <f t="shared" si="1167"/>
        <v>United States</v>
      </c>
      <c r="B3578" t="str">
        <f t="shared" si="1183"/>
        <v>Oceanside</v>
      </c>
      <c r="C3578" t="str">
        <f t="shared" si="1184"/>
        <v>First Class</v>
      </c>
      <c r="D3578" t="str">
        <f>D3577</f>
        <v>Corporate</v>
      </c>
      <c r="E3578" t="s">
        <v>21</v>
      </c>
      <c r="F3578">
        <v>2</v>
      </c>
      <c r="G3578">
        <v>0</v>
      </c>
      <c r="H3578" s="2">
        <v>6.3743999999999996</v>
      </c>
      <c r="I3578" s="2">
        <v>13.28</v>
      </c>
    </row>
    <row r="3579" spans="1:9" x14ac:dyDescent="0.3">
      <c r="A3579" t="str">
        <f t="shared" si="1167"/>
        <v>United States</v>
      </c>
      <c r="B3579" t="str">
        <f t="shared" si="1183"/>
        <v>Oceanside</v>
      </c>
      <c r="C3579" t="s">
        <v>27</v>
      </c>
      <c r="D3579" t="s">
        <v>8</v>
      </c>
      <c r="E3579" t="s">
        <v>21</v>
      </c>
      <c r="F3579">
        <v>2</v>
      </c>
      <c r="G3579">
        <v>0</v>
      </c>
      <c r="H3579" s="2">
        <v>53.195999999999998</v>
      </c>
      <c r="I3579" s="2">
        <v>204.6</v>
      </c>
    </row>
    <row r="3580" spans="1:9" x14ac:dyDescent="0.3">
      <c r="A3580" t="str">
        <f t="shared" si="1167"/>
        <v>United States</v>
      </c>
      <c r="B3580" t="str">
        <f t="shared" si="1183"/>
        <v>Oceanside</v>
      </c>
      <c r="C3580" t="s">
        <v>7</v>
      </c>
      <c r="D3580" t="s">
        <v>8</v>
      </c>
      <c r="E3580" t="s">
        <v>23</v>
      </c>
      <c r="F3580">
        <v>7</v>
      </c>
      <c r="G3580">
        <v>0</v>
      </c>
      <c r="H3580" s="2">
        <v>60.008399999999959</v>
      </c>
      <c r="I3580" s="2">
        <v>913.93000000000006</v>
      </c>
    </row>
    <row r="3581" spans="1:9" x14ac:dyDescent="0.3">
      <c r="A3581" t="str">
        <f t="shared" si="1167"/>
        <v>United States</v>
      </c>
      <c r="B3581" t="str">
        <f t="shared" si="1183"/>
        <v>Oceanside</v>
      </c>
      <c r="C3581" t="str">
        <f t="shared" ref="C3581:C3586" si="1186">C3580</f>
        <v>Second Class</v>
      </c>
      <c r="D3581" t="str">
        <f t="shared" ref="D3581:D3583" si="1187">D3580</f>
        <v>Consumer</v>
      </c>
      <c r="E3581" t="s">
        <v>38</v>
      </c>
      <c r="F3581">
        <v>6</v>
      </c>
      <c r="G3581">
        <v>0</v>
      </c>
      <c r="H3581" s="2">
        <v>5.7527999999999988</v>
      </c>
      <c r="I3581" s="2">
        <v>12.24</v>
      </c>
    </row>
    <row r="3582" spans="1:9" x14ac:dyDescent="0.3">
      <c r="A3582" t="str">
        <f t="shared" si="1167"/>
        <v>United States</v>
      </c>
      <c r="B3582" t="str">
        <f t="shared" si="1183"/>
        <v>Oceanside</v>
      </c>
      <c r="C3582" t="str">
        <f t="shared" si="1186"/>
        <v>Second Class</v>
      </c>
      <c r="D3582" t="str">
        <f t="shared" si="1187"/>
        <v>Consumer</v>
      </c>
      <c r="E3582" t="s">
        <v>21</v>
      </c>
      <c r="F3582">
        <v>5</v>
      </c>
      <c r="G3582">
        <v>0</v>
      </c>
      <c r="H3582" s="2">
        <v>13.7996</v>
      </c>
      <c r="I3582" s="2">
        <v>35.299999999999997</v>
      </c>
    </row>
    <row r="3583" spans="1:9" x14ac:dyDescent="0.3">
      <c r="A3583" t="str">
        <f t="shared" si="1167"/>
        <v>United States</v>
      </c>
      <c r="B3583" t="str">
        <f t="shared" si="1183"/>
        <v>Oceanside</v>
      </c>
      <c r="C3583" t="str">
        <f t="shared" si="1186"/>
        <v>Second Class</v>
      </c>
      <c r="D3583" t="str">
        <f t="shared" si="1187"/>
        <v>Consumer</v>
      </c>
      <c r="E3583" t="s">
        <v>14</v>
      </c>
      <c r="F3583">
        <v>5</v>
      </c>
      <c r="G3583">
        <v>0</v>
      </c>
      <c r="H3583" s="2">
        <v>4.8910000000000053</v>
      </c>
      <c r="I3583" s="2">
        <v>244.54999999999998</v>
      </c>
    </row>
    <row r="3584" spans="1:9" x14ac:dyDescent="0.3">
      <c r="A3584" t="str">
        <f t="shared" si="1167"/>
        <v>United States</v>
      </c>
      <c r="B3584" t="str">
        <f t="shared" si="1183"/>
        <v>Oceanside</v>
      </c>
      <c r="C3584" t="str">
        <f t="shared" si="1186"/>
        <v>Second Class</v>
      </c>
      <c r="D3584" t="s">
        <v>15</v>
      </c>
      <c r="E3584" t="s">
        <v>20</v>
      </c>
      <c r="F3584">
        <v>5</v>
      </c>
      <c r="G3584">
        <v>0.2</v>
      </c>
      <c r="H3584" s="2">
        <v>8.2079999999999984</v>
      </c>
      <c r="I3584" s="2">
        <v>24.320000000000004</v>
      </c>
    </row>
    <row r="3585" spans="1:9" x14ac:dyDescent="0.3">
      <c r="A3585" t="str">
        <f t="shared" si="1167"/>
        <v>United States</v>
      </c>
      <c r="B3585" t="str">
        <f t="shared" si="1183"/>
        <v>Oceanside</v>
      </c>
      <c r="C3585" t="str">
        <f t="shared" si="1186"/>
        <v>Second Class</v>
      </c>
      <c r="D3585" t="str">
        <f t="shared" ref="D3585:D3586" si="1188">D3584</f>
        <v>Corporate</v>
      </c>
      <c r="E3585" t="s">
        <v>33</v>
      </c>
      <c r="F3585">
        <v>4</v>
      </c>
      <c r="G3585">
        <v>0.4</v>
      </c>
      <c r="H3585" s="2">
        <v>15.250399999999999</v>
      </c>
      <c r="I3585" s="2">
        <v>178.75200000000001</v>
      </c>
    </row>
    <row r="3586" spans="1:9" x14ac:dyDescent="0.3">
      <c r="A3586" t="str">
        <f t="shared" si="1167"/>
        <v>United States</v>
      </c>
      <c r="B3586" t="str">
        <f t="shared" si="1183"/>
        <v>Oceanside</v>
      </c>
      <c r="C3586" t="str">
        <f t="shared" si="1186"/>
        <v>Second Class</v>
      </c>
      <c r="D3586" t="str">
        <f t="shared" si="1188"/>
        <v>Corporate</v>
      </c>
      <c r="E3586" t="s">
        <v>21</v>
      </c>
      <c r="F3586">
        <v>2</v>
      </c>
      <c r="G3586">
        <v>0</v>
      </c>
      <c r="H3586" s="2">
        <v>7.5840000000000014</v>
      </c>
      <c r="I3586" s="2">
        <v>18.96</v>
      </c>
    </row>
    <row r="3587" spans="1:9" x14ac:dyDescent="0.3">
      <c r="A3587" t="str">
        <f t="shared" si="1167"/>
        <v>United States</v>
      </c>
      <c r="B3587" t="str">
        <f t="shared" si="1183"/>
        <v>Oceanside</v>
      </c>
      <c r="C3587" t="s">
        <v>22</v>
      </c>
      <c r="D3587" t="s">
        <v>8</v>
      </c>
      <c r="E3587" t="s">
        <v>20</v>
      </c>
      <c r="F3587">
        <v>12</v>
      </c>
      <c r="G3587">
        <v>0.4</v>
      </c>
      <c r="H3587" s="2">
        <v>33.509700000000002</v>
      </c>
      <c r="I3587" s="2">
        <v>93.432000000000016</v>
      </c>
    </row>
    <row r="3588" spans="1:9" x14ac:dyDescent="0.3">
      <c r="A3588" t="str">
        <f t="shared" ref="A3588:A3651" si="1189">A3587</f>
        <v>United States</v>
      </c>
      <c r="B3588" t="str">
        <f t="shared" si="1183"/>
        <v>Oceanside</v>
      </c>
      <c r="C3588" t="str">
        <f t="shared" ref="C3588:C3596" si="1190">C3587</f>
        <v>Standard Class</v>
      </c>
      <c r="D3588" t="str">
        <f t="shared" ref="D3588:D3592" si="1191">D3587</f>
        <v>Consumer</v>
      </c>
      <c r="E3588" t="s">
        <v>33</v>
      </c>
      <c r="F3588">
        <v>2</v>
      </c>
      <c r="G3588">
        <v>0.1</v>
      </c>
      <c r="H3588" s="2">
        <v>48.313600000000008</v>
      </c>
      <c r="I3588" s="2">
        <v>271.76400000000001</v>
      </c>
    </row>
    <row r="3589" spans="1:9" x14ac:dyDescent="0.3">
      <c r="A3589" t="str">
        <f t="shared" si="1189"/>
        <v>United States</v>
      </c>
      <c r="B3589" t="str">
        <f t="shared" si="1183"/>
        <v>Oceanside</v>
      </c>
      <c r="C3589" t="str">
        <f t="shared" si="1190"/>
        <v>Standard Class</v>
      </c>
      <c r="D3589" t="str">
        <f t="shared" si="1191"/>
        <v>Consumer</v>
      </c>
      <c r="E3589" t="s">
        <v>18</v>
      </c>
      <c r="F3589">
        <v>3</v>
      </c>
      <c r="G3589">
        <v>0</v>
      </c>
      <c r="H3589" s="2">
        <v>16.186799999999998</v>
      </c>
      <c r="I3589" s="2">
        <v>34.44</v>
      </c>
    </row>
    <row r="3590" spans="1:9" x14ac:dyDescent="0.3">
      <c r="A3590" t="str">
        <f t="shared" si="1189"/>
        <v>United States</v>
      </c>
      <c r="B3590" t="str">
        <f t="shared" si="1183"/>
        <v>Oceanside</v>
      </c>
      <c r="C3590" t="str">
        <f t="shared" si="1190"/>
        <v>Standard Class</v>
      </c>
      <c r="D3590" t="str">
        <f t="shared" si="1191"/>
        <v>Consumer</v>
      </c>
      <c r="E3590" t="s">
        <v>21</v>
      </c>
      <c r="F3590">
        <v>10</v>
      </c>
      <c r="G3590">
        <v>0</v>
      </c>
      <c r="H3590" s="2">
        <v>29.264800000000001</v>
      </c>
      <c r="I3590" s="2">
        <v>66.08</v>
      </c>
    </row>
    <row r="3591" spans="1:9" x14ac:dyDescent="0.3">
      <c r="A3591" t="str">
        <f t="shared" si="1189"/>
        <v>United States</v>
      </c>
      <c r="B3591" t="str">
        <f t="shared" si="1183"/>
        <v>Oceanside</v>
      </c>
      <c r="C3591" t="str">
        <f t="shared" si="1190"/>
        <v>Standard Class</v>
      </c>
      <c r="D3591" t="str">
        <f t="shared" si="1191"/>
        <v>Consumer</v>
      </c>
      <c r="E3591" t="s">
        <v>46</v>
      </c>
      <c r="F3591">
        <v>7</v>
      </c>
      <c r="G3591">
        <v>0</v>
      </c>
      <c r="H3591" s="2">
        <v>296.06709999999998</v>
      </c>
      <c r="I3591" s="2">
        <v>629.92999999999995</v>
      </c>
    </row>
    <row r="3592" spans="1:9" x14ac:dyDescent="0.3">
      <c r="A3592" t="str">
        <f t="shared" si="1189"/>
        <v>United States</v>
      </c>
      <c r="B3592" t="str">
        <f t="shared" si="1183"/>
        <v>Oceanside</v>
      </c>
      <c r="C3592" t="str">
        <f t="shared" si="1190"/>
        <v>Standard Class</v>
      </c>
      <c r="D3592" t="str">
        <f t="shared" si="1191"/>
        <v>Consumer</v>
      </c>
      <c r="E3592" t="s">
        <v>16</v>
      </c>
      <c r="F3592">
        <v>2</v>
      </c>
      <c r="G3592">
        <v>0</v>
      </c>
      <c r="H3592" s="2">
        <v>6.2208000000000006</v>
      </c>
      <c r="I3592" s="2">
        <v>12.96</v>
      </c>
    </row>
    <row r="3593" spans="1:9" x14ac:dyDescent="0.3">
      <c r="A3593" t="str">
        <f t="shared" si="1189"/>
        <v>United States</v>
      </c>
      <c r="B3593" t="str">
        <f t="shared" si="1183"/>
        <v>Oceanside</v>
      </c>
      <c r="C3593" t="str">
        <f t="shared" si="1190"/>
        <v>Standard Class</v>
      </c>
      <c r="D3593" t="s">
        <v>15</v>
      </c>
      <c r="E3593" t="s">
        <v>21</v>
      </c>
      <c r="F3593">
        <v>5</v>
      </c>
      <c r="G3593">
        <v>0</v>
      </c>
      <c r="H3593" s="2">
        <v>28.959000000000003</v>
      </c>
      <c r="I3593" s="2">
        <v>68.949999999999989</v>
      </c>
    </row>
    <row r="3594" spans="1:9" x14ac:dyDescent="0.3">
      <c r="A3594" t="str">
        <f t="shared" si="1189"/>
        <v>United States</v>
      </c>
      <c r="B3594" t="str">
        <f t="shared" si="1183"/>
        <v>Oceanside</v>
      </c>
      <c r="C3594" t="str">
        <f t="shared" si="1190"/>
        <v>Standard Class</v>
      </c>
      <c r="D3594" t="str">
        <f t="shared" ref="D3594:D3595" si="1192">D3593</f>
        <v>Corporate</v>
      </c>
      <c r="E3594" t="s">
        <v>24</v>
      </c>
      <c r="F3594">
        <v>2</v>
      </c>
      <c r="G3594">
        <v>0</v>
      </c>
      <c r="H3594" s="2">
        <v>1.9989999999999952</v>
      </c>
      <c r="I3594" s="2">
        <v>39.979999999999997</v>
      </c>
    </row>
    <row r="3595" spans="1:9" x14ac:dyDescent="0.3">
      <c r="A3595" t="str">
        <f t="shared" si="1189"/>
        <v>United States</v>
      </c>
      <c r="B3595" t="str">
        <f t="shared" si="1183"/>
        <v>Oceanside</v>
      </c>
      <c r="C3595" t="str">
        <f t="shared" si="1190"/>
        <v>Standard Class</v>
      </c>
      <c r="D3595" t="str">
        <f t="shared" si="1192"/>
        <v>Corporate</v>
      </c>
      <c r="E3595" t="s">
        <v>14</v>
      </c>
      <c r="F3595">
        <v>3</v>
      </c>
      <c r="G3595">
        <v>0</v>
      </c>
      <c r="H3595" s="2">
        <v>80.019899999999993</v>
      </c>
      <c r="I3595" s="2">
        <v>296.37</v>
      </c>
    </row>
    <row r="3596" spans="1:9" x14ac:dyDescent="0.3">
      <c r="A3596" t="str">
        <f t="shared" si="1189"/>
        <v>United States</v>
      </c>
      <c r="B3596" t="str">
        <f t="shared" si="1183"/>
        <v>Oceanside</v>
      </c>
      <c r="C3596" t="str">
        <f t="shared" si="1190"/>
        <v>Standard Class</v>
      </c>
      <c r="D3596" t="s">
        <v>17</v>
      </c>
      <c r="E3596" t="s">
        <v>16</v>
      </c>
      <c r="F3596">
        <v>2</v>
      </c>
      <c r="G3596">
        <v>0</v>
      </c>
      <c r="H3596" s="2">
        <v>6.3209999999999997</v>
      </c>
      <c r="I3596" s="2">
        <v>12.9</v>
      </c>
    </row>
    <row r="3597" spans="1:9" x14ac:dyDescent="0.3">
      <c r="A3597" t="str">
        <f t="shared" si="1189"/>
        <v>United States</v>
      </c>
      <c r="B3597" t="s">
        <v>374</v>
      </c>
      <c r="C3597" t="s">
        <v>11</v>
      </c>
      <c r="D3597" t="s">
        <v>15</v>
      </c>
      <c r="E3597" t="s">
        <v>33</v>
      </c>
      <c r="F3597">
        <v>5</v>
      </c>
      <c r="G3597">
        <v>0.3</v>
      </c>
      <c r="H3597" s="2">
        <v>-56.343000000000018</v>
      </c>
      <c r="I3597" s="2">
        <v>563.42999999999984</v>
      </c>
    </row>
    <row r="3598" spans="1:9" x14ac:dyDescent="0.3">
      <c r="A3598" t="str">
        <f t="shared" si="1189"/>
        <v>United States</v>
      </c>
      <c r="B3598" t="str">
        <f t="shared" ref="B3598:B3601" si="1193">B3597</f>
        <v>Odessa</v>
      </c>
      <c r="C3598" t="str">
        <f>C3597</f>
        <v>First Class</v>
      </c>
      <c r="D3598" t="str">
        <f>D3597</f>
        <v>Corporate</v>
      </c>
      <c r="E3598" t="s">
        <v>16</v>
      </c>
      <c r="F3598">
        <v>7</v>
      </c>
      <c r="G3598">
        <v>0.2</v>
      </c>
      <c r="H3598" s="2">
        <v>15.509199999999998</v>
      </c>
      <c r="I3598" s="2">
        <v>42.783999999999999</v>
      </c>
    </row>
    <row r="3599" spans="1:9" x14ac:dyDescent="0.3">
      <c r="A3599" t="str">
        <f t="shared" si="1189"/>
        <v>United States</v>
      </c>
      <c r="B3599" t="str">
        <f t="shared" si="1193"/>
        <v>Odessa</v>
      </c>
      <c r="C3599" t="s">
        <v>22</v>
      </c>
      <c r="D3599" t="s">
        <v>15</v>
      </c>
      <c r="E3599" t="s">
        <v>12</v>
      </c>
      <c r="F3599">
        <v>1</v>
      </c>
      <c r="G3599">
        <v>0.8</v>
      </c>
      <c r="H3599" s="2">
        <v>-24.771599999999999</v>
      </c>
      <c r="I3599" s="2">
        <v>13.761999999999997</v>
      </c>
    </row>
    <row r="3600" spans="1:9" x14ac:dyDescent="0.3">
      <c r="A3600" t="str">
        <f t="shared" si="1189"/>
        <v>United States</v>
      </c>
      <c r="B3600" t="str">
        <f t="shared" si="1193"/>
        <v>Odessa</v>
      </c>
      <c r="C3600" t="str">
        <f t="shared" ref="C3600:C3601" si="1194">C3599</f>
        <v>Standard Class</v>
      </c>
      <c r="D3600" t="str">
        <f>D3599</f>
        <v>Corporate</v>
      </c>
      <c r="E3600" t="s">
        <v>16</v>
      </c>
      <c r="F3600">
        <v>3</v>
      </c>
      <c r="G3600">
        <v>0.2</v>
      </c>
      <c r="H3600" s="2">
        <v>5.6111999999999993</v>
      </c>
      <c r="I3600" s="2">
        <v>16.032</v>
      </c>
    </row>
    <row r="3601" spans="1:9" x14ac:dyDescent="0.3">
      <c r="A3601" t="str">
        <f t="shared" si="1189"/>
        <v>United States</v>
      </c>
      <c r="B3601" t="str">
        <f t="shared" si="1193"/>
        <v>Odessa</v>
      </c>
      <c r="C3601" t="str">
        <f t="shared" si="1194"/>
        <v>Standard Class</v>
      </c>
      <c r="D3601" t="s">
        <v>17</v>
      </c>
      <c r="E3601" t="s">
        <v>33</v>
      </c>
      <c r="F3601">
        <v>6</v>
      </c>
      <c r="G3601">
        <v>0.3</v>
      </c>
      <c r="H3601" s="2">
        <v>-9.717599999999976</v>
      </c>
      <c r="I3601" s="2">
        <v>340.11599999999999</v>
      </c>
    </row>
    <row r="3602" spans="1:9" x14ac:dyDescent="0.3">
      <c r="A3602" t="str">
        <f t="shared" si="1189"/>
        <v>United States</v>
      </c>
      <c r="B3602" t="s">
        <v>375</v>
      </c>
      <c r="C3602" t="s">
        <v>11</v>
      </c>
      <c r="D3602" t="s">
        <v>8</v>
      </c>
      <c r="E3602" t="s">
        <v>34</v>
      </c>
      <c r="F3602">
        <v>2</v>
      </c>
      <c r="G3602">
        <v>0</v>
      </c>
      <c r="H3602" s="2">
        <v>54.713599999999985</v>
      </c>
      <c r="I3602" s="2">
        <v>341.96</v>
      </c>
    </row>
    <row r="3603" spans="1:9" x14ac:dyDescent="0.3">
      <c r="A3603" t="str">
        <f t="shared" si="1189"/>
        <v>United States</v>
      </c>
      <c r="B3603" t="str">
        <f t="shared" ref="B3603:B3619" si="1195">B3602</f>
        <v>Oklahoma City</v>
      </c>
      <c r="C3603" t="str">
        <f t="shared" ref="C3603:C3604" si="1196">C3602</f>
        <v>First Class</v>
      </c>
      <c r="D3603" t="str">
        <f t="shared" ref="D3603:D3604" si="1197">D3602</f>
        <v>Consumer</v>
      </c>
      <c r="E3603" t="s">
        <v>38</v>
      </c>
      <c r="F3603">
        <v>2</v>
      </c>
      <c r="G3603">
        <v>0</v>
      </c>
      <c r="H3603" s="2">
        <v>149.8956</v>
      </c>
      <c r="I3603" s="2">
        <v>325.86</v>
      </c>
    </row>
    <row r="3604" spans="1:9" x14ac:dyDescent="0.3">
      <c r="A3604" t="str">
        <f t="shared" si="1189"/>
        <v>United States</v>
      </c>
      <c r="B3604" t="str">
        <f t="shared" si="1195"/>
        <v>Oklahoma City</v>
      </c>
      <c r="C3604" t="str">
        <f t="shared" si="1196"/>
        <v>First Class</v>
      </c>
      <c r="D3604" t="str">
        <f t="shared" si="1197"/>
        <v>Consumer</v>
      </c>
      <c r="E3604" t="s">
        <v>24</v>
      </c>
      <c r="F3604">
        <v>2</v>
      </c>
      <c r="G3604">
        <v>0</v>
      </c>
      <c r="H3604" s="2">
        <v>62.15440000000001</v>
      </c>
      <c r="I3604" s="2">
        <v>221.98</v>
      </c>
    </row>
    <row r="3605" spans="1:9" x14ac:dyDescent="0.3">
      <c r="A3605" t="str">
        <f t="shared" si="1189"/>
        <v>United States</v>
      </c>
      <c r="B3605" t="str">
        <f t="shared" si="1195"/>
        <v>Oklahoma City</v>
      </c>
      <c r="C3605" t="s">
        <v>27</v>
      </c>
      <c r="D3605" t="s">
        <v>8</v>
      </c>
      <c r="E3605" t="s">
        <v>20</v>
      </c>
      <c r="F3605">
        <v>9</v>
      </c>
      <c r="G3605">
        <v>0</v>
      </c>
      <c r="H3605" s="2">
        <v>19.080000000000002</v>
      </c>
      <c r="I3605" s="2">
        <v>38.160000000000004</v>
      </c>
    </row>
    <row r="3606" spans="1:9" x14ac:dyDescent="0.3">
      <c r="A3606" t="str">
        <f t="shared" si="1189"/>
        <v>United States</v>
      </c>
      <c r="B3606" t="str">
        <f t="shared" si="1195"/>
        <v>Oklahoma City</v>
      </c>
      <c r="C3606" t="s">
        <v>22</v>
      </c>
      <c r="D3606" t="s">
        <v>8</v>
      </c>
      <c r="E3606" t="s">
        <v>12</v>
      </c>
      <c r="F3606">
        <v>2</v>
      </c>
      <c r="G3606">
        <v>0</v>
      </c>
      <c r="H3606" s="2">
        <v>60.552800000000005</v>
      </c>
      <c r="I3606" s="2">
        <v>137.62</v>
      </c>
    </row>
    <row r="3607" spans="1:9" x14ac:dyDescent="0.3">
      <c r="A3607" t="str">
        <f t="shared" si="1189"/>
        <v>United States</v>
      </c>
      <c r="B3607" t="str">
        <f t="shared" si="1195"/>
        <v>Oklahoma City</v>
      </c>
      <c r="C3607" t="str">
        <f t="shared" ref="C3607:C3619" si="1198">C3606</f>
        <v>Standard Class</v>
      </c>
      <c r="D3607" t="str">
        <f t="shared" ref="D3607:D3611" si="1199">D3606</f>
        <v>Consumer</v>
      </c>
      <c r="E3607" t="s">
        <v>20</v>
      </c>
      <c r="F3607">
        <v>2</v>
      </c>
      <c r="G3607">
        <v>0</v>
      </c>
      <c r="H3607" s="2">
        <v>16.405199999999997</v>
      </c>
      <c r="I3607" s="2">
        <v>33.479999999999997</v>
      </c>
    </row>
    <row r="3608" spans="1:9" x14ac:dyDescent="0.3">
      <c r="A3608" t="str">
        <f t="shared" si="1189"/>
        <v>United States</v>
      </c>
      <c r="B3608" t="str">
        <f t="shared" si="1195"/>
        <v>Oklahoma City</v>
      </c>
      <c r="C3608" t="str">
        <f t="shared" si="1198"/>
        <v>Standard Class</v>
      </c>
      <c r="D3608" t="str">
        <f t="shared" si="1199"/>
        <v>Consumer</v>
      </c>
      <c r="E3608" t="s">
        <v>33</v>
      </c>
      <c r="F3608">
        <v>8</v>
      </c>
      <c r="G3608">
        <v>0</v>
      </c>
      <c r="H3608" s="2">
        <v>456.57179999999994</v>
      </c>
      <c r="I3608" s="2">
        <v>1626.57</v>
      </c>
    </row>
    <row r="3609" spans="1:9" x14ac:dyDescent="0.3">
      <c r="A3609" t="str">
        <f t="shared" si="1189"/>
        <v>United States</v>
      </c>
      <c r="B3609" t="str">
        <f t="shared" si="1195"/>
        <v>Oklahoma City</v>
      </c>
      <c r="C3609" t="str">
        <f t="shared" si="1198"/>
        <v>Standard Class</v>
      </c>
      <c r="D3609" t="str">
        <f t="shared" si="1199"/>
        <v>Consumer</v>
      </c>
      <c r="E3609" t="s">
        <v>16</v>
      </c>
      <c r="F3609">
        <v>5</v>
      </c>
      <c r="G3609">
        <v>0</v>
      </c>
      <c r="H3609" s="2">
        <v>54.722399999999993</v>
      </c>
      <c r="I3609" s="2">
        <v>116.88</v>
      </c>
    </row>
    <row r="3610" spans="1:9" x14ac:dyDescent="0.3">
      <c r="A3610" t="str">
        <f t="shared" si="1189"/>
        <v>United States</v>
      </c>
      <c r="B3610" t="str">
        <f t="shared" si="1195"/>
        <v>Oklahoma City</v>
      </c>
      <c r="C3610" t="str">
        <f t="shared" si="1198"/>
        <v>Standard Class</v>
      </c>
      <c r="D3610" t="str">
        <f t="shared" si="1199"/>
        <v>Consumer</v>
      </c>
      <c r="E3610" t="s">
        <v>24</v>
      </c>
      <c r="F3610">
        <v>7</v>
      </c>
      <c r="G3610">
        <v>0</v>
      </c>
      <c r="H3610" s="2">
        <v>268.36009999999999</v>
      </c>
      <c r="I3610" s="2">
        <v>941.93000000000006</v>
      </c>
    </row>
    <row r="3611" spans="1:9" x14ac:dyDescent="0.3">
      <c r="A3611" t="str">
        <f t="shared" si="1189"/>
        <v>United States</v>
      </c>
      <c r="B3611" t="str">
        <f t="shared" si="1195"/>
        <v>Oklahoma City</v>
      </c>
      <c r="C3611" t="str">
        <f t="shared" si="1198"/>
        <v>Standard Class</v>
      </c>
      <c r="D3611" t="str">
        <f t="shared" si="1199"/>
        <v>Consumer</v>
      </c>
      <c r="E3611" t="s">
        <v>14</v>
      </c>
      <c r="F3611">
        <v>4</v>
      </c>
      <c r="G3611">
        <v>0</v>
      </c>
      <c r="H3611" s="2">
        <v>5.4124000000000478</v>
      </c>
      <c r="I3611" s="2">
        <v>541.24</v>
      </c>
    </row>
    <row r="3612" spans="1:9" x14ac:dyDescent="0.3">
      <c r="A3612" t="str">
        <f t="shared" si="1189"/>
        <v>United States</v>
      </c>
      <c r="B3612" t="str">
        <f t="shared" si="1195"/>
        <v>Oklahoma City</v>
      </c>
      <c r="C3612" t="str">
        <f t="shared" si="1198"/>
        <v>Standard Class</v>
      </c>
      <c r="D3612" t="s">
        <v>15</v>
      </c>
      <c r="E3612" t="s">
        <v>23</v>
      </c>
      <c r="F3612">
        <v>1</v>
      </c>
      <c r="G3612">
        <v>0</v>
      </c>
      <c r="H3612" s="2">
        <v>0.5519999999999996</v>
      </c>
      <c r="I3612" s="2">
        <v>6.9</v>
      </c>
    </row>
    <row r="3613" spans="1:9" x14ac:dyDescent="0.3">
      <c r="A3613" t="str">
        <f t="shared" si="1189"/>
        <v>United States</v>
      </c>
      <c r="B3613" t="str">
        <f t="shared" si="1195"/>
        <v>Oklahoma City</v>
      </c>
      <c r="C3613" t="str">
        <f t="shared" si="1198"/>
        <v>Standard Class</v>
      </c>
      <c r="D3613" t="str">
        <f>D3612</f>
        <v>Corporate</v>
      </c>
      <c r="E3613" t="s">
        <v>21</v>
      </c>
      <c r="F3613">
        <v>7</v>
      </c>
      <c r="G3613">
        <v>0</v>
      </c>
      <c r="H3613" s="2">
        <v>36.707700000000003</v>
      </c>
      <c r="I3613" s="2">
        <v>88.05</v>
      </c>
    </row>
    <row r="3614" spans="1:9" x14ac:dyDescent="0.3">
      <c r="A3614" t="str">
        <f t="shared" si="1189"/>
        <v>United States</v>
      </c>
      <c r="B3614" t="str">
        <f t="shared" si="1195"/>
        <v>Oklahoma City</v>
      </c>
      <c r="C3614" t="str">
        <f t="shared" si="1198"/>
        <v>Standard Class</v>
      </c>
      <c r="D3614" t="s">
        <v>17</v>
      </c>
      <c r="E3614" t="s">
        <v>12</v>
      </c>
      <c r="F3614">
        <v>3</v>
      </c>
      <c r="G3614">
        <v>0</v>
      </c>
      <c r="H3614" s="2">
        <v>251.89109999999988</v>
      </c>
      <c r="I3614" s="2">
        <v>868.58999999999992</v>
      </c>
    </row>
    <row r="3615" spans="1:9" x14ac:dyDescent="0.3">
      <c r="A3615" t="str">
        <f t="shared" si="1189"/>
        <v>United States</v>
      </c>
      <c r="B3615" t="str">
        <f t="shared" si="1195"/>
        <v>Oklahoma City</v>
      </c>
      <c r="C3615" t="str">
        <f t="shared" si="1198"/>
        <v>Standard Class</v>
      </c>
      <c r="D3615" t="str">
        <f t="shared" ref="D3615:D3619" si="1200">D3614</f>
        <v>Home Office</v>
      </c>
      <c r="E3615" t="s">
        <v>20</v>
      </c>
      <c r="F3615">
        <v>4</v>
      </c>
      <c r="G3615">
        <v>0</v>
      </c>
      <c r="H3615" s="2">
        <v>55.935999999999993</v>
      </c>
      <c r="I3615" s="2">
        <v>121.6</v>
      </c>
    </row>
    <row r="3616" spans="1:9" x14ac:dyDescent="0.3">
      <c r="A3616" t="str">
        <f t="shared" si="1189"/>
        <v>United States</v>
      </c>
      <c r="B3616" t="str">
        <f t="shared" si="1195"/>
        <v>Oklahoma City</v>
      </c>
      <c r="C3616" t="str">
        <f t="shared" si="1198"/>
        <v>Standard Class</v>
      </c>
      <c r="D3616" t="str">
        <f t="shared" si="1200"/>
        <v>Home Office</v>
      </c>
      <c r="E3616" t="s">
        <v>43</v>
      </c>
      <c r="F3616">
        <v>13</v>
      </c>
      <c r="G3616">
        <v>0</v>
      </c>
      <c r="H3616" s="2">
        <v>24.313800000000001</v>
      </c>
      <c r="I3616" s="2">
        <v>49.620000000000005</v>
      </c>
    </row>
    <row r="3617" spans="1:9" x14ac:dyDescent="0.3">
      <c r="A3617" t="str">
        <f t="shared" si="1189"/>
        <v>United States</v>
      </c>
      <c r="B3617" t="str">
        <f t="shared" si="1195"/>
        <v>Oklahoma City</v>
      </c>
      <c r="C3617" t="str">
        <f t="shared" si="1198"/>
        <v>Standard Class</v>
      </c>
      <c r="D3617" t="str">
        <f t="shared" si="1200"/>
        <v>Home Office</v>
      </c>
      <c r="E3617" t="s">
        <v>16</v>
      </c>
      <c r="F3617">
        <v>2</v>
      </c>
      <c r="G3617">
        <v>0</v>
      </c>
      <c r="H3617" s="2">
        <v>6.2208000000000006</v>
      </c>
      <c r="I3617" s="2">
        <v>12.96</v>
      </c>
    </row>
    <row r="3618" spans="1:9" x14ac:dyDescent="0.3">
      <c r="A3618" t="str">
        <f t="shared" si="1189"/>
        <v>United States</v>
      </c>
      <c r="B3618" t="str">
        <f t="shared" si="1195"/>
        <v>Oklahoma City</v>
      </c>
      <c r="C3618" t="str">
        <f t="shared" si="1198"/>
        <v>Standard Class</v>
      </c>
      <c r="D3618" t="str">
        <f t="shared" si="1200"/>
        <v>Home Office</v>
      </c>
      <c r="E3618" t="s">
        <v>24</v>
      </c>
      <c r="F3618">
        <v>1</v>
      </c>
      <c r="G3618">
        <v>0</v>
      </c>
      <c r="H3618" s="2">
        <v>1.375</v>
      </c>
      <c r="I3618" s="2">
        <v>5.5</v>
      </c>
    </row>
    <row r="3619" spans="1:9" x14ac:dyDescent="0.3">
      <c r="A3619" t="str">
        <f t="shared" si="1189"/>
        <v>United States</v>
      </c>
      <c r="B3619" t="str">
        <f t="shared" si="1195"/>
        <v>Oklahoma City</v>
      </c>
      <c r="C3619" t="str">
        <f t="shared" si="1198"/>
        <v>Standard Class</v>
      </c>
      <c r="D3619" t="str">
        <f t="shared" si="1200"/>
        <v>Home Office</v>
      </c>
      <c r="E3619" t="s">
        <v>14</v>
      </c>
      <c r="F3619">
        <v>4</v>
      </c>
      <c r="G3619">
        <v>0</v>
      </c>
      <c r="H3619" s="2">
        <v>55.895999999999958</v>
      </c>
      <c r="I3619" s="2">
        <v>1117.92</v>
      </c>
    </row>
    <row r="3620" spans="1:9" x14ac:dyDescent="0.3">
      <c r="A3620" t="str">
        <f t="shared" si="1189"/>
        <v>United States</v>
      </c>
      <c r="B3620" t="s">
        <v>376</v>
      </c>
      <c r="C3620" t="s">
        <v>22</v>
      </c>
      <c r="D3620" t="s">
        <v>17</v>
      </c>
      <c r="E3620" t="s">
        <v>23</v>
      </c>
      <c r="F3620">
        <v>5</v>
      </c>
      <c r="G3620">
        <v>0</v>
      </c>
      <c r="H3620" s="2">
        <v>10.905999999999993</v>
      </c>
      <c r="I3620" s="2">
        <v>57.400000000000006</v>
      </c>
    </row>
    <row r="3621" spans="1:9" x14ac:dyDescent="0.3">
      <c r="A3621" t="str">
        <f t="shared" si="1189"/>
        <v>United States</v>
      </c>
      <c r="B3621" t="str">
        <f t="shared" ref="B3621:B3624" si="1201">B3620</f>
        <v>Olathe</v>
      </c>
      <c r="C3621" t="str">
        <f t="shared" ref="C3621:C3624" si="1202">C3620</f>
        <v>Standard Class</v>
      </c>
      <c r="D3621" t="str">
        <f t="shared" ref="D3621:D3624" si="1203">D3620</f>
        <v>Home Office</v>
      </c>
      <c r="E3621" t="s">
        <v>19</v>
      </c>
      <c r="F3621">
        <v>3</v>
      </c>
      <c r="G3621">
        <v>0</v>
      </c>
      <c r="H3621" s="2">
        <v>26.984999999999992</v>
      </c>
      <c r="I3621" s="2">
        <v>107.94</v>
      </c>
    </row>
    <row r="3622" spans="1:9" x14ac:dyDescent="0.3">
      <c r="A3622" t="str">
        <f t="shared" si="1189"/>
        <v>United States</v>
      </c>
      <c r="B3622" t="str">
        <f t="shared" si="1201"/>
        <v>Olathe</v>
      </c>
      <c r="C3622" t="str">
        <f t="shared" si="1202"/>
        <v>Standard Class</v>
      </c>
      <c r="D3622" t="str">
        <f t="shared" si="1203"/>
        <v>Home Office</v>
      </c>
      <c r="E3622" t="s">
        <v>20</v>
      </c>
      <c r="F3622">
        <v>2</v>
      </c>
      <c r="G3622">
        <v>0</v>
      </c>
      <c r="H3622" s="2">
        <v>149.38199999999998</v>
      </c>
      <c r="I3622" s="2">
        <v>331.96</v>
      </c>
    </row>
    <row r="3623" spans="1:9" x14ac:dyDescent="0.3">
      <c r="A3623" t="str">
        <f t="shared" si="1189"/>
        <v>United States</v>
      </c>
      <c r="B3623" t="str">
        <f t="shared" si="1201"/>
        <v>Olathe</v>
      </c>
      <c r="C3623" t="str">
        <f t="shared" si="1202"/>
        <v>Standard Class</v>
      </c>
      <c r="D3623" t="str">
        <f t="shared" si="1203"/>
        <v>Home Office</v>
      </c>
      <c r="E3623" t="s">
        <v>21</v>
      </c>
      <c r="F3623">
        <v>2</v>
      </c>
      <c r="G3623">
        <v>0</v>
      </c>
      <c r="H3623" s="2">
        <v>12.979199999999999</v>
      </c>
      <c r="I3623" s="2">
        <v>40.56</v>
      </c>
    </row>
    <row r="3624" spans="1:9" x14ac:dyDescent="0.3">
      <c r="A3624" t="str">
        <f t="shared" si="1189"/>
        <v>United States</v>
      </c>
      <c r="B3624" t="str">
        <f t="shared" si="1201"/>
        <v>Olathe</v>
      </c>
      <c r="C3624" t="str">
        <f t="shared" si="1202"/>
        <v>Standard Class</v>
      </c>
      <c r="D3624" t="str">
        <f t="shared" si="1203"/>
        <v>Home Office</v>
      </c>
      <c r="E3624" t="s">
        <v>9</v>
      </c>
      <c r="F3624">
        <v>3</v>
      </c>
      <c r="G3624">
        <v>0</v>
      </c>
      <c r="H3624" s="2">
        <v>7.158600000000007</v>
      </c>
      <c r="I3624" s="2">
        <v>357.93</v>
      </c>
    </row>
    <row r="3625" spans="1:9" x14ac:dyDescent="0.3">
      <c r="A3625" t="str">
        <f t="shared" si="1189"/>
        <v>United States</v>
      </c>
      <c r="B3625" t="s">
        <v>377</v>
      </c>
      <c r="C3625" t="s">
        <v>7</v>
      </c>
      <c r="D3625" t="s">
        <v>8</v>
      </c>
      <c r="E3625" t="s">
        <v>33</v>
      </c>
      <c r="F3625">
        <v>5</v>
      </c>
      <c r="G3625">
        <v>0.2</v>
      </c>
      <c r="H3625" s="2">
        <v>45.294000000000011</v>
      </c>
      <c r="I3625" s="2">
        <v>603.91999999999996</v>
      </c>
    </row>
    <row r="3626" spans="1:9" x14ac:dyDescent="0.3">
      <c r="A3626" t="str">
        <f t="shared" si="1189"/>
        <v>United States</v>
      </c>
      <c r="B3626" t="str">
        <f t="shared" ref="B3626:B3629" si="1204">B3625</f>
        <v>Olympia</v>
      </c>
      <c r="C3626" t="str">
        <f t="shared" ref="C3626:C3629" si="1205">C3625</f>
        <v>Second Class</v>
      </c>
      <c r="D3626" t="str">
        <f t="shared" ref="D3626:D3629" si="1206">D3625</f>
        <v>Consumer</v>
      </c>
      <c r="E3626" t="s">
        <v>21</v>
      </c>
      <c r="F3626">
        <v>3</v>
      </c>
      <c r="G3626">
        <v>0</v>
      </c>
      <c r="H3626" s="2">
        <v>46.574999999999996</v>
      </c>
      <c r="I3626" s="2">
        <v>155.25</v>
      </c>
    </row>
    <row r="3627" spans="1:9" x14ac:dyDescent="0.3">
      <c r="A3627" t="str">
        <f t="shared" si="1189"/>
        <v>United States</v>
      </c>
      <c r="B3627" t="str">
        <f t="shared" si="1204"/>
        <v>Olympia</v>
      </c>
      <c r="C3627" t="str">
        <f t="shared" si="1205"/>
        <v>Second Class</v>
      </c>
      <c r="D3627" t="str">
        <f t="shared" si="1206"/>
        <v>Consumer</v>
      </c>
      <c r="E3627" t="s">
        <v>16</v>
      </c>
      <c r="F3627">
        <v>2</v>
      </c>
      <c r="G3627">
        <v>0</v>
      </c>
      <c r="H3627" s="2">
        <v>21.012799999999999</v>
      </c>
      <c r="I3627" s="2">
        <v>45.68</v>
      </c>
    </row>
    <row r="3628" spans="1:9" x14ac:dyDescent="0.3">
      <c r="A3628" t="str">
        <f t="shared" si="1189"/>
        <v>United States</v>
      </c>
      <c r="B3628" t="str">
        <f t="shared" si="1204"/>
        <v>Olympia</v>
      </c>
      <c r="C3628" t="str">
        <f t="shared" si="1205"/>
        <v>Second Class</v>
      </c>
      <c r="D3628" t="str">
        <f t="shared" si="1206"/>
        <v>Consumer</v>
      </c>
      <c r="E3628" t="s">
        <v>24</v>
      </c>
      <c r="F3628">
        <v>4</v>
      </c>
      <c r="G3628">
        <v>0.2</v>
      </c>
      <c r="H3628" s="2">
        <v>22.676399999999994</v>
      </c>
      <c r="I3628" s="2">
        <v>201.56800000000001</v>
      </c>
    </row>
    <row r="3629" spans="1:9" x14ac:dyDescent="0.3">
      <c r="A3629" t="str">
        <f t="shared" si="1189"/>
        <v>United States</v>
      </c>
      <c r="B3629" t="str">
        <f t="shared" si="1204"/>
        <v>Olympia</v>
      </c>
      <c r="C3629" t="str">
        <f t="shared" si="1205"/>
        <v>Second Class</v>
      </c>
      <c r="D3629" t="str">
        <f t="shared" si="1206"/>
        <v>Consumer</v>
      </c>
      <c r="E3629" t="s">
        <v>14</v>
      </c>
      <c r="F3629">
        <v>1</v>
      </c>
      <c r="G3629">
        <v>0</v>
      </c>
      <c r="H3629" s="2">
        <v>4.068699999999998</v>
      </c>
      <c r="I3629" s="2">
        <v>14.03</v>
      </c>
    </row>
    <row r="3630" spans="1:9" x14ac:dyDescent="0.3">
      <c r="A3630" t="str">
        <f t="shared" si="1189"/>
        <v>United States</v>
      </c>
      <c r="B3630" t="s">
        <v>378</v>
      </c>
      <c r="C3630" t="s">
        <v>11</v>
      </c>
      <c r="D3630" t="s">
        <v>8</v>
      </c>
      <c r="E3630" t="s">
        <v>23</v>
      </c>
      <c r="F3630">
        <v>3</v>
      </c>
      <c r="G3630">
        <v>0</v>
      </c>
      <c r="H3630" s="2">
        <v>50.989800000000002</v>
      </c>
      <c r="I3630" s="2">
        <v>149.97</v>
      </c>
    </row>
    <row r="3631" spans="1:9" x14ac:dyDescent="0.3">
      <c r="A3631" t="str">
        <f t="shared" si="1189"/>
        <v>United States</v>
      </c>
      <c r="B3631" t="str">
        <f t="shared" ref="B3631:B3648" si="1207">B3630</f>
        <v>Omaha</v>
      </c>
      <c r="C3631" t="str">
        <f t="shared" ref="C3631:C3634" si="1208">C3630</f>
        <v>First Class</v>
      </c>
      <c r="D3631" t="str">
        <f>D3630</f>
        <v>Consumer</v>
      </c>
      <c r="E3631" t="s">
        <v>21</v>
      </c>
      <c r="F3631">
        <v>2</v>
      </c>
      <c r="G3631">
        <v>0</v>
      </c>
      <c r="H3631" s="2">
        <v>11.076000000000001</v>
      </c>
      <c r="I3631" s="2">
        <v>28.4</v>
      </c>
    </row>
    <row r="3632" spans="1:9" x14ac:dyDescent="0.3">
      <c r="A3632" t="str">
        <f t="shared" si="1189"/>
        <v>United States</v>
      </c>
      <c r="B3632" t="str">
        <f t="shared" si="1207"/>
        <v>Omaha</v>
      </c>
      <c r="C3632" t="str">
        <f t="shared" si="1208"/>
        <v>First Class</v>
      </c>
      <c r="D3632" t="s">
        <v>15</v>
      </c>
      <c r="E3632" t="s">
        <v>12</v>
      </c>
      <c r="F3632">
        <v>5</v>
      </c>
      <c r="G3632">
        <v>0</v>
      </c>
      <c r="H3632" s="2">
        <v>18.409399999999994</v>
      </c>
      <c r="I3632" s="2">
        <v>62.23</v>
      </c>
    </row>
    <row r="3633" spans="1:9" x14ac:dyDescent="0.3">
      <c r="A3633" t="str">
        <f t="shared" si="1189"/>
        <v>United States</v>
      </c>
      <c r="B3633" t="str">
        <f t="shared" si="1207"/>
        <v>Omaha</v>
      </c>
      <c r="C3633" t="str">
        <f t="shared" si="1208"/>
        <v>First Class</v>
      </c>
      <c r="D3633" t="str">
        <f>D3632</f>
        <v>Corporate</v>
      </c>
      <c r="E3633" t="s">
        <v>16</v>
      </c>
      <c r="F3633">
        <v>1</v>
      </c>
      <c r="G3633">
        <v>0</v>
      </c>
      <c r="H3633" s="2">
        <v>3.1104000000000003</v>
      </c>
      <c r="I3633" s="2">
        <v>6.48</v>
      </c>
    </row>
    <row r="3634" spans="1:9" x14ac:dyDescent="0.3">
      <c r="A3634" t="str">
        <f t="shared" si="1189"/>
        <v>United States</v>
      </c>
      <c r="B3634" t="str">
        <f t="shared" si="1207"/>
        <v>Omaha</v>
      </c>
      <c r="C3634" t="str">
        <f t="shared" si="1208"/>
        <v>First Class</v>
      </c>
      <c r="D3634" t="s">
        <v>17</v>
      </c>
      <c r="E3634" t="s">
        <v>33</v>
      </c>
      <c r="F3634">
        <v>3</v>
      </c>
      <c r="G3634">
        <v>0</v>
      </c>
      <c r="H3634" s="2">
        <v>112.78800000000001</v>
      </c>
      <c r="I3634" s="2">
        <v>563.93999999999994</v>
      </c>
    </row>
    <row r="3635" spans="1:9" x14ac:dyDescent="0.3">
      <c r="A3635" t="str">
        <f t="shared" si="1189"/>
        <v>United States</v>
      </c>
      <c r="B3635" t="str">
        <f t="shared" si="1207"/>
        <v>Omaha</v>
      </c>
      <c r="C3635" t="s">
        <v>27</v>
      </c>
      <c r="D3635" t="s">
        <v>17</v>
      </c>
      <c r="E3635" t="s">
        <v>20</v>
      </c>
      <c r="F3635">
        <v>3</v>
      </c>
      <c r="G3635">
        <v>0</v>
      </c>
      <c r="H3635" s="2">
        <v>15.524999999999999</v>
      </c>
      <c r="I3635" s="2">
        <v>34.5</v>
      </c>
    </row>
    <row r="3636" spans="1:9" x14ac:dyDescent="0.3">
      <c r="A3636" t="str">
        <f t="shared" si="1189"/>
        <v>United States</v>
      </c>
      <c r="B3636" t="str">
        <f t="shared" si="1207"/>
        <v>Omaha</v>
      </c>
      <c r="C3636" t="s">
        <v>7</v>
      </c>
      <c r="D3636" t="s">
        <v>15</v>
      </c>
      <c r="E3636" t="s">
        <v>20</v>
      </c>
      <c r="F3636">
        <v>4</v>
      </c>
      <c r="G3636">
        <v>0</v>
      </c>
      <c r="H3636" s="2">
        <v>10.988799999999999</v>
      </c>
      <c r="I3636" s="2">
        <v>22.4</v>
      </c>
    </row>
    <row r="3637" spans="1:9" x14ac:dyDescent="0.3">
      <c r="A3637" t="str">
        <f t="shared" si="1189"/>
        <v>United States</v>
      </c>
      <c r="B3637" t="str">
        <f t="shared" si="1207"/>
        <v>Omaha</v>
      </c>
      <c r="C3637" t="str">
        <f t="shared" ref="C3637:C3638" si="1209">C3636</f>
        <v>Second Class</v>
      </c>
      <c r="D3637" t="str">
        <f t="shared" ref="D3637:D3638" si="1210">D3636</f>
        <v>Corporate</v>
      </c>
      <c r="E3637" t="s">
        <v>18</v>
      </c>
      <c r="F3637">
        <v>4</v>
      </c>
      <c r="G3637">
        <v>0</v>
      </c>
      <c r="H3637" s="2">
        <v>0.2016</v>
      </c>
      <c r="I3637" s="2">
        <v>5.04</v>
      </c>
    </row>
    <row r="3638" spans="1:9" x14ac:dyDescent="0.3">
      <c r="A3638" t="str">
        <f t="shared" si="1189"/>
        <v>United States</v>
      </c>
      <c r="B3638" t="str">
        <f t="shared" si="1207"/>
        <v>Omaha</v>
      </c>
      <c r="C3638" t="str">
        <f t="shared" si="1209"/>
        <v>Second Class</v>
      </c>
      <c r="D3638" t="str">
        <f t="shared" si="1210"/>
        <v>Corporate</v>
      </c>
      <c r="E3638" t="s">
        <v>16</v>
      </c>
      <c r="F3638">
        <v>3</v>
      </c>
      <c r="G3638">
        <v>0</v>
      </c>
      <c r="H3638" s="2">
        <v>56.977199999999996</v>
      </c>
      <c r="I3638" s="2">
        <v>116.28</v>
      </c>
    </row>
    <row r="3639" spans="1:9" x14ac:dyDescent="0.3">
      <c r="A3639" t="str">
        <f t="shared" si="1189"/>
        <v>United States</v>
      </c>
      <c r="B3639" t="str">
        <f t="shared" si="1207"/>
        <v>Omaha</v>
      </c>
      <c r="C3639" t="s">
        <v>22</v>
      </c>
      <c r="D3639" t="s">
        <v>8</v>
      </c>
      <c r="E3639" t="s">
        <v>12</v>
      </c>
      <c r="F3639">
        <v>2</v>
      </c>
      <c r="G3639">
        <v>0</v>
      </c>
      <c r="H3639" s="2">
        <v>136.07999999999998</v>
      </c>
      <c r="I3639" s="2">
        <v>378</v>
      </c>
    </row>
    <row r="3640" spans="1:9" x14ac:dyDescent="0.3">
      <c r="A3640" t="str">
        <f t="shared" si="1189"/>
        <v>United States</v>
      </c>
      <c r="B3640" t="str">
        <f t="shared" si="1207"/>
        <v>Omaha</v>
      </c>
      <c r="C3640" t="str">
        <f t="shared" ref="C3640:C3648" si="1211">C3639</f>
        <v>Standard Class</v>
      </c>
      <c r="D3640" t="str">
        <f t="shared" ref="D3640:D3645" si="1212">D3639</f>
        <v>Consumer</v>
      </c>
      <c r="E3640" t="s">
        <v>21</v>
      </c>
      <c r="F3640">
        <v>14</v>
      </c>
      <c r="G3640">
        <v>0</v>
      </c>
      <c r="H3640" s="2">
        <v>387.56759999999986</v>
      </c>
      <c r="I3640" s="2">
        <v>1336.4399999999998</v>
      </c>
    </row>
    <row r="3641" spans="1:9" x14ac:dyDescent="0.3">
      <c r="A3641" t="str">
        <f t="shared" si="1189"/>
        <v>United States</v>
      </c>
      <c r="B3641" t="str">
        <f t="shared" si="1207"/>
        <v>Omaha</v>
      </c>
      <c r="C3641" t="str">
        <f t="shared" si="1211"/>
        <v>Standard Class</v>
      </c>
      <c r="D3641" t="str">
        <f t="shared" si="1212"/>
        <v>Consumer</v>
      </c>
      <c r="E3641" t="s">
        <v>43</v>
      </c>
      <c r="F3641">
        <v>5</v>
      </c>
      <c r="G3641">
        <v>0</v>
      </c>
      <c r="H3641" s="2">
        <v>7.056</v>
      </c>
      <c r="I3641" s="2">
        <v>14.399999999999999</v>
      </c>
    </row>
    <row r="3642" spans="1:9" x14ac:dyDescent="0.3">
      <c r="A3642" t="str">
        <f t="shared" si="1189"/>
        <v>United States</v>
      </c>
      <c r="B3642" t="str">
        <f t="shared" si="1207"/>
        <v>Omaha</v>
      </c>
      <c r="C3642" t="str">
        <f t="shared" si="1211"/>
        <v>Standard Class</v>
      </c>
      <c r="D3642" t="str">
        <f t="shared" si="1212"/>
        <v>Consumer</v>
      </c>
      <c r="E3642" t="s">
        <v>16</v>
      </c>
      <c r="F3642">
        <v>9</v>
      </c>
      <c r="G3642">
        <v>0</v>
      </c>
      <c r="H3642" s="2">
        <v>26.328599999999998</v>
      </c>
      <c r="I3642" s="2">
        <v>55.32</v>
      </c>
    </row>
    <row r="3643" spans="1:9" x14ac:dyDescent="0.3">
      <c r="A3643" t="str">
        <f t="shared" si="1189"/>
        <v>United States</v>
      </c>
      <c r="B3643" t="str">
        <f t="shared" si="1207"/>
        <v>Omaha</v>
      </c>
      <c r="C3643" t="str">
        <f t="shared" si="1211"/>
        <v>Standard Class</v>
      </c>
      <c r="D3643" t="str">
        <f t="shared" si="1212"/>
        <v>Consumer</v>
      </c>
      <c r="E3643" t="s">
        <v>24</v>
      </c>
      <c r="F3643">
        <v>14</v>
      </c>
      <c r="G3643">
        <v>0</v>
      </c>
      <c r="H3643" s="2">
        <v>796.34809999999982</v>
      </c>
      <c r="I3643" s="2">
        <v>2695.8599999999997</v>
      </c>
    </row>
    <row r="3644" spans="1:9" x14ac:dyDescent="0.3">
      <c r="A3644" t="str">
        <f t="shared" si="1189"/>
        <v>United States</v>
      </c>
      <c r="B3644" t="str">
        <f t="shared" si="1207"/>
        <v>Omaha</v>
      </c>
      <c r="C3644" t="str">
        <f t="shared" si="1211"/>
        <v>Standard Class</v>
      </c>
      <c r="D3644" t="str">
        <f t="shared" si="1212"/>
        <v>Consumer</v>
      </c>
      <c r="E3644" t="s">
        <v>14</v>
      </c>
      <c r="F3644">
        <v>9</v>
      </c>
      <c r="G3644">
        <v>0</v>
      </c>
      <c r="H3644" s="2">
        <v>101.13900000000001</v>
      </c>
      <c r="I3644" s="2">
        <v>413.82</v>
      </c>
    </row>
    <row r="3645" spans="1:9" x14ac:dyDescent="0.3">
      <c r="A3645" t="str">
        <f t="shared" si="1189"/>
        <v>United States</v>
      </c>
      <c r="B3645" t="str">
        <f t="shared" si="1207"/>
        <v>Omaha</v>
      </c>
      <c r="C3645" t="str">
        <f t="shared" si="1211"/>
        <v>Standard Class</v>
      </c>
      <c r="D3645" t="str">
        <f t="shared" si="1212"/>
        <v>Consumer</v>
      </c>
      <c r="E3645" t="s">
        <v>9</v>
      </c>
      <c r="F3645">
        <v>2</v>
      </c>
      <c r="G3645">
        <v>0</v>
      </c>
      <c r="H3645" s="2">
        <v>5.0699999999999985</v>
      </c>
      <c r="I3645" s="2">
        <v>16.899999999999999</v>
      </c>
    </row>
    <row r="3646" spans="1:9" x14ac:dyDescent="0.3">
      <c r="A3646" t="str">
        <f t="shared" si="1189"/>
        <v>United States</v>
      </c>
      <c r="B3646" t="str">
        <f t="shared" si="1207"/>
        <v>Omaha</v>
      </c>
      <c r="C3646" t="str">
        <f t="shared" si="1211"/>
        <v>Standard Class</v>
      </c>
      <c r="D3646" t="s">
        <v>15</v>
      </c>
      <c r="E3646" t="s">
        <v>23</v>
      </c>
      <c r="F3646">
        <v>3</v>
      </c>
      <c r="G3646">
        <v>0</v>
      </c>
      <c r="H3646" s="2">
        <v>18.893699999999995</v>
      </c>
      <c r="I3646" s="2">
        <v>89.97</v>
      </c>
    </row>
    <row r="3647" spans="1:9" x14ac:dyDescent="0.3">
      <c r="A3647" t="str">
        <f t="shared" si="1189"/>
        <v>United States</v>
      </c>
      <c r="B3647" t="str">
        <f t="shared" si="1207"/>
        <v>Omaha</v>
      </c>
      <c r="C3647" t="str">
        <f t="shared" si="1211"/>
        <v>Standard Class</v>
      </c>
      <c r="D3647" t="s">
        <v>17</v>
      </c>
      <c r="E3647" t="s">
        <v>18</v>
      </c>
      <c r="F3647">
        <v>10</v>
      </c>
      <c r="G3647">
        <v>0</v>
      </c>
      <c r="H3647" s="2">
        <v>10.183</v>
      </c>
      <c r="I3647" s="2">
        <v>52.599999999999994</v>
      </c>
    </row>
    <row r="3648" spans="1:9" x14ac:dyDescent="0.3">
      <c r="A3648" t="str">
        <f t="shared" si="1189"/>
        <v>United States</v>
      </c>
      <c r="B3648" t="str">
        <f t="shared" si="1207"/>
        <v>Omaha</v>
      </c>
      <c r="C3648" t="str">
        <f t="shared" si="1211"/>
        <v>Standard Class</v>
      </c>
      <c r="D3648" t="str">
        <f>D3647</f>
        <v>Home Office</v>
      </c>
      <c r="E3648" t="s">
        <v>24</v>
      </c>
      <c r="F3648">
        <v>2</v>
      </c>
      <c r="G3648">
        <v>0</v>
      </c>
      <c r="H3648" s="2">
        <v>72.894599999999997</v>
      </c>
      <c r="I3648" s="2">
        <v>269.98</v>
      </c>
    </row>
    <row r="3649" spans="1:9" x14ac:dyDescent="0.3">
      <c r="A3649" t="str">
        <f t="shared" si="1189"/>
        <v>United States</v>
      </c>
      <c r="B3649" t="s">
        <v>379</v>
      </c>
      <c r="C3649" t="s">
        <v>22</v>
      </c>
      <c r="D3649" t="s">
        <v>8</v>
      </c>
      <c r="E3649" t="s">
        <v>33</v>
      </c>
      <c r="F3649">
        <v>5</v>
      </c>
      <c r="G3649">
        <v>0.2</v>
      </c>
      <c r="H3649" s="2">
        <v>-46.137000000000029</v>
      </c>
      <c r="I3649" s="2">
        <v>283.92</v>
      </c>
    </row>
    <row r="3650" spans="1:9" x14ac:dyDescent="0.3">
      <c r="A3650" t="str">
        <f t="shared" si="1189"/>
        <v>United States</v>
      </c>
      <c r="B3650" t="s">
        <v>380</v>
      </c>
      <c r="C3650" t="s">
        <v>27</v>
      </c>
      <c r="D3650" t="s">
        <v>8</v>
      </c>
      <c r="E3650" t="s">
        <v>19</v>
      </c>
      <c r="F3650">
        <v>3</v>
      </c>
      <c r="G3650">
        <v>0</v>
      </c>
      <c r="H3650" s="2">
        <v>18.447000000000003</v>
      </c>
      <c r="I3650" s="2">
        <v>70.949999999999989</v>
      </c>
    </row>
    <row r="3651" spans="1:9" x14ac:dyDescent="0.3">
      <c r="A3651" t="str">
        <f t="shared" si="1189"/>
        <v>United States</v>
      </c>
      <c r="B3651" t="str">
        <f t="shared" ref="B3651:B3655" si="1213">B3650</f>
        <v>Orange</v>
      </c>
      <c r="C3651" t="s">
        <v>7</v>
      </c>
      <c r="D3651" t="s">
        <v>15</v>
      </c>
      <c r="E3651" t="s">
        <v>20</v>
      </c>
      <c r="F3651">
        <v>2</v>
      </c>
      <c r="G3651">
        <v>0</v>
      </c>
      <c r="H3651" s="2">
        <v>2.8224</v>
      </c>
      <c r="I3651" s="2">
        <v>5.76</v>
      </c>
    </row>
    <row r="3652" spans="1:9" x14ac:dyDescent="0.3">
      <c r="A3652" t="str">
        <f t="shared" ref="A3652:A3715" si="1214">A3651</f>
        <v>United States</v>
      </c>
      <c r="B3652" t="str">
        <f t="shared" si="1213"/>
        <v>Orange</v>
      </c>
      <c r="C3652" t="str">
        <f t="shared" ref="C3652:C3653" si="1215">C3651</f>
        <v>Second Class</v>
      </c>
      <c r="D3652" t="s">
        <v>17</v>
      </c>
      <c r="E3652" t="s">
        <v>20</v>
      </c>
      <c r="F3652">
        <v>6</v>
      </c>
      <c r="G3652">
        <v>0</v>
      </c>
      <c r="H3652" s="2">
        <v>12.72</v>
      </c>
      <c r="I3652" s="2">
        <v>25.44</v>
      </c>
    </row>
    <row r="3653" spans="1:9" x14ac:dyDescent="0.3">
      <c r="A3653" t="str">
        <f t="shared" si="1214"/>
        <v>United States</v>
      </c>
      <c r="B3653" t="str">
        <f t="shared" si="1213"/>
        <v>Orange</v>
      </c>
      <c r="C3653" t="str">
        <f t="shared" si="1215"/>
        <v>Second Class</v>
      </c>
      <c r="D3653" t="str">
        <f>D3652</f>
        <v>Home Office</v>
      </c>
      <c r="E3653" t="s">
        <v>9</v>
      </c>
      <c r="F3653">
        <v>3</v>
      </c>
      <c r="G3653">
        <v>0</v>
      </c>
      <c r="H3653" s="2">
        <v>8.0996999999999986</v>
      </c>
      <c r="I3653" s="2">
        <v>27.93</v>
      </c>
    </row>
    <row r="3654" spans="1:9" x14ac:dyDescent="0.3">
      <c r="A3654" t="str">
        <f t="shared" si="1214"/>
        <v>United States</v>
      </c>
      <c r="B3654" t="str">
        <f t="shared" si="1213"/>
        <v>Orange</v>
      </c>
      <c r="C3654" t="s">
        <v>22</v>
      </c>
      <c r="D3654" t="s">
        <v>8</v>
      </c>
      <c r="E3654" t="s">
        <v>43</v>
      </c>
      <c r="F3654">
        <v>1</v>
      </c>
      <c r="G3654">
        <v>0</v>
      </c>
      <c r="H3654" s="2">
        <v>2.4058999999999999</v>
      </c>
      <c r="I3654" s="2">
        <v>4.91</v>
      </c>
    </row>
    <row r="3655" spans="1:9" x14ac:dyDescent="0.3">
      <c r="A3655" t="str">
        <f t="shared" si="1214"/>
        <v>United States</v>
      </c>
      <c r="B3655" t="str">
        <f t="shared" si="1213"/>
        <v>Orange</v>
      </c>
      <c r="C3655" t="str">
        <f>C3654</f>
        <v>Standard Class</v>
      </c>
      <c r="D3655" t="s">
        <v>15</v>
      </c>
      <c r="E3655" t="s">
        <v>12</v>
      </c>
      <c r="F3655">
        <v>2</v>
      </c>
      <c r="G3655">
        <v>0</v>
      </c>
      <c r="H3655" s="2">
        <v>22.074799999999996</v>
      </c>
      <c r="I3655" s="2">
        <v>76.12</v>
      </c>
    </row>
    <row r="3656" spans="1:9" x14ac:dyDescent="0.3">
      <c r="A3656" t="str">
        <f t="shared" si="1214"/>
        <v>United States</v>
      </c>
      <c r="B3656" t="s">
        <v>381</v>
      </c>
      <c r="C3656" t="s">
        <v>22</v>
      </c>
      <c r="D3656" t="s">
        <v>8</v>
      </c>
      <c r="E3656" t="s">
        <v>19</v>
      </c>
      <c r="F3656">
        <v>2</v>
      </c>
      <c r="G3656">
        <v>0</v>
      </c>
      <c r="H3656" s="2">
        <v>12.874400000000001</v>
      </c>
      <c r="I3656" s="2">
        <v>45.98</v>
      </c>
    </row>
    <row r="3657" spans="1:9" x14ac:dyDescent="0.3">
      <c r="A3657" t="str">
        <f t="shared" si="1214"/>
        <v>United States</v>
      </c>
      <c r="B3657" t="str">
        <f t="shared" ref="B3657:B3664" si="1216">B3656</f>
        <v>Orem</v>
      </c>
      <c r="C3657" t="str">
        <f t="shared" ref="C3657:C3664" si="1217">C3656</f>
        <v>Standard Class</v>
      </c>
      <c r="D3657" t="str">
        <f t="shared" ref="D3657:D3661" si="1218">D3656</f>
        <v>Consumer</v>
      </c>
      <c r="E3657" t="s">
        <v>34</v>
      </c>
      <c r="F3657">
        <v>7</v>
      </c>
      <c r="G3657">
        <v>0</v>
      </c>
      <c r="H3657" s="2">
        <v>140.68599999999989</v>
      </c>
      <c r="I3657" s="2">
        <v>1406.86</v>
      </c>
    </row>
    <row r="3658" spans="1:9" x14ac:dyDescent="0.3">
      <c r="A3658" t="str">
        <f t="shared" si="1214"/>
        <v>United States</v>
      </c>
      <c r="B3658" t="str">
        <f t="shared" si="1216"/>
        <v>Orem</v>
      </c>
      <c r="C3658" t="str">
        <f t="shared" si="1217"/>
        <v>Standard Class</v>
      </c>
      <c r="D3658" t="str">
        <f t="shared" si="1218"/>
        <v>Consumer</v>
      </c>
      <c r="E3658" t="s">
        <v>43</v>
      </c>
      <c r="F3658">
        <v>5</v>
      </c>
      <c r="G3658">
        <v>0</v>
      </c>
      <c r="H3658" s="2">
        <v>7.5600000000000005</v>
      </c>
      <c r="I3658" s="2">
        <v>15.75</v>
      </c>
    </row>
    <row r="3659" spans="1:9" x14ac:dyDescent="0.3">
      <c r="A3659" t="str">
        <f t="shared" si="1214"/>
        <v>United States</v>
      </c>
      <c r="B3659" t="str">
        <f t="shared" si="1216"/>
        <v>Orem</v>
      </c>
      <c r="C3659" t="str">
        <f t="shared" si="1217"/>
        <v>Standard Class</v>
      </c>
      <c r="D3659" t="str">
        <f t="shared" si="1218"/>
        <v>Consumer</v>
      </c>
      <c r="E3659" t="s">
        <v>16</v>
      </c>
      <c r="F3659">
        <v>2</v>
      </c>
      <c r="G3659">
        <v>0</v>
      </c>
      <c r="H3659" s="2">
        <v>6.2208000000000006</v>
      </c>
      <c r="I3659" s="2">
        <v>12.96</v>
      </c>
    </row>
    <row r="3660" spans="1:9" x14ac:dyDescent="0.3">
      <c r="A3660" t="str">
        <f t="shared" si="1214"/>
        <v>United States</v>
      </c>
      <c r="B3660" t="str">
        <f t="shared" si="1216"/>
        <v>Orem</v>
      </c>
      <c r="C3660" t="str">
        <f t="shared" si="1217"/>
        <v>Standard Class</v>
      </c>
      <c r="D3660" t="str">
        <f t="shared" si="1218"/>
        <v>Consumer</v>
      </c>
      <c r="E3660" t="s">
        <v>14</v>
      </c>
      <c r="F3660">
        <v>2</v>
      </c>
      <c r="G3660">
        <v>0</v>
      </c>
      <c r="H3660" s="2">
        <v>61.38900000000001</v>
      </c>
      <c r="I3660" s="2">
        <v>323.10000000000002</v>
      </c>
    </row>
    <row r="3661" spans="1:9" x14ac:dyDescent="0.3">
      <c r="A3661" t="str">
        <f t="shared" si="1214"/>
        <v>United States</v>
      </c>
      <c r="B3661" t="str">
        <f t="shared" si="1216"/>
        <v>Orem</v>
      </c>
      <c r="C3661" t="str">
        <f t="shared" si="1217"/>
        <v>Standard Class</v>
      </c>
      <c r="D3661" t="str">
        <f t="shared" si="1218"/>
        <v>Consumer</v>
      </c>
      <c r="E3661" t="s">
        <v>25</v>
      </c>
      <c r="F3661">
        <v>3</v>
      </c>
      <c r="G3661">
        <v>0</v>
      </c>
      <c r="H3661" s="2">
        <v>240.26490000000001</v>
      </c>
      <c r="I3661" s="2">
        <v>1044.6299999999999</v>
      </c>
    </row>
    <row r="3662" spans="1:9" x14ac:dyDescent="0.3">
      <c r="A3662" t="str">
        <f t="shared" si="1214"/>
        <v>United States</v>
      </c>
      <c r="B3662" t="str">
        <f t="shared" si="1216"/>
        <v>Orem</v>
      </c>
      <c r="C3662" t="str">
        <f t="shared" si="1217"/>
        <v>Standard Class</v>
      </c>
      <c r="D3662" t="s">
        <v>15</v>
      </c>
      <c r="E3662" t="s">
        <v>19</v>
      </c>
      <c r="F3662">
        <v>2</v>
      </c>
      <c r="G3662">
        <v>0</v>
      </c>
      <c r="H3662" s="2">
        <v>4.2047999999999996</v>
      </c>
      <c r="I3662" s="2">
        <v>11.68</v>
      </c>
    </row>
    <row r="3663" spans="1:9" x14ac:dyDescent="0.3">
      <c r="A3663" t="str">
        <f t="shared" si="1214"/>
        <v>United States</v>
      </c>
      <c r="B3663" t="str">
        <f t="shared" si="1216"/>
        <v>Orem</v>
      </c>
      <c r="C3663" t="str">
        <f t="shared" si="1217"/>
        <v>Standard Class</v>
      </c>
      <c r="D3663" t="s">
        <v>17</v>
      </c>
      <c r="E3663" t="s">
        <v>20</v>
      </c>
      <c r="F3663">
        <v>3</v>
      </c>
      <c r="G3663">
        <v>0.2</v>
      </c>
      <c r="H3663" s="2">
        <v>19.4376</v>
      </c>
      <c r="I3663" s="2">
        <v>59.808000000000007</v>
      </c>
    </row>
    <row r="3664" spans="1:9" x14ac:dyDescent="0.3">
      <c r="A3664" t="str">
        <f t="shared" si="1214"/>
        <v>United States</v>
      </c>
      <c r="B3664" t="str">
        <f t="shared" si="1216"/>
        <v>Orem</v>
      </c>
      <c r="C3664" t="str">
        <f t="shared" si="1217"/>
        <v>Standard Class</v>
      </c>
      <c r="D3664" t="str">
        <f>D3663</f>
        <v>Home Office</v>
      </c>
      <c r="E3664" t="s">
        <v>21</v>
      </c>
      <c r="F3664">
        <v>6</v>
      </c>
      <c r="G3664">
        <v>0</v>
      </c>
      <c r="H3664" s="2">
        <v>21.995999999999992</v>
      </c>
      <c r="I3664" s="2">
        <v>73.320000000000007</v>
      </c>
    </row>
    <row r="3665" spans="1:9" x14ac:dyDescent="0.3">
      <c r="A3665" t="str">
        <f t="shared" si="1214"/>
        <v>United States</v>
      </c>
      <c r="B3665" t="s">
        <v>382</v>
      </c>
      <c r="C3665" t="s">
        <v>22</v>
      </c>
      <c r="D3665" t="s">
        <v>17</v>
      </c>
      <c r="E3665" t="s">
        <v>23</v>
      </c>
      <c r="F3665">
        <v>5</v>
      </c>
      <c r="G3665">
        <v>0.2</v>
      </c>
      <c r="H3665" s="2">
        <v>67.991999999999962</v>
      </c>
      <c r="I3665" s="2">
        <v>339.96000000000004</v>
      </c>
    </row>
    <row r="3666" spans="1:9" x14ac:dyDescent="0.3">
      <c r="A3666" t="str">
        <f t="shared" si="1214"/>
        <v>United States</v>
      </c>
      <c r="B3666" t="s">
        <v>383</v>
      </c>
      <c r="C3666" t="s">
        <v>22</v>
      </c>
      <c r="D3666" t="s">
        <v>8</v>
      </c>
      <c r="E3666" t="s">
        <v>23</v>
      </c>
      <c r="F3666">
        <v>3</v>
      </c>
      <c r="G3666">
        <v>0.2</v>
      </c>
      <c r="H3666" s="2">
        <v>10.895999999999987</v>
      </c>
      <c r="I3666" s="2">
        <v>87.168000000000006</v>
      </c>
    </row>
    <row r="3667" spans="1:9" x14ac:dyDescent="0.3">
      <c r="A3667" t="str">
        <f t="shared" si="1214"/>
        <v>United States</v>
      </c>
      <c r="B3667" t="str">
        <f t="shared" ref="B3667:B3675" si="1219">B3666</f>
        <v>Orlando</v>
      </c>
      <c r="C3667" t="str">
        <f t="shared" ref="C3667:C3675" si="1220">C3666</f>
        <v>Standard Class</v>
      </c>
      <c r="D3667" t="str">
        <f t="shared" ref="D3667:D3670" si="1221">D3666</f>
        <v>Consumer</v>
      </c>
      <c r="E3667" t="s">
        <v>19</v>
      </c>
      <c r="F3667">
        <v>2</v>
      </c>
      <c r="G3667">
        <v>0.2</v>
      </c>
      <c r="H3667" s="2">
        <v>4.1987999999999985</v>
      </c>
      <c r="I3667" s="2">
        <v>55.984000000000009</v>
      </c>
    </row>
    <row r="3668" spans="1:9" x14ac:dyDescent="0.3">
      <c r="A3668" t="str">
        <f t="shared" si="1214"/>
        <v>United States</v>
      </c>
      <c r="B3668" t="str">
        <f t="shared" si="1219"/>
        <v>Orlando</v>
      </c>
      <c r="C3668" t="str">
        <f t="shared" si="1220"/>
        <v>Standard Class</v>
      </c>
      <c r="D3668" t="str">
        <f t="shared" si="1221"/>
        <v>Consumer</v>
      </c>
      <c r="E3668" t="s">
        <v>20</v>
      </c>
      <c r="F3668">
        <v>2</v>
      </c>
      <c r="G3668">
        <v>0.7</v>
      </c>
      <c r="H3668" s="2">
        <v>-2.9963999999999995</v>
      </c>
      <c r="I3668" s="2">
        <v>4.0860000000000003</v>
      </c>
    </row>
    <row r="3669" spans="1:9" x14ac:dyDescent="0.3">
      <c r="A3669" t="str">
        <f t="shared" si="1214"/>
        <v>United States</v>
      </c>
      <c r="B3669" t="str">
        <f t="shared" si="1219"/>
        <v>Orlando</v>
      </c>
      <c r="C3669" t="str">
        <f t="shared" si="1220"/>
        <v>Standard Class</v>
      </c>
      <c r="D3669" t="str">
        <f t="shared" si="1221"/>
        <v>Consumer</v>
      </c>
      <c r="E3669" t="s">
        <v>45</v>
      </c>
      <c r="F3669">
        <v>2</v>
      </c>
      <c r="G3669">
        <v>0.2</v>
      </c>
      <c r="H3669" s="2">
        <v>311.99479999999994</v>
      </c>
      <c r="I3669" s="2">
        <v>959.98400000000004</v>
      </c>
    </row>
    <row r="3670" spans="1:9" x14ac:dyDescent="0.3">
      <c r="A3670" t="str">
        <f t="shared" si="1214"/>
        <v>United States</v>
      </c>
      <c r="B3670" t="str">
        <f t="shared" si="1219"/>
        <v>Orlando</v>
      </c>
      <c r="C3670" t="str">
        <f t="shared" si="1220"/>
        <v>Standard Class</v>
      </c>
      <c r="D3670" t="str">
        <f t="shared" si="1221"/>
        <v>Consumer</v>
      </c>
      <c r="E3670" t="s">
        <v>16</v>
      </c>
      <c r="F3670">
        <v>6</v>
      </c>
      <c r="G3670">
        <v>0.4</v>
      </c>
      <c r="H3670" s="2">
        <v>10.9984</v>
      </c>
      <c r="I3670" s="2">
        <v>31.424000000000007</v>
      </c>
    </row>
    <row r="3671" spans="1:9" x14ac:dyDescent="0.3">
      <c r="A3671" t="str">
        <f t="shared" si="1214"/>
        <v>United States</v>
      </c>
      <c r="B3671" t="str">
        <f t="shared" si="1219"/>
        <v>Orlando</v>
      </c>
      <c r="C3671" t="str">
        <f t="shared" si="1220"/>
        <v>Standard Class</v>
      </c>
      <c r="D3671" t="s">
        <v>15</v>
      </c>
      <c r="E3671" t="s">
        <v>20</v>
      </c>
      <c r="F3671">
        <v>9</v>
      </c>
      <c r="G3671">
        <v>0.7</v>
      </c>
      <c r="H3671" s="2">
        <v>-4.427999999999999</v>
      </c>
      <c r="I3671" s="2">
        <v>6.6420000000000012</v>
      </c>
    </row>
    <row r="3672" spans="1:9" x14ac:dyDescent="0.3">
      <c r="A3672" t="str">
        <f t="shared" si="1214"/>
        <v>United States</v>
      </c>
      <c r="B3672" t="str">
        <f t="shared" si="1219"/>
        <v>Orlando</v>
      </c>
      <c r="C3672" t="str">
        <f t="shared" si="1220"/>
        <v>Standard Class</v>
      </c>
      <c r="D3672" t="str">
        <f t="shared" ref="D3672:D3675" si="1222">D3671</f>
        <v>Corporate</v>
      </c>
      <c r="E3672" t="s">
        <v>34</v>
      </c>
      <c r="F3672">
        <v>2</v>
      </c>
      <c r="G3672">
        <v>0.2</v>
      </c>
      <c r="H3672" s="2">
        <v>10.858799999999974</v>
      </c>
      <c r="I3672" s="2">
        <v>289.56799999999998</v>
      </c>
    </row>
    <row r="3673" spans="1:9" x14ac:dyDescent="0.3">
      <c r="A3673" t="str">
        <f t="shared" si="1214"/>
        <v>United States</v>
      </c>
      <c r="B3673" t="str">
        <f t="shared" si="1219"/>
        <v>Orlando</v>
      </c>
      <c r="C3673" t="str">
        <f t="shared" si="1220"/>
        <v>Standard Class</v>
      </c>
      <c r="D3673" t="str">
        <f t="shared" si="1222"/>
        <v>Corporate</v>
      </c>
      <c r="E3673" t="s">
        <v>16</v>
      </c>
      <c r="F3673">
        <v>4</v>
      </c>
      <c r="G3673">
        <v>0.2</v>
      </c>
      <c r="H3673" s="2">
        <v>7.2576000000000001</v>
      </c>
      <c r="I3673" s="2">
        <v>20.736000000000004</v>
      </c>
    </row>
    <row r="3674" spans="1:9" x14ac:dyDescent="0.3">
      <c r="A3674" t="str">
        <f t="shared" si="1214"/>
        <v>United States</v>
      </c>
      <c r="B3674" t="str">
        <f t="shared" si="1219"/>
        <v>Orlando</v>
      </c>
      <c r="C3674" t="str">
        <f t="shared" si="1220"/>
        <v>Standard Class</v>
      </c>
      <c r="D3674" t="str">
        <f t="shared" si="1222"/>
        <v>Corporate</v>
      </c>
      <c r="E3674" t="s">
        <v>24</v>
      </c>
      <c r="F3674">
        <v>4</v>
      </c>
      <c r="G3674">
        <v>0.2</v>
      </c>
      <c r="H3674" s="2">
        <v>24.476800000000004</v>
      </c>
      <c r="I3674" s="2">
        <v>244.768</v>
      </c>
    </row>
    <row r="3675" spans="1:9" x14ac:dyDescent="0.3">
      <c r="A3675" t="str">
        <f t="shared" si="1214"/>
        <v>United States</v>
      </c>
      <c r="B3675" t="str">
        <f t="shared" si="1219"/>
        <v>Orlando</v>
      </c>
      <c r="C3675" t="str">
        <f t="shared" si="1220"/>
        <v>Standard Class</v>
      </c>
      <c r="D3675" t="str">
        <f t="shared" si="1222"/>
        <v>Corporate</v>
      </c>
      <c r="E3675" t="s">
        <v>14</v>
      </c>
      <c r="F3675">
        <v>5</v>
      </c>
      <c r="G3675">
        <v>0.2</v>
      </c>
      <c r="H3675" s="2">
        <v>4.4684999999999953</v>
      </c>
      <c r="I3675" s="2">
        <v>39.72</v>
      </c>
    </row>
    <row r="3676" spans="1:9" x14ac:dyDescent="0.3">
      <c r="A3676" t="str">
        <f t="shared" si="1214"/>
        <v>United States</v>
      </c>
      <c r="B3676" t="s">
        <v>384</v>
      </c>
      <c r="C3676" t="s">
        <v>22</v>
      </c>
      <c r="D3676" t="s">
        <v>8</v>
      </c>
      <c r="E3676" t="s">
        <v>20</v>
      </c>
      <c r="F3676">
        <v>3</v>
      </c>
      <c r="G3676">
        <v>0.7</v>
      </c>
      <c r="H3676" s="2">
        <v>-1.9656000000000002</v>
      </c>
      <c r="I3676" s="2">
        <v>2.8080000000000007</v>
      </c>
    </row>
    <row r="3677" spans="1:9" x14ac:dyDescent="0.3">
      <c r="A3677" t="str">
        <f t="shared" si="1214"/>
        <v>United States</v>
      </c>
      <c r="B3677" t="s">
        <v>385</v>
      </c>
      <c r="C3677" t="s">
        <v>22</v>
      </c>
      <c r="D3677" t="s">
        <v>8</v>
      </c>
      <c r="E3677" t="s">
        <v>20</v>
      </c>
      <c r="F3677">
        <v>8</v>
      </c>
      <c r="G3677">
        <v>1.6</v>
      </c>
      <c r="H3677" s="2">
        <v>-540.2401000000001</v>
      </c>
      <c r="I3677" s="2">
        <v>308.81799999999993</v>
      </c>
    </row>
    <row r="3678" spans="1:9" x14ac:dyDescent="0.3">
      <c r="A3678" t="str">
        <f t="shared" si="1214"/>
        <v>United States</v>
      </c>
      <c r="B3678" t="str">
        <f>B3677</f>
        <v>Oswego</v>
      </c>
      <c r="C3678" t="str">
        <f>C3677</f>
        <v>Standard Class</v>
      </c>
      <c r="D3678" t="str">
        <f>D3677</f>
        <v>Consumer</v>
      </c>
      <c r="E3678" t="s">
        <v>18</v>
      </c>
      <c r="F3678">
        <v>5</v>
      </c>
      <c r="G3678">
        <v>0.2</v>
      </c>
      <c r="H3678" s="2">
        <v>4.1124999999999998</v>
      </c>
      <c r="I3678" s="2">
        <v>13.16</v>
      </c>
    </row>
    <row r="3679" spans="1:9" x14ac:dyDescent="0.3">
      <c r="A3679" t="str">
        <f t="shared" si="1214"/>
        <v>United States</v>
      </c>
      <c r="B3679" t="s">
        <v>386</v>
      </c>
      <c r="C3679" t="s">
        <v>11</v>
      </c>
      <c r="D3679" t="s">
        <v>15</v>
      </c>
      <c r="E3679" t="s">
        <v>23</v>
      </c>
      <c r="F3679">
        <v>5</v>
      </c>
      <c r="G3679">
        <v>0</v>
      </c>
      <c r="H3679" s="2">
        <v>15.378000000000004</v>
      </c>
      <c r="I3679" s="2">
        <v>34.950000000000003</v>
      </c>
    </row>
    <row r="3680" spans="1:9" x14ac:dyDescent="0.3">
      <c r="A3680" t="str">
        <f t="shared" si="1214"/>
        <v>United States</v>
      </c>
      <c r="B3680" t="str">
        <f t="shared" ref="B3680:B3684" si="1223">B3679</f>
        <v>Overland Park</v>
      </c>
      <c r="C3680" t="str">
        <f>C3679</f>
        <v>First Class</v>
      </c>
      <c r="D3680" t="str">
        <f>D3679</f>
        <v>Corporate</v>
      </c>
      <c r="E3680" t="s">
        <v>20</v>
      </c>
      <c r="F3680">
        <v>5</v>
      </c>
      <c r="G3680">
        <v>0</v>
      </c>
      <c r="H3680" s="2">
        <v>69.919999999999987</v>
      </c>
      <c r="I3680" s="2">
        <v>152</v>
      </c>
    </row>
    <row r="3681" spans="1:9" x14ac:dyDescent="0.3">
      <c r="A3681" t="str">
        <f t="shared" si="1214"/>
        <v>United States</v>
      </c>
      <c r="B3681" t="str">
        <f t="shared" si="1223"/>
        <v>Overland Park</v>
      </c>
      <c r="C3681" t="s">
        <v>22</v>
      </c>
      <c r="D3681" t="s">
        <v>15</v>
      </c>
      <c r="E3681" t="s">
        <v>19</v>
      </c>
      <c r="F3681">
        <v>6</v>
      </c>
      <c r="G3681">
        <v>0</v>
      </c>
      <c r="H3681" s="2">
        <v>9.1673999999999989</v>
      </c>
      <c r="I3681" s="2">
        <v>27.78</v>
      </c>
    </row>
    <row r="3682" spans="1:9" x14ac:dyDescent="0.3">
      <c r="A3682" t="str">
        <f t="shared" si="1214"/>
        <v>United States</v>
      </c>
      <c r="B3682" t="str">
        <f t="shared" si="1223"/>
        <v>Overland Park</v>
      </c>
      <c r="C3682" t="str">
        <f t="shared" ref="C3682:C3684" si="1224">C3681</f>
        <v>Standard Class</v>
      </c>
      <c r="D3682" t="str">
        <f t="shared" ref="D3682:D3684" si="1225">D3681</f>
        <v>Corporate</v>
      </c>
      <c r="E3682" t="s">
        <v>18</v>
      </c>
      <c r="F3682">
        <v>3</v>
      </c>
      <c r="G3682">
        <v>0</v>
      </c>
      <c r="H3682" s="2">
        <v>9.120000000000001</v>
      </c>
      <c r="I3682" s="2">
        <v>18.240000000000002</v>
      </c>
    </row>
    <row r="3683" spans="1:9" x14ac:dyDescent="0.3">
      <c r="A3683" t="str">
        <f t="shared" si="1214"/>
        <v>United States</v>
      </c>
      <c r="B3683" t="str">
        <f t="shared" si="1223"/>
        <v>Overland Park</v>
      </c>
      <c r="C3683" t="str">
        <f t="shared" si="1224"/>
        <v>Standard Class</v>
      </c>
      <c r="D3683" t="str">
        <f t="shared" si="1225"/>
        <v>Corporate</v>
      </c>
      <c r="E3683" t="s">
        <v>16</v>
      </c>
      <c r="F3683">
        <v>2</v>
      </c>
      <c r="G3683">
        <v>0</v>
      </c>
      <c r="H3683" s="2">
        <v>6.2375999999999996</v>
      </c>
      <c r="I3683" s="2">
        <v>13.56</v>
      </c>
    </row>
    <row r="3684" spans="1:9" x14ac:dyDescent="0.3">
      <c r="A3684" t="str">
        <f t="shared" si="1214"/>
        <v>United States</v>
      </c>
      <c r="B3684" t="str">
        <f t="shared" si="1223"/>
        <v>Overland Park</v>
      </c>
      <c r="C3684" t="str">
        <f t="shared" si="1224"/>
        <v>Standard Class</v>
      </c>
      <c r="D3684" t="str">
        <f t="shared" si="1225"/>
        <v>Corporate</v>
      </c>
      <c r="E3684" t="s">
        <v>14</v>
      </c>
      <c r="F3684">
        <v>2</v>
      </c>
      <c r="G3684">
        <v>0</v>
      </c>
      <c r="H3684" s="2">
        <v>93.698800000000006</v>
      </c>
      <c r="I3684" s="2">
        <v>360.38</v>
      </c>
    </row>
    <row r="3685" spans="1:9" x14ac:dyDescent="0.3">
      <c r="A3685" t="str">
        <f t="shared" si="1214"/>
        <v>United States</v>
      </c>
      <c r="B3685" t="s">
        <v>387</v>
      </c>
      <c r="C3685" t="s">
        <v>7</v>
      </c>
      <c r="D3685" t="s">
        <v>15</v>
      </c>
      <c r="E3685" t="s">
        <v>9</v>
      </c>
      <c r="F3685">
        <v>3</v>
      </c>
      <c r="G3685">
        <v>0</v>
      </c>
      <c r="H3685" s="2">
        <v>6.63</v>
      </c>
      <c r="I3685" s="2">
        <v>25.5</v>
      </c>
    </row>
    <row r="3686" spans="1:9" x14ac:dyDescent="0.3">
      <c r="A3686" t="str">
        <f t="shared" si="1214"/>
        <v>United States</v>
      </c>
      <c r="B3686" t="str">
        <f>B3685</f>
        <v>Owensboro</v>
      </c>
      <c r="C3686" t="s">
        <v>22</v>
      </c>
      <c r="D3686" t="s">
        <v>8</v>
      </c>
      <c r="E3686" t="s">
        <v>16</v>
      </c>
      <c r="F3686">
        <v>2</v>
      </c>
      <c r="G3686">
        <v>0</v>
      </c>
      <c r="H3686" s="2">
        <v>21.012799999999999</v>
      </c>
      <c r="I3686" s="2">
        <v>45.68</v>
      </c>
    </row>
    <row r="3687" spans="1:9" x14ac:dyDescent="0.3">
      <c r="A3687" t="str">
        <f t="shared" si="1214"/>
        <v>United States</v>
      </c>
      <c r="B3687" t="s">
        <v>388</v>
      </c>
      <c r="C3687" t="s">
        <v>27</v>
      </c>
      <c r="D3687" t="s">
        <v>17</v>
      </c>
      <c r="E3687" t="s">
        <v>38</v>
      </c>
      <c r="F3687">
        <v>3</v>
      </c>
      <c r="G3687">
        <v>0</v>
      </c>
      <c r="H3687" s="2">
        <v>11.230799999999999</v>
      </c>
      <c r="I3687" s="2">
        <v>22.919999999999998</v>
      </c>
    </row>
    <row r="3688" spans="1:9" x14ac:dyDescent="0.3">
      <c r="A3688" t="str">
        <f t="shared" si="1214"/>
        <v>United States</v>
      </c>
      <c r="B3688" t="str">
        <f t="shared" ref="B3688:B3694" si="1226">B3687</f>
        <v>Oxnard</v>
      </c>
      <c r="C3688" t="str">
        <f t="shared" ref="C3688:C3690" si="1227">C3687</f>
        <v>Same Day</v>
      </c>
      <c r="D3688" t="str">
        <f t="shared" ref="D3688:D3690" si="1228">D3687</f>
        <v>Home Office</v>
      </c>
      <c r="E3688" t="s">
        <v>21</v>
      </c>
      <c r="F3688">
        <v>2</v>
      </c>
      <c r="G3688">
        <v>0</v>
      </c>
      <c r="H3688" s="2">
        <v>1.597999999999999</v>
      </c>
      <c r="I3688" s="2">
        <v>31.96</v>
      </c>
    </row>
    <row r="3689" spans="1:9" x14ac:dyDescent="0.3">
      <c r="A3689" t="str">
        <f t="shared" si="1214"/>
        <v>United States</v>
      </c>
      <c r="B3689" t="str">
        <f t="shared" si="1226"/>
        <v>Oxnard</v>
      </c>
      <c r="C3689" t="str">
        <f t="shared" si="1227"/>
        <v>Same Day</v>
      </c>
      <c r="D3689" t="str">
        <f t="shared" si="1228"/>
        <v>Home Office</v>
      </c>
      <c r="E3689" t="s">
        <v>16</v>
      </c>
      <c r="F3689">
        <v>1</v>
      </c>
      <c r="G3689">
        <v>0</v>
      </c>
      <c r="H3689" s="2">
        <v>22.991999999999997</v>
      </c>
      <c r="I3689" s="2">
        <v>47.9</v>
      </c>
    </row>
    <row r="3690" spans="1:9" x14ac:dyDescent="0.3">
      <c r="A3690" t="str">
        <f t="shared" si="1214"/>
        <v>United States</v>
      </c>
      <c r="B3690" t="str">
        <f t="shared" si="1226"/>
        <v>Oxnard</v>
      </c>
      <c r="C3690" t="str">
        <f t="shared" si="1227"/>
        <v>Same Day</v>
      </c>
      <c r="D3690" t="str">
        <f t="shared" si="1228"/>
        <v>Home Office</v>
      </c>
      <c r="E3690" t="s">
        <v>14</v>
      </c>
      <c r="F3690">
        <v>3</v>
      </c>
      <c r="G3690">
        <v>0</v>
      </c>
      <c r="H3690" s="2">
        <v>222.58799999999991</v>
      </c>
      <c r="I3690" s="2">
        <v>1112.94</v>
      </c>
    </row>
    <row r="3691" spans="1:9" x14ac:dyDescent="0.3">
      <c r="A3691" t="str">
        <f t="shared" si="1214"/>
        <v>United States</v>
      </c>
      <c r="B3691" t="str">
        <f t="shared" si="1226"/>
        <v>Oxnard</v>
      </c>
      <c r="C3691" t="s">
        <v>7</v>
      </c>
      <c r="D3691" t="s">
        <v>8</v>
      </c>
      <c r="E3691" t="s">
        <v>23</v>
      </c>
      <c r="F3691">
        <v>5</v>
      </c>
      <c r="G3691">
        <v>0</v>
      </c>
      <c r="H3691" s="2">
        <v>29.032499999999999</v>
      </c>
      <c r="I3691" s="2">
        <v>82.95</v>
      </c>
    </row>
    <row r="3692" spans="1:9" x14ac:dyDescent="0.3">
      <c r="A3692" t="str">
        <f t="shared" si="1214"/>
        <v>United States</v>
      </c>
      <c r="B3692" t="str">
        <f t="shared" si="1226"/>
        <v>Oxnard</v>
      </c>
      <c r="C3692" t="s">
        <v>22</v>
      </c>
      <c r="D3692" t="s">
        <v>8</v>
      </c>
      <c r="E3692" t="s">
        <v>21</v>
      </c>
      <c r="F3692">
        <v>3</v>
      </c>
      <c r="G3692">
        <v>0</v>
      </c>
      <c r="H3692" s="2">
        <v>21.751499999999986</v>
      </c>
      <c r="I3692" s="2">
        <v>127.94999999999999</v>
      </c>
    </row>
    <row r="3693" spans="1:9" x14ac:dyDescent="0.3">
      <c r="A3693" t="str">
        <f t="shared" si="1214"/>
        <v>United States</v>
      </c>
      <c r="B3693" t="str">
        <f t="shared" si="1226"/>
        <v>Oxnard</v>
      </c>
      <c r="C3693" t="str">
        <f t="shared" ref="C3693:C3694" si="1229">C3692</f>
        <v>Standard Class</v>
      </c>
      <c r="D3693" t="s">
        <v>15</v>
      </c>
      <c r="E3693" t="s">
        <v>19</v>
      </c>
      <c r="F3693">
        <v>5</v>
      </c>
      <c r="G3693">
        <v>0</v>
      </c>
      <c r="H3693" s="2">
        <v>25.792000000000002</v>
      </c>
      <c r="I3693" s="2">
        <v>99.2</v>
      </c>
    </row>
    <row r="3694" spans="1:9" x14ac:dyDescent="0.3">
      <c r="A3694" t="str">
        <f t="shared" si="1214"/>
        <v>United States</v>
      </c>
      <c r="B3694" t="str">
        <f t="shared" si="1226"/>
        <v>Oxnard</v>
      </c>
      <c r="C3694" t="str">
        <f t="shared" si="1229"/>
        <v>Standard Class</v>
      </c>
      <c r="D3694" t="str">
        <f>D3693</f>
        <v>Corporate</v>
      </c>
      <c r="E3694" t="s">
        <v>20</v>
      </c>
      <c r="F3694">
        <v>9</v>
      </c>
      <c r="G3694">
        <v>0.4</v>
      </c>
      <c r="H3694" s="2">
        <v>11.472899999999999</v>
      </c>
      <c r="I3694" s="2">
        <v>32.28</v>
      </c>
    </row>
    <row r="3695" spans="1:9" x14ac:dyDescent="0.3">
      <c r="A3695" t="str">
        <f t="shared" si="1214"/>
        <v>United States</v>
      </c>
      <c r="B3695" t="s">
        <v>389</v>
      </c>
      <c r="C3695" t="s">
        <v>11</v>
      </c>
      <c r="D3695" t="s">
        <v>15</v>
      </c>
      <c r="E3695" t="s">
        <v>23</v>
      </c>
      <c r="F3695">
        <v>7</v>
      </c>
      <c r="G3695">
        <v>0.2</v>
      </c>
      <c r="H3695" s="2">
        <v>23.262400000000003</v>
      </c>
      <c r="I3695" s="2">
        <v>116.312</v>
      </c>
    </row>
    <row r="3696" spans="1:9" x14ac:dyDescent="0.3">
      <c r="A3696" t="str">
        <f t="shared" si="1214"/>
        <v>United States</v>
      </c>
      <c r="B3696" t="s">
        <v>390</v>
      </c>
      <c r="C3696" t="s">
        <v>11</v>
      </c>
      <c r="D3696" t="s">
        <v>15</v>
      </c>
      <c r="E3696" t="s">
        <v>20</v>
      </c>
      <c r="F3696">
        <v>5</v>
      </c>
      <c r="G3696">
        <v>0.7</v>
      </c>
      <c r="H3696" s="2">
        <v>-6.8669999999999973</v>
      </c>
      <c r="I3696" s="2">
        <v>9.8100000000000023</v>
      </c>
    </row>
    <row r="3697" spans="1:9" x14ac:dyDescent="0.3">
      <c r="A3697" t="str">
        <f t="shared" si="1214"/>
        <v>United States</v>
      </c>
      <c r="B3697" t="str">
        <f t="shared" ref="B3697:B3699" si="1230">B3696</f>
        <v>Palm Coast</v>
      </c>
      <c r="C3697" t="str">
        <f>C3696</f>
        <v>First Class</v>
      </c>
      <c r="D3697" t="str">
        <f>D3696</f>
        <v>Corporate</v>
      </c>
      <c r="E3697" t="s">
        <v>21</v>
      </c>
      <c r="F3697">
        <v>5</v>
      </c>
      <c r="G3697">
        <v>0.4</v>
      </c>
      <c r="H3697" s="2">
        <v>21.359199999999994</v>
      </c>
      <c r="I3697" s="2">
        <v>232.73600000000002</v>
      </c>
    </row>
    <row r="3698" spans="1:9" x14ac:dyDescent="0.3">
      <c r="A3698" t="str">
        <f t="shared" si="1214"/>
        <v>United States</v>
      </c>
      <c r="B3698" t="str">
        <f t="shared" si="1230"/>
        <v>Palm Coast</v>
      </c>
      <c r="C3698" t="s">
        <v>22</v>
      </c>
      <c r="D3698" t="s">
        <v>8</v>
      </c>
      <c r="E3698" t="s">
        <v>38</v>
      </c>
      <c r="F3698">
        <v>4</v>
      </c>
      <c r="G3698">
        <v>0.2</v>
      </c>
      <c r="H3698" s="2">
        <v>8.8623999999999992</v>
      </c>
      <c r="I3698" s="2">
        <v>24.448</v>
      </c>
    </row>
    <row r="3699" spans="1:9" x14ac:dyDescent="0.3">
      <c r="A3699" t="str">
        <f t="shared" si="1214"/>
        <v>United States</v>
      </c>
      <c r="B3699" t="str">
        <f t="shared" si="1230"/>
        <v>Palm Coast</v>
      </c>
      <c r="C3699" t="str">
        <f>C3698</f>
        <v>Standard Class</v>
      </c>
      <c r="D3699" t="s">
        <v>15</v>
      </c>
      <c r="E3699" t="s">
        <v>20</v>
      </c>
      <c r="F3699">
        <v>6</v>
      </c>
      <c r="G3699">
        <v>0.7</v>
      </c>
      <c r="H3699" s="2">
        <v>-5.6993999999999971</v>
      </c>
      <c r="I3699" s="2">
        <v>7.4340000000000011</v>
      </c>
    </row>
    <row r="3700" spans="1:9" x14ac:dyDescent="0.3">
      <c r="A3700" t="str">
        <f t="shared" si="1214"/>
        <v>United States</v>
      </c>
      <c r="B3700" t="s">
        <v>391</v>
      </c>
      <c r="C3700" t="s">
        <v>22</v>
      </c>
      <c r="D3700" t="s">
        <v>8</v>
      </c>
      <c r="E3700" t="s">
        <v>16</v>
      </c>
      <c r="F3700">
        <v>9</v>
      </c>
      <c r="G3700">
        <v>0.2</v>
      </c>
      <c r="H3700" s="2">
        <v>48.551399999999994</v>
      </c>
      <c r="I3700" s="2">
        <v>143.85600000000002</v>
      </c>
    </row>
    <row r="3701" spans="1:9" x14ac:dyDescent="0.3">
      <c r="A3701" t="str">
        <f t="shared" si="1214"/>
        <v>United States</v>
      </c>
      <c r="B3701" t="str">
        <f t="shared" ref="B3701:B3702" si="1231">B3700</f>
        <v>Park Ridge</v>
      </c>
      <c r="C3701" t="str">
        <f t="shared" ref="C3701:C3702" si="1232">C3700</f>
        <v>Standard Class</v>
      </c>
      <c r="D3701" t="s">
        <v>17</v>
      </c>
      <c r="E3701" t="s">
        <v>21</v>
      </c>
      <c r="F3701">
        <v>7</v>
      </c>
      <c r="G3701">
        <v>0.6</v>
      </c>
      <c r="H3701" s="2">
        <v>-312.06139999999994</v>
      </c>
      <c r="I3701" s="2">
        <v>254.74400000000003</v>
      </c>
    </row>
    <row r="3702" spans="1:9" x14ac:dyDescent="0.3">
      <c r="A3702" t="str">
        <f t="shared" si="1214"/>
        <v>United States</v>
      </c>
      <c r="B3702" t="str">
        <f t="shared" si="1231"/>
        <v>Park Ridge</v>
      </c>
      <c r="C3702" t="str">
        <f t="shared" si="1232"/>
        <v>Standard Class</v>
      </c>
      <c r="D3702" t="str">
        <f>D3701</f>
        <v>Home Office</v>
      </c>
      <c r="E3702" t="s">
        <v>24</v>
      </c>
      <c r="F3702">
        <v>1</v>
      </c>
      <c r="G3702">
        <v>0.2</v>
      </c>
      <c r="H3702" s="2">
        <v>25.060000000000016</v>
      </c>
      <c r="I3702" s="2">
        <v>286.40000000000003</v>
      </c>
    </row>
    <row r="3703" spans="1:9" x14ac:dyDescent="0.3">
      <c r="A3703" t="str">
        <f t="shared" si="1214"/>
        <v>United States</v>
      </c>
      <c r="B3703" t="s">
        <v>392</v>
      </c>
      <c r="C3703" t="s">
        <v>22</v>
      </c>
      <c r="D3703" t="s">
        <v>8</v>
      </c>
      <c r="E3703" t="s">
        <v>34</v>
      </c>
      <c r="F3703">
        <v>7</v>
      </c>
      <c r="G3703">
        <v>0.7</v>
      </c>
      <c r="H3703" s="2">
        <v>-183.6323999999999</v>
      </c>
      <c r="I3703" s="2">
        <v>102.01800000000001</v>
      </c>
    </row>
    <row r="3704" spans="1:9" x14ac:dyDescent="0.3">
      <c r="A3704" t="str">
        <f t="shared" si="1214"/>
        <v>United States</v>
      </c>
      <c r="B3704" t="str">
        <f t="shared" ref="B3704:B3708" si="1233">B3703</f>
        <v>Parker</v>
      </c>
      <c r="C3704" t="str">
        <f t="shared" ref="C3704:C3708" si="1234">C3703</f>
        <v>Standard Class</v>
      </c>
      <c r="D3704" t="str">
        <f t="shared" ref="D3704:D3705" si="1235">D3703</f>
        <v>Consumer</v>
      </c>
      <c r="E3704" t="s">
        <v>21</v>
      </c>
      <c r="F3704">
        <v>5</v>
      </c>
      <c r="G3704">
        <v>0.2</v>
      </c>
      <c r="H3704" s="2">
        <v>4.0080000000000009</v>
      </c>
      <c r="I3704" s="2">
        <v>13.360000000000001</v>
      </c>
    </row>
    <row r="3705" spans="1:9" x14ac:dyDescent="0.3">
      <c r="A3705" t="str">
        <f t="shared" si="1214"/>
        <v>United States</v>
      </c>
      <c r="B3705" t="str">
        <f t="shared" si="1233"/>
        <v>Parker</v>
      </c>
      <c r="C3705" t="str">
        <f t="shared" si="1234"/>
        <v>Standard Class</v>
      </c>
      <c r="D3705" t="str">
        <f t="shared" si="1235"/>
        <v>Consumer</v>
      </c>
      <c r="E3705" t="s">
        <v>14</v>
      </c>
      <c r="F3705">
        <v>2</v>
      </c>
      <c r="G3705">
        <v>0.2</v>
      </c>
      <c r="H3705" s="2">
        <v>-17.607599999999998</v>
      </c>
      <c r="I3705" s="2">
        <v>78.256</v>
      </c>
    </row>
    <row r="3706" spans="1:9" x14ac:dyDescent="0.3">
      <c r="A3706" t="str">
        <f t="shared" si="1214"/>
        <v>United States</v>
      </c>
      <c r="B3706" t="str">
        <f t="shared" si="1233"/>
        <v>Parker</v>
      </c>
      <c r="C3706" t="str">
        <f t="shared" si="1234"/>
        <v>Standard Class</v>
      </c>
      <c r="D3706" t="s">
        <v>15</v>
      </c>
      <c r="E3706" t="s">
        <v>20</v>
      </c>
      <c r="F3706">
        <v>7</v>
      </c>
      <c r="G3706">
        <v>2.0999999999999996</v>
      </c>
      <c r="H3706" s="2">
        <v>-28.942399999999996</v>
      </c>
      <c r="I3706" s="2">
        <v>39.948000000000008</v>
      </c>
    </row>
    <row r="3707" spans="1:9" x14ac:dyDescent="0.3">
      <c r="A3707" t="str">
        <f t="shared" si="1214"/>
        <v>United States</v>
      </c>
      <c r="B3707" t="str">
        <f t="shared" si="1233"/>
        <v>Parker</v>
      </c>
      <c r="C3707" t="str">
        <f t="shared" si="1234"/>
        <v>Standard Class</v>
      </c>
      <c r="D3707" t="str">
        <f t="shared" ref="D3707:D3708" si="1236">D3706</f>
        <v>Corporate</v>
      </c>
      <c r="E3707" t="s">
        <v>33</v>
      </c>
      <c r="F3707">
        <v>2</v>
      </c>
      <c r="G3707">
        <v>0.2</v>
      </c>
      <c r="H3707" s="2">
        <v>50.097999999999985</v>
      </c>
      <c r="I3707" s="2">
        <v>801.5680000000001</v>
      </c>
    </row>
    <row r="3708" spans="1:9" x14ac:dyDescent="0.3">
      <c r="A3708" t="str">
        <f t="shared" si="1214"/>
        <v>United States</v>
      </c>
      <c r="B3708" t="str">
        <f t="shared" si="1233"/>
        <v>Parker</v>
      </c>
      <c r="C3708" t="str">
        <f t="shared" si="1234"/>
        <v>Standard Class</v>
      </c>
      <c r="D3708" t="str">
        <f t="shared" si="1236"/>
        <v>Corporate</v>
      </c>
      <c r="E3708" t="s">
        <v>16</v>
      </c>
      <c r="F3708">
        <v>1</v>
      </c>
      <c r="G3708">
        <v>0.2</v>
      </c>
      <c r="H3708" s="2">
        <v>11.8871</v>
      </c>
      <c r="I3708" s="2">
        <v>32.792000000000002</v>
      </c>
    </row>
    <row r="3709" spans="1:9" x14ac:dyDescent="0.3">
      <c r="A3709" t="str">
        <f t="shared" si="1214"/>
        <v>United States</v>
      </c>
      <c r="B3709" t="s">
        <v>393</v>
      </c>
      <c r="C3709" t="s">
        <v>11</v>
      </c>
      <c r="D3709" t="s">
        <v>8</v>
      </c>
      <c r="E3709" t="s">
        <v>33</v>
      </c>
      <c r="F3709">
        <v>2</v>
      </c>
      <c r="G3709">
        <v>0.3</v>
      </c>
      <c r="H3709" s="2">
        <v>-7.8588000000000022</v>
      </c>
      <c r="I3709" s="2">
        <v>183.37199999999999</v>
      </c>
    </row>
    <row r="3710" spans="1:9" x14ac:dyDescent="0.3">
      <c r="A3710" t="str">
        <f t="shared" si="1214"/>
        <v>United States</v>
      </c>
      <c r="B3710" t="str">
        <f t="shared" ref="B3710:B3716" si="1237">B3709</f>
        <v>Parma</v>
      </c>
      <c r="C3710" t="str">
        <f>C3709</f>
        <v>First Class</v>
      </c>
      <c r="D3710" t="str">
        <f>D3709</f>
        <v>Consumer</v>
      </c>
      <c r="E3710" t="s">
        <v>16</v>
      </c>
      <c r="F3710">
        <v>2</v>
      </c>
      <c r="G3710">
        <v>0.2</v>
      </c>
      <c r="H3710" s="2">
        <v>2.8884000000000007</v>
      </c>
      <c r="I3710" s="2">
        <v>7.9680000000000009</v>
      </c>
    </row>
    <row r="3711" spans="1:9" x14ac:dyDescent="0.3">
      <c r="A3711" t="str">
        <f t="shared" si="1214"/>
        <v>United States</v>
      </c>
      <c r="B3711" t="str">
        <f t="shared" si="1237"/>
        <v>Parma</v>
      </c>
      <c r="C3711" t="s">
        <v>7</v>
      </c>
      <c r="D3711" t="s">
        <v>17</v>
      </c>
      <c r="E3711" t="s">
        <v>38</v>
      </c>
      <c r="F3711">
        <v>2</v>
      </c>
      <c r="G3711">
        <v>0.2</v>
      </c>
      <c r="H3711" s="2">
        <v>19.989999999999995</v>
      </c>
      <c r="I3711" s="2">
        <v>63.967999999999996</v>
      </c>
    </row>
    <row r="3712" spans="1:9" x14ac:dyDescent="0.3">
      <c r="A3712" t="str">
        <f t="shared" si="1214"/>
        <v>United States</v>
      </c>
      <c r="B3712" t="str">
        <f t="shared" si="1237"/>
        <v>Parma</v>
      </c>
      <c r="C3712" t="s">
        <v>22</v>
      </c>
      <c r="D3712" t="s">
        <v>8</v>
      </c>
      <c r="E3712" t="s">
        <v>12</v>
      </c>
      <c r="F3712">
        <v>2</v>
      </c>
      <c r="G3712">
        <v>0.2</v>
      </c>
      <c r="H3712" s="2">
        <v>33.028800000000004</v>
      </c>
      <c r="I3712" s="2">
        <v>110.096</v>
      </c>
    </row>
    <row r="3713" spans="1:9" x14ac:dyDescent="0.3">
      <c r="A3713" t="str">
        <f t="shared" si="1214"/>
        <v>United States</v>
      </c>
      <c r="B3713" t="str">
        <f t="shared" si="1237"/>
        <v>Parma</v>
      </c>
      <c r="C3713" t="str">
        <f t="shared" ref="C3713:C3716" si="1238">C3712</f>
        <v>Standard Class</v>
      </c>
      <c r="D3713" t="str">
        <f t="shared" ref="D3713:D3716" si="1239">D3712</f>
        <v>Consumer</v>
      </c>
      <c r="E3713" t="s">
        <v>19</v>
      </c>
      <c r="F3713">
        <v>2</v>
      </c>
      <c r="G3713">
        <v>0.2</v>
      </c>
      <c r="H3713" s="2">
        <v>0.59039999999999915</v>
      </c>
      <c r="I3713" s="2">
        <v>5.2480000000000002</v>
      </c>
    </row>
    <row r="3714" spans="1:9" x14ac:dyDescent="0.3">
      <c r="A3714" t="str">
        <f t="shared" si="1214"/>
        <v>United States</v>
      </c>
      <c r="B3714" t="str">
        <f t="shared" si="1237"/>
        <v>Parma</v>
      </c>
      <c r="C3714" t="str">
        <f t="shared" si="1238"/>
        <v>Standard Class</v>
      </c>
      <c r="D3714" t="str">
        <f t="shared" si="1239"/>
        <v>Consumer</v>
      </c>
      <c r="E3714" t="s">
        <v>33</v>
      </c>
      <c r="F3714">
        <v>18</v>
      </c>
      <c r="G3714">
        <v>0.89999999999999991</v>
      </c>
      <c r="H3714" s="2">
        <v>-33.907800000000151</v>
      </c>
      <c r="I3714" s="2">
        <v>3461.248</v>
      </c>
    </row>
    <row r="3715" spans="1:9" x14ac:dyDescent="0.3">
      <c r="A3715" t="str">
        <f t="shared" si="1214"/>
        <v>United States</v>
      </c>
      <c r="B3715" t="str">
        <f t="shared" si="1237"/>
        <v>Parma</v>
      </c>
      <c r="C3715" t="str">
        <f t="shared" si="1238"/>
        <v>Standard Class</v>
      </c>
      <c r="D3715" t="str">
        <f t="shared" si="1239"/>
        <v>Consumer</v>
      </c>
      <c r="E3715" t="s">
        <v>18</v>
      </c>
      <c r="F3715">
        <v>6</v>
      </c>
      <c r="G3715">
        <v>0.2</v>
      </c>
      <c r="H3715" s="2">
        <v>5.4443999999999999</v>
      </c>
      <c r="I3715" s="2">
        <v>16.752000000000002</v>
      </c>
    </row>
    <row r="3716" spans="1:9" x14ac:dyDescent="0.3">
      <c r="A3716" t="str">
        <f t="shared" ref="A3716:A3779" si="1240">A3715</f>
        <v>United States</v>
      </c>
      <c r="B3716" t="str">
        <f t="shared" si="1237"/>
        <v>Parma</v>
      </c>
      <c r="C3716" t="str">
        <f t="shared" si="1238"/>
        <v>Standard Class</v>
      </c>
      <c r="D3716" t="str">
        <f t="shared" si="1239"/>
        <v>Consumer</v>
      </c>
      <c r="E3716" t="s">
        <v>16</v>
      </c>
      <c r="F3716">
        <v>6</v>
      </c>
      <c r="G3716">
        <v>0.2</v>
      </c>
      <c r="H3716" s="2">
        <v>10.8864</v>
      </c>
      <c r="I3716" s="2">
        <v>31.104000000000006</v>
      </c>
    </row>
    <row r="3717" spans="1:9" x14ac:dyDescent="0.3">
      <c r="A3717" t="str">
        <f t="shared" si="1240"/>
        <v>United States</v>
      </c>
      <c r="B3717" t="s">
        <v>394</v>
      </c>
      <c r="C3717" t="s">
        <v>11</v>
      </c>
      <c r="D3717" t="s">
        <v>8</v>
      </c>
      <c r="E3717" t="s">
        <v>12</v>
      </c>
      <c r="F3717">
        <v>2</v>
      </c>
      <c r="G3717">
        <v>0</v>
      </c>
      <c r="H3717" s="2">
        <v>5.6628000000000007</v>
      </c>
      <c r="I3717" s="2">
        <v>21.78</v>
      </c>
    </row>
    <row r="3718" spans="1:9" x14ac:dyDescent="0.3">
      <c r="A3718" t="str">
        <f t="shared" si="1240"/>
        <v>United States</v>
      </c>
      <c r="B3718" t="str">
        <f t="shared" ref="B3718:B3748" si="1241">B3717</f>
        <v>Pasadena</v>
      </c>
      <c r="C3718" t="str">
        <f t="shared" ref="C3718:C3724" si="1242">C3717</f>
        <v>First Class</v>
      </c>
      <c r="D3718" t="str">
        <f t="shared" ref="D3718:D3721" si="1243">D3717</f>
        <v>Consumer</v>
      </c>
      <c r="E3718" t="s">
        <v>20</v>
      </c>
      <c r="F3718">
        <v>4</v>
      </c>
      <c r="G3718">
        <v>1</v>
      </c>
      <c r="H3718" s="2">
        <v>-4.6642000000000037</v>
      </c>
      <c r="I3718" s="2">
        <v>24.639999999999997</v>
      </c>
    </row>
    <row r="3719" spans="1:9" x14ac:dyDescent="0.3">
      <c r="A3719" t="str">
        <f t="shared" si="1240"/>
        <v>United States</v>
      </c>
      <c r="B3719" t="str">
        <f t="shared" si="1241"/>
        <v>Pasadena</v>
      </c>
      <c r="C3719" t="str">
        <f t="shared" si="1242"/>
        <v>First Class</v>
      </c>
      <c r="D3719" t="str">
        <f t="shared" si="1243"/>
        <v>Consumer</v>
      </c>
      <c r="E3719" t="s">
        <v>33</v>
      </c>
      <c r="F3719">
        <v>4</v>
      </c>
      <c r="G3719">
        <v>0.4</v>
      </c>
      <c r="H3719" s="2">
        <v>-73.113600000000048</v>
      </c>
      <c r="I3719" s="2">
        <v>595.13600000000008</v>
      </c>
    </row>
    <row r="3720" spans="1:9" x14ac:dyDescent="0.3">
      <c r="A3720" t="str">
        <f t="shared" si="1240"/>
        <v>United States</v>
      </c>
      <c r="B3720" t="str">
        <f t="shared" si="1241"/>
        <v>Pasadena</v>
      </c>
      <c r="C3720" t="str">
        <f t="shared" si="1242"/>
        <v>First Class</v>
      </c>
      <c r="D3720" t="str">
        <f t="shared" si="1243"/>
        <v>Consumer</v>
      </c>
      <c r="E3720" t="s">
        <v>16</v>
      </c>
      <c r="F3720">
        <v>7</v>
      </c>
      <c r="G3720">
        <v>0</v>
      </c>
      <c r="H3720" s="2">
        <v>22.444800000000001</v>
      </c>
      <c r="I3720" s="2">
        <v>46.76</v>
      </c>
    </row>
    <row r="3721" spans="1:9" x14ac:dyDescent="0.3">
      <c r="A3721" t="str">
        <f t="shared" si="1240"/>
        <v>United States</v>
      </c>
      <c r="B3721" t="str">
        <f t="shared" si="1241"/>
        <v>Pasadena</v>
      </c>
      <c r="C3721" t="str">
        <f t="shared" si="1242"/>
        <v>First Class</v>
      </c>
      <c r="D3721" t="str">
        <f t="shared" si="1243"/>
        <v>Consumer</v>
      </c>
      <c r="E3721" t="s">
        <v>14</v>
      </c>
      <c r="F3721">
        <v>7</v>
      </c>
      <c r="G3721">
        <v>0</v>
      </c>
      <c r="H3721" s="2">
        <v>18.015599999999992</v>
      </c>
      <c r="I3721" s="2">
        <v>193.86</v>
      </c>
    </row>
    <row r="3722" spans="1:9" x14ac:dyDescent="0.3">
      <c r="A3722" t="str">
        <f t="shared" si="1240"/>
        <v>United States</v>
      </c>
      <c r="B3722" t="str">
        <f t="shared" si="1241"/>
        <v>Pasadena</v>
      </c>
      <c r="C3722" t="str">
        <f t="shared" si="1242"/>
        <v>First Class</v>
      </c>
      <c r="D3722" t="s">
        <v>15</v>
      </c>
      <c r="E3722" t="s">
        <v>23</v>
      </c>
      <c r="F3722">
        <v>2</v>
      </c>
      <c r="G3722">
        <v>0.2</v>
      </c>
      <c r="H3722" s="2">
        <v>43.995600000000003</v>
      </c>
      <c r="I3722" s="2">
        <v>159.98400000000001</v>
      </c>
    </row>
    <row r="3723" spans="1:9" x14ac:dyDescent="0.3">
      <c r="A3723" t="str">
        <f t="shared" si="1240"/>
        <v>United States</v>
      </c>
      <c r="B3723" t="str">
        <f t="shared" si="1241"/>
        <v>Pasadena</v>
      </c>
      <c r="C3723" t="str">
        <f t="shared" si="1242"/>
        <v>First Class</v>
      </c>
      <c r="D3723" t="str">
        <f t="shared" ref="D3723:D3724" si="1244">D3722</f>
        <v>Corporate</v>
      </c>
      <c r="E3723" t="s">
        <v>33</v>
      </c>
      <c r="F3723">
        <v>6</v>
      </c>
      <c r="G3723">
        <v>0.3</v>
      </c>
      <c r="H3723" s="2">
        <v>-29.277599999999893</v>
      </c>
      <c r="I3723" s="2">
        <v>1024.7159999999999</v>
      </c>
    </row>
    <row r="3724" spans="1:9" x14ac:dyDescent="0.3">
      <c r="A3724" t="str">
        <f t="shared" si="1240"/>
        <v>United States</v>
      </c>
      <c r="B3724" t="str">
        <f t="shared" si="1241"/>
        <v>Pasadena</v>
      </c>
      <c r="C3724" t="str">
        <f t="shared" si="1242"/>
        <v>First Class</v>
      </c>
      <c r="D3724" t="str">
        <f t="shared" si="1244"/>
        <v>Corporate</v>
      </c>
      <c r="E3724" t="s">
        <v>16</v>
      </c>
      <c r="F3724">
        <v>4</v>
      </c>
      <c r="G3724">
        <v>0.2</v>
      </c>
      <c r="H3724" s="2">
        <v>7.2576000000000001</v>
      </c>
      <c r="I3724" s="2">
        <v>20.736000000000004</v>
      </c>
    </row>
    <row r="3725" spans="1:9" x14ac:dyDescent="0.3">
      <c r="A3725" t="str">
        <f t="shared" si="1240"/>
        <v>United States</v>
      </c>
      <c r="B3725" t="str">
        <f t="shared" si="1241"/>
        <v>Pasadena</v>
      </c>
      <c r="C3725" t="s">
        <v>7</v>
      </c>
      <c r="D3725" t="s">
        <v>8</v>
      </c>
      <c r="E3725" t="s">
        <v>20</v>
      </c>
      <c r="F3725">
        <v>6</v>
      </c>
      <c r="G3725">
        <v>0.2</v>
      </c>
      <c r="H3725" s="2">
        <v>30.185999999999996</v>
      </c>
      <c r="I3725" s="2">
        <v>92.88000000000001</v>
      </c>
    </row>
    <row r="3726" spans="1:9" x14ac:dyDescent="0.3">
      <c r="A3726" t="str">
        <f t="shared" si="1240"/>
        <v>United States</v>
      </c>
      <c r="B3726" t="str">
        <f t="shared" si="1241"/>
        <v>Pasadena</v>
      </c>
      <c r="C3726" t="str">
        <f t="shared" ref="C3726:C3727" si="1245">C3725</f>
        <v>Second Class</v>
      </c>
      <c r="D3726" t="str">
        <f>D3725</f>
        <v>Consumer</v>
      </c>
      <c r="E3726" t="s">
        <v>21</v>
      </c>
      <c r="F3726">
        <v>9</v>
      </c>
      <c r="G3726">
        <v>0</v>
      </c>
      <c r="H3726" s="2">
        <v>34.510200000000005</v>
      </c>
      <c r="I3726" s="2">
        <v>90.5</v>
      </c>
    </row>
    <row r="3727" spans="1:9" x14ac:dyDescent="0.3">
      <c r="A3727" t="str">
        <f t="shared" si="1240"/>
        <v>United States</v>
      </c>
      <c r="B3727" t="str">
        <f t="shared" si="1241"/>
        <v>Pasadena</v>
      </c>
      <c r="C3727" t="str">
        <f t="shared" si="1245"/>
        <v>Second Class</v>
      </c>
      <c r="D3727" t="s">
        <v>15</v>
      </c>
      <c r="E3727" t="s">
        <v>19</v>
      </c>
      <c r="F3727">
        <v>5</v>
      </c>
      <c r="G3727">
        <v>0.2</v>
      </c>
      <c r="H3727" s="2">
        <v>2.3219999999999974</v>
      </c>
      <c r="I3727" s="2">
        <v>20.64</v>
      </c>
    </row>
    <row r="3728" spans="1:9" x14ac:dyDescent="0.3">
      <c r="A3728" t="str">
        <f t="shared" si="1240"/>
        <v>United States</v>
      </c>
      <c r="B3728" t="str">
        <f t="shared" si="1241"/>
        <v>Pasadena</v>
      </c>
      <c r="C3728" t="s">
        <v>22</v>
      </c>
      <c r="D3728" t="s">
        <v>8</v>
      </c>
      <c r="E3728" t="s">
        <v>23</v>
      </c>
      <c r="F3728">
        <v>11</v>
      </c>
      <c r="G3728">
        <v>0.2</v>
      </c>
      <c r="H3728" s="2">
        <v>-5.2977000000000132</v>
      </c>
      <c r="I3728" s="2">
        <v>367.90200000000004</v>
      </c>
    </row>
    <row r="3729" spans="1:9" x14ac:dyDescent="0.3">
      <c r="A3729" t="str">
        <f t="shared" si="1240"/>
        <v>United States</v>
      </c>
      <c r="B3729" t="str">
        <f t="shared" si="1241"/>
        <v>Pasadena</v>
      </c>
      <c r="C3729" t="str">
        <f t="shared" ref="C3729:C3748" si="1246">C3728</f>
        <v>Standard Class</v>
      </c>
      <c r="D3729" t="str">
        <f t="shared" ref="D3729:D3734" si="1247">D3728</f>
        <v>Consumer</v>
      </c>
      <c r="E3729" t="s">
        <v>12</v>
      </c>
      <c r="F3729">
        <v>3</v>
      </c>
      <c r="G3729">
        <v>0</v>
      </c>
      <c r="H3729" s="2">
        <v>15.8256</v>
      </c>
      <c r="I3729" s="2">
        <v>56.519999999999996</v>
      </c>
    </row>
    <row r="3730" spans="1:9" x14ac:dyDescent="0.3">
      <c r="A3730" t="str">
        <f t="shared" si="1240"/>
        <v>United States</v>
      </c>
      <c r="B3730" t="str">
        <f t="shared" si="1241"/>
        <v>Pasadena</v>
      </c>
      <c r="C3730" t="str">
        <f t="shared" si="1246"/>
        <v>Standard Class</v>
      </c>
      <c r="D3730" t="str">
        <f t="shared" si="1247"/>
        <v>Consumer</v>
      </c>
      <c r="E3730" t="s">
        <v>19</v>
      </c>
      <c r="F3730">
        <v>9</v>
      </c>
      <c r="G3730">
        <v>0.2</v>
      </c>
      <c r="H3730" s="2">
        <v>18.736400000000003</v>
      </c>
      <c r="I3730" s="2">
        <v>86.9</v>
      </c>
    </row>
    <row r="3731" spans="1:9" x14ac:dyDescent="0.3">
      <c r="A3731" t="str">
        <f t="shared" si="1240"/>
        <v>United States</v>
      </c>
      <c r="B3731" t="str">
        <f t="shared" si="1241"/>
        <v>Pasadena</v>
      </c>
      <c r="C3731" t="str">
        <f t="shared" si="1246"/>
        <v>Standard Class</v>
      </c>
      <c r="D3731" t="str">
        <f t="shared" si="1247"/>
        <v>Consumer</v>
      </c>
      <c r="E3731" t="s">
        <v>33</v>
      </c>
      <c r="F3731">
        <v>3</v>
      </c>
      <c r="G3731">
        <v>0.2</v>
      </c>
      <c r="H3731" s="2">
        <v>-17.035200000000003</v>
      </c>
      <c r="I3731" s="2">
        <v>170.35200000000003</v>
      </c>
    </row>
    <row r="3732" spans="1:9" x14ac:dyDescent="0.3">
      <c r="A3732" t="str">
        <f t="shared" si="1240"/>
        <v>United States</v>
      </c>
      <c r="B3732" t="str">
        <f t="shared" si="1241"/>
        <v>Pasadena</v>
      </c>
      <c r="C3732" t="str">
        <f t="shared" si="1246"/>
        <v>Standard Class</v>
      </c>
      <c r="D3732" t="str">
        <f t="shared" si="1247"/>
        <v>Consumer</v>
      </c>
      <c r="E3732" t="s">
        <v>21</v>
      </c>
      <c r="F3732">
        <v>6</v>
      </c>
      <c r="G3732">
        <v>0</v>
      </c>
      <c r="H3732" s="2">
        <v>122.76479999999999</v>
      </c>
      <c r="I3732" s="2">
        <v>383.64</v>
      </c>
    </row>
    <row r="3733" spans="1:9" x14ac:dyDescent="0.3">
      <c r="A3733" t="str">
        <f t="shared" si="1240"/>
        <v>United States</v>
      </c>
      <c r="B3733" t="str">
        <f t="shared" si="1241"/>
        <v>Pasadena</v>
      </c>
      <c r="C3733" t="str">
        <f t="shared" si="1246"/>
        <v>Standard Class</v>
      </c>
      <c r="D3733" t="str">
        <f t="shared" si="1247"/>
        <v>Consumer</v>
      </c>
      <c r="E3733" t="s">
        <v>24</v>
      </c>
      <c r="F3733">
        <v>7</v>
      </c>
      <c r="G3733">
        <v>0.2</v>
      </c>
      <c r="H3733" s="2">
        <v>52.492999999999967</v>
      </c>
      <c r="I3733" s="2">
        <v>419.94399999999996</v>
      </c>
    </row>
    <row r="3734" spans="1:9" x14ac:dyDescent="0.3">
      <c r="A3734" t="str">
        <f t="shared" si="1240"/>
        <v>United States</v>
      </c>
      <c r="B3734" t="str">
        <f t="shared" si="1241"/>
        <v>Pasadena</v>
      </c>
      <c r="C3734" t="str">
        <f t="shared" si="1246"/>
        <v>Standard Class</v>
      </c>
      <c r="D3734" t="str">
        <f t="shared" si="1247"/>
        <v>Consumer</v>
      </c>
      <c r="E3734" t="s">
        <v>14</v>
      </c>
      <c r="F3734">
        <v>7</v>
      </c>
      <c r="G3734">
        <v>0</v>
      </c>
      <c r="H3734" s="2">
        <v>20.157899999999998</v>
      </c>
      <c r="I3734" s="2">
        <v>671.93</v>
      </c>
    </row>
    <row r="3735" spans="1:9" x14ac:dyDescent="0.3">
      <c r="A3735" t="str">
        <f t="shared" si="1240"/>
        <v>United States</v>
      </c>
      <c r="B3735" t="str">
        <f t="shared" si="1241"/>
        <v>Pasadena</v>
      </c>
      <c r="C3735" t="str">
        <f t="shared" si="1246"/>
        <v>Standard Class</v>
      </c>
      <c r="D3735" t="s">
        <v>15</v>
      </c>
      <c r="E3735" t="s">
        <v>12</v>
      </c>
      <c r="F3735">
        <v>2</v>
      </c>
      <c r="G3735">
        <v>0.8</v>
      </c>
      <c r="H3735" s="2">
        <v>-4.4660000000000002</v>
      </c>
      <c r="I3735" s="2">
        <v>1.6239999999999994</v>
      </c>
    </row>
    <row r="3736" spans="1:9" x14ac:dyDescent="0.3">
      <c r="A3736" t="str">
        <f t="shared" si="1240"/>
        <v>United States</v>
      </c>
      <c r="B3736" t="str">
        <f t="shared" si="1241"/>
        <v>Pasadena</v>
      </c>
      <c r="C3736" t="str">
        <f t="shared" si="1246"/>
        <v>Standard Class</v>
      </c>
      <c r="D3736" t="str">
        <f t="shared" ref="D3736:D3737" si="1248">D3735</f>
        <v>Corporate</v>
      </c>
      <c r="E3736" t="s">
        <v>16</v>
      </c>
      <c r="F3736">
        <v>8</v>
      </c>
      <c r="G3736">
        <v>0</v>
      </c>
      <c r="H3736" s="2">
        <v>89.866799999999984</v>
      </c>
      <c r="I3736" s="2">
        <v>198.84</v>
      </c>
    </row>
    <row r="3737" spans="1:9" x14ac:dyDescent="0.3">
      <c r="A3737" t="str">
        <f t="shared" si="1240"/>
        <v>United States</v>
      </c>
      <c r="B3737" t="str">
        <f t="shared" si="1241"/>
        <v>Pasadena</v>
      </c>
      <c r="C3737" t="str">
        <f t="shared" si="1246"/>
        <v>Standard Class</v>
      </c>
      <c r="D3737" t="str">
        <f t="shared" si="1248"/>
        <v>Corporate</v>
      </c>
      <c r="E3737" t="s">
        <v>25</v>
      </c>
      <c r="F3737">
        <v>3</v>
      </c>
      <c r="G3737">
        <v>0.2</v>
      </c>
      <c r="H3737" s="2">
        <v>-6.423300000000026</v>
      </c>
      <c r="I3737" s="2">
        <v>171.28800000000001</v>
      </c>
    </row>
    <row r="3738" spans="1:9" x14ac:dyDescent="0.3">
      <c r="A3738" t="str">
        <f t="shared" si="1240"/>
        <v>United States</v>
      </c>
      <c r="B3738" t="str">
        <f t="shared" si="1241"/>
        <v>Pasadena</v>
      </c>
      <c r="C3738" t="str">
        <f t="shared" si="1246"/>
        <v>Standard Class</v>
      </c>
      <c r="D3738" t="s">
        <v>17</v>
      </c>
      <c r="E3738" t="s">
        <v>12</v>
      </c>
      <c r="F3738">
        <v>1</v>
      </c>
      <c r="G3738">
        <v>0</v>
      </c>
      <c r="H3738" s="2">
        <v>2.2412000000000001</v>
      </c>
      <c r="I3738" s="2">
        <v>8.6199999999999992</v>
      </c>
    </row>
    <row r="3739" spans="1:9" x14ac:dyDescent="0.3">
      <c r="A3739" t="str">
        <f t="shared" si="1240"/>
        <v>United States</v>
      </c>
      <c r="B3739" t="str">
        <f t="shared" si="1241"/>
        <v>Pasadena</v>
      </c>
      <c r="C3739" t="str">
        <f t="shared" si="1246"/>
        <v>Standard Class</v>
      </c>
      <c r="D3739" t="str">
        <f t="shared" ref="D3739:D3748" si="1249">D3738</f>
        <v>Home Office</v>
      </c>
      <c r="E3739" t="s">
        <v>19</v>
      </c>
      <c r="F3739">
        <v>4</v>
      </c>
      <c r="G3739">
        <v>0.2</v>
      </c>
      <c r="H3739" s="2">
        <v>2.4803999999999991</v>
      </c>
      <c r="I3739" s="2">
        <v>11.928000000000001</v>
      </c>
    </row>
    <row r="3740" spans="1:9" x14ac:dyDescent="0.3">
      <c r="A3740" t="str">
        <f t="shared" si="1240"/>
        <v>United States</v>
      </c>
      <c r="B3740" t="str">
        <f t="shared" si="1241"/>
        <v>Pasadena</v>
      </c>
      <c r="C3740" t="str">
        <f t="shared" si="1246"/>
        <v>Standard Class</v>
      </c>
      <c r="D3740" t="str">
        <f t="shared" si="1249"/>
        <v>Home Office</v>
      </c>
      <c r="E3740" t="s">
        <v>33</v>
      </c>
      <c r="F3740">
        <v>6</v>
      </c>
      <c r="G3740">
        <v>0.3</v>
      </c>
      <c r="H3740" s="2">
        <v>-18.221999999999994</v>
      </c>
      <c r="I3740" s="2">
        <v>255.108</v>
      </c>
    </row>
    <row r="3741" spans="1:9" x14ac:dyDescent="0.3">
      <c r="A3741" t="str">
        <f t="shared" si="1240"/>
        <v>United States</v>
      </c>
      <c r="B3741" t="str">
        <f t="shared" si="1241"/>
        <v>Pasadena</v>
      </c>
      <c r="C3741" t="str">
        <f t="shared" si="1246"/>
        <v>Standard Class</v>
      </c>
      <c r="D3741" t="str">
        <f t="shared" si="1249"/>
        <v>Home Office</v>
      </c>
      <c r="E3741" t="s">
        <v>38</v>
      </c>
      <c r="F3741">
        <v>4</v>
      </c>
      <c r="G3741">
        <v>0.2</v>
      </c>
      <c r="H3741" s="2">
        <v>9.4391999999999996</v>
      </c>
      <c r="I3741" s="2">
        <v>27.968000000000004</v>
      </c>
    </row>
    <row r="3742" spans="1:9" x14ac:dyDescent="0.3">
      <c r="A3742" t="str">
        <f t="shared" si="1240"/>
        <v>United States</v>
      </c>
      <c r="B3742" t="str">
        <f t="shared" si="1241"/>
        <v>Pasadena</v>
      </c>
      <c r="C3742" t="str">
        <f t="shared" si="1246"/>
        <v>Standard Class</v>
      </c>
      <c r="D3742" t="str">
        <f t="shared" si="1249"/>
        <v>Home Office</v>
      </c>
      <c r="E3742" t="s">
        <v>18</v>
      </c>
      <c r="F3742">
        <v>2</v>
      </c>
      <c r="G3742">
        <v>0</v>
      </c>
      <c r="H3742" s="2">
        <v>3.5178000000000003</v>
      </c>
      <c r="I3742" s="2">
        <v>9.02</v>
      </c>
    </row>
    <row r="3743" spans="1:9" x14ac:dyDescent="0.3">
      <c r="A3743" t="str">
        <f t="shared" si="1240"/>
        <v>United States</v>
      </c>
      <c r="B3743" t="str">
        <f t="shared" si="1241"/>
        <v>Pasadena</v>
      </c>
      <c r="C3743" t="str">
        <f t="shared" si="1246"/>
        <v>Standard Class</v>
      </c>
      <c r="D3743" t="str">
        <f t="shared" si="1249"/>
        <v>Home Office</v>
      </c>
      <c r="E3743" t="s">
        <v>21</v>
      </c>
      <c r="F3743">
        <v>10</v>
      </c>
      <c r="G3743">
        <v>1.2</v>
      </c>
      <c r="H3743" s="2">
        <v>-388.28000000000009</v>
      </c>
      <c r="I3743" s="2">
        <v>327.42</v>
      </c>
    </row>
    <row r="3744" spans="1:9" x14ac:dyDescent="0.3">
      <c r="A3744" t="str">
        <f t="shared" si="1240"/>
        <v>United States</v>
      </c>
      <c r="B3744" t="str">
        <f t="shared" si="1241"/>
        <v>Pasadena</v>
      </c>
      <c r="C3744" t="str">
        <f t="shared" si="1246"/>
        <v>Standard Class</v>
      </c>
      <c r="D3744" t="str">
        <f t="shared" si="1249"/>
        <v>Home Office</v>
      </c>
      <c r="E3744" t="s">
        <v>43</v>
      </c>
      <c r="F3744">
        <v>4</v>
      </c>
      <c r="G3744">
        <v>0.4</v>
      </c>
      <c r="H3744" s="2">
        <v>18.465199999999999</v>
      </c>
      <c r="I3744" s="2">
        <v>56.81600000000001</v>
      </c>
    </row>
    <row r="3745" spans="1:9" x14ac:dyDescent="0.3">
      <c r="A3745" t="str">
        <f t="shared" si="1240"/>
        <v>United States</v>
      </c>
      <c r="B3745" t="str">
        <f t="shared" si="1241"/>
        <v>Pasadena</v>
      </c>
      <c r="C3745" t="str">
        <f t="shared" si="1246"/>
        <v>Standard Class</v>
      </c>
      <c r="D3745" t="str">
        <f t="shared" si="1249"/>
        <v>Home Office</v>
      </c>
      <c r="E3745" t="s">
        <v>46</v>
      </c>
      <c r="F3745">
        <v>3</v>
      </c>
      <c r="G3745">
        <v>0.4</v>
      </c>
      <c r="H3745" s="2">
        <v>44.867999999999967</v>
      </c>
      <c r="I3745" s="2">
        <v>336.51</v>
      </c>
    </row>
    <row r="3746" spans="1:9" x14ac:dyDescent="0.3">
      <c r="A3746" t="str">
        <f t="shared" si="1240"/>
        <v>United States</v>
      </c>
      <c r="B3746" t="str">
        <f t="shared" si="1241"/>
        <v>Pasadena</v>
      </c>
      <c r="C3746" t="str">
        <f t="shared" si="1246"/>
        <v>Standard Class</v>
      </c>
      <c r="D3746" t="str">
        <f t="shared" si="1249"/>
        <v>Home Office</v>
      </c>
      <c r="E3746" t="s">
        <v>16</v>
      </c>
      <c r="F3746">
        <v>2</v>
      </c>
      <c r="G3746">
        <v>0.2</v>
      </c>
      <c r="H3746" s="2">
        <v>6.6311999999999989</v>
      </c>
      <c r="I3746" s="2">
        <v>19.648</v>
      </c>
    </row>
    <row r="3747" spans="1:9" x14ac:dyDescent="0.3">
      <c r="A3747" t="str">
        <f t="shared" si="1240"/>
        <v>United States</v>
      </c>
      <c r="B3747" t="str">
        <f t="shared" si="1241"/>
        <v>Pasadena</v>
      </c>
      <c r="C3747" t="str">
        <f t="shared" si="1246"/>
        <v>Standard Class</v>
      </c>
      <c r="D3747" t="str">
        <f t="shared" si="1249"/>
        <v>Home Office</v>
      </c>
      <c r="E3747" t="s">
        <v>24</v>
      </c>
      <c r="F3747">
        <v>3</v>
      </c>
      <c r="G3747">
        <v>0.2</v>
      </c>
      <c r="H3747" s="2">
        <v>49.498199999999969</v>
      </c>
      <c r="I3747" s="2">
        <v>659.97600000000011</v>
      </c>
    </row>
    <row r="3748" spans="1:9" x14ac:dyDescent="0.3">
      <c r="A3748" t="str">
        <f t="shared" si="1240"/>
        <v>United States</v>
      </c>
      <c r="B3748" t="str">
        <f t="shared" si="1241"/>
        <v>Pasadena</v>
      </c>
      <c r="C3748" t="str">
        <f t="shared" si="1246"/>
        <v>Standard Class</v>
      </c>
      <c r="D3748" t="str">
        <f t="shared" si="1249"/>
        <v>Home Office</v>
      </c>
      <c r="E3748" t="s">
        <v>14</v>
      </c>
      <c r="F3748">
        <v>2</v>
      </c>
      <c r="G3748">
        <v>0</v>
      </c>
      <c r="H3748" s="2">
        <v>15.2712</v>
      </c>
      <c r="I3748" s="2">
        <v>56.56</v>
      </c>
    </row>
    <row r="3749" spans="1:9" x14ac:dyDescent="0.3">
      <c r="A3749" t="str">
        <f t="shared" si="1240"/>
        <v>United States</v>
      </c>
      <c r="B3749" t="s">
        <v>395</v>
      </c>
      <c r="C3749" t="s">
        <v>22</v>
      </c>
      <c r="D3749" t="s">
        <v>8</v>
      </c>
      <c r="E3749" t="s">
        <v>12</v>
      </c>
      <c r="F3749">
        <v>5</v>
      </c>
      <c r="G3749">
        <v>0</v>
      </c>
      <c r="H3749" s="2">
        <v>112.224</v>
      </c>
      <c r="I3749" s="2">
        <v>400.79999999999995</v>
      </c>
    </row>
    <row r="3750" spans="1:9" x14ac:dyDescent="0.3">
      <c r="A3750" t="str">
        <f t="shared" si="1240"/>
        <v>United States</v>
      </c>
      <c r="B3750" t="str">
        <f t="shared" ref="B3750:B3753" si="1250">B3749</f>
        <v>Pasco</v>
      </c>
      <c r="C3750" t="str">
        <f t="shared" ref="C3750:C3753" si="1251">C3749</f>
        <v>Standard Class</v>
      </c>
      <c r="D3750" t="str">
        <f t="shared" ref="D3750:D3753" si="1252">D3749</f>
        <v>Consumer</v>
      </c>
      <c r="E3750" t="s">
        <v>19</v>
      </c>
      <c r="F3750">
        <v>10</v>
      </c>
      <c r="G3750">
        <v>0</v>
      </c>
      <c r="H3750" s="2">
        <v>93.797999999999959</v>
      </c>
      <c r="I3750" s="2">
        <v>309.71999999999997</v>
      </c>
    </row>
    <row r="3751" spans="1:9" x14ac:dyDescent="0.3">
      <c r="A3751" t="str">
        <f t="shared" si="1240"/>
        <v>United States</v>
      </c>
      <c r="B3751" t="str">
        <f t="shared" si="1250"/>
        <v>Pasco</v>
      </c>
      <c r="C3751" t="str">
        <f t="shared" si="1251"/>
        <v>Standard Class</v>
      </c>
      <c r="D3751" t="str">
        <f t="shared" si="1252"/>
        <v>Consumer</v>
      </c>
      <c r="E3751" t="s">
        <v>20</v>
      </c>
      <c r="F3751">
        <v>1</v>
      </c>
      <c r="G3751">
        <v>0.2</v>
      </c>
      <c r="H3751" s="2">
        <v>10.077200000000001</v>
      </c>
      <c r="I3751" s="2">
        <v>28.792000000000002</v>
      </c>
    </row>
    <row r="3752" spans="1:9" x14ac:dyDescent="0.3">
      <c r="A3752" t="str">
        <f t="shared" si="1240"/>
        <v>United States</v>
      </c>
      <c r="B3752" t="str">
        <f t="shared" si="1250"/>
        <v>Pasco</v>
      </c>
      <c r="C3752" t="str">
        <f t="shared" si="1251"/>
        <v>Standard Class</v>
      </c>
      <c r="D3752" t="str">
        <f t="shared" si="1252"/>
        <v>Consumer</v>
      </c>
      <c r="E3752" t="s">
        <v>33</v>
      </c>
      <c r="F3752">
        <v>5</v>
      </c>
      <c r="G3752">
        <v>0.2</v>
      </c>
      <c r="H3752" s="2">
        <v>121.98999999999992</v>
      </c>
      <c r="I3752" s="2">
        <v>975.92</v>
      </c>
    </row>
    <row r="3753" spans="1:9" x14ac:dyDescent="0.3">
      <c r="A3753" t="str">
        <f t="shared" si="1240"/>
        <v>United States</v>
      </c>
      <c r="B3753" t="str">
        <f t="shared" si="1250"/>
        <v>Pasco</v>
      </c>
      <c r="C3753" t="str">
        <f t="shared" si="1251"/>
        <v>Standard Class</v>
      </c>
      <c r="D3753" t="str">
        <f t="shared" si="1252"/>
        <v>Consumer</v>
      </c>
      <c r="E3753" t="s">
        <v>14</v>
      </c>
      <c r="F3753">
        <v>6</v>
      </c>
      <c r="G3753">
        <v>0</v>
      </c>
      <c r="H3753" s="2">
        <v>19.43519999999998</v>
      </c>
      <c r="I3753" s="2">
        <v>485.88</v>
      </c>
    </row>
    <row r="3754" spans="1:9" x14ac:dyDescent="0.3">
      <c r="A3754" t="str">
        <f t="shared" si="1240"/>
        <v>United States</v>
      </c>
      <c r="B3754" t="s">
        <v>396</v>
      </c>
      <c r="C3754" t="s">
        <v>22</v>
      </c>
      <c r="D3754" t="s">
        <v>8</v>
      </c>
      <c r="E3754" t="s">
        <v>23</v>
      </c>
      <c r="F3754">
        <v>5</v>
      </c>
      <c r="G3754">
        <v>0</v>
      </c>
      <c r="H3754" s="2">
        <v>30.431999999999995</v>
      </c>
      <c r="I3754" s="2">
        <v>95.1</v>
      </c>
    </row>
    <row r="3755" spans="1:9" x14ac:dyDescent="0.3">
      <c r="A3755" t="str">
        <f t="shared" si="1240"/>
        <v>United States</v>
      </c>
      <c r="B3755" t="str">
        <f t="shared" ref="B3755:B3758" si="1253">B3754</f>
        <v>Passaic</v>
      </c>
      <c r="C3755" t="str">
        <f t="shared" ref="C3755:C3758" si="1254">C3754</f>
        <v>Standard Class</v>
      </c>
      <c r="D3755" t="str">
        <f t="shared" ref="D3755:D3758" si="1255">D3754</f>
        <v>Consumer</v>
      </c>
      <c r="E3755" t="s">
        <v>12</v>
      </c>
      <c r="F3755">
        <v>4</v>
      </c>
      <c r="G3755">
        <v>0</v>
      </c>
      <c r="H3755" s="2">
        <v>172.33840000000004</v>
      </c>
      <c r="I3755" s="2">
        <v>662.84</v>
      </c>
    </row>
    <row r="3756" spans="1:9" x14ac:dyDescent="0.3">
      <c r="A3756" t="str">
        <f t="shared" si="1240"/>
        <v>United States</v>
      </c>
      <c r="B3756" t="str">
        <f t="shared" si="1253"/>
        <v>Passaic</v>
      </c>
      <c r="C3756" t="str">
        <f t="shared" si="1254"/>
        <v>Standard Class</v>
      </c>
      <c r="D3756" t="str">
        <f t="shared" si="1255"/>
        <v>Consumer</v>
      </c>
      <c r="E3756" t="s">
        <v>38</v>
      </c>
      <c r="F3756">
        <v>6</v>
      </c>
      <c r="G3756">
        <v>0</v>
      </c>
      <c r="H3756" s="2">
        <v>12.902400000000002</v>
      </c>
      <c r="I3756" s="2">
        <v>26.880000000000003</v>
      </c>
    </row>
    <row r="3757" spans="1:9" x14ac:dyDescent="0.3">
      <c r="A3757" t="str">
        <f t="shared" si="1240"/>
        <v>United States</v>
      </c>
      <c r="B3757" t="str">
        <f t="shared" si="1253"/>
        <v>Passaic</v>
      </c>
      <c r="C3757" t="str">
        <f t="shared" si="1254"/>
        <v>Standard Class</v>
      </c>
      <c r="D3757" t="str">
        <f t="shared" si="1255"/>
        <v>Consumer</v>
      </c>
      <c r="E3757" t="s">
        <v>24</v>
      </c>
      <c r="F3757">
        <v>7</v>
      </c>
      <c r="G3757">
        <v>0</v>
      </c>
      <c r="H3757" s="2">
        <v>161.0642</v>
      </c>
      <c r="I3757" s="2">
        <v>602.98</v>
      </c>
    </row>
    <row r="3758" spans="1:9" x14ac:dyDescent="0.3">
      <c r="A3758" t="str">
        <f t="shared" si="1240"/>
        <v>United States</v>
      </c>
      <c r="B3758" t="str">
        <f t="shared" si="1253"/>
        <v>Passaic</v>
      </c>
      <c r="C3758" t="str">
        <f t="shared" si="1254"/>
        <v>Standard Class</v>
      </c>
      <c r="D3758" t="str">
        <f t="shared" si="1255"/>
        <v>Consumer</v>
      </c>
      <c r="E3758" t="s">
        <v>25</v>
      </c>
      <c r="F3758">
        <v>2</v>
      </c>
      <c r="G3758">
        <v>0.3</v>
      </c>
      <c r="H3758" s="2">
        <v>-19.918399999999991</v>
      </c>
      <c r="I3758" s="2">
        <v>174.28599999999997</v>
      </c>
    </row>
    <row r="3759" spans="1:9" x14ac:dyDescent="0.3">
      <c r="A3759" t="str">
        <f t="shared" si="1240"/>
        <v>United States</v>
      </c>
      <c r="B3759" t="s">
        <v>397</v>
      </c>
      <c r="C3759" t="s">
        <v>11</v>
      </c>
      <c r="D3759" t="s">
        <v>15</v>
      </c>
      <c r="E3759" t="s">
        <v>18</v>
      </c>
      <c r="F3759">
        <v>3</v>
      </c>
      <c r="G3759">
        <v>0</v>
      </c>
      <c r="H3759" s="2">
        <v>2.1581999999999999</v>
      </c>
      <c r="I3759" s="2">
        <v>6.5400000000000009</v>
      </c>
    </row>
    <row r="3760" spans="1:9" x14ac:dyDescent="0.3">
      <c r="A3760" t="str">
        <f t="shared" si="1240"/>
        <v>United States</v>
      </c>
      <c r="B3760" t="str">
        <f t="shared" ref="B3760:B3776" si="1256">B3759</f>
        <v>Paterson</v>
      </c>
      <c r="C3760" t="s">
        <v>7</v>
      </c>
      <c r="D3760" t="s">
        <v>8</v>
      </c>
      <c r="E3760" t="s">
        <v>12</v>
      </c>
      <c r="F3760">
        <v>6</v>
      </c>
      <c r="G3760">
        <v>0</v>
      </c>
      <c r="H3760" s="2">
        <v>123.37800000000001</v>
      </c>
      <c r="I3760" s="2">
        <v>283.98</v>
      </c>
    </row>
    <row r="3761" spans="1:9" x14ac:dyDescent="0.3">
      <c r="A3761" t="str">
        <f t="shared" si="1240"/>
        <v>United States</v>
      </c>
      <c r="B3761" t="str">
        <f t="shared" si="1256"/>
        <v>Paterson</v>
      </c>
      <c r="C3761" t="str">
        <f t="shared" ref="C3761:C3766" si="1257">C3760</f>
        <v>Second Class</v>
      </c>
      <c r="D3761" t="str">
        <f t="shared" ref="D3761:D3763" si="1258">D3760</f>
        <v>Consumer</v>
      </c>
      <c r="E3761" t="s">
        <v>20</v>
      </c>
      <c r="F3761">
        <v>2</v>
      </c>
      <c r="G3761">
        <v>0</v>
      </c>
      <c r="H3761" s="2">
        <v>3.7412000000000001</v>
      </c>
      <c r="I3761" s="2">
        <v>7.96</v>
      </c>
    </row>
    <row r="3762" spans="1:9" x14ac:dyDescent="0.3">
      <c r="A3762" t="str">
        <f t="shared" si="1240"/>
        <v>United States</v>
      </c>
      <c r="B3762" t="str">
        <f t="shared" si="1256"/>
        <v>Paterson</v>
      </c>
      <c r="C3762" t="str">
        <f t="shared" si="1257"/>
        <v>Second Class</v>
      </c>
      <c r="D3762" t="str">
        <f t="shared" si="1258"/>
        <v>Consumer</v>
      </c>
      <c r="E3762" t="s">
        <v>33</v>
      </c>
      <c r="F3762">
        <v>2</v>
      </c>
      <c r="G3762">
        <v>0</v>
      </c>
      <c r="H3762" s="2">
        <v>20.733199999999997</v>
      </c>
      <c r="I3762" s="2">
        <v>121.96</v>
      </c>
    </row>
    <row r="3763" spans="1:9" x14ac:dyDescent="0.3">
      <c r="A3763" t="str">
        <f t="shared" si="1240"/>
        <v>United States</v>
      </c>
      <c r="B3763" t="str">
        <f t="shared" si="1256"/>
        <v>Paterson</v>
      </c>
      <c r="C3763" t="str">
        <f t="shared" si="1257"/>
        <v>Second Class</v>
      </c>
      <c r="D3763" t="str">
        <f t="shared" si="1258"/>
        <v>Consumer</v>
      </c>
      <c r="E3763" t="s">
        <v>16</v>
      </c>
      <c r="F3763">
        <v>2</v>
      </c>
      <c r="G3763">
        <v>0</v>
      </c>
      <c r="H3763" s="2">
        <v>27.881999999999998</v>
      </c>
      <c r="I3763" s="2">
        <v>61.96</v>
      </c>
    </row>
    <row r="3764" spans="1:9" x14ac:dyDescent="0.3">
      <c r="A3764" t="str">
        <f t="shared" si="1240"/>
        <v>United States</v>
      </c>
      <c r="B3764" t="str">
        <f t="shared" si="1256"/>
        <v>Paterson</v>
      </c>
      <c r="C3764" t="str">
        <f t="shared" si="1257"/>
        <v>Second Class</v>
      </c>
      <c r="D3764" t="s">
        <v>15</v>
      </c>
      <c r="E3764" t="s">
        <v>21</v>
      </c>
      <c r="F3764">
        <v>2</v>
      </c>
      <c r="G3764">
        <v>0</v>
      </c>
      <c r="H3764" s="2">
        <v>2.9807999999999995</v>
      </c>
      <c r="I3764" s="2">
        <v>8.2799999999999994</v>
      </c>
    </row>
    <row r="3765" spans="1:9" x14ac:dyDescent="0.3">
      <c r="A3765" t="str">
        <f t="shared" si="1240"/>
        <v>United States</v>
      </c>
      <c r="B3765" t="str">
        <f t="shared" si="1256"/>
        <v>Paterson</v>
      </c>
      <c r="C3765" t="str">
        <f t="shared" si="1257"/>
        <v>Second Class</v>
      </c>
      <c r="D3765" t="str">
        <f t="shared" ref="D3765:D3766" si="1259">D3764</f>
        <v>Corporate</v>
      </c>
      <c r="E3765" t="s">
        <v>16</v>
      </c>
      <c r="F3765">
        <v>5</v>
      </c>
      <c r="G3765">
        <v>0</v>
      </c>
      <c r="H3765" s="2">
        <v>134.65199999999999</v>
      </c>
      <c r="I3765" s="2">
        <v>274.8</v>
      </c>
    </row>
    <row r="3766" spans="1:9" x14ac:dyDescent="0.3">
      <c r="A3766" t="str">
        <f t="shared" si="1240"/>
        <v>United States</v>
      </c>
      <c r="B3766" t="str">
        <f t="shared" si="1256"/>
        <v>Paterson</v>
      </c>
      <c r="C3766" t="str">
        <f t="shared" si="1257"/>
        <v>Second Class</v>
      </c>
      <c r="D3766" t="str">
        <f t="shared" si="1259"/>
        <v>Corporate</v>
      </c>
      <c r="E3766" t="s">
        <v>14</v>
      </c>
      <c r="F3766">
        <v>1</v>
      </c>
      <c r="G3766">
        <v>0</v>
      </c>
      <c r="H3766" s="2">
        <v>16.788600000000002</v>
      </c>
      <c r="I3766" s="2">
        <v>62.18</v>
      </c>
    </row>
    <row r="3767" spans="1:9" x14ac:dyDescent="0.3">
      <c r="A3767" t="str">
        <f t="shared" si="1240"/>
        <v>United States</v>
      </c>
      <c r="B3767" t="str">
        <f t="shared" si="1256"/>
        <v>Paterson</v>
      </c>
      <c r="C3767" t="s">
        <v>22</v>
      </c>
      <c r="D3767" t="s">
        <v>8</v>
      </c>
      <c r="E3767" t="s">
        <v>33</v>
      </c>
      <c r="F3767">
        <v>6</v>
      </c>
      <c r="G3767">
        <v>0</v>
      </c>
      <c r="H3767" s="2">
        <v>63.731399999999979</v>
      </c>
      <c r="I3767" s="2">
        <v>485.15999999999997</v>
      </c>
    </row>
    <row r="3768" spans="1:9" x14ac:dyDescent="0.3">
      <c r="A3768" t="str">
        <f t="shared" si="1240"/>
        <v>United States</v>
      </c>
      <c r="B3768" t="str">
        <f t="shared" si="1256"/>
        <v>Paterson</v>
      </c>
      <c r="C3768" t="str">
        <f t="shared" ref="C3768:C3776" si="1260">C3767</f>
        <v>Standard Class</v>
      </c>
      <c r="D3768" t="str">
        <f t="shared" ref="D3768:D3771" si="1261">D3767</f>
        <v>Consumer</v>
      </c>
      <c r="E3768" t="s">
        <v>21</v>
      </c>
      <c r="F3768">
        <v>1</v>
      </c>
      <c r="G3768">
        <v>0</v>
      </c>
      <c r="H3768" s="2">
        <v>1.5587999999999997</v>
      </c>
      <c r="I3768" s="2">
        <v>12.99</v>
      </c>
    </row>
    <row r="3769" spans="1:9" x14ac:dyDescent="0.3">
      <c r="A3769" t="str">
        <f t="shared" si="1240"/>
        <v>United States</v>
      </c>
      <c r="B3769" t="str">
        <f t="shared" si="1256"/>
        <v>Paterson</v>
      </c>
      <c r="C3769" t="str">
        <f t="shared" si="1260"/>
        <v>Standard Class</v>
      </c>
      <c r="D3769" t="str">
        <f t="shared" si="1261"/>
        <v>Consumer</v>
      </c>
      <c r="E3769" t="s">
        <v>16</v>
      </c>
      <c r="F3769">
        <v>3</v>
      </c>
      <c r="G3769">
        <v>0</v>
      </c>
      <c r="H3769" s="2">
        <v>79.891199999999998</v>
      </c>
      <c r="I3769" s="2">
        <v>166.44</v>
      </c>
    </row>
    <row r="3770" spans="1:9" x14ac:dyDescent="0.3">
      <c r="A3770" t="str">
        <f t="shared" si="1240"/>
        <v>United States</v>
      </c>
      <c r="B3770" t="str">
        <f t="shared" si="1256"/>
        <v>Paterson</v>
      </c>
      <c r="C3770" t="str">
        <f t="shared" si="1260"/>
        <v>Standard Class</v>
      </c>
      <c r="D3770" t="str">
        <f t="shared" si="1261"/>
        <v>Consumer</v>
      </c>
      <c r="E3770" t="s">
        <v>24</v>
      </c>
      <c r="F3770">
        <v>3</v>
      </c>
      <c r="G3770">
        <v>0</v>
      </c>
      <c r="H3770" s="2">
        <v>78.951599999999999</v>
      </c>
      <c r="I3770" s="2">
        <v>281.96999999999997</v>
      </c>
    </row>
    <row r="3771" spans="1:9" x14ac:dyDescent="0.3">
      <c r="A3771" t="str">
        <f t="shared" si="1240"/>
        <v>United States</v>
      </c>
      <c r="B3771" t="str">
        <f t="shared" si="1256"/>
        <v>Paterson</v>
      </c>
      <c r="C3771" t="str">
        <f t="shared" si="1260"/>
        <v>Standard Class</v>
      </c>
      <c r="D3771" t="str">
        <f t="shared" si="1261"/>
        <v>Consumer</v>
      </c>
      <c r="E3771" t="s">
        <v>9</v>
      </c>
      <c r="F3771">
        <v>5</v>
      </c>
      <c r="G3771">
        <v>0</v>
      </c>
      <c r="H3771" s="2">
        <v>20.154999999999994</v>
      </c>
      <c r="I3771" s="2">
        <v>69.5</v>
      </c>
    </row>
    <row r="3772" spans="1:9" x14ac:dyDescent="0.3">
      <c r="A3772" t="str">
        <f t="shared" si="1240"/>
        <v>United States</v>
      </c>
      <c r="B3772" t="str">
        <f t="shared" si="1256"/>
        <v>Paterson</v>
      </c>
      <c r="C3772" t="str">
        <f t="shared" si="1260"/>
        <v>Standard Class</v>
      </c>
      <c r="D3772" t="s">
        <v>17</v>
      </c>
      <c r="E3772" t="s">
        <v>12</v>
      </c>
      <c r="F3772">
        <v>4</v>
      </c>
      <c r="G3772">
        <v>0</v>
      </c>
      <c r="H3772" s="2">
        <v>29.980800000000002</v>
      </c>
      <c r="I3772" s="2">
        <v>111.04</v>
      </c>
    </row>
    <row r="3773" spans="1:9" x14ac:dyDescent="0.3">
      <c r="A3773" t="str">
        <f t="shared" si="1240"/>
        <v>United States</v>
      </c>
      <c r="B3773" t="str">
        <f t="shared" si="1256"/>
        <v>Paterson</v>
      </c>
      <c r="C3773" t="str">
        <f t="shared" si="1260"/>
        <v>Standard Class</v>
      </c>
      <c r="D3773" t="str">
        <f t="shared" ref="D3773:D3776" si="1262">D3772</f>
        <v>Home Office</v>
      </c>
      <c r="E3773" t="s">
        <v>20</v>
      </c>
      <c r="F3773">
        <v>4</v>
      </c>
      <c r="G3773">
        <v>0</v>
      </c>
      <c r="H3773" s="2">
        <v>96.415999999999997</v>
      </c>
      <c r="I3773" s="2">
        <v>209.6</v>
      </c>
    </row>
    <row r="3774" spans="1:9" x14ac:dyDescent="0.3">
      <c r="A3774" t="str">
        <f t="shared" si="1240"/>
        <v>United States</v>
      </c>
      <c r="B3774" t="str">
        <f t="shared" si="1256"/>
        <v>Paterson</v>
      </c>
      <c r="C3774" t="str">
        <f t="shared" si="1260"/>
        <v>Standard Class</v>
      </c>
      <c r="D3774" t="str">
        <f t="shared" si="1262"/>
        <v>Home Office</v>
      </c>
      <c r="E3774" t="s">
        <v>21</v>
      </c>
      <c r="F3774">
        <v>4</v>
      </c>
      <c r="G3774">
        <v>0</v>
      </c>
      <c r="H3774" s="2">
        <v>3.9248000000000003</v>
      </c>
      <c r="I3774" s="2">
        <v>8.92</v>
      </c>
    </row>
    <row r="3775" spans="1:9" x14ac:dyDescent="0.3">
      <c r="A3775" t="str">
        <f t="shared" si="1240"/>
        <v>United States</v>
      </c>
      <c r="B3775" t="str">
        <f t="shared" si="1256"/>
        <v>Paterson</v>
      </c>
      <c r="C3775" t="str">
        <f t="shared" si="1260"/>
        <v>Standard Class</v>
      </c>
      <c r="D3775" t="str">
        <f t="shared" si="1262"/>
        <v>Home Office</v>
      </c>
      <c r="E3775" t="s">
        <v>43</v>
      </c>
      <c r="F3775">
        <v>3</v>
      </c>
      <c r="G3775">
        <v>0</v>
      </c>
      <c r="H3775" s="2">
        <v>14.904</v>
      </c>
      <c r="I3775" s="2">
        <v>31.049999999999997</v>
      </c>
    </row>
    <row r="3776" spans="1:9" x14ac:dyDescent="0.3">
      <c r="A3776" t="str">
        <f t="shared" si="1240"/>
        <v>United States</v>
      </c>
      <c r="B3776" t="str">
        <f t="shared" si="1256"/>
        <v>Paterson</v>
      </c>
      <c r="C3776" t="str">
        <f t="shared" si="1260"/>
        <v>Standard Class</v>
      </c>
      <c r="D3776" t="str">
        <f t="shared" si="1262"/>
        <v>Home Office</v>
      </c>
      <c r="E3776" t="s">
        <v>16</v>
      </c>
      <c r="F3776">
        <v>6</v>
      </c>
      <c r="G3776">
        <v>0</v>
      </c>
      <c r="H3776" s="2">
        <v>18.662400000000002</v>
      </c>
      <c r="I3776" s="2">
        <v>38.880000000000003</v>
      </c>
    </row>
    <row r="3777" spans="1:9" x14ac:dyDescent="0.3">
      <c r="A3777" t="str">
        <f t="shared" si="1240"/>
        <v>United States</v>
      </c>
      <c r="B3777" t="s">
        <v>398</v>
      </c>
      <c r="C3777" t="s">
        <v>11</v>
      </c>
      <c r="D3777" t="s">
        <v>8</v>
      </c>
      <c r="E3777" t="s">
        <v>24</v>
      </c>
      <c r="F3777">
        <v>3</v>
      </c>
      <c r="G3777">
        <v>0.2</v>
      </c>
      <c r="H3777" s="2">
        <v>52.917299999999955</v>
      </c>
      <c r="I3777" s="2">
        <v>470.37600000000009</v>
      </c>
    </row>
    <row r="3778" spans="1:9" x14ac:dyDescent="0.3">
      <c r="A3778" t="str">
        <f t="shared" si="1240"/>
        <v>United States</v>
      </c>
      <c r="B3778" t="str">
        <f t="shared" ref="B3778:B3779" si="1263">B3777</f>
        <v>Pearland</v>
      </c>
      <c r="C3778" t="s">
        <v>22</v>
      </c>
      <c r="D3778" t="s">
        <v>15</v>
      </c>
      <c r="E3778" t="s">
        <v>20</v>
      </c>
      <c r="F3778">
        <v>7</v>
      </c>
      <c r="G3778">
        <v>0.8</v>
      </c>
      <c r="H3778" s="2">
        <v>-18.52620000000001</v>
      </c>
      <c r="I3778" s="2">
        <v>11.227999999999998</v>
      </c>
    </row>
    <row r="3779" spans="1:9" x14ac:dyDescent="0.3">
      <c r="A3779" t="str">
        <f t="shared" si="1240"/>
        <v>United States</v>
      </c>
      <c r="B3779" t="str">
        <f t="shared" si="1263"/>
        <v>Pearland</v>
      </c>
      <c r="C3779" t="str">
        <f>C3778</f>
        <v>Standard Class</v>
      </c>
      <c r="D3779" t="str">
        <f>D3778</f>
        <v>Corporate</v>
      </c>
      <c r="E3779" t="s">
        <v>38</v>
      </c>
      <c r="F3779">
        <v>3</v>
      </c>
      <c r="G3779">
        <v>0.2</v>
      </c>
      <c r="H3779" s="2">
        <v>5.0220000000000002</v>
      </c>
      <c r="I3779" s="2">
        <v>13.392000000000001</v>
      </c>
    </row>
    <row r="3780" spans="1:9" x14ac:dyDescent="0.3">
      <c r="A3780" t="str">
        <f t="shared" ref="A3780:A3843" si="1264">A3779</f>
        <v>United States</v>
      </c>
      <c r="B3780" t="s">
        <v>399</v>
      </c>
      <c r="C3780" t="s">
        <v>22</v>
      </c>
      <c r="D3780" t="s">
        <v>8</v>
      </c>
      <c r="E3780" t="s">
        <v>23</v>
      </c>
      <c r="F3780">
        <v>6</v>
      </c>
      <c r="G3780">
        <v>0.60000000000000009</v>
      </c>
      <c r="H3780" s="2">
        <v>-7.7646000000000406</v>
      </c>
      <c r="I3780" s="2">
        <v>400.36800000000005</v>
      </c>
    </row>
    <row r="3781" spans="1:9" x14ac:dyDescent="0.3">
      <c r="A3781" t="str">
        <f t="shared" si="1264"/>
        <v>United States</v>
      </c>
      <c r="B3781" t="str">
        <f t="shared" ref="B3781:B3787" si="1265">B3780</f>
        <v>Pembroke Pines</v>
      </c>
      <c r="C3781" t="str">
        <f t="shared" ref="C3781:C3787" si="1266">C3780</f>
        <v>Standard Class</v>
      </c>
      <c r="D3781" t="str">
        <f t="shared" ref="D3781:D3787" si="1267">D3780</f>
        <v>Consumer</v>
      </c>
      <c r="E3781" t="s">
        <v>12</v>
      </c>
      <c r="F3781">
        <v>9</v>
      </c>
      <c r="G3781">
        <v>0.4</v>
      </c>
      <c r="H3781" s="2">
        <v>2.4203999999999999</v>
      </c>
      <c r="I3781" s="2">
        <v>29.672000000000001</v>
      </c>
    </row>
    <row r="3782" spans="1:9" x14ac:dyDescent="0.3">
      <c r="A3782" t="str">
        <f t="shared" si="1264"/>
        <v>United States</v>
      </c>
      <c r="B3782" t="str">
        <f t="shared" si="1265"/>
        <v>Pembroke Pines</v>
      </c>
      <c r="C3782" t="str">
        <f t="shared" si="1266"/>
        <v>Standard Class</v>
      </c>
      <c r="D3782" t="str">
        <f t="shared" si="1267"/>
        <v>Consumer</v>
      </c>
      <c r="E3782" t="s">
        <v>20</v>
      </c>
      <c r="F3782">
        <v>14</v>
      </c>
      <c r="G3782">
        <v>2.0999999999999996</v>
      </c>
      <c r="H3782" s="2">
        <v>-12.084199999999996</v>
      </c>
      <c r="I3782" s="2">
        <v>15.942000000000002</v>
      </c>
    </row>
    <row r="3783" spans="1:9" x14ac:dyDescent="0.3">
      <c r="A3783" t="str">
        <f t="shared" si="1264"/>
        <v>United States</v>
      </c>
      <c r="B3783" t="str">
        <f t="shared" si="1265"/>
        <v>Pembroke Pines</v>
      </c>
      <c r="C3783" t="str">
        <f t="shared" si="1266"/>
        <v>Standard Class</v>
      </c>
      <c r="D3783" t="str">
        <f t="shared" si="1267"/>
        <v>Consumer</v>
      </c>
      <c r="E3783" t="s">
        <v>34</v>
      </c>
      <c r="F3783">
        <v>2</v>
      </c>
      <c r="G3783">
        <v>0.2</v>
      </c>
      <c r="H3783" s="2">
        <v>0</v>
      </c>
      <c r="I3783" s="2">
        <v>241.56799999999998</v>
      </c>
    </row>
    <row r="3784" spans="1:9" x14ac:dyDescent="0.3">
      <c r="A3784" t="str">
        <f t="shared" si="1264"/>
        <v>United States</v>
      </c>
      <c r="B3784" t="str">
        <f t="shared" si="1265"/>
        <v>Pembroke Pines</v>
      </c>
      <c r="C3784" t="str">
        <f t="shared" si="1266"/>
        <v>Standard Class</v>
      </c>
      <c r="D3784" t="str">
        <f t="shared" si="1267"/>
        <v>Consumer</v>
      </c>
      <c r="E3784" t="s">
        <v>43</v>
      </c>
      <c r="F3784">
        <v>2</v>
      </c>
      <c r="G3784">
        <v>0.2</v>
      </c>
      <c r="H3784" s="2">
        <v>5.7960000000000003</v>
      </c>
      <c r="I3784" s="2">
        <v>16.559999999999999</v>
      </c>
    </row>
    <row r="3785" spans="1:9" x14ac:dyDescent="0.3">
      <c r="A3785" t="str">
        <f t="shared" si="1264"/>
        <v>United States</v>
      </c>
      <c r="B3785" t="str">
        <f t="shared" si="1265"/>
        <v>Pembroke Pines</v>
      </c>
      <c r="C3785" t="str">
        <f t="shared" si="1266"/>
        <v>Standard Class</v>
      </c>
      <c r="D3785" t="str">
        <f t="shared" si="1267"/>
        <v>Consumer</v>
      </c>
      <c r="E3785" t="s">
        <v>16</v>
      </c>
      <c r="F3785">
        <v>6</v>
      </c>
      <c r="G3785">
        <v>0.4</v>
      </c>
      <c r="H3785" s="2">
        <v>45.796799999999983</v>
      </c>
      <c r="I3785" s="2">
        <v>130.84800000000001</v>
      </c>
    </row>
    <row r="3786" spans="1:9" x14ac:dyDescent="0.3">
      <c r="A3786" t="str">
        <f t="shared" si="1264"/>
        <v>United States</v>
      </c>
      <c r="B3786" t="str">
        <f t="shared" si="1265"/>
        <v>Pembroke Pines</v>
      </c>
      <c r="C3786" t="str">
        <f t="shared" si="1266"/>
        <v>Standard Class</v>
      </c>
      <c r="D3786" t="str">
        <f t="shared" si="1267"/>
        <v>Consumer</v>
      </c>
      <c r="E3786" t="s">
        <v>24</v>
      </c>
      <c r="F3786">
        <v>5</v>
      </c>
      <c r="G3786">
        <v>0.2</v>
      </c>
      <c r="H3786" s="2">
        <v>50.396000000000015</v>
      </c>
      <c r="I3786" s="2">
        <v>503.96000000000004</v>
      </c>
    </row>
    <row r="3787" spans="1:9" x14ac:dyDescent="0.3">
      <c r="A3787" t="str">
        <f t="shared" si="1264"/>
        <v>United States</v>
      </c>
      <c r="B3787" t="str">
        <f t="shared" si="1265"/>
        <v>Pembroke Pines</v>
      </c>
      <c r="C3787" t="str">
        <f t="shared" si="1266"/>
        <v>Standard Class</v>
      </c>
      <c r="D3787" t="str">
        <f t="shared" si="1267"/>
        <v>Consumer</v>
      </c>
      <c r="E3787" t="s">
        <v>25</v>
      </c>
      <c r="F3787">
        <v>3</v>
      </c>
      <c r="G3787">
        <v>0.45</v>
      </c>
      <c r="H3787" s="2">
        <v>-157.00949999999997</v>
      </c>
      <c r="I3787" s="2">
        <v>375.45750000000004</v>
      </c>
    </row>
    <row r="3788" spans="1:9" x14ac:dyDescent="0.3">
      <c r="A3788" t="str">
        <f t="shared" si="1264"/>
        <v>United States</v>
      </c>
      <c r="B3788" t="s">
        <v>400</v>
      </c>
      <c r="C3788" t="s">
        <v>11</v>
      </c>
      <c r="D3788" t="s">
        <v>8</v>
      </c>
      <c r="E3788" t="s">
        <v>20</v>
      </c>
      <c r="F3788">
        <v>3</v>
      </c>
      <c r="G3788">
        <v>0.7</v>
      </c>
      <c r="H3788" s="2">
        <v>-1.4760000000000004</v>
      </c>
      <c r="I3788" s="2">
        <v>2.2140000000000004</v>
      </c>
    </row>
    <row r="3789" spans="1:9" x14ac:dyDescent="0.3">
      <c r="A3789" t="str">
        <f t="shared" si="1264"/>
        <v>United States</v>
      </c>
      <c r="B3789" t="s">
        <v>401</v>
      </c>
      <c r="C3789" t="s">
        <v>11</v>
      </c>
      <c r="D3789" t="s">
        <v>8</v>
      </c>
      <c r="E3789" t="s">
        <v>20</v>
      </c>
      <c r="F3789">
        <v>5</v>
      </c>
      <c r="G3789">
        <v>0.8</v>
      </c>
      <c r="H3789" s="2">
        <v>-6.5670000000000019</v>
      </c>
      <c r="I3789" s="2">
        <v>3.9799999999999991</v>
      </c>
    </row>
    <row r="3790" spans="1:9" x14ac:dyDescent="0.3">
      <c r="A3790" t="str">
        <f t="shared" si="1264"/>
        <v>United States</v>
      </c>
      <c r="B3790" t="str">
        <f t="shared" ref="B3790:B3805" si="1268">B3789</f>
        <v>Peoria</v>
      </c>
      <c r="C3790" t="str">
        <f t="shared" ref="C3790:C3793" si="1269">C3789</f>
        <v>First Class</v>
      </c>
      <c r="D3790" t="s">
        <v>17</v>
      </c>
      <c r="E3790" t="s">
        <v>19</v>
      </c>
      <c r="F3790">
        <v>6</v>
      </c>
      <c r="G3790">
        <v>0.4</v>
      </c>
      <c r="H3790" s="2">
        <v>8.5869999999999962</v>
      </c>
      <c r="I3790" s="2">
        <v>103.91200000000001</v>
      </c>
    </row>
    <row r="3791" spans="1:9" x14ac:dyDescent="0.3">
      <c r="A3791" t="str">
        <f t="shared" si="1264"/>
        <v>United States</v>
      </c>
      <c r="B3791" t="str">
        <f t="shared" si="1268"/>
        <v>Peoria</v>
      </c>
      <c r="C3791" t="str">
        <f t="shared" si="1269"/>
        <v>First Class</v>
      </c>
      <c r="D3791" t="str">
        <f t="shared" ref="D3791:D3793" si="1270">D3790</f>
        <v>Home Office</v>
      </c>
      <c r="E3791" t="s">
        <v>34</v>
      </c>
      <c r="F3791">
        <v>3</v>
      </c>
      <c r="G3791">
        <v>0.3</v>
      </c>
      <c r="H3791" s="2">
        <v>-35.905799999999999</v>
      </c>
      <c r="I3791" s="2">
        <v>359.05799999999994</v>
      </c>
    </row>
    <row r="3792" spans="1:9" x14ac:dyDescent="0.3">
      <c r="A3792" t="str">
        <f t="shared" si="1264"/>
        <v>United States</v>
      </c>
      <c r="B3792" t="str">
        <f t="shared" si="1268"/>
        <v>Peoria</v>
      </c>
      <c r="C3792" t="str">
        <f t="shared" si="1269"/>
        <v>First Class</v>
      </c>
      <c r="D3792" t="str">
        <f t="shared" si="1270"/>
        <v>Home Office</v>
      </c>
      <c r="E3792" t="s">
        <v>33</v>
      </c>
      <c r="F3792">
        <v>1</v>
      </c>
      <c r="G3792">
        <v>0.2</v>
      </c>
      <c r="H3792" s="2">
        <v>35.098999999999961</v>
      </c>
      <c r="I3792" s="2">
        <v>280.79200000000003</v>
      </c>
    </row>
    <row r="3793" spans="1:9" x14ac:dyDescent="0.3">
      <c r="A3793" t="str">
        <f t="shared" si="1264"/>
        <v>United States</v>
      </c>
      <c r="B3793" t="str">
        <f t="shared" si="1268"/>
        <v>Peoria</v>
      </c>
      <c r="C3793" t="str">
        <f t="shared" si="1269"/>
        <v>First Class</v>
      </c>
      <c r="D3793" t="str">
        <f t="shared" si="1270"/>
        <v>Home Office</v>
      </c>
      <c r="E3793" t="s">
        <v>14</v>
      </c>
      <c r="F3793">
        <v>7</v>
      </c>
      <c r="G3793">
        <v>0.4</v>
      </c>
      <c r="H3793" s="2">
        <v>-40.807800000000015</v>
      </c>
      <c r="I3793" s="2">
        <v>284.04000000000002</v>
      </c>
    </row>
    <row r="3794" spans="1:9" x14ac:dyDescent="0.3">
      <c r="A3794" t="str">
        <f t="shared" si="1264"/>
        <v>United States</v>
      </c>
      <c r="B3794" t="str">
        <f t="shared" si="1268"/>
        <v>Peoria</v>
      </c>
      <c r="C3794" t="s">
        <v>27</v>
      </c>
      <c r="D3794" t="s">
        <v>8</v>
      </c>
      <c r="E3794" t="s">
        <v>20</v>
      </c>
      <c r="F3794">
        <v>6</v>
      </c>
      <c r="G3794">
        <v>0.7</v>
      </c>
      <c r="H3794" s="2">
        <v>-45.239999999999995</v>
      </c>
      <c r="I3794" s="2">
        <v>67.860000000000014</v>
      </c>
    </row>
    <row r="3795" spans="1:9" x14ac:dyDescent="0.3">
      <c r="A3795" t="str">
        <f t="shared" si="1264"/>
        <v>United States</v>
      </c>
      <c r="B3795" t="str">
        <f t="shared" si="1268"/>
        <v>Peoria</v>
      </c>
      <c r="C3795" t="s">
        <v>7</v>
      </c>
      <c r="D3795" t="s">
        <v>15</v>
      </c>
      <c r="E3795" t="s">
        <v>20</v>
      </c>
      <c r="F3795">
        <v>3</v>
      </c>
      <c r="G3795">
        <v>0.8</v>
      </c>
      <c r="H3795" s="2">
        <v>-20.5623</v>
      </c>
      <c r="I3795" s="2">
        <v>12.461999999999996</v>
      </c>
    </row>
    <row r="3796" spans="1:9" x14ac:dyDescent="0.3">
      <c r="A3796" t="str">
        <f t="shared" si="1264"/>
        <v>United States</v>
      </c>
      <c r="B3796" t="str">
        <f t="shared" si="1268"/>
        <v>Peoria</v>
      </c>
      <c r="C3796" t="str">
        <f>C3795</f>
        <v>Second Class</v>
      </c>
      <c r="D3796" t="str">
        <f>D3795</f>
        <v>Corporate</v>
      </c>
      <c r="E3796" t="s">
        <v>24</v>
      </c>
      <c r="F3796">
        <v>4</v>
      </c>
      <c r="G3796">
        <v>0.4</v>
      </c>
      <c r="H3796" s="2">
        <v>-5.3643999999999998</v>
      </c>
      <c r="I3796" s="2">
        <v>174.30400000000003</v>
      </c>
    </row>
    <row r="3797" spans="1:9" x14ac:dyDescent="0.3">
      <c r="A3797" t="str">
        <f t="shared" si="1264"/>
        <v>United States</v>
      </c>
      <c r="B3797" t="str">
        <f t="shared" si="1268"/>
        <v>Peoria</v>
      </c>
      <c r="C3797" t="s">
        <v>22</v>
      </c>
      <c r="D3797" t="s">
        <v>8</v>
      </c>
      <c r="E3797" t="s">
        <v>23</v>
      </c>
      <c r="F3797">
        <v>6</v>
      </c>
      <c r="G3797">
        <v>0.4</v>
      </c>
      <c r="H3797" s="2">
        <v>-36.86400000000004</v>
      </c>
      <c r="I3797" s="2">
        <v>282.88</v>
      </c>
    </row>
    <row r="3798" spans="1:9" x14ac:dyDescent="0.3">
      <c r="A3798" t="str">
        <f t="shared" si="1264"/>
        <v>United States</v>
      </c>
      <c r="B3798" t="str">
        <f t="shared" si="1268"/>
        <v>Peoria</v>
      </c>
      <c r="C3798" t="str">
        <f t="shared" ref="C3798:C3805" si="1271">C3797</f>
        <v>Standard Class</v>
      </c>
      <c r="D3798" t="str">
        <f t="shared" ref="D3798:D3799" si="1272">D3797</f>
        <v>Consumer</v>
      </c>
      <c r="E3798" t="s">
        <v>19</v>
      </c>
      <c r="F3798">
        <v>3</v>
      </c>
      <c r="G3798">
        <v>0.2</v>
      </c>
      <c r="H3798" s="2">
        <v>1.1555999999999984</v>
      </c>
      <c r="I3798" s="2">
        <v>10.272000000000002</v>
      </c>
    </row>
    <row r="3799" spans="1:9" x14ac:dyDescent="0.3">
      <c r="A3799" t="str">
        <f t="shared" si="1264"/>
        <v>United States</v>
      </c>
      <c r="B3799" t="str">
        <f t="shared" si="1268"/>
        <v>Peoria</v>
      </c>
      <c r="C3799" t="str">
        <f t="shared" si="1271"/>
        <v>Standard Class</v>
      </c>
      <c r="D3799" t="str">
        <f t="shared" si="1272"/>
        <v>Consumer</v>
      </c>
      <c r="E3799" t="s">
        <v>16</v>
      </c>
      <c r="F3799">
        <v>7</v>
      </c>
      <c r="G3799">
        <v>0.2</v>
      </c>
      <c r="H3799" s="2">
        <v>12.700800000000001</v>
      </c>
      <c r="I3799" s="2">
        <v>36.288000000000011</v>
      </c>
    </row>
    <row r="3800" spans="1:9" x14ac:dyDescent="0.3">
      <c r="A3800" t="str">
        <f t="shared" si="1264"/>
        <v>United States</v>
      </c>
      <c r="B3800" t="str">
        <f t="shared" si="1268"/>
        <v>Peoria</v>
      </c>
      <c r="C3800" t="str">
        <f t="shared" si="1271"/>
        <v>Standard Class</v>
      </c>
      <c r="D3800" t="s">
        <v>15</v>
      </c>
      <c r="E3800" t="s">
        <v>20</v>
      </c>
      <c r="F3800">
        <v>5</v>
      </c>
      <c r="G3800">
        <v>0.8</v>
      </c>
      <c r="H3800" s="2">
        <v>-2.6880000000000015</v>
      </c>
      <c r="I3800" s="2">
        <v>1.6799999999999995</v>
      </c>
    </row>
    <row r="3801" spans="1:9" x14ac:dyDescent="0.3">
      <c r="A3801" t="str">
        <f t="shared" si="1264"/>
        <v>United States</v>
      </c>
      <c r="B3801" t="str">
        <f t="shared" si="1268"/>
        <v>Peoria</v>
      </c>
      <c r="C3801" t="str">
        <f t="shared" si="1271"/>
        <v>Standard Class</v>
      </c>
      <c r="D3801" t="str">
        <f t="shared" ref="D3801:D3802" si="1273">D3800</f>
        <v>Corporate</v>
      </c>
      <c r="E3801" t="s">
        <v>33</v>
      </c>
      <c r="F3801">
        <v>2</v>
      </c>
      <c r="G3801">
        <v>0.3</v>
      </c>
      <c r="H3801" s="2">
        <v>-3.2391999999999896</v>
      </c>
      <c r="I3801" s="2">
        <v>113.372</v>
      </c>
    </row>
    <row r="3802" spans="1:9" x14ac:dyDescent="0.3">
      <c r="A3802" t="str">
        <f t="shared" si="1264"/>
        <v>United States</v>
      </c>
      <c r="B3802" t="str">
        <f t="shared" si="1268"/>
        <v>Peoria</v>
      </c>
      <c r="C3802" t="str">
        <f t="shared" si="1271"/>
        <v>Standard Class</v>
      </c>
      <c r="D3802" t="str">
        <f t="shared" si="1273"/>
        <v>Corporate</v>
      </c>
      <c r="E3802" t="s">
        <v>21</v>
      </c>
      <c r="F3802">
        <v>5</v>
      </c>
      <c r="G3802">
        <v>1.2</v>
      </c>
      <c r="H3802" s="2">
        <v>-3.7963999999999993</v>
      </c>
      <c r="I3802" s="2">
        <v>10.928000000000001</v>
      </c>
    </row>
    <row r="3803" spans="1:9" x14ac:dyDescent="0.3">
      <c r="A3803" t="str">
        <f t="shared" si="1264"/>
        <v>United States</v>
      </c>
      <c r="B3803" t="str">
        <f t="shared" si="1268"/>
        <v>Peoria</v>
      </c>
      <c r="C3803" t="str">
        <f t="shared" si="1271"/>
        <v>Standard Class</v>
      </c>
      <c r="D3803" t="s">
        <v>17</v>
      </c>
      <c r="E3803" t="s">
        <v>20</v>
      </c>
      <c r="F3803">
        <v>9</v>
      </c>
      <c r="G3803">
        <v>1.4</v>
      </c>
      <c r="H3803" s="2">
        <v>-9.430399999999997</v>
      </c>
      <c r="I3803" s="2">
        <v>13.692000000000002</v>
      </c>
    </row>
    <row r="3804" spans="1:9" x14ac:dyDescent="0.3">
      <c r="A3804" t="str">
        <f t="shared" si="1264"/>
        <v>United States</v>
      </c>
      <c r="B3804" t="str">
        <f t="shared" si="1268"/>
        <v>Peoria</v>
      </c>
      <c r="C3804" t="str">
        <f t="shared" si="1271"/>
        <v>Standard Class</v>
      </c>
      <c r="D3804" t="str">
        <f t="shared" ref="D3804:D3805" si="1274">D3803</f>
        <v>Home Office</v>
      </c>
      <c r="E3804" t="s">
        <v>21</v>
      </c>
      <c r="F3804">
        <v>5</v>
      </c>
      <c r="G3804">
        <v>0.2</v>
      </c>
      <c r="H3804" s="2">
        <v>20.724000000000007</v>
      </c>
      <c r="I3804" s="2">
        <v>75.36</v>
      </c>
    </row>
    <row r="3805" spans="1:9" x14ac:dyDescent="0.3">
      <c r="A3805" t="str">
        <f t="shared" si="1264"/>
        <v>United States</v>
      </c>
      <c r="B3805" t="str">
        <f t="shared" si="1268"/>
        <v>Peoria</v>
      </c>
      <c r="C3805" t="str">
        <f t="shared" si="1271"/>
        <v>Standard Class</v>
      </c>
      <c r="D3805" t="str">
        <f t="shared" si="1274"/>
        <v>Home Office</v>
      </c>
      <c r="E3805" t="s">
        <v>16</v>
      </c>
      <c r="F3805">
        <v>3</v>
      </c>
      <c r="G3805">
        <v>0.2</v>
      </c>
      <c r="H3805" s="2">
        <v>4.3326000000000002</v>
      </c>
      <c r="I3805" s="2">
        <v>11.952000000000002</v>
      </c>
    </row>
    <row r="3806" spans="1:9" x14ac:dyDescent="0.3">
      <c r="A3806" t="str">
        <f t="shared" si="1264"/>
        <v>United States</v>
      </c>
      <c r="B3806" t="s">
        <v>402</v>
      </c>
      <c r="C3806" t="s">
        <v>11</v>
      </c>
      <c r="D3806" t="s">
        <v>8</v>
      </c>
      <c r="E3806" t="s">
        <v>20</v>
      </c>
      <c r="F3806">
        <v>1</v>
      </c>
      <c r="G3806">
        <v>0</v>
      </c>
      <c r="H3806" s="2">
        <v>148.51060000000001</v>
      </c>
      <c r="I3806" s="2">
        <v>315.98</v>
      </c>
    </row>
    <row r="3807" spans="1:9" x14ac:dyDescent="0.3">
      <c r="A3807" t="str">
        <f t="shared" si="1264"/>
        <v>United States</v>
      </c>
      <c r="B3807" t="str">
        <f t="shared" ref="B3807:B3813" si="1275">B3806</f>
        <v>Perth Amboy</v>
      </c>
      <c r="C3807" t="str">
        <f>C3806</f>
        <v>First Class</v>
      </c>
      <c r="D3807" t="str">
        <f>D3806</f>
        <v>Consumer</v>
      </c>
      <c r="E3807" t="s">
        <v>34</v>
      </c>
      <c r="F3807">
        <v>1</v>
      </c>
      <c r="G3807">
        <v>0</v>
      </c>
      <c r="H3807" s="2">
        <v>12.097999999999999</v>
      </c>
      <c r="I3807" s="2">
        <v>120.98</v>
      </c>
    </row>
    <row r="3808" spans="1:9" x14ac:dyDescent="0.3">
      <c r="A3808" t="str">
        <f t="shared" si="1264"/>
        <v>United States</v>
      </c>
      <c r="B3808" t="str">
        <f t="shared" si="1275"/>
        <v>Perth Amboy</v>
      </c>
      <c r="C3808" t="s">
        <v>7</v>
      </c>
      <c r="D3808" t="s">
        <v>8</v>
      </c>
      <c r="E3808" t="s">
        <v>19</v>
      </c>
      <c r="F3808">
        <v>7</v>
      </c>
      <c r="G3808">
        <v>0</v>
      </c>
      <c r="H3808" s="2">
        <v>74.565400000000011</v>
      </c>
      <c r="I3808" s="2">
        <v>286.78999999999996</v>
      </c>
    </row>
    <row r="3809" spans="1:9" x14ac:dyDescent="0.3">
      <c r="A3809" t="str">
        <f t="shared" si="1264"/>
        <v>United States</v>
      </c>
      <c r="B3809" t="str">
        <f t="shared" si="1275"/>
        <v>Perth Amboy</v>
      </c>
      <c r="C3809" t="s">
        <v>22</v>
      </c>
      <c r="D3809" t="s">
        <v>15</v>
      </c>
      <c r="E3809" t="s">
        <v>12</v>
      </c>
      <c r="F3809">
        <v>2</v>
      </c>
      <c r="G3809">
        <v>0</v>
      </c>
      <c r="H3809" s="2">
        <v>45.539199999999994</v>
      </c>
      <c r="I3809" s="2">
        <v>162.63999999999999</v>
      </c>
    </row>
    <row r="3810" spans="1:9" x14ac:dyDescent="0.3">
      <c r="A3810" t="str">
        <f t="shared" si="1264"/>
        <v>United States</v>
      </c>
      <c r="B3810" t="str">
        <f t="shared" si="1275"/>
        <v>Perth Amboy</v>
      </c>
      <c r="C3810" t="str">
        <f t="shared" ref="C3810:C3813" si="1276">C3809</f>
        <v>Standard Class</v>
      </c>
      <c r="D3810" t="str">
        <f t="shared" ref="D3810:D3811" si="1277">D3809</f>
        <v>Corporate</v>
      </c>
      <c r="E3810" t="s">
        <v>16</v>
      </c>
      <c r="F3810">
        <v>1</v>
      </c>
      <c r="G3810">
        <v>0</v>
      </c>
      <c r="H3810" s="2">
        <v>26.630399999999998</v>
      </c>
      <c r="I3810" s="2">
        <v>55.48</v>
      </c>
    </row>
    <row r="3811" spans="1:9" x14ac:dyDescent="0.3">
      <c r="A3811" t="str">
        <f t="shared" si="1264"/>
        <v>United States</v>
      </c>
      <c r="B3811" t="str">
        <f t="shared" si="1275"/>
        <v>Perth Amboy</v>
      </c>
      <c r="C3811" t="str">
        <f t="shared" si="1276"/>
        <v>Standard Class</v>
      </c>
      <c r="D3811" t="str">
        <f t="shared" si="1277"/>
        <v>Corporate</v>
      </c>
      <c r="E3811" t="s">
        <v>24</v>
      </c>
      <c r="F3811">
        <v>3</v>
      </c>
      <c r="G3811">
        <v>0</v>
      </c>
      <c r="H3811" s="2">
        <v>280.59000000000003</v>
      </c>
      <c r="I3811" s="2">
        <v>597</v>
      </c>
    </row>
    <row r="3812" spans="1:9" x14ac:dyDescent="0.3">
      <c r="A3812" t="str">
        <f t="shared" si="1264"/>
        <v>United States</v>
      </c>
      <c r="B3812" t="str">
        <f t="shared" si="1275"/>
        <v>Perth Amboy</v>
      </c>
      <c r="C3812" t="str">
        <f t="shared" si="1276"/>
        <v>Standard Class</v>
      </c>
      <c r="D3812" t="s">
        <v>17</v>
      </c>
      <c r="E3812" t="s">
        <v>16</v>
      </c>
      <c r="F3812">
        <v>2</v>
      </c>
      <c r="G3812">
        <v>0</v>
      </c>
      <c r="H3812" s="2">
        <v>5.7623999999999995</v>
      </c>
      <c r="I3812" s="2">
        <v>11.76</v>
      </c>
    </row>
    <row r="3813" spans="1:9" x14ac:dyDescent="0.3">
      <c r="A3813" t="str">
        <f t="shared" si="1264"/>
        <v>United States</v>
      </c>
      <c r="B3813" t="str">
        <f t="shared" si="1275"/>
        <v>Perth Amboy</v>
      </c>
      <c r="C3813" t="str">
        <f t="shared" si="1276"/>
        <v>Standard Class</v>
      </c>
      <c r="D3813" t="str">
        <f>D3812</f>
        <v>Home Office</v>
      </c>
      <c r="E3813" t="s">
        <v>14</v>
      </c>
      <c r="F3813">
        <v>5</v>
      </c>
      <c r="G3813">
        <v>0</v>
      </c>
      <c r="H3813" s="2">
        <v>39.947999999999993</v>
      </c>
      <c r="I3813" s="2">
        <v>166.45</v>
      </c>
    </row>
    <row r="3814" spans="1:9" x14ac:dyDescent="0.3">
      <c r="A3814" t="str">
        <f t="shared" si="1264"/>
        <v>United States</v>
      </c>
      <c r="B3814" t="s">
        <v>403</v>
      </c>
      <c r="C3814" t="s">
        <v>22</v>
      </c>
      <c r="D3814" t="s">
        <v>8</v>
      </c>
      <c r="E3814" t="s">
        <v>25</v>
      </c>
      <c r="F3814">
        <v>4</v>
      </c>
      <c r="G3814">
        <v>0.3</v>
      </c>
      <c r="H3814" s="2">
        <v>-21.3264</v>
      </c>
      <c r="I3814" s="2">
        <v>124.404</v>
      </c>
    </row>
    <row r="3815" spans="1:9" x14ac:dyDescent="0.3">
      <c r="A3815" t="str">
        <f t="shared" si="1264"/>
        <v>United States</v>
      </c>
      <c r="B3815" t="str">
        <f t="shared" ref="B3815:B3817" si="1278">B3814</f>
        <v>Pharr</v>
      </c>
      <c r="C3815" t="str">
        <f t="shared" ref="C3815:C3817" si="1279">C3814</f>
        <v>Standard Class</v>
      </c>
      <c r="D3815" t="s">
        <v>17</v>
      </c>
      <c r="E3815" t="s">
        <v>23</v>
      </c>
      <c r="F3815">
        <v>7</v>
      </c>
      <c r="G3815">
        <v>0.2</v>
      </c>
      <c r="H3815" s="2">
        <v>-33.319999999999965</v>
      </c>
      <c r="I3815" s="2">
        <v>666.4</v>
      </c>
    </row>
    <row r="3816" spans="1:9" x14ac:dyDescent="0.3">
      <c r="A3816" t="str">
        <f t="shared" si="1264"/>
        <v>United States</v>
      </c>
      <c r="B3816" t="str">
        <f t="shared" si="1278"/>
        <v>Pharr</v>
      </c>
      <c r="C3816" t="str">
        <f t="shared" si="1279"/>
        <v>Standard Class</v>
      </c>
      <c r="D3816" t="str">
        <f t="shared" ref="D3816:D3817" si="1280">D3815</f>
        <v>Home Office</v>
      </c>
      <c r="E3816" t="s">
        <v>21</v>
      </c>
      <c r="F3816">
        <v>3</v>
      </c>
      <c r="G3816">
        <v>0.6</v>
      </c>
      <c r="H3816" s="2">
        <v>-10.173599999999997</v>
      </c>
      <c r="I3816" s="2">
        <v>22.608000000000001</v>
      </c>
    </row>
    <row r="3817" spans="1:9" x14ac:dyDescent="0.3">
      <c r="A3817" t="str">
        <f t="shared" si="1264"/>
        <v>United States</v>
      </c>
      <c r="B3817" t="str">
        <f t="shared" si="1278"/>
        <v>Pharr</v>
      </c>
      <c r="C3817" t="str">
        <f t="shared" si="1279"/>
        <v>Standard Class</v>
      </c>
      <c r="D3817" t="str">
        <f t="shared" si="1280"/>
        <v>Home Office</v>
      </c>
      <c r="E3817" t="s">
        <v>14</v>
      </c>
      <c r="F3817">
        <v>8</v>
      </c>
      <c r="G3817">
        <v>0.2</v>
      </c>
      <c r="H3817" s="2">
        <v>-172.73280000000005</v>
      </c>
      <c r="I3817" s="2">
        <v>727.29600000000005</v>
      </c>
    </row>
    <row r="3818" spans="1:9" x14ac:dyDescent="0.3">
      <c r="A3818" t="str">
        <f t="shared" si="1264"/>
        <v>United States</v>
      </c>
      <c r="B3818" t="s">
        <v>404</v>
      </c>
      <c r="C3818" t="s">
        <v>11</v>
      </c>
      <c r="D3818" t="s">
        <v>8</v>
      </c>
      <c r="E3818" t="s">
        <v>23</v>
      </c>
      <c r="F3818">
        <v>19</v>
      </c>
      <c r="G3818">
        <v>1.4</v>
      </c>
      <c r="H3818" s="2">
        <v>169.43659999999986</v>
      </c>
      <c r="I3818" s="2">
        <v>1582.1280000000002</v>
      </c>
    </row>
    <row r="3819" spans="1:9" x14ac:dyDescent="0.3">
      <c r="A3819" t="str">
        <f t="shared" si="1264"/>
        <v>United States</v>
      </c>
      <c r="B3819" t="str">
        <f t="shared" ref="B3819:B3850" si="1281">B3818</f>
        <v>Philadelphia</v>
      </c>
      <c r="C3819" t="str">
        <f t="shared" ref="C3819:C3851" si="1282">C3818</f>
        <v>First Class</v>
      </c>
      <c r="D3819" t="str">
        <f t="shared" ref="D3819:D3831" si="1283">D3818</f>
        <v>Consumer</v>
      </c>
      <c r="E3819" t="s">
        <v>12</v>
      </c>
      <c r="F3819">
        <v>18</v>
      </c>
      <c r="G3819">
        <v>1</v>
      </c>
      <c r="H3819" s="2">
        <v>368.19619999999992</v>
      </c>
      <c r="I3819" s="2">
        <v>2485.2799999999997</v>
      </c>
    </row>
    <row r="3820" spans="1:9" x14ac:dyDescent="0.3">
      <c r="A3820" t="str">
        <f t="shared" si="1264"/>
        <v>United States</v>
      </c>
      <c r="B3820" t="str">
        <f t="shared" si="1281"/>
        <v>Philadelphia</v>
      </c>
      <c r="C3820" t="str">
        <f t="shared" si="1282"/>
        <v>First Class</v>
      </c>
      <c r="D3820" t="str">
        <f t="shared" si="1283"/>
        <v>Consumer</v>
      </c>
      <c r="E3820" t="s">
        <v>19</v>
      </c>
      <c r="F3820">
        <v>11</v>
      </c>
      <c r="G3820">
        <v>0.60000000000000009</v>
      </c>
      <c r="H3820" s="2">
        <v>4.9539999999999997</v>
      </c>
      <c r="I3820" s="2">
        <v>29.135999999999996</v>
      </c>
    </row>
    <row r="3821" spans="1:9" x14ac:dyDescent="0.3">
      <c r="A3821" t="str">
        <f t="shared" si="1264"/>
        <v>United States</v>
      </c>
      <c r="B3821" t="str">
        <f t="shared" si="1281"/>
        <v>Philadelphia</v>
      </c>
      <c r="C3821" t="str">
        <f t="shared" si="1282"/>
        <v>First Class</v>
      </c>
      <c r="D3821" t="str">
        <f t="shared" si="1283"/>
        <v>Consumer</v>
      </c>
      <c r="E3821" t="s">
        <v>20</v>
      </c>
      <c r="F3821">
        <v>27</v>
      </c>
      <c r="G3821">
        <v>6.3000000000000007</v>
      </c>
      <c r="H3821" s="2">
        <v>-472.16009999999989</v>
      </c>
      <c r="I3821" s="2">
        <v>620.42100000000016</v>
      </c>
    </row>
    <row r="3822" spans="1:9" x14ac:dyDescent="0.3">
      <c r="A3822" t="str">
        <f t="shared" si="1264"/>
        <v>United States</v>
      </c>
      <c r="B3822" t="str">
        <f t="shared" si="1281"/>
        <v>Philadelphia</v>
      </c>
      <c r="C3822" t="str">
        <f t="shared" si="1282"/>
        <v>First Class</v>
      </c>
      <c r="D3822" t="str">
        <f t="shared" si="1283"/>
        <v>Consumer</v>
      </c>
      <c r="E3822" t="s">
        <v>34</v>
      </c>
      <c r="F3822">
        <v>3</v>
      </c>
      <c r="G3822">
        <v>0.5</v>
      </c>
      <c r="H3822" s="2">
        <v>-45.349200000000003</v>
      </c>
      <c r="I3822" s="2">
        <v>87.210000000000008</v>
      </c>
    </row>
    <row r="3823" spans="1:9" x14ac:dyDescent="0.3">
      <c r="A3823" t="str">
        <f t="shared" si="1264"/>
        <v>United States</v>
      </c>
      <c r="B3823" t="str">
        <f t="shared" si="1281"/>
        <v>Philadelphia</v>
      </c>
      <c r="C3823" t="str">
        <f t="shared" si="1282"/>
        <v>First Class</v>
      </c>
      <c r="D3823" t="str">
        <f t="shared" si="1283"/>
        <v>Consumer</v>
      </c>
      <c r="E3823" t="s">
        <v>33</v>
      </c>
      <c r="F3823">
        <v>20</v>
      </c>
      <c r="G3823">
        <v>1.2</v>
      </c>
      <c r="H3823" s="2">
        <v>-376.24920000000031</v>
      </c>
      <c r="I3823" s="2">
        <v>2320.92</v>
      </c>
    </row>
    <row r="3824" spans="1:9" x14ac:dyDescent="0.3">
      <c r="A3824" t="str">
        <f t="shared" si="1264"/>
        <v>United States</v>
      </c>
      <c r="B3824" t="str">
        <f t="shared" si="1281"/>
        <v>Philadelphia</v>
      </c>
      <c r="C3824" t="str">
        <f t="shared" si="1282"/>
        <v>First Class</v>
      </c>
      <c r="D3824" t="str">
        <f t="shared" si="1283"/>
        <v>Consumer</v>
      </c>
      <c r="E3824" t="s">
        <v>45</v>
      </c>
      <c r="F3824">
        <v>5</v>
      </c>
      <c r="G3824">
        <v>0.4</v>
      </c>
      <c r="H3824" s="2">
        <v>239.99600000000009</v>
      </c>
      <c r="I3824" s="2">
        <v>1799.9699999999998</v>
      </c>
    </row>
    <row r="3825" spans="1:9" x14ac:dyDescent="0.3">
      <c r="A3825" t="str">
        <f t="shared" si="1264"/>
        <v>United States</v>
      </c>
      <c r="B3825" t="str">
        <f t="shared" si="1281"/>
        <v>Philadelphia</v>
      </c>
      <c r="C3825" t="str">
        <f t="shared" si="1282"/>
        <v>First Class</v>
      </c>
      <c r="D3825" t="str">
        <f t="shared" si="1283"/>
        <v>Consumer</v>
      </c>
      <c r="E3825" t="s">
        <v>21</v>
      </c>
      <c r="F3825">
        <v>48</v>
      </c>
      <c r="G3825">
        <v>1.7999999999999998</v>
      </c>
      <c r="H3825" s="2">
        <v>111.79829999999994</v>
      </c>
      <c r="I3825" s="2">
        <v>1027.8720000000003</v>
      </c>
    </row>
    <row r="3826" spans="1:9" x14ac:dyDescent="0.3">
      <c r="A3826" t="str">
        <f t="shared" si="1264"/>
        <v>United States</v>
      </c>
      <c r="B3826" t="str">
        <f t="shared" si="1281"/>
        <v>Philadelphia</v>
      </c>
      <c r="C3826" t="str">
        <f t="shared" si="1282"/>
        <v>First Class</v>
      </c>
      <c r="D3826" t="str">
        <f t="shared" si="1283"/>
        <v>Consumer</v>
      </c>
      <c r="E3826" t="s">
        <v>43</v>
      </c>
      <c r="F3826">
        <v>27</v>
      </c>
      <c r="G3826">
        <v>0.8</v>
      </c>
      <c r="H3826" s="2">
        <v>52.075799999999987</v>
      </c>
      <c r="I3826" s="2">
        <v>154.67200000000003</v>
      </c>
    </row>
    <row r="3827" spans="1:9" x14ac:dyDescent="0.3">
      <c r="A3827" t="str">
        <f t="shared" si="1264"/>
        <v>United States</v>
      </c>
      <c r="B3827" t="str">
        <f t="shared" si="1281"/>
        <v>Philadelphia</v>
      </c>
      <c r="C3827" t="str">
        <f t="shared" si="1282"/>
        <v>First Class</v>
      </c>
      <c r="D3827" t="str">
        <f t="shared" si="1283"/>
        <v>Consumer</v>
      </c>
      <c r="E3827" t="s">
        <v>46</v>
      </c>
      <c r="F3827">
        <v>3</v>
      </c>
      <c r="G3827">
        <v>1.4</v>
      </c>
      <c r="H3827" s="2">
        <v>-186.8574999999999</v>
      </c>
      <c r="I3827" s="2">
        <v>253.75500000000002</v>
      </c>
    </row>
    <row r="3828" spans="1:9" x14ac:dyDescent="0.3">
      <c r="A3828" t="str">
        <f t="shared" si="1264"/>
        <v>United States</v>
      </c>
      <c r="B3828" t="str">
        <f t="shared" si="1281"/>
        <v>Philadelphia</v>
      </c>
      <c r="C3828" t="str">
        <f t="shared" si="1282"/>
        <v>First Class</v>
      </c>
      <c r="D3828" t="str">
        <f t="shared" si="1283"/>
        <v>Consumer</v>
      </c>
      <c r="E3828" t="s">
        <v>16</v>
      </c>
      <c r="F3828">
        <v>10</v>
      </c>
      <c r="G3828">
        <v>0.8</v>
      </c>
      <c r="H3828" s="2">
        <v>17.155200000000001</v>
      </c>
      <c r="I3828" s="2">
        <v>49.920000000000016</v>
      </c>
    </row>
    <row r="3829" spans="1:9" x14ac:dyDescent="0.3">
      <c r="A3829" t="str">
        <f t="shared" si="1264"/>
        <v>United States</v>
      </c>
      <c r="B3829" t="str">
        <f t="shared" si="1281"/>
        <v>Philadelphia</v>
      </c>
      <c r="C3829" t="str">
        <f t="shared" si="1282"/>
        <v>First Class</v>
      </c>
      <c r="D3829" t="str">
        <f t="shared" si="1283"/>
        <v>Consumer</v>
      </c>
      <c r="E3829" t="s">
        <v>24</v>
      </c>
      <c r="F3829">
        <v>7</v>
      </c>
      <c r="G3829">
        <v>1.2000000000000002</v>
      </c>
      <c r="H3829" s="2">
        <v>-202.87120000000007</v>
      </c>
      <c r="I3829" s="2">
        <v>1058.874</v>
      </c>
    </row>
    <row r="3830" spans="1:9" x14ac:dyDescent="0.3">
      <c r="A3830" t="str">
        <f t="shared" si="1264"/>
        <v>United States</v>
      </c>
      <c r="B3830" t="str">
        <f t="shared" si="1281"/>
        <v>Philadelphia</v>
      </c>
      <c r="C3830" t="str">
        <f t="shared" si="1282"/>
        <v>First Class</v>
      </c>
      <c r="D3830" t="str">
        <f t="shared" si="1283"/>
        <v>Consumer</v>
      </c>
      <c r="E3830" t="s">
        <v>14</v>
      </c>
      <c r="F3830">
        <v>15</v>
      </c>
      <c r="G3830">
        <v>1</v>
      </c>
      <c r="H3830" s="2">
        <v>26.517099999999971</v>
      </c>
      <c r="I3830" s="2">
        <v>567.16</v>
      </c>
    </row>
    <row r="3831" spans="1:9" x14ac:dyDescent="0.3">
      <c r="A3831" t="str">
        <f t="shared" si="1264"/>
        <v>United States</v>
      </c>
      <c r="B3831" t="str">
        <f t="shared" si="1281"/>
        <v>Philadelphia</v>
      </c>
      <c r="C3831" t="str">
        <f t="shared" si="1282"/>
        <v>First Class</v>
      </c>
      <c r="D3831" t="str">
        <f t="shared" si="1283"/>
        <v>Consumer</v>
      </c>
      <c r="E3831" t="s">
        <v>9</v>
      </c>
      <c r="F3831">
        <v>7</v>
      </c>
      <c r="G3831">
        <v>0.4</v>
      </c>
      <c r="H3831" s="2">
        <v>7.272799999999993</v>
      </c>
      <c r="I3831" s="2">
        <v>67.232000000000014</v>
      </c>
    </row>
    <row r="3832" spans="1:9" x14ac:dyDescent="0.3">
      <c r="A3832" t="str">
        <f t="shared" si="1264"/>
        <v>United States</v>
      </c>
      <c r="B3832" t="str">
        <f t="shared" si="1281"/>
        <v>Philadelphia</v>
      </c>
      <c r="C3832" t="str">
        <f t="shared" si="1282"/>
        <v>First Class</v>
      </c>
      <c r="D3832" t="s">
        <v>15</v>
      </c>
      <c r="E3832" t="s">
        <v>12</v>
      </c>
      <c r="F3832">
        <v>2</v>
      </c>
      <c r="G3832">
        <v>0.2</v>
      </c>
      <c r="H3832" s="2">
        <v>12.409999999999989</v>
      </c>
      <c r="I3832" s="2">
        <v>99.28</v>
      </c>
    </row>
    <row r="3833" spans="1:9" x14ac:dyDescent="0.3">
      <c r="A3833" t="str">
        <f t="shared" si="1264"/>
        <v>United States</v>
      </c>
      <c r="B3833" t="str">
        <f t="shared" si="1281"/>
        <v>Philadelphia</v>
      </c>
      <c r="C3833" t="str">
        <f t="shared" si="1282"/>
        <v>First Class</v>
      </c>
      <c r="D3833" t="str">
        <f t="shared" ref="D3833:D3841" si="1284">D3832</f>
        <v>Corporate</v>
      </c>
      <c r="E3833" t="s">
        <v>19</v>
      </c>
      <c r="F3833">
        <v>9</v>
      </c>
      <c r="G3833">
        <v>0.4</v>
      </c>
      <c r="H3833" s="2">
        <v>10.326399999999994</v>
      </c>
      <c r="I3833" s="2">
        <v>115.65600000000001</v>
      </c>
    </row>
    <row r="3834" spans="1:9" x14ac:dyDescent="0.3">
      <c r="A3834" t="str">
        <f t="shared" si="1264"/>
        <v>United States</v>
      </c>
      <c r="B3834" t="str">
        <f t="shared" si="1281"/>
        <v>Philadelphia</v>
      </c>
      <c r="C3834" t="str">
        <f t="shared" si="1282"/>
        <v>First Class</v>
      </c>
      <c r="D3834" t="str">
        <f t="shared" si="1284"/>
        <v>Corporate</v>
      </c>
      <c r="E3834" t="s">
        <v>20</v>
      </c>
      <c r="F3834">
        <v>7</v>
      </c>
      <c r="G3834">
        <v>2.0999999999999996</v>
      </c>
      <c r="H3834" s="2">
        <v>-8.5051999999999985</v>
      </c>
      <c r="I3834" s="2">
        <v>11.208000000000002</v>
      </c>
    </row>
    <row r="3835" spans="1:9" x14ac:dyDescent="0.3">
      <c r="A3835" t="str">
        <f t="shared" si="1264"/>
        <v>United States</v>
      </c>
      <c r="B3835" t="str">
        <f t="shared" si="1281"/>
        <v>Philadelphia</v>
      </c>
      <c r="C3835" t="str">
        <f t="shared" si="1282"/>
        <v>First Class</v>
      </c>
      <c r="D3835" t="str">
        <f t="shared" si="1284"/>
        <v>Corporate</v>
      </c>
      <c r="E3835" t="s">
        <v>34</v>
      </c>
      <c r="F3835">
        <v>4</v>
      </c>
      <c r="G3835">
        <v>0.5</v>
      </c>
      <c r="H3835" s="2">
        <v>-53.285600000000009</v>
      </c>
      <c r="I3835" s="2">
        <v>61.96</v>
      </c>
    </row>
    <row r="3836" spans="1:9" x14ac:dyDescent="0.3">
      <c r="A3836" t="str">
        <f t="shared" si="1264"/>
        <v>United States</v>
      </c>
      <c r="B3836" t="str">
        <f t="shared" si="1281"/>
        <v>Philadelphia</v>
      </c>
      <c r="C3836" t="str">
        <f t="shared" si="1282"/>
        <v>First Class</v>
      </c>
      <c r="D3836" t="str">
        <f t="shared" si="1284"/>
        <v>Corporate</v>
      </c>
      <c r="E3836" t="s">
        <v>33</v>
      </c>
      <c r="F3836">
        <v>7</v>
      </c>
      <c r="G3836">
        <v>0.3</v>
      </c>
      <c r="H3836" s="2">
        <v>0</v>
      </c>
      <c r="I3836" s="2">
        <v>422.62499999999994</v>
      </c>
    </row>
    <row r="3837" spans="1:9" x14ac:dyDescent="0.3">
      <c r="A3837" t="str">
        <f t="shared" si="1264"/>
        <v>United States</v>
      </c>
      <c r="B3837" t="str">
        <f t="shared" si="1281"/>
        <v>Philadelphia</v>
      </c>
      <c r="C3837" t="str">
        <f t="shared" si="1282"/>
        <v>First Class</v>
      </c>
      <c r="D3837" t="str">
        <f t="shared" si="1284"/>
        <v>Corporate</v>
      </c>
      <c r="E3837" t="s">
        <v>38</v>
      </c>
      <c r="F3837">
        <v>7</v>
      </c>
      <c r="G3837">
        <v>0.2</v>
      </c>
      <c r="H3837" s="2">
        <v>117.61469999999996</v>
      </c>
      <c r="I3837" s="2">
        <v>348.488</v>
      </c>
    </row>
    <row r="3838" spans="1:9" x14ac:dyDescent="0.3">
      <c r="A3838" t="str">
        <f t="shared" si="1264"/>
        <v>United States</v>
      </c>
      <c r="B3838" t="str">
        <f t="shared" si="1281"/>
        <v>Philadelphia</v>
      </c>
      <c r="C3838" t="str">
        <f t="shared" si="1282"/>
        <v>First Class</v>
      </c>
      <c r="D3838" t="str">
        <f t="shared" si="1284"/>
        <v>Corporate</v>
      </c>
      <c r="E3838" t="s">
        <v>21</v>
      </c>
      <c r="F3838">
        <v>19</v>
      </c>
      <c r="G3838">
        <v>1</v>
      </c>
      <c r="H3838" s="2">
        <v>49.727899999999941</v>
      </c>
      <c r="I3838" s="2">
        <v>557.08000000000004</v>
      </c>
    </row>
    <row r="3839" spans="1:9" x14ac:dyDescent="0.3">
      <c r="A3839" t="str">
        <f t="shared" si="1264"/>
        <v>United States</v>
      </c>
      <c r="B3839" t="str">
        <f t="shared" si="1281"/>
        <v>Philadelphia</v>
      </c>
      <c r="C3839" t="str">
        <f t="shared" si="1282"/>
        <v>First Class</v>
      </c>
      <c r="D3839" t="str">
        <f t="shared" si="1284"/>
        <v>Corporate</v>
      </c>
      <c r="E3839" t="s">
        <v>43</v>
      </c>
      <c r="F3839">
        <v>11</v>
      </c>
      <c r="G3839">
        <v>0.4</v>
      </c>
      <c r="H3839" s="2">
        <v>12.1533</v>
      </c>
      <c r="I3839" s="2">
        <v>36.6</v>
      </c>
    </row>
    <row r="3840" spans="1:9" x14ac:dyDescent="0.3">
      <c r="A3840" t="str">
        <f t="shared" si="1264"/>
        <v>United States</v>
      </c>
      <c r="B3840" t="str">
        <f t="shared" si="1281"/>
        <v>Philadelphia</v>
      </c>
      <c r="C3840" t="str">
        <f t="shared" si="1282"/>
        <v>First Class</v>
      </c>
      <c r="D3840" t="str">
        <f t="shared" si="1284"/>
        <v>Corporate</v>
      </c>
      <c r="E3840" t="s">
        <v>16</v>
      </c>
      <c r="F3840">
        <v>2</v>
      </c>
      <c r="G3840">
        <v>0.2</v>
      </c>
      <c r="H3840" s="2">
        <v>2.4359999999999995</v>
      </c>
      <c r="I3840" s="2">
        <v>6.7200000000000006</v>
      </c>
    </row>
    <row r="3841" spans="1:9" x14ac:dyDescent="0.3">
      <c r="A3841" t="str">
        <f t="shared" si="1264"/>
        <v>United States</v>
      </c>
      <c r="B3841" t="str">
        <f t="shared" si="1281"/>
        <v>Philadelphia</v>
      </c>
      <c r="C3841" t="str">
        <f t="shared" si="1282"/>
        <v>First Class</v>
      </c>
      <c r="D3841" t="str">
        <f t="shared" si="1284"/>
        <v>Corporate</v>
      </c>
      <c r="E3841" t="s">
        <v>14</v>
      </c>
      <c r="F3841">
        <v>11</v>
      </c>
      <c r="G3841">
        <v>1</v>
      </c>
      <c r="H3841" s="2">
        <v>-2.4615000000000347</v>
      </c>
      <c r="I3841" s="2">
        <v>655.12799999999993</v>
      </c>
    </row>
    <row r="3842" spans="1:9" x14ac:dyDescent="0.3">
      <c r="A3842" t="str">
        <f t="shared" si="1264"/>
        <v>United States</v>
      </c>
      <c r="B3842" t="str">
        <f t="shared" si="1281"/>
        <v>Philadelphia</v>
      </c>
      <c r="C3842" t="str">
        <f t="shared" si="1282"/>
        <v>First Class</v>
      </c>
      <c r="D3842" t="s">
        <v>17</v>
      </c>
      <c r="E3842" t="s">
        <v>23</v>
      </c>
      <c r="F3842">
        <v>4</v>
      </c>
      <c r="G3842">
        <v>0.4</v>
      </c>
      <c r="H3842" s="2">
        <v>18.80299999999999</v>
      </c>
      <c r="I3842" s="2">
        <v>152.14400000000001</v>
      </c>
    </row>
    <row r="3843" spans="1:9" x14ac:dyDescent="0.3">
      <c r="A3843" t="str">
        <f t="shared" si="1264"/>
        <v>United States</v>
      </c>
      <c r="B3843" t="str">
        <f t="shared" si="1281"/>
        <v>Philadelphia</v>
      </c>
      <c r="C3843" t="str">
        <f t="shared" si="1282"/>
        <v>First Class</v>
      </c>
      <c r="D3843" t="str">
        <f t="shared" ref="D3843:D3851" si="1285">D3842</f>
        <v>Home Office</v>
      </c>
      <c r="E3843" t="s">
        <v>19</v>
      </c>
      <c r="F3843">
        <v>3</v>
      </c>
      <c r="G3843">
        <v>0.2</v>
      </c>
      <c r="H3843" s="2">
        <v>1.0268999999999999</v>
      </c>
      <c r="I3843" s="2">
        <v>11.736000000000001</v>
      </c>
    </row>
    <row r="3844" spans="1:9" x14ac:dyDescent="0.3">
      <c r="A3844" t="str">
        <f t="shared" ref="A3844:A3907" si="1286">A3843</f>
        <v>United States</v>
      </c>
      <c r="B3844" t="str">
        <f t="shared" si="1281"/>
        <v>Philadelphia</v>
      </c>
      <c r="C3844" t="str">
        <f t="shared" si="1282"/>
        <v>First Class</v>
      </c>
      <c r="D3844" t="str">
        <f t="shared" si="1285"/>
        <v>Home Office</v>
      </c>
      <c r="E3844" t="s">
        <v>20</v>
      </c>
      <c r="F3844">
        <v>5</v>
      </c>
      <c r="G3844">
        <v>0.7</v>
      </c>
      <c r="H3844" s="2">
        <v>-760.98000000000025</v>
      </c>
      <c r="I3844" s="2">
        <v>1141.4700000000003</v>
      </c>
    </row>
    <row r="3845" spans="1:9" x14ac:dyDescent="0.3">
      <c r="A3845" t="str">
        <f t="shared" si="1286"/>
        <v>United States</v>
      </c>
      <c r="B3845" t="str">
        <f t="shared" si="1281"/>
        <v>Philadelphia</v>
      </c>
      <c r="C3845" t="str">
        <f t="shared" si="1282"/>
        <v>First Class</v>
      </c>
      <c r="D3845" t="str">
        <f t="shared" si="1285"/>
        <v>Home Office</v>
      </c>
      <c r="E3845" t="s">
        <v>18</v>
      </c>
      <c r="F3845">
        <v>2</v>
      </c>
      <c r="G3845">
        <v>0.2</v>
      </c>
      <c r="H3845" s="2">
        <v>-0.71279999999999988</v>
      </c>
      <c r="I3845" s="2">
        <v>3.1680000000000001</v>
      </c>
    </row>
    <row r="3846" spans="1:9" x14ac:dyDescent="0.3">
      <c r="A3846" t="str">
        <f t="shared" si="1286"/>
        <v>United States</v>
      </c>
      <c r="B3846" t="str">
        <f t="shared" si="1281"/>
        <v>Philadelphia</v>
      </c>
      <c r="C3846" t="str">
        <f t="shared" si="1282"/>
        <v>First Class</v>
      </c>
      <c r="D3846" t="str">
        <f t="shared" si="1285"/>
        <v>Home Office</v>
      </c>
      <c r="E3846" t="s">
        <v>21</v>
      </c>
      <c r="F3846">
        <v>3</v>
      </c>
      <c r="G3846">
        <v>0.2</v>
      </c>
      <c r="H3846" s="2">
        <v>3.8447999999999967</v>
      </c>
      <c r="I3846" s="2">
        <v>25.632000000000001</v>
      </c>
    </row>
    <row r="3847" spans="1:9" x14ac:dyDescent="0.3">
      <c r="A3847" t="str">
        <f t="shared" si="1286"/>
        <v>United States</v>
      </c>
      <c r="B3847" t="str">
        <f t="shared" si="1281"/>
        <v>Philadelphia</v>
      </c>
      <c r="C3847" t="str">
        <f t="shared" si="1282"/>
        <v>First Class</v>
      </c>
      <c r="D3847" t="str">
        <f t="shared" si="1285"/>
        <v>Home Office</v>
      </c>
      <c r="E3847" t="s">
        <v>43</v>
      </c>
      <c r="F3847">
        <v>11</v>
      </c>
      <c r="G3847">
        <v>0.4</v>
      </c>
      <c r="H3847" s="2">
        <v>8.7474999999999987</v>
      </c>
      <c r="I3847" s="2">
        <v>25.736000000000004</v>
      </c>
    </row>
    <row r="3848" spans="1:9" x14ac:dyDescent="0.3">
      <c r="A3848" t="str">
        <f t="shared" si="1286"/>
        <v>United States</v>
      </c>
      <c r="B3848" t="str">
        <f t="shared" si="1281"/>
        <v>Philadelphia</v>
      </c>
      <c r="C3848" t="str">
        <f t="shared" si="1282"/>
        <v>First Class</v>
      </c>
      <c r="D3848" t="str">
        <f t="shared" si="1285"/>
        <v>Home Office</v>
      </c>
      <c r="E3848" t="s">
        <v>16</v>
      </c>
      <c r="F3848">
        <v>3</v>
      </c>
      <c r="G3848">
        <v>0.2</v>
      </c>
      <c r="H3848" s="2">
        <v>4.1151</v>
      </c>
      <c r="I3848" s="2">
        <v>11.352000000000002</v>
      </c>
    </row>
    <row r="3849" spans="1:9" x14ac:dyDescent="0.3">
      <c r="A3849" t="str">
        <f t="shared" si="1286"/>
        <v>United States</v>
      </c>
      <c r="B3849" t="str">
        <f t="shared" si="1281"/>
        <v>Philadelphia</v>
      </c>
      <c r="C3849" t="str">
        <f t="shared" si="1282"/>
        <v>First Class</v>
      </c>
      <c r="D3849" t="str">
        <f t="shared" si="1285"/>
        <v>Home Office</v>
      </c>
      <c r="E3849" t="s">
        <v>24</v>
      </c>
      <c r="F3849">
        <v>3</v>
      </c>
      <c r="G3849">
        <v>0.4</v>
      </c>
      <c r="H3849" s="2">
        <v>-46.797000000000025</v>
      </c>
      <c r="I3849" s="2">
        <v>280.78200000000004</v>
      </c>
    </row>
    <row r="3850" spans="1:9" x14ac:dyDescent="0.3">
      <c r="A3850" t="str">
        <f t="shared" si="1286"/>
        <v>United States</v>
      </c>
      <c r="B3850" t="str">
        <f t="shared" si="1281"/>
        <v>Philadelphia</v>
      </c>
      <c r="C3850" t="str">
        <f t="shared" si="1282"/>
        <v>First Class</v>
      </c>
      <c r="D3850" t="str">
        <f t="shared" si="1285"/>
        <v>Home Office</v>
      </c>
      <c r="E3850" t="s">
        <v>9</v>
      </c>
      <c r="F3850">
        <v>1</v>
      </c>
      <c r="G3850">
        <v>0.2</v>
      </c>
      <c r="H3850" s="2">
        <v>-2.1896000000000004</v>
      </c>
      <c r="I3850" s="2">
        <v>10.304000000000002</v>
      </c>
    </row>
    <row r="3851" spans="1:9" x14ac:dyDescent="0.3">
      <c r="A3851" t="str">
        <f t="shared" si="1286"/>
        <v>United States</v>
      </c>
      <c r="B3851" t="str">
        <f t="shared" ref="B3851:B3882" si="1287">B3850</f>
        <v>Philadelphia</v>
      </c>
      <c r="C3851" t="str">
        <f t="shared" si="1282"/>
        <v>First Class</v>
      </c>
      <c r="D3851" t="str">
        <f t="shared" si="1285"/>
        <v>Home Office</v>
      </c>
      <c r="E3851" t="s">
        <v>25</v>
      </c>
      <c r="F3851">
        <v>5</v>
      </c>
      <c r="G3851">
        <v>0.8</v>
      </c>
      <c r="H3851" s="2">
        <v>-119.98680000000004</v>
      </c>
      <c r="I3851" s="2">
        <v>469.29599999999999</v>
      </c>
    </row>
    <row r="3852" spans="1:9" x14ac:dyDescent="0.3">
      <c r="A3852" t="str">
        <f t="shared" si="1286"/>
        <v>United States</v>
      </c>
      <c r="B3852" t="str">
        <f t="shared" si="1287"/>
        <v>Philadelphia</v>
      </c>
      <c r="C3852" t="s">
        <v>27</v>
      </c>
      <c r="D3852" t="s">
        <v>8</v>
      </c>
      <c r="E3852" t="s">
        <v>20</v>
      </c>
      <c r="F3852">
        <v>3</v>
      </c>
      <c r="G3852">
        <v>1.4</v>
      </c>
      <c r="H3852" s="2">
        <v>-2.6585999999999999</v>
      </c>
      <c r="I3852" s="2">
        <v>3.7980000000000009</v>
      </c>
    </row>
    <row r="3853" spans="1:9" x14ac:dyDescent="0.3">
      <c r="A3853" t="str">
        <f t="shared" si="1286"/>
        <v>United States</v>
      </c>
      <c r="B3853" t="str">
        <f t="shared" si="1287"/>
        <v>Philadelphia</v>
      </c>
      <c r="C3853" t="str">
        <f t="shared" ref="C3853:C3862" si="1288">C3852</f>
        <v>Same Day</v>
      </c>
      <c r="D3853" t="str">
        <f>D3852</f>
        <v>Consumer</v>
      </c>
      <c r="E3853" t="s">
        <v>16</v>
      </c>
      <c r="F3853">
        <v>11</v>
      </c>
      <c r="G3853">
        <v>0.60000000000000009</v>
      </c>
      <c r="H3853" s="2">
        <v>22.755899999999997</v>
      </c>
      <c r="I3853" s="2">
        <v>61.75200000000001</v>
      </c>
    </row>
    <row r="3854" spans="1:9" x14ac:dyDescent="0.3">
      <c r="A3854" t="str">
        <f t="shared" si="1286"/>
        <v>United States</v>
      </c>
      <c r="B3854" t="str">
        <f t="shared" si="1287"/>
        <v>Philadelphia</v>
      </c>
      <c r="C3854" t="str">
        <f t="shared" si="1288"/>
        <v>Same Day</v>
      </c>
      <c r="D3854" t="s">
        <v>15</v>
      </c>
      <c r="E3854" t="s">
        <v>23</v>
      </c>
      <c r="F3854">
        <v>14</v>
      </c>
      <c r="G3854">
        <v>0.2</v>
      </c>
      <c r="H3854" s="2">
        <v>209.97899999999993</v>
      </c>
      <c r="I3854" s="2">
        <v>1119.8880000000001</v>
      </c>
    </row>
    <row r="3855" spans="1:9" x14ac:dyDescent="0.3">
      <c r="A3855" t="str">
        <f t="shared" si="1286"/>
        <v>United States</v>
      </c>
      <c r="B3855" t="str">
        <f t="shared" si="1287"/>
        <v>Philadelphia</v>
      </c>
      <c r="C3855" t="str">
        <f t="shared" si="1288"/>
        <v>Same Day</v>
      </c>
      <c r="D3855" t="str">
        <f t="shared" ref="D3855:D3859" si="1289">D3854</f>
        <v>Corporate</v>
      </c>
      <c r="E3855" t="s">
        <v>33</v>
      </c>
      <c r="F3855">
        <v>7</v>
      </c>
      <c r="G3855">
        <v>0.3</v>
      </c>
      <c r="H3855" s="2">
        <v>-2.693600000000032</v>
      </c>
      <c r="I3855" s="2">
        <v>188.55199999999996</v>
      </c>
    </row>
    <row r="3856" spans="1:9" x14ac:dyDescent="0.3">
      <c r="A3856" t="str">
        <f t="shared" si="1286"/>
        <v>United States</v>
      </c>
      <c r="B3856" t="str">
        <f t="shared" si="1287"/>
        <v>Philadelphia</v>
      </c>
      <c r="C3856" t="str">
        <f t="shared" si="1288"/>
        <v>Same Day</v>
      </c>
      <c r="D3856" t="str">
        <f t="shared" si="1289"/>
        <v>Corporate</v>
      </c>
      <c r="E3856" t="s">
        <v>18</v>
      </c>
      <c r="F3856">
        <v>5</v>
      </c>
      <c r="G3856">
        <v>0.2</v>
      </c>
      <c r="H3856" s="2">
        <v>2.3699999999999983</v>
      </c>
      <c r="I3856" s="2">
        <v>15.8</v>
      </c>
    </row>
    <row r="3857" spans="1:9" x14ac:dyDescent="0.3">
      <c r="A3857" t="str">
        <f t="shared" si="1286"/>
        <v>United States</v>
      </c>
      <c r="B3857" t="str">
        <f t="shared" si="1287"/>
        <v>Philadelphia</v>
      </c>
      <c r="C3857" t="str">
        <f t="shared" si="1288"/>
        <v>Same Day</v>
      </c>
      <c r="D3857" t="str">
        <f t="shared" si="1289"/>
        <v>Corporate</v>
      </c>
      <c r="E3857" t="s">
        <v>21</v>
      </c>
      <c r="F3857">
        <v>9</v>
      </c>
      <c r="G3857">
        <v>0.4</v>
      </c>
      <c r="H3857" s="2">
        <v>16.279599999999988</v>
      </c>
      <c r="I3857" s="2">
        <v>84.816000000000003</v>
      </c>
    </row>
    <row r="3858" spans="1:9" x14ac:dyDescent="0.3">
      <c r="A3858" t="str">
        <f t="shared" si="1286"/>
        <v>United States</v>
      </c>
      <c r="B3858" t="str">
        <f t="shared" si="1287"/>
        <v>Philadelphia</v>
      </c>
      <c r="C3858" t="str">
        <f t="shared" si="1288"/>
        <v>Same Day</v>
      </c>
      <c r="D3858" t="str">
        <f t="shared" si="1289"/>
        <v>Corporate</v>
      </c>
      <c r="E3858" t="s">
        <v>46</v>
      </c>
      <c r="F3858">
        <v>3</v>
      </c>
      <c r="G3858">
        <v>0.7</v>
      </c>
      <c r="H3858" s="2">
        <v>-319.19159999999999</v>
      </c>
      <c r="I3858" s="2">
        <v>341.99100000000004</v>
      </c>
    </row>
    <row r="3859" spans="1:9" x14ac:dyDescent="0.3">
      <c r="A3859" t="str">
        <f t="shared" si="1286"/>
        <v>United States</v>
      </c>
      <c r="B3859" t="str">
        <f t="shared" si="1287"/>
        <v>Philadelphia</v>
      </c>
      <c r="C3859" t="str">
        <f t="shared" si="1288"/>
        <v>Same Day</v>
      </c>
      <c r="D3859" t="str">
        <f t="shared" si="1289"/>
        <v>Corporate</v>
      </c>
      <c r="E3859" t="s">
        <v>16</v>
      </c>
      <c r="F3859">
        <v>8</v>
      </c>
      <c r="G3859">
        <v>0.4</v>
      </c>
      <c r="H3859" s="2">
        <v>42.684999999999995</v>
      </c>
      <c r="I3859" s="2">
        <v>136.59200000000001</v>
      </c>
    </row>
    <row r="3860" spans="1:9" x14ac:dyDescent="0.3">
      <c r="A3860" t="str">
        <f t="shared" si="1286"/>
        <v>United States</v>
      </c>
      <c r="B3860" t="str">
        <f t="shared" si="1287"/>
        <v>Philadelphia</v>
      </c>
      <c r="C3860" t="str">
        <f t="shared" si="1288"/>
        <v>Same Day</v>
      </c>
      <c r="D3860" t="s">
        <v>17</v>
      </c>
      <c r="E3860" t="s">
        <v>20</v>
      </c>
      <c r="F3860">
        <v>3</v>
      </c>
      <c r="G3860">
        <v>0.7</v>
      </c>
      <c r="H3860" s="2">
        <v>-3.3893999999999984</v>
      </c>
      <c r="I3860" s="2">
        <v>4.8420000000000005</v>
      </c>
    </row>
    <row r="3861" spans="1:9" x14ac:dyDescent="0.3">
      <c r="A3861" t="str">
        <f t="shared" si="1286"/>
        <v>United States</v>
      </c>
      <c r="B3861" t="str">
        <f t="shared" si="1287"/>
        <v>Philadelphia</v>
      </c>
      <c r="C3861" t="str">
        <f t="shared" si="1288"/>
        <v>Same Day</v>
      </c>
      <c r="D3861" t="str">
        <f t="shared" ref="D3861:D3862" si="1290">D3860</f>
        <v>Home Office</v>
      </c>
      <c r="E3861" t="s">
        <v>21</v>
      </c>
      <c r="F3861">
        <v>4</v>
      </c>
      <c r="G3861">
        <v>0.2</v>
      </c>
      <c r="H3861" s="2">
        <v>9.48</v>
      </c>
      <c r="I3861" s="2">
        <v>30.336000000000002</v>
      </c>
    </row>
    <row r="3862" spans="1:9" x14ac:dyDescent="0.3">
      <c r="A3862" t="str">
        <f t="shared" si="1286"/>
        <v>United States</v>
      </c>
      <c r="B3862" t="str">
        <f t="shared" si="1287"/>
        <v>Philadelphia</v>
      </c>
      <c r="C3862" t="str">
        <f t="shared" si="1288"/>
        <v>Same Day</v>
      </c>
      <c r="D3862" t="str">
        <f t="shared" si="1290"/>
        <v>Home Office</v>
      </c>
      <c r="E3862" t="s">
        <v>43</v>
      </c>
      <c r="F3862">
        <v>2</v>
      </c>
      <c r="G3862">
        <v>0.2</v>
      </c>
      <c r="H3862" s="2">
        <v>1.9925999999999999</v>
      </c>
      <c r="I3862" s="2">
        <v>5.9039999999999999</v>
      </c>
    </row>
    <row r="3863" spans="1:9" x14ac:dyDescent="0.3">
      <c r="A3863" t="str">
        <f t="shared" si="1286"/>
        <v>United States</v>
      </c>
      <c r="B3863" t="str">
        <f t="shared" si="1287"/>
        <v>Philadelphia</v>
      </c>
      <c r="C3863" t="s">
        <v>7</v>
      </c>
      <c r="D3863" t="s">
        <v>8</v>
      </c>
      <c r="E3863" t="s">
        <v>23</v>
      </c>
      <c r="F3863">
        <v>17</v>
      </c>
      <c r="G3863">
        <v>1.2</v>
      </c>
      <c r="H3863" s="2">
        <v>26.334199999999992</v>
      </c>
      <c r="I3863" s="2">
        <v>295.81600000000003</v>
      </c>
    </row>
    <row r="3864" spans="1:9" x14ac:dyDescent="0.3">
      <c r="A3864" t="str">
        <f t="shared" si="1286"/>
        <v>United States</v>
      </c>
      <c r="B3864" t="str">
        <f t="shared" si="1287"/>
        <v>Philadelphia</v>
      </c>
      <c r="C3864" t="str">
        <f t="shared" ref="C3864:C3892" si="1291">C3863</f>
        <v>Second Class</v>
      </c>
      <c r="D3864" t="str">
        <f t="shared" ref="D3864:D3875" si="1292">D3863</f>
        <v>Consumer</v>
      </c>
      <c r="E3864" t="s">
        <v>19</v>
      </c>
      <c r="F3864">
        <v>5</v>
      </c>
      <c r="G3864">
        <v>0.2</v>
      </c>
      <c r="H3864" s="2">
        <v>5.3010000000000002</v>
      </c>
      <c r="I3864" s="2">
        <v>22.32</v>
      </c>
    </row>
    <row r="3865" spans="1:9" x14ac:dyDescent="0.3">
      <c r="A3865" t="str">
        <f t="shared" si="1286"/>
        <v>United States</v>
      </c>
      <c r="B3865" t="str">
        <f t="shared" si="1287"/>
        <v>Philadelphia</v>
      </c>
      <c r="C3865" t="str">
        <f t="shared" si="1291"/>
        <v>Second Class</v>
      </c>
      <c r="D3865" t="str">
        <f t="shared" si="1292"/>
        <v>Consumer</v>
      </c>
      <c r="E3865" t="s">
        <v>20</v>
      </c>
      <c r="F3865">
        <v>29</v>
      </c>
      <c r="G3865">
        <v>4.9000000000000004</v>
      </c>
      <c r="H3865" s="2">
        <v>-213.8321</v>
      </c>
      <c r="I3865" s="2">
        <v>275.74200000000008</v>
      </c>
    </row>
    <row r="3866" spans="1:9" x14ac:dyDescent="0.3">
      <c r="A3866" t="str">
        <f t="shared" si="1286"/>
        <v>United States</v>
      </c>
      <c r="B3866" t="str">
        <f t="shared" si="1287"/>
        <v>Philadelphia</v>
      </c>
      <c r="C3866" t="str">
        <f t="shared" si="1291"/>
        <v>Second Class</v>
      </c>
      <c r="D3866" t="str">
        <f t="shared" si="1292"/>
        <v>Consumer</v>
      </c>
      <c r="E3866" t="s">
        <v>34</v>
      </c>
      <c r="F3866">
        <v>7</v>
      </c>
      <c r="G3866">
        <v>0.5</v>
      </c>
      <c r="H3866" s="2">
        <v>-216.97830000000002</v>
      </c>
      <c r="I3866" s="2">
        <v>349.96499999999997</v>
      </c>
    </row>
    <row r="3867" spans="1:9" x14ac:dyDescent="0.3">
      <c r="A3867" t="str">
        <f t="shared" si="1286"/>
        <v>United States</v>
      </c>
      <c r="B3867" t="str">
        <f t="shared" si="1287"/>
        <v>Philadelphia</v>
      </c>
      <c r="C3867" t="str">
        <f t="shared" si="1291"/>
        <v>Second Class</v>
      </c>
      <c r="D3867" t="str">
        <f t="shared" si="1292"/>
        <v>Consumer</v>
      </c>
      <c r="E3867" t="s">
        <v>33</v>
      </c>
      <c r="F3867">
        <v>17</v>
      </c>
      <c r="G3867">
        <v>1.2</v>
      </c>
      <c r="H3867" s="2">
        <v>-716.99570000000006</v>
      </c>
      <c r="I3867" s="2">
        <v>5754.875</v>
      </c>
    </row>
    <row r="3868" spans="1:9" x14ac:dyDescent="0.3">
      <c r="A3868" t="str">
        <f t="shared" si="1286"/>
        <v>United States</v>
      </c>
      <c r="B3868" t="str">
        <f t="shared" si="1287"/>
        <v>Philadelphia</v>
      </c>
      <c r="C3868" t="str">
        <f t="shared" si="1291"/>
        <v>Second Class</v>
      </c>
      <c r="D3868" t="str">
        <f t="shared" si="1292"/>
        <v>Consumer</v>
      </c>
      <c r="E3868" t="s">
        <v>45</v>
      </c>
      <c r="F3868">
        <v>4</v>
      </c>
      <c r="G3868">
        <v>0.4</v>
      </c>
      <c r="H3868" s="2">
        <v>179.99639999999999</v>
      </c>
      <c r="I3868" s="2">
        <v>1199.9759999999999</v>
      </c>
    </row>
    <row r="3869" spans="1:9" x14ac:dyDescent="0.3">
      <c r="A3869" t="str">
        <f t="shared" si="1286"/>
        <v>United States</v>
      </c>
      <c r="B3869" t="str">
        <f t="shared" si="1287"/>
        <v>Philadelphia</v>
      </c>
      <c r="C3869" t="str">
        <f t="shared" si="1291"/>
        <v>Second Class</v>
      </c>
      <c r="D3869" t="str">
        <f t="shared" si="1292"/>
        <v>Consumer</v>
      </c>
      <c r="E3869" t="s">
        <v>21</v>
      </c>
      <c r="F3869">
        <v>31</v>
      </c>
      <c r="G3869">
        <v>1.5999999999999999</v>
      </c>
      <c r="H3869" s="2">
        <v>76.722999999999971</v>
      </c>
      <c r="I3869" s="2">
        <v>370.5440000000001</v>
      </c>
    </row>
    <row r="3870" spans="1:9" x14ac:dyDescent="0.3">
      <c r="A3870" t="str">
        <f t="shared" si="1286"/>
        <v>United States</v>
      </c>
      <c r="B3870" t="str">
        <f t="shared" si="1287"/>
        <v>Philadelphia</v>
      </c>
      <c r="C3870" t="str">
        <f t="shared" si="1291"/>
        <v>Second Class</v>
      </c>
      <c r="D3870" t="str">
        <f t="shared" si="1292"/>
        <v>Consumer</v>
      </c>
      <c r="E3870" t="s">
        <v>43</v>
      </c>
      <c r="F3870">
        <v>3</v>
      </c>
      <c r="G3870">
        <v>0.2</v>
      </c>
      <c r="H3870" s="2">
        <v>10.149299999999997</v>
      </c>
      <c r="I3870" s="2">
        <v>30.072000000000003</v>
      </c>
    </row>
    <row r="3871" spans="1:9" x14ac:dyDescent="0.3">
      <c r="A3871" t="str">
        <f t="shared" si="1286"/>
        <v>United States</v>
      </c>
      <c r="B3871" t="str">
        <f t="shared" si="1287"/>
        <v>Philadelphia</v>
      </c>
      <c r="C3871" t="str">
        <f t="shared" si="1291"/>
        <v>Second Class</v>
      </c>
      <c r="D3871" t="str">
        <f t="shared" si="1292"/>
        <v>Consumer</v>
      </c>
      <c r="E3871" t="s">
        <v>16</v>
      </c>
      <c r="F3871">
        <v>23</v>
      </c>
      <c r="G3871">
        <v>1</v>
      </c>
      <c r="H3871" s="2">
        <v>38.681999999999988</v>
      </c>
      <c r="I3871" s="2">
        <v>118.56000000000002</v>
      </c>
    </row>
    <row r="3872" spans="1:9" x14ac:dyDescent="0.3">
      <c r="A3872" t="str">
        <f t="shared" si="1286"/>
        <v>United States</v>
      </c>
      <c r="B3872" t="str">
        <f t="shared" si="1287"/>
        <v>Philadelphia</v>
      </c>
      <c r="C3872" t="str">
        <f t="shared" si="1291"/>
        <v>Second Class</v>
      </c>
      <c r="D3872" t="str">
        <f t="shared" si="1292"/>
        <v>Consumer</v>
      </c>
      <c r="E3872" t="s">
        <v>24</v>
      </c>
      <c r="F3872">
        <v>16</v>
      </c>
      <c r="G3872">
        <v>3.1999999999999997</v>
      </c>
      <c r="H3872" s="2">
        <v>-213.22690000000003</v>
      </c>
      <c r="I3872" s="2">
        <v>1408.3679999999999</v>
      </c>
    </row>
    <row r="3873" spans="1:9" x14ac:dyDescent="0.3">
      <c r="A3873" t="str">
        <f t="shared" si="1286"/>
        <v>United States</v>
      </c>
      <c r="B3873" t="str">
        <f t="shared" si="1287"/>
        <v>Philadelphia</v>
      </c>
      <c r="C3873" t="str">
        <f t="shared" si="1291"/>
        <v>Second Class</v>
      </c>
      <c r="D3873" t="str">
        <f t="shared" si="1292"/>
        <v>Consumer</v>
      </c>
      <c r="E3873" t="s">
        <v>14</v>
      </c>
      <c r="F3873">
        <v>5</v>
      </c>
      <c r="G3873">
        <v>0.2</v>
      </c>
      <c r="H3873" s="2">
        <v>-25.992000000000004</v>
      </c>
      <c r="I3873" s="2">
        <v>259.92000000000007</v>
      </c>
    </row>
    <row r="3874" spans="1:9" x14ac:dyDescent="0.3">
      <c r="A3874" t="str">
        <f t="shared" si="1286"/>
        <v>United States</v>
      </c>
      <c r="B3874" t="str">
        <f t="shared" si="1287"/>
        <v>Philadelphia</v>
      </c>
      <c r="C3874" t="str">
        <f t="shared" si="1291"/>
        <v>Second Class</v>
      </c>
      <c r="D3874" t="str">
        <f t="shared" si="1292"/>
        <v>Consumer</v>
      </c>
      <c r="E3874" t="s">
        <v>9</v>
      </c>
      <c r="F3874">
        <v>10</v>
      </c>
      <c r="G3874">
        <v>0.4</v>
      </c>
      <c r="H3874" s="2">
        <v>-1045.0934999999999</v>
      </c>
      <c r="I3874" s="2">
        <v>4701.4880000000012</v>
      </c>
    </row>
    <row r="3875" spans="1:9" x14ac:dyDescent="0.3">
      <c r="A3875" t="str">
        <f t="shared" si="1286"/>
        <v>United States</v>
      </c>
      <c r="B3875" t="str">
        <f t="shared" si="1287"/>
        <v>Philadelphia</v>
      </c>
      <c r="C3875" t="str">
        <f t="shared" si="1291"/>
        <v>Second Class</v>
      </c>
      <c r="D3875" t="str">
        <f t="shared" si="1292"/>
        <v>Consumer</v>
      </c>
      <c r="E3875" t="s">
        <v>25</v>
      </c>
      <c r="F3875">
        <v>1</v>
      </c>
      <c r="G3875">
        <v>0.4</v>
      </c>
      <c r="H3875" s="2">
        <v>-34.646999999999991</v>
      </c>
      <c r="I3875" s="2">
        <v>138.58799999999999</v>
      </c>
    </row>
    <row r="3876" spans="1:9" x14ac:dyDescent="0.3">
      <c r="A3876" t="str">
        <f t="shared" si="1286"/>
        <v>United States</v>
      </c>
      <c r="B3876" t="str">
        <f t="shared" si="1287"/>
        <v>Philadelphia</v>
      </c>
      <c r="C3876" t="str">
        <f t="shared" si="1291"/>
        <v>Second Class</v>
      </c>
      <c r="D3876" t="s">
        <v>15</v>
      </c>
      <c r="E3876" t="s">
        <v>23</v>
      </c>
      <c r="F3876">
        <v>5</v>
      </c>
      <c r="G3876">
        <v>0.2</v>
      </c>
      <c r="H3876" s="2">
        <v>47.494999999999919</v>
      </c>
      <c r="I3876" s="2">
        <v>379.96000000000004</v>
      </c>
    </row>
    <row r="3877" spans="1:9" x14ac:dyDescent="0.3">
      <c r="A3877" t="str">
        <f t="shared" si="1286"/>
        <v>United States</v>
      </c>
      <c r="B3877" t="str">
        <f t="shared" si="1287"/>
        <v>Philadelphia</v>
      </c>
      <c r="C3877" t="str">
        <f t="shared" si="1291"/>
        <v>Second Class</v>
      </c>
      <c r="D3877" t="str">
        <f t="shared" ref="D3877:D3887" si="1293">D3876</f>
        <v>Corporate</v>
      </c>
      <c r="E3877" t="s">
        <v>12</v>
      </c>
      <c r="F3877">
        <v>6</v>
      </c>
      <c r="G3877">
        <v>0.4</v>
      </c>
      <c r="H3877" s="2">
        <v>105.11519999999999</v>
      </c>
      <c r="I3877" s="2">
        <v>597.55200000000002</v>
      </c>
    </row>
    <row r="3878" spans="1:9" x14ac:dyDescent="0.3">
      <c r="A3878" t="str">
        <f t="shared" si="1286"/>
        <v>United States</v>
      </c>
      <c r="B3878" t="str">
        <f t="shared" si="1287"/>
        <v>Philadelphia</v>
      </c>
      <c r="C3878" t="str">
        <f t="shared" si="1291"/>
        <v>Second Class</v>
      </c>
      <c r="D3878" t="str">
        <f t="shared" si="1293"/>
        <v>Corporate</v>
      </c>
      <c r="E3878" t="s">
        <v>19</v>
      </c>
      <c r="F3878">
        <v>13</v>
      </c>
      <c r="G3878">
        <v>0.60000000000000009</v>
      </c>
      <c r="H3878" s="2">
        <v>2.4207999999999985</v>
      </c>
      <c r="I3878" s="2">
        <v>34.112000000000002</v>
      </c>
    </row>
    <row r="3879" spans="1:9" x14ac:dyDescent="0.3">
      <c r="A3879" t="str">
        <f t="shared" si="1286"/>
        <v>United States</v>
      </c>
      <c r="B3879" t="str">
        <f t="shared" si="1287"/>
        <v>Philadelphia</v>
      </c>
      <c r="C3879" t="str">
        <f t="shared" si="1291"/>
        <v>Second Class</v>
      </c>
      <c r="D3879" t="str">
        <f t="shared" si="1293"/>
        <v>Corporate</v>
      </c>
      <c r="E3879" t="s">
        <v>20</v>
      </c>
      <c r="F3879">
        <v>20</v>
      </c>
      <c r="G3879">
        <v>4.2</v>
      </c>
      <c r="H3879" s="2">
        <v>-476.06339999999989</v>
      </c>
      <c r="I3879" s="2">
        <v>599.07000000000005</v>
      </c>
    </row>
    <row r="3880" spans="1:9" x14ac:dyDescent="0.3">
      <c r="A3880" t="str">
        <f t="shared" si="1286"/>
        <v>United States</v>
      </c>
      <c r="B3880" t="str">
        <f t="shared" si="1287"/>
        <v>Philadelphia</v>
      </c>
      <c r="C3880" t="str">
        <f t="shared" si="1291"/>
        <v>Second Class</v>
      </c>
      <c r="D3880" t="str">
        <f t="shared" si="1293"/>
        <v>Corporate</v>
      </c>
      <c r="E3880" t="s">
        <v>33</v>
      </c>
      <c r="F3880">
        <v>9</v>
      </c>
      <c r="G3880">
        <v>0.6</v>
      </c>
      <c r="H3880" s="2">
        <v>-113.79020000000004</v>
      </c>
      <c r="I3880" s="2">
        <v>832.48199999999997</v>
      </c>
    </row>
    <row r="3881" spans="1:9" x14ac:dyDescent="0.3">
      <c r="A3881" t="str">
        <f t="shared" si="1286"/>
        <v>United States</v>
      </c>
      <c r="B3881" t="str">
        <f t="shared" si="1287"/>
        <v>Philadelphia</v>
      </c>
      <c r="C3881" t="str">
        <f t="shared" si="1291"/>
        <v>Second Class</v>
      </c>
      <c r="D3881" t="str">
        <f t="shared" si="1293"/>
        <v>Corporate</v>
      </c>
      <c r="E3881" t="s">
        <v>18</v>
      </c>
      <c r="F3881">
        <v>13</v>
      </c>
      <c r="G3881">
        <v>0.2</v>
      </c>
      <c r="H3881" s="2">
        <v>10.072399999999996</v>
      </c>
      <c r="I3881" s="2">
        <v>30.991999999999997</v>
      </c>
    </row>
    <row r="3882" spans="1:9" x14ac:dyDescent="0.3">
      <c r="A3882" t="str">
        <f t="shared" si="1286"/>
        <v>United States</v>
      </c>
      <c r="B3882" t="str">
        <f t="shared" si="1287"/>
        <v>Philadelphia</v>
      </c>
      <c r="C3882" t="str">
        <f t="shared" si="1291"/>
        <v>Second Class</v>
      </c>
      <c r="D3882" t="str">
        <f t="shared" si="1293"/>
        <v>Corporate</v>
      </c>
      <c r="E3882" t="s">
        <v>21</v>
      </c>
      <c r="F3882">
        <v>6</v>
      </c>
      <c r="G3882">
        <v>0.4</v>
      </c>
      <c r="H3882" s="2">
        <v>-14.612399999999994</v>
      </c>
      <c r="I3882" s="2">
        <v>415.63200000000006</v>
      </c>
    </row>
    <row r="3883" spans="1:9" x14ac:dyDescent="0.3">
      <c r="A3883" t="str">
        <f t="shared" si="1286"/>
        <v>United States</v>
      </c>
      <c r="B3883" t="str">
        <f t="shared" ref="B3883:B3914" si="1294">B3882</f>
        <v>Philadelphia</v>
      </c>
      <c r="C3883" t="str">
        <f t="shared" si="1291"/>
        <v>Second Class</v>
      </c>
      <c r="D3883" t="str">
        <f t="shared" si="1293"/>
        <v>Corporate</v>
      </c>
      <c r="E3883" t="s">
        <v>46</v>
      </c>
      <c r="F3883">
        <v>3</v>
      </c>
      <c r="G3883">
        <v>0.7</v>
      </c>
      <c r="H3883" s="2">
        <v>-643.70999999999981</v>
      </c>
      <c r="I3883" s="2">
        <v>449.1</v>
      </c>
    </row>
    <row r="3884" spans="1:9" x14ac:dyDescent="0.3">
      <c r="A3884" t="str">
        <f t="shared" si="1286"/>
        <v>United States</v>
      </c>
      <c r="B3884" t="str">
        <f t="shared" si="1294"/>
        <v>Philadelphia</v>
      </c>
      <c r="C3884" t="str">
        <f t="shared" si="1291"/>
        <v>Second Class</v>
      </c>
      <c r="D3884" t="str">
        <f t="shared" si="1293"/>
        <v>Corporate</v>
      </c>
      <c r="E3884" t="s">
        <v>16</v>
      </c>
      <c r="F3884">
        <v>19</v>
      </c>
      <c r="G3884">
        <v>1</v>
      </c>
      <c r="H3884" s="2">
        <v>65.831299999999985</v>
      </c>
      <c r="I3884" s="2">
        <v>202.29600000000002</v>
      </c>
    </row>
    <row r="3885" spans="1:9" x14ac:dyDescent="0.3">
      <c r="A3885" t="str">
        <f t="shared" si="1286"/>
        <v>United States</v>
      </c>
      <c r="B3885" t="str">
        <f t="shared" si="1294"/>
        <v>Philadelphia</v>
      </c>
      <c r="C3885" t="str">
        <f t="shared" si="1291"/>
        <v>Second Class</v>
      </c>
      <c r="D3885" t="str">
        <f t="shared" si="1293"/>
        <v>Corporate</v>
      </c>
      <c r="E3885" t="s">
        <v>24</v>
      </c>
      <c r="F3885">
        <v>30</v>
      </c>
      <c r="G3885">
        <v>1.6</v>
      </c>
      <c r="H3885" s="2">
        <v>-316.92000000000007</v>
      </c>
      <c r="I3885" s="2">
        <v>1592.748</v>
      </c>
    </row>
    <row r="3886" spans="1:9" x14ac:dyDescent="0.3">
      <c r="A3886" t="str">
        <f t="shared" si="1286"/>
        <v>United States</v>
      </c>
      <c r="B3886" t="str">
        <f t="shared" si="1294"/>
        <v>Philadelphia</v>
      </c>
      <c r="C3886" t="str">
        <f t="shared" si="1291"/>
        <v>Second Class</v>
      </c>
      <c r="D3886" t="str">
        <f t="shared" si="1293"/>
        <v>Corporate</v>
      </c>
      <c r="E3886" t="s">
        <v>14</v>
      </c>
      <c r="F3886">
        <v>18</v>
      </c>
      <c r="G3886">
        <v>0.8</v>
      </c>
      <c r="H3886" s="2">
        <v>-496.59000000000003</v>
      </c>
      <c r="I3886" s="2">
        <v>2557.5119999999997</v>
      </c>
    </row>
    <row r="3887" spans="1:9" x14ac:dyDescent="0.3">
      <c r="A3887" t="str">
        <f t="shared" si="1286"/>
        <v>United States</v>
      </c>
      <c r="B3887" t="str">
        <f t="shared" si="1294"/>
        <v>Philadelphia</v>
      </c>
      <c r="C3887" t="str">
        <f t="shared" si="1291"/>
        <v>Second Class</v>
      </c>
      <c r="D3887" t="str">
        <f t="shared" si="1293"/>
        <v>Corporate</v>
      </c>
      <c r="E3887" t="s">
        <v>25</v>
      </c>
      <c r="F3887">
        <v>3</v>
      </c>
      <c r="G3887">
        <v>0.4</v>
      </c>
      <c r="H3887" s="2">
        <v>-192.04680000000008</v>
      </c>
      <c r="I3887" s="2">
        <v>523.76400000000001</v>
      </c>
    </row>
    <row r="3888" spans="1:9" x14ac:dyDescent="0.3">
      <c r="A3888" t="str">
        <f t="shared" si="1286"/>
        <v>United States</v>
      </c>
      <c r="B3888" t="str">
        <f t="shared" si="1294"/>
        <v>Philadelphia</v>
      </c>
      <c r="C3888" t="str">
        <f t="shared" si="1291"/>
        <v>Second Class</v>
      </c>
      <c r="D3888" t="s">
        <v>17</v>
      </c>
      <c r="E3888" t="s">
        <v>23</v>
      </c>
      <c r="F3888">
        <v>2</v>
      </c>
      <c r="G3888">
        <v>0.2</v>
      </c>
      <c r="H3888" s="2">
        <v>91.995400000000018</v>
      </c>
      <c r="I3888" s="2">
        <v>319.98400000000004</v>
      </c>
    </row>
    <row r="3889" spans="1:9" x14ac:dyDescent="0.3">
      <c r="A3889" t="str">
        <f t="shared" si="1286"/>
        <v>United States</v>
      </c>
      <c r="B3889" t="str">
        <f t="shared" si="1294"/>
        <v>Philadelphia</v>
      </c>
      <c r="C3889" t="str">
        <f t="shared" si="1291"/>
        <v>Second Class</v>
      </c>
      <c r="D3889" t="str">
        <f t="shared" ref="D3889:D3892" si="1295">D3888</f>
        <v>Home Office</v>
      </c>
      <c r="E3889" t="s">
        <v>19</v>
      </c>
      <c r="F3889">
        <v>4</v>
      </c>
      <c r="G3889">
        <v>0.2</v>
      </c>
      <c r="H3889" s="2">
        <v>2.7984000000000027</v>
      </c>
      <c r="I3889" s="2">
        <v>37.312000000000005</v>
      </c>
    </row>
    <row r="3890" spans="1:9" x14ac:dyDescent="0.3">
      <c r="A3890" t="str">
        <f t="shared" si="1286"/>
        <v>United States</v>
      </c>
      <c r="B3890" t="str">
        <f t="shared" si="1294"/>
        <v>Philadelphia</v>
      </c>
      <c r="C3890" t="str">
        <f t="shared" si="1291"/>
        <v>Second Class</v>
      </c>
      <c r="D3890" t="str">
        <f t="shared" si="1295"/>
        <v>Home Office</v>
      </c>
      <c r="E3890" t="s">
        <v>16</v>
      </c>
      <c r="F3890">
        <v>3</v>
      </c>
      <c r="G3890">
        <v>0.4</v>
      </c>
      <c r="H3890" s="2">
        <v>4.8729000000000005</v>
      </c>
      <c r="I3890" s="2">
        <v>13.848000000000001</v>
      </c>
    </row>
    <row r="3891" spans="1:9" x14ac:dyDescent="0.3">
      <c r="A3891" t="str">
        <f t="shared" si="1286"/>
        <v>United States</v>
      </c>
      <c r="B3891" t="str">
        <f t="shared" si="1294"/>
        <v>Philadelphia</v>
      </c>
      <c r="C3891" t="str">
        <f t="shared" si="1291"/>
        <v>Second Class</v>
      </c>
      <c r="D3891" t="str">
        <f t="shared" si="1295"/>
        <v>Home Office</v>
      </c>
      <c r="E3891" t="s">
        <v>24</v>
      </c>
      <c r="F3891">
        <v>2</v>
      </c>
      <c r="G3891">
        <v>0.4</v>
      </c>
      <c r="H3891" s="2">
        <v>-123.9980000000001</v>
      </c>
      <c r="I3891" s="2">
        <v>743.98799999999994</v>
      </c>
    </row>
    <row r="3892" spans="1:9" x14ac:dyDescent="0.3">
      <c r="A3892" t="str">
        <f t="shared" si="1286"/>
        <v>United States</v>
      </c>
      <c r="B3892" t="str">
        <f t="shared" si="1294"/>
        <v>Philadelphia</v>
      </c>
      <c r="C3892" t="str">
        <f t="shared" si="1291"/>
        <v>Second Class</v>
      </c>
      <c r="D3892" t="str">
        <f t="shared" si="1295"/>
        <v>Home Office</v>
      </c>
      <c r="E3892" t="s">
        <v>25</v>
      </c>
      <c r="F3892">
        <v>9</v>
      </c>
      <c r="G3892">
        <v>0.4</v>
      </c>
      <c r="H3892" s="2">
        <v>-339.7050000000001</v>
      </c>
      <c r="I3892" s="2">
        <v>815.29199999999992</v>
      </c>
    </row>
    <row r="3893" spans="1:9" x14ac:dyDescent="0.3">
      <c r="A3893" t="str">
        <f t="shared" si="1286"/>
        <v>United States</v>
      </c>
      <c r="B3893" t="str">
        <f t="shared" si="1294"/>
        <v>Philadelphia</v>
      </c>
      <c r="C3893" t="s">
        <v>22</v>
      </c>
      <c r="D3893" t="s">
        <v>8</v>
      </c>
      <c r="E3893" t="s">
        <v>23</v>
      </c>
      <c r="F3893">
        <v>44</v>
      </c>
      <c r="G3893">
        <v>2.8000000000000003</v>
      </c>
      <c r="H3893" s="2">
        <v>3.3034999999999339</v>
      </c>
      <c r="I3893" s="2">
        <v>1015.8719999999996</v>
      </c>
    </row>
    <row r="3894" spans="1:9" x14ac:dyDescent="0.3">
      <c r="A3894" t="str">
        <f t="shared" si="1286"/>
        <v>United States</v>
      </c>
      <c r="B3894" t="str">
        <f t="shared" si="1294"/>
        <v>Philadelphia</v>
      </c>
      <c r="C3894" t="str">
        <f t="shared" ref="C3894:C3938" si="1296">C3893</f>
        <v>Standard Class</v>
      </c>
      <c r="D3894" t="str">
        <f t="shared" ref="D3894:D3909" si="1297">D3893</f>
        <v>Consumer</v>
      </c>
      <c r="E3894" t="s">
        <v>12</v>
      </c>
      <c r="F3894">
        <v>28</v>
      </c>
      <c r="G3894">
        <v>1.7999999999999998</v>
      </c>
      <c r="H3894" s="2">
        <v>144.91369999999995</v>
      </c>
      <c r="I3894" s="2">
        <v>829.5200000000001</v>
      </c>
    </row>
    <row r="3895" spans="1:9" x14ac:dyDescent="0.3">
      <c r="A3895" t="str">
        <f t="shared" si="1286"/>
        <v>United States</v>
      </c>
      <c r="B3895" t="str">
        <f t="shared" si="1294"/>
        <v>Philadelphia</v>
      </c>
      <c r="C3895" t="str">
        <f t="shared" si="1296"/>
        <v>Standard Class</v>
      </c>
      <c r="D3895" t="str">
        <f t="shared" si="1297"/>
        <v>Consumer</v>
      </c>
      <c r="E3895" t="s">
        <v>19</v>
      </c>
      <c r="F3895">
        <v>45</v>
      </c>
      <c r="G3895">
        <v>1.9999999999999998</v>
      </c>
      <c r="H3895" s="2">
        <v>61.501999999999974</v>
      </c>
      <c r="I3895" s="2">
        <v>446.16</v>
      </c>
    </row>
    <row r="3896" spans="1:9" x14ac:dyDescent="0.3">
      <c r="A3896" t="str">
        <f t="shared" si="1286"/>
        <v>United States</v>
      </c>
      <c r="B3896" t="str">
        <f t="shared" si="1294"/>
        <v>Philadelphia</v>
      </c>
      <c r="C3896" t="str">
        <f t="shared" si="1296"/>
        <v>Standard Class</v>
      </c>
      <c r="D3896" t="str">
        <f t="shared" si="1297"/>
        <v>Consumer</v>
      </c>
      <c r="E3896" t="s">
        <v>20</v>
      </c>
      <c r="F3896">
        <v>88</v>
      </c>
      <c r="G3896">
        <v>18.199999999999992</v>
      </c>
      <c r="H3896" s="2">
        <v>-1102.0373000000002</v>
      </c>
      <c r="I3896" s="2">
        <v>1425.6720000000003</v>
      </c>
    </row>
    <row r="3897" spans="1:9" x14ac:dyDescent="0.3">
      <c r="A3897" t="str">
        <f t="shared" si="1286"/>
        <v>United States</v>
      </c>
      <c r="B3897" t="str">
        <f t="shared" si="1294"/>
        <v>Philadelphia</v>
      </c>
      <c r="C3897" t="str">
        <f t="shared" si="1296"/>
        <v>Standard Class</v>
      </c>
      <c r="D3897" t="str">
        <f t="shared" si="1297"/>
        <v>Consumer</v>
      </c>
      <c r="E3897" t="s">
        <v>34</v>
      </c>
      <c r="F3897">
        <v>12</v>
      </c>
      <c r="G3897">
        <v>1.5</v>
      </c>
      <c r="H3897" s="2">
        <v>-1959.1181999999999</v>
      </c>
      <c r="I3897" s="2">
        <v>3515.88</v>
      </c>
    </row>
    <row r="3898" spans="1:9" x14ac:dyDescent="0.3">
      <c r="A3898" t="str">
        <f t="shared" si="1286"/>
        <v>United States</v>
      </c>
      <c r="B3898" t="str">
        <f t="shared" si="1294"/>
        <v>Philadelphia</v>
      </c>
      <c r="C3898" t="str">
        <f t="shared" si="1296"/>
        <v>Standard Class</v>
      </c>
      <c r="D3898" t="str">
        <f t="shared" si="1297"/>
        <v>Consumer</v>
      </c>
      <c r="E3898" t="s">
        <v>33</v>
      </c>
      <c r="F3898">
        <v>41</v>
      </c>
      <c r="G3898">
        <v>3.5999999999999992</v>
      </c>
      <c r="H3898" s="2">
        <v>-414.92829999999987</v>
      </c>
      <c r="I3898" s="2">
        <v>5358.3669999999993</v>
      </c>
    </row>
    <row r="3899" spans="1:9" x14ac:dyDescent="0.3">
      <c r="A3899" t="str">
        <f t="shared" si="1286"/>
        <v>United States</v>
      </c>
      <c r="B3899" t="str">
        <f t="shared" si="1294"/>
        <v>Philadelphia</v>
      </c>
      <c r="C3899" t="str">
        <f t="shared" si="1296"/>
        <v>Standard Class</v>
      </c>
      <c r="D3899" t="str">
        <f t="shared" si="1297"/>
        <v>Consumer</v>
      </c>
      <c r="E3899" t="s">
        <v>45</v>
      </c>
      <c r="F3899">
        <v>13</v>
      </c>
      <c r="G3899">
        <v>1.2000000000000002</v>
      </c>
      <c r="H3899" s="2">
        <v>1315.990499999999</v>
      </c>
      <c r="I3899" s="2">
        <v>10079.921999999999</v>
      </c>
    </row>
    <row r="3900" spans="1:9" x14ac:dyDescent="0.3">
      <c r="A3900" t="str">
        <f t="shared" si="1286"/>
        <v>United States</v>
      </c>
      <c r="B3900" t="str">
        <f t="shared" si="1294"/>
        <v>Philadelphia</v>
      </c>
      <c r="C3900" t="str">
        <f t="shared" si="1296"/>
        <v>Standard Class</v>
      </c>
      <c r="D3900" t="str">
        <f t="shared" si="1297"/>
        <v>Consumer</v>
      </c>
      <c r="E3900" t="s">
        <v>38</v>
      </c>
      <c r="F3900">
        <v>24</v>
      </c>
      <c r="G3900">
        <v>1.5999999999999999</v>
      </c>
      <c r="H3900" s="2">
        <v>114.09349999999998</v>
      </c>
      <c r="I3900" s="2">
        <v>333.22400000000005</v>
      </c>
    </row>
    <row r="3901" spans="1:9" x14ac:dyDescent="0.3">
      <c r="A3901" t="str">
        <f t="shared" si="1286"/>
        <v>United States</v>
      </c>
      <c r="B3901" t="str">
        <f t="shared" si="1294"/>
        <v>Philadelphia</v>
      </c>
      <c r="C3901" t="str">
        <f t="shared" si="1296"/>
        <v>Standard Class</v>
      </c>
      <c r="D3901" t="str">
        <f t="shared" si="1297"/>
        <v>Consumer</v>
      </c>
      <c r="E3901" t="s">
        <v>18</v>
      </c>
      <c r="F3901">
        <v>9</v>
      </c>
      <c r="G3901">
        <v>0.4</v>
      </c>
      <c r="H3901" s="2">
        <v>-3.7277999999999993</v>
      </c>
      <c r="I3901" s="2">
        <v>16.568000000000001</v>
      </c>
    </row>
    <row r="3902" spans="1:9" x14ac:dyDescent="0.3">
      <c r="A3902" t="str">
        <f t="shared" si="1286"/>
        <v>United States</v>
      </c>
      <c r="B3902" t="str">
        <f t="shared" si="1294"/>
        <v>Philadelphia</v>
      </c>
      <c r="C3902" t="str">
        <f t="shared" si="1296"/>
        <v>Standard Class</v>
      </c>
      <c r="D3902" t="str">
        <f t="shared" si="1297"/>
        <v>Consumer</v>
      </c>
      <c r="E3902" t="s">
        <v>21</v>
      </c>
      <c r="F3902">
        <v>33</v>
      </c>
      <c r="G3902">
        <v>2.1999999999999997</v>
      </c>
      <c r="H3902" s="2">
        <v>31.553499999999957</v>
      </c>
      <c r="I3902" s="2">
        <v>733.91200000000003</v>
      </c>
    </row>
    <row r="3903" spans="1:9" x14ac:dyDescent="0.3">
      <c r="A3903" t="str">
        <f t="shared" si="1286"/>
        <v>United States</v>
      </c>
      <c r="B3903" t="str">
        <f t="shared" si="1294"/>
        <v>Philadelphia</v>
      </c>
      <c r="C3903" t="str">
        <f t="shared" si="1296"/>
        <v>Standard Class</v>
      </c>
      <c r="D3903" t="str">
        <f t="shared" si="1297"/>
        <v>Consumer</v>
      </c>
      <c r="E3903" t="s">
        <v>43</v>
      </c>
      <c r="F3903">
        <v>17</v>
      </c>
      <c r="G3903">
        <v>1</v>
      </c>
      <c r="H3903" s="2">
        <v>22.867000000000004</v>
      </c>
      <c r="I3903" s="2">
        <v>68.28</v>
      </c>
    </row>
    <row r="3904" spans="1:9" x14ac:dyDescent="0.3">
      <c r="A3904" t="str">
        <f t="shared" si="1286"/>
        <v>United States</v>
      </c>
      <c r="B3904" t="str">
        <f t="shared" si="1294"/>
        <v>Philadelphia</v>
      </c>
      <c r="C3904" t="str">
        <f t="shared" si="1296"/>
        <v>Standard Class</v>
      </c>
      <c r="D3904" t="str">
        <f t="shared" si="1297"/>
        <v>Consumer</v>
      </c>
      <c r="E3904" t="s">
        <v>46</v>
      </c>
      <c r="F3904">
        <v>3</v>
      </c>
      <c r="G3904">
        <v>0.7</v>
      </c>
      <c r="H3904" s="2">
        <v>-172.49250000000001</v>
      </c>
      <c r="I3904" s="2">
        <v>206.99100000000004</v>
      </c>
    </row>
    <row r="3905" spans="1:9" x14ac:dyDescent="0.3">
      <c r="A3905" t="str">
        <f t="shared" si="1286"/>
        <v>United States</v>
      </c>
      <c r="B3905" t="str">
        <f t="shared" si="1294"/>
        <v>Philadelphia</v>
      </c>
      <c r="C3905" t="str">
        <f t="shared" si="1296"/>
        <v>Standard Class</v>
      </c>
      <c r="D3905" t="str">
        <f t="shared" si="1297"/>
        <v>Consumer</v>
      </c>
      <c r="E3905" t="s">
        <v>16</v>
      </c>
      <c r="F3905">
        <v>43</v>
      </c>
      <c r="G3905">
        <v>2.8000000000000003</v>
      </c>
      <c r="H3905" s="2">
        <v>197.78949999999995</v>
      </c>
      <c r="I3905" s="2">
        <v>569.33600000000013</v>
      </c>
    </row>
    <row r="3906" spans="1:9" x14ac:dyDescent="0.3">
      <c r="A3906" t="str">
        <f t="shared" si="1286"/>
        <v>United States</v>
      </c>
      <c r="B3906" t="str">
        <f t="shared" si="1294"/>
        <v>Philadelphia</v>
      </c>
      <c r="C3906" t="str">
        <f t="shared" si="1296"/>
        <v>Standard Class</v>
      </c>
      <c r="D3906" t="str">
        <f t="shared" si="1297"/>
        <v>Consumer</v>
      </c>
      <c r="E3906" t="s">
        <v>24</v>
      </c>
      <c r="F3906">
        <v>78</v>
      </c>
      <c r="G3906">
        <v>8.0000000000000018</v>
      </c>
      <c r="H3906" s="2">
        <v>-609.69510000000014</v>
      </c>
      <c r="I3906" s="2">
        <v>4632.4139999999998</v>
      </c>
    </row>
    <row r="3907" spans="1:9" x14ac:dyDescent="0.3">
      <c r="A3907" t="str">
        <f t="shared" si="1286"/>
        <v>United States</v>
      </c>
      <c r="B3907" t="str">
        <f t="shared" si="1294"/>
        <v>Philadelphia</v>
      </c>
      <c r="C3907" t="str">
        <f t="shared" si="1296"/>
        <v>Standard Class</v>
      </c>
      <c r="D3907" t="str">
        <f t="shared" si="1297"/>
        <v>Consumer</v>
      </c>
      <c r="E3907" t="s">
        <v>14</v>
      </c>
      <c r="F3907">
        <v>51</v>
      </c>
      <c r="G3907">
        <v>2.8000000000000003</v>
      </c>
      <c r="H3907" s="2">
        <v>-209.53320000000011</v>
      </c>
      <c r="I3907" s="2">
        <v>2968.2160000000008</v>
      </c>
    </row>
    <row r="3908" spans="1:9" x14ac:dyDescent="0.3">
      <c r="A3908" t="str">
        <f t="shared" ref="A3908:A3971" si="1298">A3907</f>
        <v>United States</v>
      </c>
      <c r="B3908" t="str">
        <f t="shared" si="1294"/>
        <v>Philadelphia</v>
      </c>
      <c r="C3908" t="str">
        <f t="shared" si="1296"/>
        <v>Standard Class</v>
      </c>
      <c r="D3908" t="str">
        <f t="shared" si="1297"/>
        <v>Consumer</v>
      </c>
      <c r="E3908" t="s">
        <v>9</v>
      </c>
      <c r="F3908">
        <v>9</v>
      </c>
      <c r="G3908">
        <v>0.8</v>
      </c>
      <c r="H3908" s="2">
        <v>-311.47939999999994</v>
      </c>
      <c r="I3908" s="2">
        <v>1450.4560000000001</v>
      </c>
    </row>
    <row r="3909" spans="1:9" x14ac:dyDescent="0.3">
      <c r="A3909" t="str">
        <f t="shared" si="1298"/>
        <v>United States</v>
      </c>
      <c r="B3909" t="str">
        <f t="shared" si="1294"/>
        <v>Philadelphia</v>
      </c>
      <c r="C3909" t="str">
        <f t="shared" si="1296"/>
        <v>Standard Class</v>
      </c>
      <c r="D3909" t="str">
        <f t="shared" si="1297"/>
        <v>Consumer</v>
      </c>
      <c r="E3909" t="s">
        <v>25</v>
      </c>
      <c r="F3909">
        <v>18</v>
      </c>
      <c r="G3909">
        <v>1.2000000000000002</v>
      </c>
      <c r="H3909" s="2">
        <v>-847.83520000000044</v>
      </c>
      <c r="I3909" s="2">
        <v>2456.1480000000001</v>
      </c>
    </row>
    <row r="3910" spans="1:9" x14ac:dyDescent="0.3">
      <c r="A3910" t="str">
        <f t="shared" si="1298"/>
        <v>United States</v>
      </c>
      <c r="B3910" t="str">
        <f t="shared" si="1294"/>
        <v>Philadelphia</v>
      </c>
      <c r="C3910" t="str">
        <f t="shared" si="1296"/>
        <v>Standard Class</v>
      </c>
      <c r="D3910" t="s">
        <v>15</v>
      </c>
      <c r="E3910" t="s">
        <v>23</v>
      </c>
      <c r="F3910">
        <v>24</v>
      </c>
      <c r="G3910">
        <v>1.5999999999999999</v>
      </c>
      <c r="H3910" s="2">
        <v>317.6898999999998</v>
      </c>
      <c r="I3910" s="2">
        <v>2171.0159999999996</v>
      </c>
    </row>
    <row r="3911" spans="1:9" x14ac:dyDescent="0.3">
      <c r="A3911" t="str">
        <f t="shared" si="1298"/>
        <v>United States</v>
      </c>
      <c r="B3911" t="str">
        <f t="shared" si="1294"/>
        <v>Philadelphia</v>
      </c>
      <c r="C3911" t="str">
        <f t="shared" si="1296"/>
        <v>Standard Class</v>
      </c>
      <c r="D3911" t="str">
        <f t="shared" ref="D3911:D3924" si="1299">D3910</f>
        <v>Corporate</v>
      </c>
      <c r="E3911" t="s">
        <v>12</v>
      </c>
      <c r="F3911">
        <v>11</v>
      </c>
      <c r="G3911">
        <v>0.60000000000000009</v>
      </c>
      <c r="H3911" s="2">
        <v>10.895699999999998</v>
      </c>
      <c r="I3911" s="2">
        <v>96.360000000000014</v>
      </c>
    </row>
    <row r="3912" spans="1:9" x14ac:dyDescent="0.3">
      <c r="A3912" t="str">
        <f t="shared" si="1298"/>
        <v>United States</v>
      </c>
      <c r="B3912" t="str">
        <f t="shared" si="1294"/>
        <v>Philadelphia</v>
      </c>
      <c r="C3912" t="str">
        <f t="shared" si="1296"/>
        <v>Standard Class</v>
      </c>
      <c r="D3912" t="str">
        <f t="shared" si="1299"/>
        <v>Corporate</v>
      </c>
      <c r="E3912" t="s">
        <v>19</v>
      </c>
      <c r="F3912">
        <v>32</v>
      </c>
      <c r="G3912">
        <v>2.1999999999999997</v>
      </c>
      <c r="H3912" s="2">
        <v>22.511799999999997</v>
      </c>
      <c r="I3912" s="2">
        <v>193.38399999999999</v>
      </c>
    </row>
    <row r="3913" spans="1:9" x14ac:dyDescent="0.3">
      <c r="A3913" t="str">
        <f t="shared" si="1298"/>
        <v>United States</v>
      </c>
      <c r="B3913" t="str">
        <f t="shared" si="1294"/>
        <v>Philadelphia</v>
      </c>
      <c r="C3913" t="str">
        <f t="shared" si="1296"/>
        <v>Standard Class</v>
      </c>
      <c r="D3913" t="str">
        <f t="shared" si="1299"/>
        <v>Corporate</v>
      </c>
      <c r="E3913" t="s">
        <v>20</v>
      </c>
      <c r="F3913">
        <v>60</v>
      </c>
      <c r="G3913">
        <v>14.699999999999994</v>
      </c>
      <c r="H3913" s="2">
        <v>-227.88910000000001</v>
      </c>
      <c r="I3913" s="2">
        <v>309.45300000000003</v>
      </c>
    </row>
    <row r="3914" spans="1:9" x14ac:dyDescent="0.3">
      <c r="A3914" t="str">
        <f t="shared" si="1298"/>
        <v>United States</v>
      </c>
      <c r="B3914" t="str">
        <f t="shared" si="1294"/>
        <v>Philadelphia</v>
      </c>
      <c r="C3914" t="str">
        <f t="shared" si="1296"/>
        <v>Standard Class</v>
      </c>
      <c r="D3914" t="str">
        <f t="shared" si="1299"/>
        <v>Corporate</v>
      </c>
      <c r="E3914" t="s">
        <v>34</v>
      </c>
      <c r="F3914">
        <v>4</v>
      </c>
      <c r="G3914">
        <v>0.5</v>
      </c>
      <c r="H3914" s="2">
        <v>-81.94</v>
      </c>
      <c r="I3914" s="2">
        <v>163.88</v>
      </c>
    </row>
    <row r="3915" spans="1:9" x14ac:dyDescent="0.3">
      <c r="A3915" t="str">
        <f t="shared" si="1298"/>
        <v>United States</v>
      </c>
      <c r="B3915" t="str">
        <f t="shared" ref="B3915:B3938" si="1300">B3914</f>
        <v>Philadelphia</v>
      </c>
      <c r="C3915" t="str">
        <f t="shared" si="1296"/>
        <v>Standard Class</v>
      </c>
      <c r="D3915" t="str">
        <f t="shared" si="1299"/>
        <v>Corporate</v>
      </c>
      <c r="E3915" t="s">
        <v>33</v>
      </c>
      <c r="F3915">
        <v>22</v>
      </c>
      <c r="G3915">
        <v>1.2</v>
      </c>
      <c r="H3915" s="2">
        <v>-107.37959999999997</v>
      </c>
      <c r="I3915" s="2">
        <v>857.19200000000001</v>
      </c>
    </row>
    <row r="3916" spans="1:9" x14ac:dyDescent="0.3">
      <c r="A3916" t="str">
        <f t="shared" si="1298"/>
        <v>United States</v>
      </c>
      <c r="B3916" t="str">
        <f t="shared" si="1300"/>
        <v>Philadelphia</v>
      </c>
      <c r="C3916" t="str">
        <f t="shared" si="1296"/>
        <v>Standard Class</v>
      </c>
      <c r="D3916" t="str">
        <f t="shared" si="1299"/>
        <v>Corporate</v>
      </c>
      <c r="E3916" t="s">
        <v>38</v>
      </c>
      <c r="F3916">
        <v>21</v>
      </c>
      <c r="G3916">
        <v>1.2</v>
      </c>
      <c r="H3916" s="2">
        <v>84.376899999999992</v>
      </c>
      <c r="I3916" s="2">
        <v>237.83200000000002</v>
      </c>
    </row>
    <row r="3917" spans="1:9" x14ac:dyDescent="0.3">
      <c r="A3917" t="str">
        <f t="shared" si="1298"/>
        <v>United States</v>
      </c>
      <c r="B3917" t="str">
        <f t="shared" si="1300"/>
        <v>Philadelphia</v>
      </c>
      <c r="C3917" t="str">
        <f t="shared" si="1296"/>
        <v>Standard Class</v>
      </c>
      <c r="D3917" t="str">
        <f t="shared" si="1299"/>
        <v>Corporate</v>
      </c>
      <c r="E3917" t="s">
        <v>18</v>
      </c>
      <c r="F3917">
        <v>33</v>
      </c>
      <c r="G3917">
        <v>1.2</v>
      </c>
      <c r="H3917" s="2">
        <v>14.305199999999999</v>
      </c>
      <c r="I3917" s="2">
        <v>68.44</v>
      </c>
    </row>
    <row r="3918" spans="1:9" x14ac:dyDescent="0.3">
      <c r="A3918" t="str">
        <f t="shared" si="1298"/>
        <v>United States</v>
      </c>
      <c r="B3918" t="str">
        <f t="shared" si="1300"/>
        <v>Philadelphia</v>
      </c>
      <c r="C3918" t="str">
        <f t="shared" si="1296"/>
        <v>Standard Class</v>
      </c>
      <c r="D3918" t="str">
        <f t="shared" si="1299"/>
        <v>Corporate</v>
      </c>
      <c r="E3918" t="s">
        <v>21</v>
      </c>
      <c r="F3918">
        <v>22</v>
      </c>
      <c r="G3918">
        <v>1.9999999999999998</v>
      </c>
      <c r="H3918" s="2">
        <v>-20.973800000000068</v>
      </c>
      <c r="I3918" s="2">
        <v>1079.4880000000001</v>
      </c>
    </row>
    <row r="3919" spans="1:9" x14ac:dyDescent="0.3">
      <c r="A3919" t="str">
        <f t="shared" si="1298"/>
        <v>United States</v>
      </c>
      <c r="B3919" t="str">
        <f t="shared" si="1300"/>
        <v>Philadelphia</v>
      </c>
      <c r="C3919" t="str">
        <f t="shared" si="1296"/>
        <v>Standard Class</v>
      </c>
      <c r="D3919" t="str">
        <f t="shared" si="1299"/>
        <v>Corporate</v>
      </c>
      <c r="E3919" t="s">
        <v>43</v>
      </c>
      <c r="F3919">
        <v>17</v>
      </c>
      <c r="G3919">
        <v>0.60000000000000009</v>
      </c>
      <c r="H3919" s="2">
        <v>32.633099999999992</v>
      </c>
      <c r="I3919" s="2">
        <v>97.823999999999998</v>
      </c>
    </row>
    <row r="3920" spans="1:9" x14ac:dyDescent="0.3">
      <c r="A3920" t="str">
        <f t="shared" si="1298"/>
        <v>United States</v>
      </c>
      <c r="B3920" t="str">
        <f t="shared" si="1300"/>
        <v>Philadelphia</v>
      </c>
      <c r="C3920" t="str">
        <f t="shared" si="1296"/>
        <v>Standard Class</v>
      </c>
      <c r="D3920" t="str">
        <f t="shared" si="1299"/>
        <v>Corporate</v>
      </c>
      <c r="E3920" t="s">
        <v>46</v>
      </c>
      <c r="F3920">
        <v>8</v>
      </c>
      <c r="G3920">
        <v>1.4</v>
      </c>
      <c r="H3920" s="2">
        <v>-896.99399999999969</v>
      </c>
      <c r="I3920" s="2">
        <v>881.88000000000011</v>
      </c>
    </row>
    <row r="3921" spans="1:9" x14ac:dyDescent="0.3">
      <c r="A3921" t="str">
        <f t="shared" si="1298"/>
        <v>United States</v>
      </c>
      <c r="B3921" t="str">
        <f t="shared" si="1300"/>
        <v>Philadelphia</v>
      </c>
      <c r="C3921" t="str">
        <f t="shared" si="1296"/>
        <v>Standard Class</v>
      </c>
      <c r="D3921" t="str">
        <f t="shared" si="1299"/>
        <v>Corporate</v>
      </c>
      <c r="E3921" t="s">
        <v>16</v>
      </c>
      <c r="F3921">
        <v>46</v>
      </c>
      <c r="G3921">
        <v>2.6</v>
      </c>
      <c r="H3921" s="2">
        <v>116.17189999999997</v>
      </c>
      <c r="I3921" s="2">
        <v>357.73599999999999</v>
      </c>
    </row>
    <row r="3922" spans="1:9" x14ac:dyDescent="0.3">
      <c r="A3922" t="str">
        <f t="shared" si="1298"/>
        <v>United States</v>
      </c>
      <c r="B3922" t="str">
        <f t="shared" si="1300"/>
        <v>Philadelphia</v>
      </c>
      <c r="C3922" t="str">
        <f t="shared" si="1296"/>
        <v>Standard Class</v>
      </c>
      <c r="D3922" t="str">
        <f t="shared" si="1299"/>
        <v>Corporate</v>
      </c>
      <c r="E3922" t="s">
        <v>24</v>
      </c>
      <c r="F3922">
        <v>52</v>
      </c>
      <c r="G3922">
        <v>4.8</v>
      </c>
      <c r="H3922" s="2">
        <v>-1221.9744999999998</v>
      </c>
      <c r="I3922" s="2">
        <v>6009.4679999999989</v>
      </c>
    </row>
    <row r="3923" spans="1:9" x14ac:dyDescent="0.3">
      <c r="A3923" t="str">
        <f t="shared" si="1298"/>
        <v>United States</v>
      </c>
      <c r="B3923" t="str">
        <f t="shared" si="1300"/>
        <v>Philadelphia</v>
      </c>
      <c r="C3923" t="str">
        <f t="shared" si="1296"/>
        <v>Standard Class</v>
      </c>
      <c r="D3923" t="str">
        <f t="shared" si="1299"/>
        <v>Corporate</v>
      </c>
      <c r="E3923" t="s">
        <v>14</v>
      </c>
      <c r="F3923">
        <v>30</v>
      </c>
      <c r="G3923">
        <v>1.9999999999999998</v>
      </c>
      <c r="H3923" s="2">
        <v>-464.80240000000003</v>
      </c>
      <c r="I3923" s="2">
        <v>2520.2719999999999</v>
      </c>
    </row>
    <row r="3924" spans="1:9" x14ac:dyDescent="0.3">
      <c r="A3924" t="str">
        <f t="shared" si="1298"/>
        <v>United States</v>
      </c>
      <c r="B3924" t="str">
        <f t="shared" si="1300"/>
        <v>Philadelphia</v>
      </c>
      <c r="C3924" t="str">
        <f t="shared" si="1296"/>
        <v>Standard Class</v>
      </c>
      <c r="D3924" t="str">
        <f t="shared" si="1299"/>
        <v>Corporate</v>
      </c>
      <c r="E3924" t="s">
        <v>25</v>
      </c>
      <c r="F3924">
        <v>14</v>
      </c>
      <c r="G3924">
        <v>2</v>
      </c>
      <c r="H3924" s="2">
        <v>-388.50780000000003</v>
      </c>
      <c r="I3924" s="2">
        <v>1429.0139999999997</v>
      </c>
    </row>
    <row r="3925" spans="1:9" x14ac:dyDescent="0.3">
      <c r="A3925" t="str">
        <f t="shared" si="1298"/>
        <v>United States</v>
      </c>
      <c r="B3925" t="str">
        <f t="shared" si="1300"/>
        <v>Philadelphia</v>
      </c>
      <c r="C3925" t="str">
        <f t="shared" si="1296"/>
        <v>Standard Class</v>
      </c>
      <c r="D3925" t="s">
        <v>17</v>
      </c>
      <c r="E3925" t="s">
        <v>23</v>
      </c>
      <c r="F3925">
        <v>8</v>
      </c>
      <c r="G3925">
        <v>0.8</v>
      </c>
      <c r="H3925" s="2">
        <v>10.129699999999996</v>
      </c>
      <c r="I3925" s="2">
        <v>240.74400000000003</v>
      </c>
    </row>
    <row r="3926" spans="1:9" x14ac:dyDescent="0.3">
      <c r="A3926" t="str">
        <f t="shared" si="1298"/>
        <v>United States</v>
      </c>
      <c r="B3926" t="str">
        <f t="shared" si="1300"/>
        <v>Philadelphia</v>
      </c>
      <c r="C3926" t="str">
        <f t="shared" si="1296"/>
        <v>Standard Class</v>
      </c>
      <c r="D3926" t="str">
        <f t="shared" ref="D3926:D3938" si="1301">D3925</f>
        <v>Home Office</v>
      </c>
      <c r="E3926" t="s">
        <v>12</v>
      </c>
      <c r="F3926">
        <v>9</v>
      </c>
      <c r="G3926">
        <v>0.4</v>
      </c>
      <c r="H3926" s="2">
        <v>51.973199999999977</v>
      </c>
      <c r="I3926" s="2">
        <v>545.80799999999999</v>
      </c>
    </row>
    <row r="3927" spans="1:9" x14ac:dyDescent="0.3">
      <c r="A3927" t="str">
        <f t="shared" si="1298"/>
        <v>United States</v>
      </c>
      <c r="B3927" t="str">
        <f t="shared" si="1300"/>
        <v>Philadelphia</v>
      </c>
      <c r="C3927" t="str">
        <f t="shared" si="1296"/>
        <v>Standard Class</v>
      </c>
      <c r="D3927" t="str">
        <f t="shared" si="1301"/>
        <v>Home Office</v>
      </c>
      <c r="E3927" t="s">
        <v>19</v>
      </c>
      <c r="F3927">
        <v>14</v>
      </c>
      <c r="G3927">
        <v>0.60000000000000009</v>
      </c>
      <c r="H3927" s="2">
        <v>5.6003999999999987</v>
      </c>
      <c r="I3927" s="2">
        <v>35.936</v>
      </c>
    </row>
    <row r="3928" spans="1:9" x14ac:dyDescent="0.3">
      <c r="A3928" t="str">
        <f t="shared" si="1298"/>
        <v>United States</v>
      </c>
      <c r="B3928" t="str">
        <f t="shared" si="1300"/>
        <v>Philadelphia</v>
      </c>
      <c r="C3928" t="str">
        <f t="shared" si="1296"/>
        <v>Standard Class</v>
      </c>
      <c r="D3928" t="str">
        <f t="shared" si="1301"/>
        <v>Home Office</v>
      </c>
      <c r="E3928" t="s">
        <v>20</v>
      </c>
      <c r="F3928">
        <v>42</v>
      </c>
      <c r="G3928">
        <v>7.7000000000000011</v>
      </c>
      <c r="H3928" s="2">
        <v>-117.7188</v>
      </c>
      <c r="I3928" s="2">
        <v>160.48500000000004</v>
      </c>
    </row>
    <row r="3929" spans="1:9" x14ac:dyDescent="0.3">
      <c r="A3929" t="str">
        <f t="shared" si="1298"/>
        <v>United States</v>
      </c>
      <c r="B3929" t="str">
        <f t="shared" si="1300"/>
        <v>Philadelphia</v>
      </c>
      <c r="C3929" t="str">
        <f t="shared" si="1296"/>
        <v>Standard Class</v>
      </c>
      <c r="D3929" t="str">
        <f t="shared" si="1301"/>
        <v>Home Office</v>
      </c>
      <c r="E3929" t="s">
        <v>34</v>
      </c>
      <c r="F3929">
        <v>5</v>
      </c>
      <c r="G3929">
        <v>0.5</v>
      </c>
      <c r="H3929" s="2">
        <v>-211.47</v>
      </c>
      <c r="I3929" s="2">
        <v>352.45</v>
      </c>
    </row>
    <row r="3930" spans="1:9" x14ac:dyDescent="0.3">
      <c r="A3930" t="str">
        <f t="shared" si="1298"/>
        <v>United States</v>
      </c>
      <c r="B3930" t="str">
        <f t="shared" si="1300"/>
        <v>Philadelphia</v>
      </c>
      <c r="C3930" t="str">
        <f t="shared" si="1296"/>
        <v>Standard Class</v>
      </c>
      <c r="D3930" t="str">
        <f t="shared" si="1301"/>
        <v>Home Office</v>
      </c>
      <c r="E3930" t="s">
        <v>33</v>
      </c>
      <c r="F3930">
        <v>16</v>
      </c>
      <c r="G3930">
        <v>0.89999999999999991</v>
      </c>
      <c r="H3930" s="2">
        <v>-231.33640000000003</v>
      </c>
      <c r="I3930" s="2">
        <v>1272.9569999999999</v>
      </c>
    </row>
    <row r="3931" spans="1:9" x14ac:dyDescent="0.3">
      <c r="A3931" t="str">
        <f t="shared" si="1298"/>
        <v>United States</v>
      </c>
      <c r="B3931" t="str">
        <f t="shared" si="1300"/>
        <v>Philadelphia</v>
      </c>
      <c r="C3931" t="str">
        <f t="shared" si="1296"/>
        <v>Standard Class</v>
      </c>
      <c r="D3931" t="str">
        <f t="shared" si="1301"/>
        <v>Home Office</v>
      </c>
      <c r="E3931" t="s">
        <v>38</v>
      </c>
      <c r="F3931">
        <v>5</v>
      </c>
      <c r="G3931">
        <v>0.2</v>
      </c>
      <c r="H3931" s="2">
        <v>35.329499999999996</v>
      </c>
      <c r="I3931" s="2">
        <v>104.68000000000002</v>
      </c>
    </row>
    <row r="3932" spans="1:9" x14ac:dyDescent="0.3">
      <c r="A3932" t="str">
        <f t="shared" si="1298"/>
        <v>United States</v>
      </c>
      <c r="B3932" t="str">
        <f t="shared" si="1300"/>
        <v>Philadelphia</v>
      </c>
      <c r="C3932" t="str">
        <f t="shared" si="1296"/>
        <v>Standard Class</v>
      </c>
      <c r="D3932" t="str">
        <f t="shared" si="1301"/>
        <v>Home Office</v>
      </c>
      <c r="E3932" t="s">
        <v>18</v>
      </c>
      <c r="F3932">
        <v>11</v>
      </c>
      <c r="G3932">
        <v>0.60000000000000009</v>
      </c>
      <c r="H3932" s="2">
        <v>7.0152000000000001</v>
      </c>
      <c r="I3932" s="2">
        <v>19.744</v>
      </c>
    </row>
    <row r="3933" spans="1:9" x14ac:dyDescent="0.3">
      <c r="A3933" t="str">
        <f t="shared" si="1298"/>
        <v>United States</v>
      </c>
      <c r="B3933" t="str">
        <f t="shared" si="1300"/>
        <v>Philadelphia</v>
      </c>
      <c r="C3933" t="str">
        <f t="shared" si="1296"/>
        <v>Standard Class</v>
      </c>
      <c r="D3933" t="str">
        <f t="shared" si="1301"/>
        <v>Home Office</v>
      </c>
      <c r="E3933" t="s">
        <v>21</v>
      </c>
      <c r="F3933">
        <v>35</v>
      </c>
      <c r="G3933">
        <v>1.5999999999999999</v>
      </c>
      <c r="H3933" s="2">
        <v>29.32179999999995</v>
      </c>
      <c r="I3933" s="2">
        <v>2578.7280000000001</v>
      </c>
    </row>
    <row r="3934" spans="1:9" x14ac:dyDescent="0.3">
      <c r="A3934" t="str">
        <f t="shared" si="1298"/>
        <v>United States</v>
      </c>
      <c r="B3934" t="str">
        <f t="shared" si="1300"/>
        <v>Philadelphia</v>
      </c>
      <c r="C3934" t="str">
        <f t="shared" si="1296"/>
        <v>Standard Class</v>
      </c>
      <c r="D3934" t="str">
        <f t="shared" si="1301"/>
        <v>Home Office</v>
      </c>
      <c r="E3934" t="s">
        <v>43</v>
      </c>
      <c r="F3934">
        <v>10</v>
      </c>
      <c r="G3934">
        <v>0.60000000000000009</v>
      </c>
      <c r="H3934" s="2">
        <v>11.290999999999997</v>
      </c>
      <c r="I3934" s="2">
        <v>34.160000000000004</v>
      </c>
    </row>
    <row r="3935" spans="1:9" x14ac:dyDescent="0.3">
      <c r="A3935" t="str">
        <f t="shared" si="1298"/>
        <v>United States</v>
      </c>
      <c r="B3935" t="str">
        <f t="shared" si="1300"/>
        <v>Philadelphia</v>
      </c>
      <c r="C3935" t="str">
        <f t="shared" si="1296"/>
        <v>Standard Class</v>
      </c>
      <c r="D3935" t="str">
        <f t="shared" si="1301"/>
        <v>Home Office</v>
      </c>
      <c r="E3935" t="s">
        <v>16</v>
      </c>
      <c r="F3935">
        <v>57</v>
      </c>
      <c r="G3935">
        <v>2.6</v>
      </c>
      <c r="H3935" s="2">
        <v>178.04919999999998</v>
      </c>
      <c r="I3935" s="2">
        <v>505.49599999999998</v>
      </c>
    </row>
    <row r="3936" spans="1:9" x14ac:dyDescent="0.3">
      <c r="A3936" t="str">
        <f t="shared" si="1298"/>
        <v>United States</v>
      </c>
      <c r="B3936" t="str">
        <f t="shared" si="1300"/>
        <v>Philadelphia</v>
      </c>
      <c r="C3936" t="str">
        <f t="shared" si="1296"/>
        <v>Standard Class</v>
      </c>
      <c r="D3936" t="str">
        <f t="shared" si="1301"/>
        <v>Home Office</v>
      </c>
      <c r="E3936" t="s">
        <v>24</v>
      </c>
      <c r="F3936">
        <v>38</v>
      </c>
      <c r="G3936">
        <v>3.5999999999999996</v>
      </c>
      <c r="H3936" s="2">
        <v>-819.55710000000022</v>
      </c>
      <c r="I3936" s="2">
        <v>3705.5399999999995</v>
      </c>
    </row>
    <row r="3937" spans="1:9" x14ac:dyDescent="0.3">
      <c r="A3937" t="str">
        <f t="shared" si="1298"/>
        <v>United States</v>
      </c>
      <c r="B3937" t="str">
        <f t="shared" si="1300"/>
        <v>Philadelphia</v>
      </c>
      <c r="C3937" t="str">
        <f t="shared" si="1296"/>
        <v>Standard Class</v>
      </c>
      <c r="D3937" t="str">
        <f t="shared" si="1301"/>
        <v>Home Office</v>
      </c>
      <c r="E3937" t="s">
        <v>14</v>
      </c>
      <c r="F3937">
        <v>23</v>
      </c>
      <c r="G3937">
        <v>1.2</v>
      </c>
      <c r="H3937" s="2">
        <v>8.9437999999999533</v>
      </c>
      <c r="I3937" s="2">
        <v>1102.96</v>
      </c>
    </row>
    <row r="3938" spans="1:9" x14ac:dyDescent="0.3">
      <c r="A3938" t="str">
        <f t="shared" si="1298"/>
        <v>United States</v>
      </c>
      <c r="B3938" t="str">
        <f t="shared" si="1300"/>
        <v>Philadelphia</v>
      </c>
      <c r="C3938" t="str">
        <f t="shared" si="1296"/>
        <v>Standard Class</v>
      </c>
      <c r="D3938" t="str">
        <f t="shared" si="1301"/>
        <v>Home Office</v>
      </c>
      <c r="E3938" t="s">
        <v>25</v>
      </c>
      <c r="F3938">
        <v>15</v>
      </c>
      <c r="G3938">
        <v>0.8</v>
      </c>
      <c r="H3938" s="2">
        <v>-666.02520000000015</v>
      </c>
      <c r="I3938" s="2">
        <v>2220.0840000000003</v>
      </c>
    </row>
    <row r="3939" spans="1:9" x14ac:dyDescent="0.3">
      <c r="A3939" t="str">
        <f t="shared" si="1298"/>
        <v>United States</v>
      </c>
      <c r="B3939" t="s">
        <v>405</v>
      </c>
      <c r="C3939" t="s">
        <v>11</v>
      </c>
      <c r="D3939" t="s">
        <v>8</v>
      </c>
      <c r="E3939" t="s">
        <v>20</v>
      </c>
      <c r="F3939">
        <v>7</v>
      </c>
      <c r="G3939">
        <v>1.4</v>
      </c>
      <c r="H3939" s="2">
        <v>-41.530799999999992</v>
      </c>
      <c r="I3939" s="2">
        <v>56.817000000000007</v>
      </c>
    </row>
    <row r="3940" spans="1:9" x14ac:dyDescent="0.3">
      <c r="A3940" t="str">
        <f t="shared" si="1298"/>
        <v>United States</v>
      </c>
      <c r="B3940" t="str">
        <f t="shared" ref="B3940:B3977" si="1302">B3939</f>
        <v>Phoenix</v>
      </c>
      <c r="C3940" t="str">
        <f t="shared" ref="C3940:C3943" si="1303">C3939</f>
        <v>First Class</v>
      </c>
      <c r="D3940" t="s">
        <v>15</v>
      </c>
      <c r="E3940" t="s">
        <v>19</v>
      </c>
      <c r="F3940">
        <v>2</v>
      </c>
      <c r="G3940">
        <v>0.2</v>
      </c>
      <c r="H3940" s="2">
        <v>0.90999999999999981</v>
      </c>
      <c r="I3940" s="2">
        <v>2.9120000000000004</v>
      </c>
    </row>
    <row r="3941" spans="1:9" x14ac:dyDescent="0.3">
      <c r="A3941" t="str">
        <f t="shared" si="1298"/>
        <v>United States</v>
      </c>
      <c r="B3941" t="str">
        <f t="shared" si="1302"/>
        <v>Phoenix</v>
      </c>
      <c r="C3941" t="str">
        <f t="shared" si="1303"/>
        <v>First Class</v>
      </c>
      <c r="D3941" t="str">
        <f t="shared" ref="D3941:D3942" si="1304">D3940</f>
        <v>Corporate</v>
      </c>
      <c r="E3941" t="s">
        <v>34</v>
      </c>
      <c r="F3941">
        <v>7</v>
      </c>
      <c r="G3941">
        <v>0.7</v>
      </c>
      <c r="H3941" s="2">
        <v>-356.96429999999998</v>
      </c>
      <c r="I3941" s="2">
        <v>209.97900000000001</v>
      </c>
    </row>
    <row r="3942" spans="1:9" x14ac:dyDescent="0.3">
      <c r="A3942" t="str">
        <f t="shared" si="1298"/>
        <v>United States</v>
      </c>
      <c r="B3942" t="str">
        <f t="shared" si="1302"/>
        <v>Phoenix</v>
      </c>
      <c r="C3942" t="str">
        <f t="shared" si="1303"/>
        <v>First Class</v>
      </c>
      <c r="D3942" t="str">
        <f t="shared" si="1304"/>
        <v>Corporate</v>
      </c>
      <c r="E3942" t="s">
        <v>16</v>
      </c>
      <c r="F3942">
        <v>6</v>
      </c>
      <c r="G3942">
        <v>0.4</v>
      </c>
      <c r="H3942" s="2">
        <v>10.247599999999998</v>
      </c>
      <c r="I3942" s="2">
        <v>30.304000000000006</v>
      </c>
    </row>
    <row r="3943" spans="1:9" x14ac:dyDescent="0.3">
      <c r="A3943" t="str">
        <f t="shared" si="1298"/>
        <v>United States</v>
      </c>
      <c r="B3943" t="str">
        <f t="shared" si="1302"/>
        <v>Phoenix</v>
      </c>
      <c r="C3943" t="str">
        <f t="shared" si="1303"/>
        <v>First Class</v>
      </c>
      <c r="D3943" t="s">
        <v>17</v>
      </c>
      <c r="E3943" t="s">
        <v>20</v>
      </c>
      <c r="F3943">
        <v>3</v>
      </c>
      <c r="G3943">
        <v>0.7</v>
      </c>
      <c r="H3943" s="2">
        <v>-6.0236999999999998</v>
      </c>
      <c r="I3943" s="2">
        <v>7.857000000000002</v>
      </c>
    </row>
    <row r="3944" spans="1:9" x14ac:dyDescent="0.3">
      <c r="A3944" t="str">
        <f t="shared" si="1298"/>
        <v>United States</v>
      </c>
      <c r="B3944" t="str">
        <f t="shared" si="1302"/>
        <v>Phoenix</v>
      </c>
      <c r="C3944" t="s">
        <v>27</v>
      </c>
      <c r="D3944" t="s">
        <v>8</v>
      </c>
      <c r="E3944" t="s">
        <v>20</v>
      </c>
      <c r="F3944">
        <v>3</v>
      </c>
      <c r="G3944">
        <v>0.7</v>
      </c>
      <c r="H3944" s="2">
        <v>-6.0323999999999991</v>
      </c>
      <c r="I3944" s="2">
        <v>8.2260000000000009</v>
      </c>
    </row>
    <row r="3945" spans="1:9" x14ac:dyDescent="0.3">
      <c r="A3945" t="str">
        <f t="shared" si="1298"/>
        <v>United States</v>
      </c>
      <c r="B3945" t="str">
        <f t="shared" si="1302"/>
        <v>Phoenix</v>
      </c>
      <c r="C3945" t="s">
        <v>7</v>
      </c>
      <c r="D3945" t="s">
        <v>8</v>
      </c>
      <c r="E3945" t="s">
        <v>20</v>
      </c>
      <c r="F3945">
        <v>2</v>
      </c>
      <c r="G3945">
        <v>0.7</v>
      </c>
      <c r="H3945" s="2">
        <v>-3.1679999999999993</v>
      </c>
      <c r="I3945" s="2">
        <v>4.7520000000000007</v>
      </c>
    </row>
    <row r="3946" spans="1:9" x14ac:dyDescent="0.3">
      <c r="A3946" t="str">
        <f t="shared" si="1298"/>
        <v>United States</v>
      </c>
      <c r="B3946" t="str">
        <f t="shared" si="1302"/>
        <v>Phoenix</v>
      </c>
      <c r="C3946" t="str">
        <f t="shared" ref="C3946:C3951" si="1305">C3945</f>
        <v>Second Class</v>
      </c>
      <c r="D3946" t="str">
        <f t="shared" ref="D3946:D3947" si="1306">D3945</f>
        <v>Consumer</v>
      </c>
      <c r="E3946" t="s">
        <v>16</v>
      </c>
      <c r="F3946">
        <v>3</v>
      </c>
      <c r="G3946">
        <v>0.2</v>
      </c>
      <c r="H3946" s="2">
        <v>5.6375999999999999</v>
      </c>
      <c r="I3946" s="2">
        <v>15.552000000000003</v>
      </c>
    </row>
    <row r="3947" spans="1:9" x14ac:dyDescent="0.3">
      <c r="A3947" t="str">
        <f t="shared" si="1298"/>
        <v>United States</v>
      </c>
      <c r="B3947" t="str">
        <f t="shared" si="1302"/>
        <v>Phoenix</v>
      </c>
      <c r="C3947" t="str">
        <f t="shared" si="1305"/>
        <v>Second Class</v>
      </c>
      <c r="D3947" t="str">
        <f t="shared" si="1306"/>
        <v>Consumer</v>
      </c>
      <c r="E3947" t="s">
        <v>24</v>
      </c>
      <c r="F3947">
        <v>1</v>
      </c>
      <c r="G3947">
        <v>0.2</v>
      </c>
      <c r="H3947" s="2">
        <v>2.5893000000000006</v>
      </c>
      <c r="I3947" s="2">
        <v>29.592000000000002</v>
      </c>
    </row>
    <row r="3948" spans="1:9" x14ac:dyDescent="0.3">
      <c r="A3948" t="str">
        <f t="shared" si="1298"/>
        <v>United States</v>
      </c>
      <c r="B3948" t="str">
        <f t="shared" si="1302"/>
        <v>Phoenix</v>
      </c>
      <c r="C3948" t="str">
        <f t="shared" si="1305"/>
        <v>Second Class</v>
      </c>
      <c r="D3948" t="s">
        <v>15</v>
      </c>
      <c r="E3948" t="s">
        <v>23</v>
      </c>
      <c r="F3948">
        <v>2</v>
      </c>
      <c r="G3948">
        <v>0.2</v>
      </c>
      <c r="H3948" s="2">
        <v>-1.4590000000000014</v>
      </c>
      <c r="I3948" s="2">
        <v>23.344000000000001</v>
      </c>
    </row>
    <row r="3949" spans="1:9" x14ac:dyDescent="0.3">
      <c r="A3949" t="str">
        <f t="shared" si="1298"/>
        <v>United States</v>
      </c>
      <c r="B3949" t="str">
        <f t="shared" si="1302"/>
        <v>Phoenix</v>
      </c>
      <c r="C3949" t="str">
        <f t="shared" si="1305"/>
        <v>Second Class</v>
      </c>
      <c r="D3949" t="str">
        <f t="shared" ref="D3949:D3950" si="1307">D3948</f>
        <v>Corporate</v>
      </c>
      <c r="E3949" t="s">
        <v>12</v>
      </c>
      <c r="F3949">
        <v>6</v>
      </c>
      <c r="G3949">
        <v>0.2</v>
      </c>
      <c r="H3949" s="2">
        <v>28.492799999999988</v>
      </c>
      <c r="I3949" s="2">
        <v>325.63200000000006</v>
      </c>
    </row>
    <row r="3950" spans="1:9" x14ac:dyDescent="0.3">
      <c r="A3950" t="str">
        <f t="shared" si="1298"/>
        <v>United States</v>
      </c>
      <c r="B3950" t="str">
        <f t="shared" si="1302"/>
        <v>Phoenix</v>
      </c>
      <c r="C3950" t="str">
        <f t="shared" si="1305"/>
        <v>Second Class</v>
      </c>
      <c r="D3950" t="str">
        <f t="shared" si="1307"/>
        <v>Corporate</v>
      </c>
      <c r="E3950" t="s">
        <v>43</v>
      </c>
      <c r="F3950">
        <v>5</v>
      </c>
      <c r="G3950">
        <v>0.2</v>
      </c>
      <c r="H3950" s="2">
        <v>5.368999999999998</v>
      </c>
      <c r="I3950" s="2">
        <v>16.520000000000003</v>
      </c>
    </row>
    <row r="3951" spans="1:9" x14ac:dyDescent="0.3">
      <c r="A3951" t="str">
        <f t="shared" si="1298"/>
        <v>United States</v>
      </c>
      <c r="B3951" t="str">
        <f t="shared" si="1302"/>
        <v>Phoenix</v>
      </c>
      <c r="C3951" t="str">
        <f t="shared" si="1305"/>
        <v>Second Class</v>
      </c>
      <c r="D3951" t="s">
        <v>17</v>
      </c>
      <c r="E3951" t="s">
        <v>33</v>
      </c>
      <c r="F3951">
        <v>7</v>
      </c>
      <c r="G3951">
        <v>0.2</v>
      </c>
      <c r="H3951" s="2">
        <v>16.797200000000004</v>
      </c>
      <c r="I3951" s="2">
        <v>191.96800000000002</v>
      </c>
    </row>
    <row r="3952" spans="1:9" x14ac:dyDescent="0.3">
      <c r="A3952" t="str">
        <f t="shared" si="1298"/>
        <v>United States</v>
      </c>
      <c r="B3952" t="str">
        <f t="shared" si="1302"/>
        <v>Phoenix</v>
      </c>
      <c r="C3952" t="s">
        <v>22</v>
      </c>
      <c r="D3952" t="s">
        <v>8</v>
      </c>
      <c r="E3952" t="s">
        <v>23</v>
      </c>
      <c r="F3952">
        <v>2</v>
      </c>
      <c r="G3952">
        <v>0.2</v>
      </c>
      <c r="H3952" s="2">
        <v>4.4792000000000058</v>
      </c>
      <c r="I3952" s="2">
        <v>89.584000000000003</v>
      </c>
    </row>
    <row r="3953" spans="1:9" x14ac:dyDescent="0.3">
      <c r="A3953" t="str">
        <f t="shared" si="1298"/>
        <v>United States</v>
      </c>
      <c r="B3953" t="str">
        <f t="shared" si="1302"/>
        <v>Phoenix</v>
      </c>
      <c r="C3953" t="str">
        <f t="shared" ref="C3953:C3977" si="1308">C3952</f>
        <v>Standard Class</v>
      </c>
      <c r="D3953" t="str">
        <f t="shared" ref="D3953:D3963" si="1309">D3952</f>
        <v>Consumer</v>
      </c>
      <c r="E3953" t="s">
        <v>12</v>
      </c>
      <c r="F3953">
        <v>4</v>
      </c>
      <c r="G3953">
        <v>0.2</v>
      </c>
      <c r="H3953" s="2">
        <v>13.701599999999988</v>
      </c>
      <c r="I3953" s="2">
        <v>121.79200000000002</v>
      </c>
    </row>
    <row r="3954" spans="1:9" x14ac:dyDescent="0.3">
      <c r="A3954" t="str">
        <f t="shared" si="1298"/>
        <v>United States</v>
      </c>
      <c r="B3954" t="str">
        <f t="shared" si="1302"/>
        <v>Phoenix</v>
      </c>
      <c r="C3954" t="str">
        <f t="shared" si="1308"/>
        <v>Standard Class</v>
      </c>
      <c r="D3954" t="str">
        <f t="shared" si="1309"/>
        <v>Consumer</v>
      </c>
      <c r="E3954" t="s">
        <v>19</v>
      </c>
      <c r="F3954">
        <v>1</v>
      </c>
      <c r="G3954">
        <v>0.2</v>
      </c>
      <c r="H3954" s="2">
        <v>0.25919999999999999</v>
      </c>
      <c r="I3954" s="2">
        <v>2.3039999999999998</v>
      </c>
    </row>
    <row r="3955" spans="1:9" x14ac:dyDescent="0.3">
      <c r="A3955" t="str">
        <f t="shared" si="1298"/>
        <v>United States</v>
      </c>
      <c r="B3955" t="str">
        <f t="shared" si="1302"/>
        <v>Phoenix</v>
      </c>
      <c r="C3955" t="str">
        <f t="shared" si="1308"/>
        <v>Standard Class</v>
      </c>
      <c r="D3955" t="str">
        <f t="shared" si="1309"/>
        <v>Consumer</v>
      </c>
      <c r="E3955" t="s">
        <v>20</v>
      </c>
      <c r="F3955">
        <v>28</v>
      </c>
      <c r="G3955">
        <v>4.2</v>
      </c>
      <c r="H3955" s="2">
        <v>-735.52469999999994</v>
      </c>
      <c r="I3955" s="2">
        <v>1003.5270000000003</v>
      </c>
    </row>
    <row r="3956" spans="1:9" x14ac:dyDescent="0.3">
      <c r="A3956" t="str">
        <f t="shared" si="1298"/>
        <v>United States</v>
      </c>
      <c r="B3956" t="str">
        <f t="shared" si="1302"/>
        <v>Phoenix</v>
      </c>
      <c r="C3956" t="str">
        <f t="shared" si="1308"/>
        <v>Standard Class</v>
      </c>
      <c r="D3956" t="str">
        <f t="shared" si="1309"/>
        <v>Consumer</v>
      </c>
      <c r="E3956" t="s">
        <v>33</v>
      </c>
      <c r="F3956">
        <v>5</v>
      </c>
      <c r="G3956">
        <v>0.4</v>
      </c>
      <c r="H3956" s="2">
        <v>-32.798700000000004</v>
      </c>
      <c r="I3956" s="2">
        <v>473.5440000000001</v>
      </c>
    </row>
    <row r="3957" spans="1:9" x14ac:dyDescent="0.3">
      <c r="A3957" t="str">
        <f t="shared" si="1298"/>
        <v>United States</v>
      </c>
      <c r="B3957" t="str">
        <f t="shared" si="1302"/>
        <v>Phoenix</v>
      </c>
      <c r="C3957" t="str">
        <f t="shared" si="1308"/>
        <v>Standard Class</v>
      </c>
      <c r="D3957" t="str">
        <f t="shared" si="1309"/>
        <v>Consumer</v>
      </c>
      <c r="E3957" t="s">
        <v>18</v>
      </c>
      <c r="F3957">
        <v>3</v>
      </c>
      <c r="G3957">
        <v>0.2</v>
      </c>
      <c r="H3957" s="2">
        <v>-0.94859999999999989</v>
      </c>
      <c r="I3957" s="2">
        <v>4.4640000000000004</v>
      </c>
    </row>
    <row r="3958" spans="1:9" x14ac:dyDescent="0.3">
      <c r="A3958" t="str">
        <f t="shared" si="1298"/>
        <v>United States</v>
      </c>
      <c r="B3958" t="str">
        <f t="shared" si="1302"/>
        <v>Phoenix</v>
      </c>
      <c r="C3958" t="str">
        <f t="shared" si="1308"/>
        <v>Standard Class</v>
      </c>
      <c r="D3958" t="str">
        <f t="shared" si="1309"/>
        <v>Consumer</v>
      </c>
      <c r="E3958" t="s">
        <v>21</v>
      </c>
      <c r="F3958">
        <v>2</v>
      </c>
      <c r="G3958">
        <v>0.2</v>
      </c>
      <c r="H3958" s="2">
        <v>1.7352000000000005</v>
      </c>
      <c r="I3958" s="2">
        <v>7.7120000000000006</v>
      </c>
    </row>
    <row r="3959" spans="1:9" x14ac:dyDescent="0.3">
      <c r="A3959" t="str">
        <f t="shared" si="1298"/>
        <v>United States</v>
      </c>
      <c r="B3959" t="str">
        <f t="shared" si="1302"/>
        <v>Phoenix</v>
      </c>
      <c r="C3959" t="str">
        <f t="shared" si="1308"/>
        <v>Standard Class</v>
      </c>
      <c r="D3959" t="str">
        <f t="shared" si="1309"/>
        <v>Consumer</v>
      </c>
      <c r="E3959" t="s">
        <v>43</v>
      </c>
      <c r="F3959">
        <v>2</v>
      </c>
      <c r="G3959">
        <v>0.2</v>
      </c>
      <c r="H3959" s="2">
        <v>1.764</v>
      </c>
      <c r="I3959" s="2">
        <v>5.04</v>
      </c>
    </row>
    <row r="3960" spans="1:9" x14ac:dyDescent="0.3">
      <c r="A3960" t="str">
        <f t="shared" si="1298"/>
        <v>United States</v>
      </c>
      <c r="B3960" t="str">
        <f t="shared" si="1302"/>
        <v>Phoenix</v>
      </c>
      <c r="C3960" t="str">
        <f t="shared" si="1308"/>
        <v>Standard Class</v>
      </c>
      <c r="D3960" t="str">
        <f t="shared" si="1309"/>
        <v>Consumer</v>
      </c>
      <c r="E3960" t="s">
        <v>16</v>
      </c>
      <c r="F3960">
        <v>17</v>
      </c>
      <c r="G3960">
        <v>0.60000000000000009</v>
      </c>
      <c r="H3960" s="2">
        <v>148.05799999999996</v>
      </c>
      <c r="I3960" s="2">
        <v>435.35199999999998</v>
      </c>
    </row>
    <row r="3961" spans="1:9" x14ac:dyDescent="0.3">
      <c r="A3961" t="str">
        <f t="shared" si="1298"/>
        <v>United States</v>
      </c>
      <c r="B3961" t="str">
        <f t="shared" si="1302"/>
        <v>Phoenix</v>
      </c>
      <c r="C3961" t="str">
        <f t="shared" si="1308"/>
        <v>Standard Class</v>
      </c>
      <c r="D3961" t="str">
        <f t="shared" si="1309"/>
        <v>Consumer</v>
      </c>
      <c r="E3961" t="s">
        <v>24</v>
      </c>
      <c r="F3961">
        <v>10</v>
      </c>
      <c r="G3961">
        <v>0.8</v>
      </c>
      <c r="H3961" s="2">
        <v>255.68839999999977</v>
      </c>
      <c r="I3961" s="2">
        <v>2519.8559999999998</v>
      </c>
    </row>
    <row r="3962" spans="1:9" x14ac:dyDescent="0.3">
      <c r="A3962" t="str">
        <f t="shared" si="1298"/>
        <v>United States</v>
      </c>
      <c r="B3962" t="str">
        <f t="shared" si="1302"/>
        <v>Phoenix</v>
      </c>
      <c r="C3962" t="str">
        <f t="shared" si="1308"/>
        <v>Standard Class</v>
      </c>
      <c r="D3962" t="str">
        <f t="shared" si="1309"/>
        <v>Consumer</v>
      </c>
      <c r="E3962" t="s">
        <v>14</v>
      </c>
      <c r="F3962">
        <v>18</v>
      </c>
      <c r="G3962">
        <v>0.8</v>
      </c>
      <c r="H3962" s="2">
        <v>38.245999999999981</v>
      </c>
      <c r="I3962" s="2">
        <v>352.34400000000005</v>
      </c>
    </row>
    <row r="3963" spans="1:9" x14ac:dyDescent="0.3">
      <c r="A3963" t="str">
        <f t="shared" si="1298"/>
        <v>United States</v>
      </c>
      <c r="B3963" t="str">
        <f t="shared" si="1302"/>
        <v>Phoenix</v>
      </c>
      <c r="C3963" t="str">
        <f t="shared" si="1308"/>
        <v>Standard Class</v>
      </c>
      <c r="D3963" t="str">
        <f t="shared" si="1309"/>
        <v>Consumer</v>
      </c>
      <c r="E3963" t="s">
        <v>25</v>
      </c>
      <c r="F3963">
        <v>8</v>
      </c>
      <c r="G3963">
        <v>1</v>
      </c>
      <c r="H3963" s="2">
        <v>-653.34180000000003</v>
      </c>
      <c r="I3963" s="2">
        <v>1194.7649999999999</v>
      </c>
    </row>
    <row r="3964" spans="1:9" x14ac:dyDescent="0.3">
      <c r="A3964" t="str">
        <f t="shared" si="1298"/>
        <v>United States</v>
      </c>
      <c r="B3964" t="str">
        <f t="shared" si="1302"/>
        <v>Phoenix</v>
      </c>
      <c r="C3964" t="str">
        <f t="shared" si="1308"/>
        <v>Standard Class</v>
      </c>
      <c r="D3964" t="s">
        <v>15</v>
      </c>
      <c r="E3964" t="s">
        <v>23</v>
      </c>
      <c r="F3964">
        <v>9</v>
      </c>
      <c r="G3964">
        <v>0.60000000000000009</v>
      </c>
      <c r="H3964" s="2">
        <v>67.917599999999979</v>
      </c>
      <c r="I3964" s="2">
        <v>417.88800000000003</v>
      </c>
    </row>
    <row r="3965" spans="1:9" x14ac:dyDescent="0.3">
      <c r="A3965" t="str">
        <f t="shared" si="1298"/>
        <v>United States</v>
      </c>
      <c r="B3965" t="str">
        <f t="shared" si="1302"/>
        <v>Phoenix</v>
      </c>
      <c r="C3965" t="str">
        <f t="shared" si="1308"/>
        <v>Standard Class</v>
      </c>
      <c r="D3965" t="str">
        <f t="shared" ref="D3965:D3971" si="1310">D3964</f>
        <v>Corporate</v>
      </c>
      <c r="E3965" t="s">
        <v>20</v>
      </c>
      <c r="F3965">
        <v>10</v>
      </c>
      <c r="G3965">
        <v>2.0999999999999996</v>
      </c>
      <c r="H3965" s="2">
        <v>-474.1292000000002</v>
      </c>
      <c r="I3965" s="2">
        <v>570.20400000000018</v>
      </c>
    </row>
    <row r="3966" spans="1:9" x14ac:dyDescent="0.3">
      <c r="A3966" t="str">
        <f t="shared" si="1298"/>
        <v>United States</v>
      </c>
      <c r="B3966" t="str">
        <f t="shared" si="1302"/>
        <v>Phoenix</v>
      </c>
      <c r="C3966" t="str">
        <f t="shared" si="1308"/>
        <v>Standard Class</v>
      </c>
      <c r="D3966" t="str">
        <f t="shared" si="1310"/>
        <v>Corporate</v>
      </c>
      <c r="E3966" t="s">
        <v>33</v>
      </c>
      <c r="F3966">
        <v>2</v>
      </c>
      <c r="G3966">
        <v>0.2</v>
      </c>
      <c r="H3966" s="2">
        <v>4.1971999999999987</v>
      </c>
      <c r="I3966" s="2">
        <v>47.968000000000004</v>
      </c>
    </row>
    <row r="3967" spans="1:9" x14ac:dyDescent="0.3">
      <c r="A3967" t="str">
        <f t="shared" si="1298"/>
        <v>United States</v>
      </c>
      <c r="B3967" t="str">
        <f t="shared" si="1302"/>
        <v>Phoenix</v>
      </c>
      <c r="C3967" t="str">
        <f t="shared" si="1308"/>
        <v>Standard Class</v>
      </c>
      <c r="D3967" t="str">
        <f t="shared" si="1310"/>
        <v>Corporate</v>
      </c>
      <c r="E3967" t="s">
        <v>21</v>
      </c>
      <c r="F3967">
        <v>3</v>
      </c>
      <c r="G3967">
        <v>0.2</v>
      </c>
      <c r="H3967" s="2">
        <v>7.6965000000000039</v>
      </c>
      <c r="I3967" s="2">
        <v>87.960000000000008</v>
      </c>
    </row>
    <row r="3968" spans="1:9" x14ac:dyDescent="0.3">
      <c r="A3968" t="str">
        <f t="shared" si="1298"/>
        <v>United States</v>
      </c>
      <c r="B3968" t="str">
        <f t="shared" si="1302"/>
        <v>Phoenix</v>
      </c>
      <c r="C3968" t="str">
        <f t="shared" si="1308"/>
        <v>Standard Class</v>
      </c>
      <c r="D3968" t="str">
        <f t="shared" si="1310"/>
        <v>Corporate</v>
      </c>
      <c r="E3968" t="s">
        <v>46</v>
      </c>
      <c r="F3968">
        <v>2</v>
      </c>
      <c r="G3968">
        <v>0.7</v>
      </c>
      <c r="H3968" s="2">
        <v>-386.95699999999999</v>
      </c>
      <c r="I3968" s="2">
        <v>269.97000000000003</v>
      </c>
    </row>
    <row r="3969" spans="1:9" x14ac:dyDescent="0.3">
      <c r="A3969" t="str">
        <f t="shared" si="1298"/>
        <v>United States</v>
      </c>
      <c r="B3969" t="str">
        <f t="shared" si="1302"/>
        <v>Phoenix</v>
      </c>
      <c r="C3969" t="str">
        <f t="shared" si="1308"/>
        <v>Standard Class</v>
      </c>
      <c r="D3969" t="str">
        <f t="shared" si="1310"/>
        <v>Corporate</v>
      </c>
      <c r="E3969" t="s">
        <v>16</v>
      </c>
      <c r="F3969">
        <v>8</v>
      </c>
      <c r="G3969">
        <v>0.4</v>
      </c>
      <c r="H3969" s="2">
        <v>152.23319999999998</v>
      </c>
      <c r="I3969" s="2">
        <v>434.952</v>
      </c>
    </row>
    <row r="3970" spans="1:9" x14ac:dyDescent="0.3">
      <c r="A3970" t="str">
        <f t="shared" si="1298"/>
        <v>United States</v>
      </c>
      <c r="B3970" t="str">
        <f t="shared" si="1302"/>
        <v>Phoenix</v>
      </c>
      <c r="C3970" t="str">
        <f t="shared" si="1308"/>
        <v>Standard Class</v>
      </c>
      <c r="D3970" t="str">
        <f t="shared" si="1310"/>
        <v>Corporate</v>
      </c>
      <c r="E3970" t="s">
        <v>24</v>
      </c>
      <c r="F3970">
        <v>5</v>
      </c>
      <c r="G3970">
        <v>0.2</v>
      </c>
      <c r="H3970" s="2">
        <v>19.596000000000018</v>
      </c>
      <c r="I3970" s="2">
        <v>195.96000000000004</v>
      </c>
    </row>
    <row r="3971" spans="1:9" x14ac:dyDescent="0.3">
      <c r="A3971" t="str">
        <f t="shared" si="1298"/>
        <v>United States</v>
      </c>
      <c r="B3971" t="str">
        <f t="shared" si="1302"/>
        <v>Phoenix</v>
      </c>
      <c r="C3971" t="str">
        <f t="shared" si="1308"/>
        <v>Standard Class</v>
      </c>
      <c r="D3971" t="str">
        <f t="shared" si="1310"/>
        <v>Corporate</v>
      </c>
      <c r="E3971" t="s">
        <v>25</v>
      </c>
      <c r="F3971">
        <v>1</v>
      </c>
      <c r="G3971">
        <v>0.5</v>
      </c>
      <c r="H3971" s="2">
        <v>-24.102599999999995</v>
      </c>
      <c r="I3971" s="2">
        <v>35.445</v>
      </c>
    </row>
    <row r="3972" spans="1:9" x14ac:dyDescent="0.3">
      <c r="A3972" t="str">
        <f t="shared" ref="A3972:A4035" si="1311">A3971</f>
        <v>United States</v>
      </c>
      <c r="B3972" t="str">
        <f t="shared" si="1302"/>
        <v>Phoenix</v>
      </c>
      <c r="C3972" t="str">
        <f t="shared" si="1308"/>
        <v>Standard Class</v>
      </c>
      <c r="D3972" t="s">
        <v>17</v>
      </c>
      <c r="E3972" t="s">
        <v>12</v>
      </c>
      <c r="F3972">
        <v>2</v>
      </c>
      <c r="G3972">
        <v>0.2</v>
      </c>
      <c r="H3972" s="2">
        <v>5.8704000000000001</v>
      </c>
      <c r="I3972" s="2">
        <v>78.272000000000006</v>
      </c>
    </row>
    <row r="3973" spans="1:9" x14ac:dyDescent="0.3">
      <c r="A3973" t="str">
        <f t="shared" si="1311"/>
        <v>United States</v>
      </c>
      <c r="B3973" t="str">
        <f t="shared" si="1302"/>
        <v>Phoenix</v>
      </c>
      <c r="C3973" t="str">
        <f t="shared" si="1308"/>
        <v>Standard Class</v>
      </c>
      <c r="D3973" t="str">
        <f t="shared" ref="D3973:D3977" si="1312">D3972</f>
        <v>Home Office</v>
      </c>
      <c r="E3973" t="s">
        <v>19</v>
      </c>
      <c r="F3973">
        <v>1</v>
      </c>
      <c r="G3973">
        <v>0.2</v>
      </c>
      <c r="H3973" s="2">
        <v>0.15839999999999993</v>
      </c>
      <c r="I3973" s="2">
        <v>1.4080000000000001</v>
      </c>
    </row>
    <row r="3974" spans="1:9" x14ac:dyDescent="0.3">
      <c r="A3974" t="str">
        <f t="shared" si="1311"/>
        <v>United States</v>
      </c>
      <c r="B3974" t="str">
        <f t="shared" si="1302"/>
        <v>Phoenix</v>
      </c>
      <c r="C3974" t="str">
        <f t="shared" si="1308"/>
        <v>Standard Class</v>
      </c>
      <c r="D3974" t="str">
        <f t="shared" si="1312"/>
        <v>Home Office</v>
      </c>
      <c r="E3974" t="s">
        <v>20</v>
      </c>
      <c r="F3974">
        <v>5</v>
      </c>
      <c r="G3974">
        <v>0.7</v>
      </c>
      <c r="H3974" s="2">
        <v>-20.888999999999989</v>
      </c>
      <c r="I3974" s="2">
        <v>28.484999999999999</v>
      </c>
    </row>
    <row r="3975" spans="1:9" x14ac:dyDescent="0.3">
      <c r="A3975" t="str">
        <f t="shared" si="1311"/>
        <v>United States</v>
      </c>
      <c r="B3975" t="str">
        <f t="shared" si="1302"/>
        <v>Phoenix</v>
      </c>
      <c r="C3975" t="str">
        <f t="shared" si="1308"/>
        <v>Standard Class</v>
      </c>
      <c r="D3975" t="str">
        <f t="shared" si="1312"/>
        <v>Home Office</v>
      </c>
      <c r="E3975" t="s">
        <v>21</v>
      </c>
      <c r="F3975">
        <v>14</v>
      </c>
      <c r="G3975">
        <v>0.60000000000000009</v>
      </c>
      <c r="H3975" s="2">
        <v>10.583399999999997</v>
      </c>
      <c r="I3975" s="2">
        <v>240</v>
      </c>
    </row>
    <row r="3976" spans="1:9" x14ac:dyDescent="0.3">
      <c r="A3976" t="str">
        <f t="shared" si="1311"/>
        <v>United States</v>
      </c>
      <c r="B3976" t="str">
        <f t="shared" si="1302"/>
        <v>Phoenix</v>
      </c>
      <c r="C3976" t="str">
        <f t="shared" si="1308"/>
        <v>Standard Class</v>
      </c>
      <c r="D3976" t="str">
        <f t="shared" si="1312"/>
        <v>Home Office</v>
      </c>
      <c r="E3976" t="s">
        <v>9</v>
      </c>
      <c r="F3976">
        <v>2</v>
      </c>
      <c r="G3976">
        <v>0.2</v>
      </c>
      <c r="H3976" s="2">
        <v>-34.758000000000017</v>
      </c>
      <c r="I3976" s="2">
        <v>185.376</v>
      </c>
    </row>
    <row r="3977" spans="1:9" x14ac:dyDescent="0.3">
      <c r="A3977" t="str">
        <f t="shared" si="1311"/>
        <v>United States</v>
      </c>
      <c r="B3977" t="str">
        <f t="shared" si="1302"/>
        <v>Phoenix</v>
      </c>
      <c r="C3977" t="str">
        <f t="shared" si="1308"/>
        <v>Standard Class</v>
      </c>
      <c r="D3977" t="str">
        <f t="shared" si="1312"/>
        <v>Home Office</v>
      </c>
      <c r="E3977" t="s">
        <v>25</v>
      </c>
      <c r="F3977">
        <v>6</v>
      </c>
      <c r="G3977">
        <v>0.5</v>
      </c>
      <c r="H3977" s="2">
        <v>-814.4831999999999</v>
      </c>
      <c r="I3977" s="2">
        <v>1272.6299999999999</v>
      </c>
    </row>
    <row r="3978" spans="1:9" x14ac:dyDescent="0.3">
      <c r="A3978" t="str">
        <f t="shared" si="1311"/>
        <v>United States</v>
      </c>
      <c r="B3978" t="s">
        <v>406</v>
      </c>
      <c r="C3978" t="s">
        <v>11</v>
      </c>
      <c r="D3978" t="s">
        <v>17</v>
      </c>
      <c r="E3978" t="s">
        <v>21</v>
      </c>
      <c r="F3978">
        <v>5</v>
      </c>
      <c r="G3978">
        <v>0</v>
      </c>
      <c r="H3978" s="2">
        <v>62.736999999999995</v>
      </c>
      <c r="I3978" s="2">
        <v>145.9</v>
      </c>
    </row>
    <row r="3979" spans="1:9" x14ac:dyDescent="0.3">
      <c r="A3979" t="str">
        <f t="shared" si="1311"/>
        <v>United States</v>
      </c>
      <c r="B3979" t="s">
        <v>407</v>
      </c>
      <c r="C3979" t="s">
        <v>7</v>
      </c>
      <c r="D3979" t="s">
        <v>8</v>
      </c>
      <c r="E3979" t="s">
        <v>23</v>
      </c>
      <c r="F3979">
        <v>5</v>
      </c>
      <c r="G3979">
        <v>0</v>
      </c>
      <c r="H3979" s="2">
        <v>63.983999999999988</v>
      </c>
      <c r="I3979" s="2">
        <v>199.95000000000002</v>
      </c>
    </row>
    <row r="3980" spans="1:9" x14ac:dyDescent="0.3">
      <c r="A3980" t="str">
        <f t="shared" si="1311"/>
        <v>United States</v>
      </c>
      <c r="B3980" t="str">
        <f>B3979</f>
        <v>Pine Bluff</v>
      </c>
      <c r="C3980" t="str">
        <f>C3979</f>
        <v>Second Class</v>
      </c>
      <c r="D3980" t="str">
        <f>D3979</f>
        <v>Consumer</v>
      </c>
      <c r="E3980" t="s">
        <v>16</v>
      </c>
      <c r="F3980">
        <v>2</v>
      </c>
      <c r="G3980">
        <v>0</v>
      </c>
      <c r="H3980" s="2">
        <v>6.2208000000000006</v>
      </c>
      <c r="I3980" s="2">
        <v>12.96</v>
      </c>
    </row>
    <row r="3981" spans="1:9" x14ac:dyDescent="0.3">
      <c r="A3981" t="str">
        <f t="shared" si="1311"/>
        <v>United States</v>
      </c>
      <c r="B3981" t="s">
        <v>408</v>
      </c>
      <c r="C3981" t="s">
        <v>11</v>
      </c>
      <c r="D3981" t="s">
        <v>15</v>
      </c>
      <c r="E3981" t="s">
        <v>19</v>
      </c>
      <c r="F3981">
        <v>3</v>
      </c>
      <c r="G3981">
        <v>0</v>
      </c>
      <c r="H3981" s="2">
        <v>2.3025000000000002</v>
      </c>
      <c r="I3981" s="2">
        <v>9.2099999999999991</v>
      </c>
    </row>
    <row r="3982" spans="1:9" x14ac:dyDescent="0.3">
      <c r="A3982" t="str">
        <f t="shared" si="1311"/>
        <v>United States</v>
      </c>
      <c r="B3982" t="str">
        <f t="shared" ref="B3982:B3991" si="1313">B3981</f>
        <v>Plainfield</v>
      </c>
      <c r="C3982" t="str">
        <f>C3981</f>
        <v>First Class</v>
      </c>
      <c r="D3982" t="str">
        <f>D3981</f>
        <v>Corporate</v>
      </c>
      <c r="E3982" t="s">
        <v>16</v>
      </c>
      <c r="F3982">
        <v>5</v>
      </c>
      <c r="G3982">
        <v>0</v>
      </c>
      <c r="H3982" s="2">
        <v>8.2799999999999994</v>
      </c>
      <c r="I3982" s="2">
        <v>18</v>
      </c>
    </row>
    <row r="3983" spans="1:9" x14ac:dyDescent="0.3">
      <c r="A3983" t="str">
        <f t="shared" si="1311"/>
        <v>United States</v>
      </c>
      <c r="B3983" t="str">
        <f t="shared" si="1313"/>
        <v>Plainfield</v>
      </c>
      <c r="C3983" t="s">
        <v>22</v>
      </c>
      <c r="D3983" t="s">
        <v>8</v>
      </c>
      <c r="E3983" t="s">
        <v>12</v>
      </c>
      <c r="F3983">
        <v>9</v>
      </c>
      <c r="G3983">
        <v>0</v>
      </c>
      <c r="H3983" s="2">
        <v>32.035899999999998</v>
      </c>
      <c r="I3983" s="2">
        <v>120.59</v>
      </c>
    </row>
    <row r="3984" spans="1:9" x14ac:dyDescent="0.3">
      <c r="A3984" t="str">
        <f t="shared" si="1311"/>
        <v>United States</v>
      </c>
      <c r="B3984" t="str">
        <f t="shared" si="1313"/>
        <v>Plainfield</v>
      </c>
      <c r="C3984" t="str">
        <f t="shared" ref="C3984:C3991" si="1314">C3983</f>
        <v>Standard Class</v>
      </c>
      <c r="D3984" t="str">
        <f t="shared" ref="D3984:D3986" si="1315">D3983</f>
        <v>Consumer</v>
      </c>
      <c r="E3984" t="s">
        <v>19</v>
      </c>
      <c r="F3984">
        <v>1</v>
      </c>
      <c r="G3984">
        <v>0</v>
      </c>
      <c r="H3984" s="2">
        <v>2.1762000000000001</v>
      </c>
      <c r="I3984" s="2">
        <v>5.58</v>
      </c>
    </row>
    <row r="3985" spans="1:9" x14ac:dyDescent="0.3">
      <c r="A3985" t="str">
        <f t="shared" si="1311"/>
        <v>United States</v>
      </c>
      <c r="B3985" t="str">
        <f t="shared" si="1313"/>
        <v>Plainfield</v>
      </c>
      <c r="C3985" t="str">
        <f t="shared" si="1314"/>
        <v>Standard Class</v>
      </c>
      <c r="D3985" t="str">
        <f t="shared" si="1315"/>
        <v>Consumer</v>
      </c>
      <c r="E3985" t="s">
        <v>20</v>
      </c>
      <c r="F3985">
        <v>7</v>
      </c>
      <c r="G3985">
        <v>0</v>
      </c>
      <c r="H3985" s="2">
        <v>349.28099999999995</v>
      </c>
      <c r="I3985" s="2">
        <v>776.18000000000006</v>
      </c>
    </row>
    <row r="3986" spans="1:9" x14ac:dyDescent="0.3">
      <c r="A3986" t="str">
        <f t="shared" si="1311"/>
        <v>United States</v>
      </c>
      <c r="B3986" t="str">
        <f t="shared" si="1313"/>
        <v>Plainfield</v>
      </c>
      <c r="C3986" t="str">
        <f t="shared" si="1314"/>
        <v>Standard Class</v>
      </c>
      <c r="D3986" t="str">
        <f t="shared" si="1315"/>
        <v>Consumer</v>
      </c>
      <c r="E3986" t="s">
        <v>24</v>
      </c>
      <c r="F3986">
        <v>2</v>
      </c>
      <c r="G3986">
        <v>0</v>
      </c>
      <c r="H3986" s="2">
        <v>19.974600000000002</v>
      </c>
      <c r="I3986" s="2">
        <v>73.98</v>
      </c>
    </row>
    <row r="3987" spans="1:9" x14ac:dyDescent="0.3">
      <c r="A3987" t="str">
        <f t="shared" si="1311"/>
        <v>United States</v>
      </c>
      <c r="B3987" t="str">
        <f t="shared" si="1313"/>
        <v>Plainfield</v>
      </c>
      <c r="C3987" t="str">
        <f t="shared" si="1314"/>
        <v>Standard Class</v>
      </c>
      <c r="D3987" t="s">
        <v>15</v>
      </c>
      <c r="E3987" t="s">
        <v>46</v>
      </c>
      <c r="F3987">
        <v>8</v>
      </c>
      <c r="G3987">
        <v>0</v>
      </c>
      <c r="H3987" s="2">
        <v>118.37040000000002</v>
      </c>
      <c r="I3987" s="2">
        <v>319.92</v>
      </c>
    </row>
    <row r="3988" spans="1:9" x14ac:dyDescent="0.3">
      <c r="A3988" t="str">
        <f t="shared" si="1311"/>
        <v>United States</v>
      </c>
      <c r="B3988" t="str">
        <f t="shared" si="1313"/>
        <v>Plainfield</v>
      </c>
      <c r="C3988" t="str">
        <f t="shared" si="1314"/>
        <v>Standard Class</v>
      </c>
      <c r="D3988" t="str">
        <f>D3987</f>
        <v>Corporate</v>
      </c>
      <c r="E3988" t="s">
        <v>14</v>
      </c>
      <c r="F3988">
        <v>4</v>
      </c>
      <c r="G3988">
        <v>0</v>
      </c>
      <c r="H3988" s="2">
        <v>67.608000000000004</v>
      </c>
      <c r="I3988" s="2">
        <v>563.4</v>
      </c>
    </row>
    <row r="3989" spans="1:9" x14ac:dyDescent="0.3">
      <c r="A3989" t="str">
        <f t="shared" si="1311"/>
        <v>United States</v>
      </c>
      <c r="B3989" t="str">
        <f t="shared" si="1313"/>
        <v>Plainfield</v>
      </c>
      <c r="C3989" t="str">
        <f t="shared" si="1314"/>
        <v>Standard Class</v>
      </c>
      <c r="D3989" t="s">
        <v>17</v>
      </c>
      <c r="E3989" t="s">
        <v>12</v>
      </c>
      <c r="F3989">
        <v>5</v>
      </c>
      <c r="G3989">
        <v>0</v>
      </c>
      <c r="H3989" s="2">
        <v>10.487500000000001</v>
      </c>
      <c r="I3989" s="2">
        <v>41.95</v>
      </c>
    </row>
    <row r="3990" spans="1:9" x14ac:dyDescent="0.3">
      <c r="A3990" t="str">
        <f t="shared" si="1311"/>
        <v>United States</v>
      </c>
      <c r="B3990" t="str">
        <f t="shared" si="1313"/>
        <v>Plainfield</v>
      </c>
      <c r="C3990" t="str">
        <f t="shared" si="1314"/>
        <v>Standard Class</v>
      </c>
      <c r="D3990" t="str">
        <f t="shared" ref="D3990:D3991" si="1316">D3989</f>
        <v>Home Office</v>
      </c>
      <c r="E3990" t="s">
        <v>16</v>
      </c>
      <c r="F3990">
        <v>1</v>
      </c>
      <c r="G3990">
        <v>0</v>
      </c>
      <c r="H3990" s="2">
        <v>3.1752000000000002</v>
      </c>
      <c r="I3990" s="2">
        <v>6.48</v>
      </c>
    </row>
    <row r="3991" spans="1:9" x14ac:dyDescent="0.3">
      <c r="A3991" t="str">
        <f t="shared" si="1311"/>
        <v>United States</v>
      </c>
      <c r="B3991" t="str">
        <f t="shared" si="1313"/>
        <v>Plainfield</v>
      </c>
      <c r="C3991" t="str">
        <f t="shared" si="1314"/>
        <v>Standard Class</v>
      </c>
      <c r="D3991" t="str">
        <f t="shared" si="1316"/>
        <v>Home Office</v>
      </c>
      <c r="E3991" t="s">
        <v>14</v>
      </c>
      <c r="F3991">
        <v>4</v>
      </c>
      <c r="G3991">
        <v>0</v>
      </c>
      <c r="H3991" s="2">
        <v>621.97440000000006</v>
      </c>
      <c r="I3991" s="2">
        <v>2591.56</v>
      </c>
    </row>
    <row r="3992" spans="1:9" x14ac:dyDescent="0.3">
      <c r="A3992" t="str">
        <f t="shared" si="1311"/>
        <v>United States</v>
      </c>
      <c r="B3992" t="s">
        <v>409</v>
      </c>
      <c r="C3992" t="s">
        <v>11</v>
      </c>
      <c r="D3992" t="s">
        <v>8</v>
      </c>
      <c r="E3992" t="s">
        <v>16</v>
      </c>
      <c r="F3992">
        <v>2</v>
      </c>
      <c r="G3992">
        <v>0.2</v>
      </c>
      <c r="H3992" s="2">
        <v>3.6288</v>
      </c>
      <c r="I3992" s="2">
        <v>10.368000000000002</v>
      </c>
    </row>
    <row r="3993" spans="1:9" x14ac:dyDescent="0.3">
      <c r="A3993" t="str">
        <f t="shared" si="1311"/>
        <v>United States</v>
      </c>
      <c r="B3993" t="str">
        <f t="shared" ref="B3993:B4002" si="1317">B3992</f>
        <v>Plano</v>
      </c>
      <c r="C3993" t="s">
        <v>7</v>
      </c>
      <c r="D3993" t="s">
        <v>17</v>
      </c>
      <c r="E3993" t="s">
        <v>23</v>
      </c>
      <c r="F3993">
        <v>2</v>
      </c>
      <c r="G3993">
        <v>0.2</v>
      </c>
      <c r="H3993" s="2">
        <v>3.5742000000000012</v>
      </c>
      <c r="I3993" s="2">
        <v>13.616</v>
      </c>
    </row>
    <row r="3994" spans="1:9" x14ac:dyDescent="0.3">
      <c r="A3994" t="str">
        <f t="shared" si="1311"/>
        <v>United States</v>
      </c>
      <c r="B3994" t="str">
        <f t="shared" si="1317"/>
        <v>Plano</v>
      </c>
      <c r="C3994" t="s">
        <v>22</v>
      </c>
      <c r="D3994" t="s">
        <v>8</v>
      </c>
      <c r="E3994" t="s">
        <v>20</v>
      </c>
      <c r="F3994">
        <v>4</v>
      </c>
      <c r="G3994">
        <v>0.8</v>
      </c>
      <c r="H3994" s="2">
        <v>-5.088000000000001</v>
      </c>
      <c r="I3994" s="2">
        <v>3.3919999999999995</v>
      </c>
    </row>
    <row r="3995" spans="1:9" x14ac:dyDescent="0.3">
      <c r="A3995" t="str">
        <f t="shared" si="1311"/>
        <v>United States</v>
      </c>
      <c r="B3995" t="str">
        <f t="shared" si="1317"/>
        <v>Plano</v>
      </c>
      <c r="C3995" t="str">
        <f t="shared" ref="C3995:C4002" si="1318">C3994</f>
        <v>Standard Class</v>
      </c>
      <c r="D3995" t="str">
        <f t="shared" ref="D3995:D4001" si="1319">D3994</f>
        <v>Consumer</v>
      </c>
      <c r="E3995" t="s">
        <v>34</v>
      </c>
      <c r="F3995">
        <v>4</v>
      </c>
      <c r="G3995">
        <v>0.32</v>
      </c>
      <c r="H3995" s="2">
        <v>-19.874399999999994</v>
      </c>
      <c r="I3995" s="2">
        <v>193.06559999999999</v>
      </c>
    </row>
    <row r="3996" spans="1:9" x14ac:dyDescent="0.3">
      <c r="A3996" t="str">
        <f t="shared" si="1311"/>
        <v>United States</v>
      </c>
      <c r="B3996" t="str">
        <f t="shared" si="1317"/>
        <v>Plano</v>
      </c>
      <c r="C3996" t="str">
        <f t="shared" si="1318"/>
        <v>Standard Class</v>
      </c>
      <c r="D3996" t="str">
        <f t="shared" si="1319"/>
        <v>Consumer</v>
      </c>
      <c r="E3996" t="s">
        <v>43</v>
      </c>
      <c r="F3996">
        <v>4</v>
      </c>
      <c r="G3996">
        <v>0.2</v>
      </c>
      <c r="H3996" s="2">
        <v>4.2951999999999995</v>
      </c>
      <c r="I3996" s="2">
        <v>13.216000000000001</v>
      </c>
    </row>
    <row r="3997" spans="1:9" x14ac:dyDescent="0.3">
      <c r="A3997" t="str">
        <f t="shared" si="1311"/>
        <v>United States</v>
      </c>
      <c r="B3997" t="str">
        <f t="shared" si="1317"/>
        <v>Plano</v>
      </c>
      <c r="C3997" t="str">
        <f t="shared" si="1318"/>
        <v>Standard Class</v>
      </c>
      <c r="D3997" t="str">
        <f t="shared" si="1319"/>
        <v>Consumer</v>
      </c>
      <c r="E3997" t="s">
        <v>46</v>
      </c>
      <c r="F3997">
        <v>2</v>
      </c>
      <c r="G3997">
        <v>0.4</v>
      </c>
      <c r="H3997" s="2">
        <v>-97.71999999999997</v>
      </c>
      <c r="I3997" s="2">
        <v>418.8</v>
      </c>
    </row>
    <row r="3998" spans="1:9" x14ac:dyDescent="0.3">
      <c r="A3998" t="str">
        <f t="shared" si="1311"/>
        <v>United States</v>
      </c>
      <c r="B3998" t="str">
        <f t="shared" si="1317"/>
        <v>Plano</v>
      </c>
      <c r="C3998" t="str">
        <f t="shared" si="1318"/>
        <v>Standard Class</v>
      </c>
      <c r="D3998" t="str">
        <f t="shared" si="1319"/>
        <v>Consumer</v>
      </c>
      <c r="E3998" t="s">
        <v>16</v>
      </c>
      <c r="F3998">
        <v>5</v>
      </c>
      <c r="G3998">
        <v>0.4</v>
      </c>
      <c r="H3998" s="2">
        <v>9.52</v>
      </c>
      <c r="I3998" s="2">
        <v>27.200000000000003</v>
      </c>
    </row>
    <row r="3999" spans="1:9" x14ac:dyDescent="0.3">
      <c r="A3999" t="str">
        <f t="shared" si="1311"/>
        <v>United States</v>
      </c>
      <c r="B3999" t="str">
        <f t="shared" si="1317"/>
        <v>Plano</v>
      </c>
      <c r="C3999" t="str">
        <f t="shared" si="1318"/>
        <v>Standard Class</v>
      </c>
      <c r="D3999" t="str">
        <f t="shared" si="1319"/>
        <v>Consumer</v>
      </c>
      <c r="E3999" t="s">
        <v>24</v>
      </c>
      <c r="F3999">
        <v>7</v>
      </c>
      <c r="G3999">
        <v>0.60000000000000009</v>
      </c>
      <c r="H3999" s="2">
        <v>92.74560000000001</v>
      </c>
      <c r="I3999" s="2">
        <v>465.54400000000004</v>
      </c>
    </row>
    <row r="4000" spans="1:9" x14ac:dyDescent="0.3">
      <c r="A4000" t="str">
        <f t="shared" si="1311"/>
        <v>United States</v>
      </c>
      <c r="B4000" t="str">
        <f t="shared" si="1317"/>
        <v>Plano</v>
      </c>
      <c r="C4000" t="str">
        <f t="shared" si="1318"/>
        <v>Standard Class</v>
      </c>
      <c r="D4000" t="str">
        <f t="shared" si="1319"/>
        <v>Consumer</v>
      </c>
      <c r="E4000" t="s">
        <v>14</v>
      </c>
      <c r="F4000">
        <v>7</v>
      </c>
      <c r="G4000">
        <v>0.2</v>
      </c>
      <c r="H4000" s="2">
        <v>-127.37200000000001</v>
      </c>
      <c r="I4000" s="2">
        <v>509.48800000000006</v>
      </c>
    </row>
    <row r="4001" spans="1:9" x14ac:dyDescent="0.3">
      <c r="A4001" t="str">
        <f t="shared" si="1311"/>
        <v>United States</v>
      </c>
      <c r="B4001" t="str">
        <f t="shared" si="1317"/>
        <v>Plano</v>
      </c>
      <c r="C4001" t="str">
        <f t="shared" si="1318"/>
        <v>Standard Class</v>
      </c>
      <c r="D4001" t="str">
        <f t="shared" si="1319"/>
        <v>Consumer</v>
      </c>
      <c r="E4001" t="s">
        <v>25</v>
      </c>
      <c r="F4001">
        <v>7</v>
      </c>
      <c r="G4001">
        <v>0.6</v>
      </c>
      <c r="H4001" s="2">
        <v>-250.21439999999996</v>
      </c>
      <c r="I4001" s="2">
        <v>1865.8289999999997</v>
      </c>
    </row>
    <row r="4002" spans="1:9" x14ac:dyDescent="0.3">
      <c r="A4002" t="str">
        <f t="shared" si="1311"/>
        <v>United States</v>
      </c>
      <c r="B4002" t="str">
        <f t="shared" si="1317"/>
        <v>Plano</v>
      </c>
      <c r="C4002" t="str">
        <f t="shared" si="1318"/>
        <v>Standard Class</v>
      </c>
      <c r="D4002" t="s">
        <v>15</v>
      </c>
      <c r="E4002" t="s">
        <v>43</v>
      </c>
      <c r="F4002">
        <v>4</v>
      </c>
      <c r="G4002">
        <v>0.2</v>
      </c>
      <c r="H4002" s="2">
        <v>3.4495999999999993</v>
      </c>
      <c r="I4002" s="2">
        <v>9.8560000000000016</v>
      </c>
    </row>
    <row r="4003" spans="1:9" x14ac:dyDescent="0.3">
      <c r="A4003" t="str">
        <f t="shared" si="1311"/>
        <v>United States</v>
      </c>
      <c r="B4003" t="s">
        <v>410</v>
      </c>
      <c r="C4003" t="s">
        <v>27</v>
      </c>
      <c r="D4003" t="s">
        <v>8</v>
      </c>
      <c r="E4003" t="s">
        <v>23</v>
      </c>
      <c r="F4003">
        <v>7</v>
      </c>
      <c r="G4003">
        <v>0.2</v>
      </c>
      <c r="H4003" s="2">
        <v>89.588799999999992</v>
      </c>
      <c r="I4003" s="2">
        <v>447.94399999999996</v>
      </c>
    </row>
    <row r="4004" spans="1:9" x14ac:dyDescent="0.3">
      <c r="A4004" t="str">
        <f t="shared" si="1311"/>
        <v>United States</v>
      </c>
      <c r="B4004" t="str">
        <f t="shared" ref="B4004:B4010" si="1320">B4003</f>
        <v>Plantation</v>
      </c>
      <c r="C4004" t="str">
        <f>C4003</f>
        <v>Same Day</v>
      </c>
      <c r="D4004" t="str">
        <f>D4003</f>
        <v>Consumer</v>
      </c>
      <c r="E4004" t="s">
        <v>14</v>
      </c>
      <c r="F4004">
        <v>9</v>
      </c>
      <c r="G4004">
        <v>0.2</v>
      </c>
      <c r="H4004" s="2">
        <v>-33.841799999999999</v>
      </c>
      <c r="I4004" s="2">
        <v>150.40799999999999</v>
      </c>
    </row>
    <row r="4005" spans="1:9" x14ac:dyDescent="0.3">
      <c r="A4005" t="str">
        <f t="shared" si="1311"/>
        <v>United States</v>
      </c>
      <c r="B4005" t="str">
        <f t="shared" si="1320"/>
        <v>Plantation</v>
      </c>
      <c r="C4005" t="s">
        <v>22</v>
      </c>
      <c r="D4005" t="s">
        <v>15</v>
      </c>
      <c r="E4005" t="s">
        <v>19</v>
      </c>
      <c r="F4005">
        <v>5</v>
      </c>
      <c r="G4005">
        <v>0.2</v>
      </c>
      <c r="H4005" s="2">
        <v>1.3229999999999991</v>
      </c>
      <c r="I4005" s="2">
        <v>11.76</v>
      </c>
    </row>
    <row r="4006" spans="1:9" x14ac:dyDescent="0.3">
      <c r="A4006" t="str">
        <f t="shared" si="1311"/>
        <v>United States</v>
      </c>
      <c r="B4006" t="str">
        <f t="shared" si="1320"/>
        <v>Plantation</v>
      </c>
      <c r="C4006" t="str">
        <f t="shared" ref="C4006:C4010" si="1321">C4005</f>
        <v>Standard Class</v>
      </c>
      <c r="D4006" t="str">
        <f t="shared" ref="D4006:D4010" si="1322">D4005</f>
        <v>Corporate</v>
      </c>
      <c r="E4006" t="s">
        <v>20</v>
      </c>
      <c r="F4006">
        <v>5</v>
      </c>
      <c r="G4006">
        <v>1.4</v>
      </c>
      <c r="H4006" s="2">
        <v>-7.7454000000000001</v>
      </c>
      <c r="I4006" s="2">
        <v>9.9000000000000021</v>
      </c>
    </row>
    <row r="4007" spans="1:9" x14ac:dyDescent="0.3">
      <c r="A4007" t="str">
        <f t="shared" si="1311"/>
        <v>United States</v>
      </c>
      <c r="B4007" t="str">
        <f t="shared" si="1320"/>
        <v>Plantation</v>
      </c>
      <c r="C4007" t="str">
        <f t="shared" si="1321"/>
        <v>Standard Class</v>
      </c>
      <c r="D4007" t="str">
        <f t="shared" si="1322"/>
        <v>Corporate</v>
      </c>
      <c r="E4007" t="s">
        <v>33</v>
      </c>
      <c r="F4007">
        <v>8</v>
      </c>
      <c r="G4007">
        <v>0.4</v>
      </c>
      <c r="H4007" s="2">
        <v>-55.598700000000058</v>
      </c>
      <c r="I4007" s="2">
        <v>670.05600000000004</v>
      </c>
    </row>
    <row r="4008" spans="1:9" x14ac:dyDescent="0.3">
      <c r="A4008" t="str">
        <f t="shared" si="1311"/>
        <v>United States</v>
      </c>
      <c r="B4008" t="str">
        <f t="shared" si="1320"/>
        <v>Plantation</v>
      </c>
      <c r="C4008" t="str">
        <f t="shared" si="1321"/>
        <v>Standard Class</v>
      </c>
      <c r="D4008" t="str">
        <f t="shared" si="1322"/>
        <v>Corporate</v>
      </c>
      <c r="E4008" t="s">
        <v>38</v>
      </c>
      <c r="F4008">
        <v>3</v>
      </c>
      <c r="G4008">
        <v>0.2</v>
      </c>
      <c r="H4008" s="2">
        <v>2.9322000000000004</v>
      </c>
      <c r="I4008" s="2">
        <v>8.6880000000000006</v>
      </c>
    </row>
    <row r="4009" spans="1:9" x14ac:dyDescent="0.3">
      <c r="A4009" t="str">
        <f t="shared" si="1311"/>
        <v>United States</v>
      </c>
      <c r="B4009" t="str">
        <f t="shared" si="1320"/>
        <v>Plantation</v>
      </c>
      <c r="C4009" t="str">
        <f t="shared" si="1321"/>
        <v>Standard Class</v>
      </c>
      <c r="D4009" t="str">
        <f t="shared" si="1322"/>
        <v>Corporate</v>
      </c>
      <c r="E4009" t="s">
        <v>21</v>
      </c>
      <c r="F4009">
        <v>7</v>
      </c>
      <c r="G4009">
        <v>0.4</v>
      </c>
      <c r="H4009" s="2">
        <v>5.3017999999999974</v>
      </c>
      <c r="I4009" s="2">
        <v>37.288000000000004</v>
      </c>
    </row>
    <row r="4010" spans="1:9" x14ac:dyDescent="0.3">
      <c r="A4010" t="str">
        <f t="shared" si="1311"/>
        <v>United States</v>
      </c>
      <c r="B4010" t="str">
        <f t="shared" si="1320"/>
        <v>Plantation</v>
      </c>
      <c r="C4010" t="str">
        <f t="shared" si="1321"/>
        <v>Standard Class</v>
      </c>
      <c r="D4010" t="str">
        <f t="shared" si="1322"/>
        <v>Corporate</v>
      </c>
      <c r="E4010" t="s">
        <v>24</v>
      </c>
      <c r="F4010">
        <v>1</v>
      </c>
      <c r="G4010">
        <v>0.2</v>
      </c>
      <c r="H4010" s="2">
        <v>10.079200000000007</v>
      </c>
      <c r="I4010" s="2">
        <v>100.792</v>
      </c>
    </row>
    <row r="4011" spans="1:9" x14ac:dyDescent="0.3">
      <c r="A4011" t="str">
        <f t="shared" si="1311"/>
        <v>United States</v>
      </c>
      <c r="B4011" t="s">
        <v>411</v>
      </c>
      <c r="C4011" t="s">
        <v>7</v>
      </c>
      <c r="D4011" t="s">
        <v>8</v>
      </c>
      <c r="E4011" t="s">
        <v>12</v>
      </c>
      <c r="F4011">
        <v>3</v>
      </c>
      <c r="G4011">
        <v>0</v>
      </c>
      <c r="H4011" s="2">
        <v>305.13000000000011</v>
      </c>
      <c r="I4011" s="2">
        <v>1089.75</v>
      </c>
    </row>
    <row r="4012" spans="1:9" x14ac:dyDescent="0.3">
      <c r="A4012" t="str">
        <f t="shared" si="1311"/>
        <v>United States</v>
      </c>
      <c r="B4012" t="str">
        <f t="shared" ref="B4012:B4017" si="1323">B4011</f>
        <v>Pleasant Grove</v>
      </c>
      <c r="C4012" t="str">
        <f t="shared" ref="C4012:C4017" si="1324">C4011</f>
        <v>Second Class</v>
      </c>
      <c r="D4012" t="str">
        <f t="shared" ref="D4012:D4016" si="1325">D4011</f>
        <v>Consumer</v>
      </c>
      <c r="E4012" t="s">
        <v>19</v>
      </c>
      <c r="F4012">
        <v>5</v>
      </c>
      <c r="G4012">
        <v>0</v>
      </c>
      <c r="H4012" s="2">
        <v>4.2639999999999993</v>
      </c>
      <c r="I4012" s="2">
        <v>16.399999999999999</v>
      </c>
    </row>
    <row r="4013" spans="1:9" x14ac:dyDescent="0.3">
      <c r="A4013" t="str">
        <f t="shared" si="1311"/>
        <v>United States</v>
      </c>
      <c r="B4013" t="str">
        <f t="shared" si="1323"/>
        <v>Pleasant Grove</v>
      </c>
      <c r="C4013" t="str">
        <f t="shared" si="1324"/>
        <v>Second Class</v>
      </c>
      <c r="D4013" t="str">
        <f t="shared" si="1325"/>
        <v>Consumer</v>
      </c>
      <c r="E4013" t="s">
        <v>20</v>
      </c>
      <c r="F4013">
        <v>1</v>
      </c>
      <c r="G4013">
        <v>0.2</v>
      </c>
      <c r="H4013" s="2">
        <v>4.7792000000000003</v>
      </c>
      <c r="I4013" s="2">
        <v>13.184000000000001</v>
      </c>
    </row>
    <row r="4014" spans="1:9" x14ac:dyDescent="0.3">
      <c r="A4014" t="str">
        <f t="shared" si="1311"/>
        <v>United States</v>
      </c>
      <c r="B4014" t="str">
        <f t="shared" si="1323"/>
        <v>Pleasant Grove</v>
      </c>
      <c r="C4014" t="str">
        <f t="shared" si="1324"/>
        <v>Second Class</v>
      </c>
      <c r="D4014" t="str">
        <f t="shared" si="1325"/>
        <v>Consumer</v>
      </c>
      <c r="E4014" t="s">
        <v>16</v>
      </c>
      <c r="F4014">
        <v>8</v>
      </c>
      <c r="G4014">
        <v>0</v>
      </c>
      <c r="H4014" s="2">
        <v>219.44159999999999</v>
      </c>
      <c r="I4014" s="2">
        <v>447.84</v>
      </c>
    </row>
    <row r="4015" spans="1:9" x14ac:dyDescent="0.3">
      <c r="A4015" t="str">
        <f t="shared" si="1311"/>
        <v>United States</v>
      </c>
      <c r="B4015" t="str">
        <f t="shared" si="1323"/>
        <v>Pleasant Grove</v>
      </c>
      <c r="C4015" t="str">
        <f t="shared" si="1324"/>
        <v>Second Class</v>
      </c>
      <c r="D4015" t="str">
        <f t="shared" si="1325"/>
        <v>Consumer</v>
      </c>
      <c r="E4015" t="s">
        <v>24</v>
      </c>
      <c r="F4015">
        <v>5</v>
      </c>
      <c r="G4015">
        <v>0.2</v>
      </c>
      <c r="H4015" s="2">
        <v>34.996499999999969</v>
      </c>
      <c r="I4015" s="2">
        <v>399.96000000000004</v>
      </c>
    </row>
    <row r="4016" spans="1:9" x14ac:dyDescent="0.3">
      <c r="A4016" t="str">
        <f t="shared" si="1311"/>
        <v>United States</v>
      </c>
      <c r="B4016" t="str">
        <f t="shared" si="1323"/>
        <v>Pleasant Grove</v>
      </c>
      <c r="C4016" t="str">
        <f t="shared" si="1324"/>
        <v>Second Class</v>
      </c>
      <c r="D4016" t="str">
        <f t="shared" si="1325"/>
        <v>Consumer</v>
      </c>
      <c r="E4016" t="s">
        <v>14</v>
      </c>
      <c r="F4016">
        <v>5</v>
      </c>
      <c r="G4016">
        <v>0</v>
      </c>
      <c r="H4016" s="2">
        <v>7.9449999999999932</v>
      </c>
      <c r="I4016" s="2">
        <v>158.9</v>
      </c>
    </row>
    <row r="4017" spans="1:9" x14ac:dyDescent="0.3">
      <c r="A4017" t="str">
        <f t="shared" si="1311"/>
        <v>United States</v>
      </c>
      <c r="B4017" t="str">
        <f t="shared" si="1323"/>
        <v>Pleasant Grove</v>
      </c>
      <c r="C4017" t="str">
        <f t="shared" si="1324"/>
        <v>Second Class</v>
      </c>
      <c r="D4017" t="s">
        <v>15</v>
      </c>
      <c r="E4017" t="s">
        <v>20</v>
      </c>
      <c r="F4017">
        <v>3</v>
      </c>
      <c r="G4017">
        <v>0.2</v>
      </c>
      <c r="H4017" s="2">
        <v>4.0985999999999994</v>
      </c>
      <c r="I4017" s="2">
        <v>12.144</v>
      </c>
    </row>
    <row r="4018" spans="1:9" x14ac:dyDescent="0.3">
      <c r="A4018" t="str">
        <f t="shared" si="1311"/>
        <v>United States</v>
      </c>
      <c r="B4018" t="s">
        <v>412</v>
      </c>
      <c r="C4018" t="s">
        <v>11</v>
      </c>
      <c r="D4018" t="s">
        <v>8</v>
      </c>
      <c r="E4018" t="s">
        <v>21</v>
      </c>
      <c r="F4018">
        <v>4</v>
      </c>
      <c r="G4018">
        <v>0</v>
      </c>
      <c r="H4018" s="2">
        <v>14.700000000000003</v>
      </c>
      <c r="I4018" s="2">
        <v>35</v>
      </c>
    </row>
    <row r="4019" spans="1:9" x14ac:dyDescent="0.3">
      <c r="A4019" t="str">
        <f t="shared" si="1311"/>
        <v>United States</v>
      </c>
      <c r="B4019" t="str">
        <f t="shared" ref="B4019:B4024" si="1326">B4018</f>
        <v>Pocatello</v>
      </c>
      <c r="C4019" t="str">
        <f t="shared" ref="C4019:C4020" si="1327">C4018</f>
        <v>First Class</v>
      </c>
      <c r="D4019" t="str">
        <f t="shared" ref="D4019:D4020" si="1328">D4018</f>
        <v>Consumer</v>
      </c>
      <c r="E4019" t="s">
        <v>24</v>
      </c>
      <c r="F4019">
        <v>3</v>
      </c>
      <c r="G4019">
        <v>0.2</v>
      </c>
      <c r="H4019" s="2">
        <v>22.678200000000018</v>
      </c>
      <c r="I4019" s="2">
        <v>302.37599999999998</v>
      </c>
    </row>
    <row r="4020" spans="1:9" x14ac:dyDescent="0.3">
      <c r="A4020" t="str">
        <f t="shared" si="1311"/>
        <v>United States</v>
      </c>
      <c r="B4020" t="str">
        <f t="shared" si="1326"/>
        <v>Pocatello</v>
      </c>
      <c r="C4020" t="str">
        <f t="shared" si="1327"/>
        <v>First Class</v>
      </c>
      <c r="D4020" t="str">
        <f t="shared" si="1328"/>
        <v>Consumer</v>
      </c>
      <c r="E4020" t="s">
        <v>14</v>
      </c>
      <c r="F4020">
        <v>5</v>
      </c>
      <c r="G4020">
        <v>0</v>
      </c>
      <c r="H4020" s="2">
        <v>28.628999999999962</v>
      </c>
      <c r="I4020" s="2">
        <v>477.15000000000003</v>
      </c>
    </row>
    <row r="4021" spans="1:9" x14ac:dyDescent="0.3">
      <c r="A4021" t="str">
        <f t="shared" si="1311"/>
        <v>United States</v>
      </c>
      <c r="B4021" t="str">
        <f t="shared" si="1326"/>
        <v>Pocatello</v>
      </c>
      <c r="C4021" t="s">
        <v>7</v>
      </c>
      <c r="D4021" t="s">
        <v>8</v>
      </c>
      <c r="E4021" t="s">
        <v>20</v>
      </c>
      <c r="F4021">
        <v>3</v>
      </c>
      <c r="G4021">
        <v>0.2</v>
      </c>
      <c r="H4021" s="2">
        <v>5.5379999999999985</v>
      </c>
      <c r="I4021" s="2">
        <v>17.04</v>
      </c>
    </row>
    <row r="4022" spans="1:9" x14ac:dyDescent="0.3">
      <c r="A4022" t="str">
        <f t="shared" si="1311"/>
        <v>United States</v>
      </c>
      <c r="B4022" t="str">
        <f t="shared" si="1326"/>
        <v>Pocatello</v>
      </c>
      <c r="C4022" t="str">
        <f t="shared" ref="C4022:C4024" si="1329">C4021</f>
        <v>Second Class</v>
      </c>
      <c r="D4022" t="str">
        <f t="shared" ref="D4022:D4024" si="1330">D4021</f>
        <v>Consumer</v>
      </c>
      <c r="E4022" t="s">
        <v>21</v>
      </c>
      <c r="F4022">
        <v>4</v>
      </c>
      <c r="G4022">
        <v>0</v>
      </c>
      <c r="H4022" s="2">
        <v>92.393599999999992</v>
      </c>
      <c r="I4022" s="2">
        <v>355.36</v>
      </c>
    </row>
    <row r="4023" spans="1:9" x14ac:dyDescent="0.3">
      <c r="A4023" t="str">
        <f t="shared" si="1311"/>
        <v>United States</v>
      </c>
      <c r="B4023" t="str">
        <f t="shared" si="1326"/>
        <v>Pocatello</v>
      </c>
      <c r="C4023" t="str">
        <f t="shared" si="1329"/>
        <v>Second Class</v>
      </c>
      <c r="D4023" t="str">
        <f t="shared" si="1330"/>
        <v>Consumer</v>
      </c>
      <c r="E4023" t="s">
        <v>16</v>
      </c>
      <c r="F4023">
        <v>3</v>
      </c>
      <c r="G4023">
        <v>0</v>
      </c>
      <c r="H4023" s="2">
        <v>8.6435999999999993</v>
      </c>
      <c r="I4023" s="2">
        <v>17.64</v>
      </c>
    </row>
    <row r="4024" spans="1:9" x14ac:dyDescent="0.3">
      <c r="A4024" t="str">
        <f t="shared" si="1311"/>
        <v>United States</v>
      </c>
      <c r="B4024" t="str">
        <f t="shared" si="1326"/>
        <v>Pocatello</v>
      </c>
      <c r="C4024" t="str">
        <f t="shared" si="1329"/>
        <v>Second Class</v>
      </c>
      <c r="D4024" t="str">
        <f t="shared" si="1330"/>
        <v>Consumer</v>
      </c>
      <c r="E4024" t="s">
        <v>24</v>
      </c>
      <c r="F4024">
        <v>3</v>
      </c>
      <c r="G4024">
        <v>0.2</v>
      </c>
      <c r="H4024" s="2">
        <v>8.7735000000000056</v>
      </c>
      <c r="I4024" s="2">
        <v>140.376</v>
      </c>
    </row>
    <row r="4025" spans="1:9" x14ac:dyDescent="0.3">
      <c r="A4025" t="str">
        <f t="shared" si="1311"/>
        <v>United States</v>
      </c>
      <c r="B4025" t="s">
        <v>413</v>
      </c>
      <c r="C4025" t="s">
        <v>11</v>
      </c>
      <c r="D4025" t="s">
        <v>8</v>
      </c>
      <c r="E4025" t="s">
        <v>23</v>
      </c>
      <c r="F4025">
        <v>2</v>
      </c>
      <c r="G4025">
        <v>0</v>
      </c>
      <c r="H4025" s="2">
        <v>34.992999999999995</v>
      </c>
      <c r="I4025" s="2">
        <v>99.98</v>
      </c>
    </row>
    <row r="4026" spans="1:9" x14ac:dyDescent="0.3">
      <c r="A4026" t="str">
        <f t="shared" si="1311"/>
        <v>United States</v>
      </c>
      <c r="B4026" t="str">
        <f t="shared" ref="B4026:B4030" si="1331">B4025</f>
        <v>Pomona</v>
      </c>
      <c r="C4026" t="s">
        <v>27</v>
      </c>
      <c r="D4026" t="s">
        <v>8</v>
      </c>
      <c r="E4026" t="s">
        <v>21</v>
      </c>
      <c r="F4026">
        <v>3</v>
      </c>
      <c r="G4026">
        <v>0</v>
      </c>
      <c r="H4026" s="2">
        <v>10.4148</v>
      </c>
      <c r="I4026" s="2">
        <v>31.56</v>
      </c>
    </row>
    <row r="4027" spans="1:9" x14ac:dyDescent="0.3">
      <c r="A4027" t="str">
        <f t="shared" si="1311"/>
        <v>United States</v>
      </c>
      <c r="B4027" t="str">
        <f t="shared" si="1331"/>
        <v>Pomona</v>
      </c>
      <c r="C4027" t="s">
        <v>7</v>
      </c>
      <c r="D4027" t="s">
        <v>8</v>
      </c>
      <c r="E4027" t="s">
        <v>43</v>
      </c>
      <c r="F4027">
        <v>5</v>
      </c>
      <c r="G4027">
        <v>0</v>
      </c>
      <c r="H4027" s="2">
        <v>9</v>
      </c>
      <c r="I4027" s="2">
        <v>18.75</v>
      </c>
    </row>
    <row r="4028" spans="1:9" x14ac:dyDescent="0.3">
      <c r="A4028" t="str">
        <f t="shared" si="1311"/>
        <v>United States</v>
      </c>
      <c r="B4028" t="str">
        <f t="shared" si="1331"/>
        <v>Pomona</v>
      </c>
      <c r="C4028" t="s">
        <v>22</v>
      </c>
      <c r="D4028" t="s">
        <v>8</v>
      </c>
      <c r="E4028" t="s">
        <v>23</v>
      </c>
      <c r="F4028">
        <v>4</v>
      </c>
      <c r="G4028">
        <v>0</v>
      </c>
      <c r="H4028" s="2">
        <v>69.98599999999999</v>
      </c>
      <c r="I4028" s="2">
        <v>199.96</v>
      </c>
    </row>
    <row r="4029" spans="1:9" x14ac:dyDescent="0.3">
      <c r="A4029" t="str">
        <f t="shared" si="1311"/>
        <v>United States</v>
      </c>
      <c r="B4029" t="str">
        <f t="shared" si="1331"/>
        <v>Pomona</v>
      </c>
      <c r="C4029" t="str">
        <f t="shared" ref="C4029:C4030" si="1332">C4028</f>
        <v>Standard Class</v>
      </c>
      <c r="D4029" t="str">
        <f>D4028</f>
        <v>Consumer</v>
      </c>
      <c r="E4029" t="s">
        <v>25</v>
      </c>
      <c r="F4029">
        <v>3</v>
      </c>
      <c r="G4029">
        <v>0.2</v>
      </c>
      <c r="H4029" s="2">
        <v>-97.739399999999989</v>
      </c>
      <c r="I4029" s="2">
        <v>710.83200000000011</v>
      </c>
    </row>
    <row r="4030" spans="1:9" x14ac:dyDescent="0.3">
      <c r="A4030" t="str">
        <f t="shared" si="1311"/>
        <v>United States</v>
      </c>
      <c r="B4030" t="str">
        <f t="shared" si="1331"/>
        <v>Pomona</v>
      </c>
      <c r="C4030" t="str">
        <f t="shared" si="1332"/>
        <v>Standard Class</v>
      </c>
      <c r="D4030" t="s">
        <v>15</v>
      </c>
      <c r="E4030" t="s">
        <v>19</v>
      </c>
      <c r="F4030">
        <v>17</v>
      </c>
      <c r="G4030">
        <v>0</v>
      </c>
      <c r="H4030" s="2">
        <v>123.64459999999995</v>
      </c>
      <c r="I4030" s="2">
        <v>421.42</v>
      </c>
    </row>
    <row r="4031" spans="1:9" x14ac:dyDescent="0.3">
      <c r="A4031" t="str">
        <f t="shared" si="1311"/>
        <v>United States</v>
      </c>
      <c r="B4031" t="s">
        <v>414</v>
      </c>
      <c r="C4031" t="s">
        <v>22</v>
      </c>
      <c r="D4031" t="s">
        <v>15</v>
      </c>
      <c r="E4031" t="s">
        <v>23</v>
      </c>
      <c r="F4031">
        <v>3</v>
      </c>
      <c r="G4031">
        <v>0.2</v>
      </c>
      <c r="H4031" s="2">
        <v>0.74249999999999994</v>
      </c>
      <c r="I4031" s="2">
        <v>2.3760000000000003</v>
      </c>
    </row>
    <row r="4032" spans="1:9" x14ac:dyDescent="0.3">
      <c r="A4032" t="str">
        <f t="shared" si="1311"/>
        <v>United States</v>
      </c>
      <c r="B4032" t="str">
        <f t="shared" ref="B4032:B4033" si="1333">B4031</f>
        <v>Pompano Beach</v>
      </c>
      <c r="C4032" t="str">
        <f t="shared" ref="C4032:C4033" si="1334">C4031</f>
        <v>Standard Class</v>
      </c>
      <c r="D4032" t="str">
        <f t="shared" ref="D4032:D4033" si="1335">D4031</f>
        <v>Corporate</v>
      </c>
      <c r="E4032" t="s">
        <v>12</v>
      </c>
      <c r="F4032">
        <v>1</v>
      </c>
      <c r="G4032">
        <v>0.2</v>
      </c>
      <c r="H4032" s="2">
        <v>8.0479999999999983</v>
      </c>
      <c r="I4032" s="2">
        <v>64.384</v>
      </c>
    </row>
    <row r="4033" spans="1:9" x14ac:dyDescent="0.3">
      <c r="A4033" t="str">
        <f t="shared" si="1311"/>
        <v>United States</v>
      </c>
      <c r="B4033" t="str">
        <f t="shared" si="1333"/>
        <v>Pompano Beach</v>
      </c>
      <c r="C4033" t="str">
        <f t="shared" si="1334"/>
        <v>Standard Class</v>
      </c>
      <c r="D4033" t="str">
        <f t="shared" si="1335"/>
        <v>Corporate</v>
      </c>
      <c r="E4033" t="s">
        <v>21</v>
      </c>
      <c r="F4033">
        <v>8</v>
      </c>
      <c r="G4033">
        <v>0.2</v>
      </c>
      <c r="H4033" s="2">
        <v>6.216000000000002</v>
      </c>
      <c r="I4033" s="2">
        <v>23.680000000000003</v>
      </c>
    </row>
    <row r="4034" spans="1:9" x14ac:dyDescent="0.3">
      <c r="A4034" t="str">
        <f t="shared" si="1311"/>
        <v>United States</v>
      </c>
      <c r="B4034" t="s">
        <v>415</v>
      </c>
      <c r="C4034" t="s">
        <v>7</v>
      </c>
      <c r="D4034" t="s">
        <v>15</v>
      </c>
      <c r="E4034" t="s">
        <v>34</v>
      </c>
      <c r="F4034">
        <v>2</v>
      </c>
      <c r="G4034">
        <v>0.32</v>
      </c>
      <c r="H4034" s="2">
        <v>-76.011599999999973</v>
      </c>
      <c r="I4034" s="2">
        <v>246.13279999999997</v>
      </c>
    </row>
    <row r="4035" spans="1:9" x14ac:dyDescent="0.3">
      <c r="A4035" t="str">
        <f t="shared" si="1311"/>
        <v>United States</v>
      </c>
      <c r="B4035" t="str">
        <f t="shared" ref="B4035:B4038" si="1336">B4034</f>
        <v>Port Arthur</v>
      </c>
      <c r="C4035" t="str">
        <f t="shared" ref="C4035:C4036" si="1337">C4034</f>
        <v>Second Class</v>
      </c>
      <c r="D4035" t="str">
        <f t="shared" ref="D4035:D4036" si="1338">D4034</f>
        <v>Corporate</v>
      </c>
      <c r="E4035" t="s">
        <v>45</v>
      </c>
      <c r="F4035">
        <v>1</v>
      </c>
      <c r="G4035">
        <v>0.2</v>
      </c>
      <c r="H4035" s="2">
        <v>164.99700000000001</v>
      </c>
      <c r="I4035" s="2">
        <v>439.99200000000002</v>
      </c>
    </row>
    <row r="4036" spans="1:9" x14ac:dyDescent="0.3">
      <c r="A4036" t="str">
        <f t="shared" ref="A4036:A4099" si="1339">A4035</f>
        <v>United States</v>
      </c>
      <c r="B4036" t="str">
        <f t="shared" si="1336"/>
        <v>Port Arthur</v>
      </c>
      <c r="C4036" t="str">
        <f t="shared" si="1337"/>
        <v>Second Class</v>
      </c>
      <c r="D4036" t="str">
        <f t="shared" si="1338"/>
        <v>Corporate</v>
      </c>
      <c r="E4036" t="s">
        <v>43</v>
      </c>
      <c r="F4036">
        <v>2</v>
      </c>
      <c r="G4036">
        <v>0.2</v>
      </c>
      <c r="H4036" s="2">
        <v>3.9473999999999996</v>
      </c>
      <c r="I4036" s="2">
        <v>11.696</v>
      </c>
    </row>
    <row r="4037" spans="1:9" x14ac:dyDescent="0.3">
      <c r="A4037" t="str">
        <f t="shared" si="1339"/>
        <v>United States</v>
      </c>
      <c r="B4037" t="str">
        <f t="shared" si="1336"/>
        <v>Port Arthur</v>
      </c>
      <c r="C4037" t="s">
        <v>22</v>
      </c>
      <c r="D4037" t="s">
        <v>8</v>
      </c>
      <c r="E4037" t="s">
        <v>16</v>
      </c>
      <c r="F4037">
        <v>6</v>
      </c>
      <c r="G4037">
        <v>0.4</v>
      </c>
      <c r="H4037" s="2">
        <v>11.0288</v>
      </c>
      <c r="I4037" s="2">
        <v>34.048000000000002</v>
      </c>
    </row>
    <row r="4038" spans="1:9" x14ac:dyDescent="0.3">
      <c r="A4038" t="str">
        <f t="shared" si="1339"/>
        <v>United States</v>
      </c>
      <c r="B4038" t="str">
        <f t="shared" si="1336"/>
        <v>Port Arthur</v>
      </c>
      <c r="C4038" t="str">
        <f>C4037</f>
        <v>Standard Class</v>
      </c>
      <c r="D4038" t="s">
        <v>15</v>
      </c>
      <c r="E4038" t="s">
        <v>16</v>
      </c>
      <c r="F4038">
        <v>1</v>
      </c>
      <c r="G4038">
        <v>0.2</v>
      </c>
      <c r="H4038" s="2">
        <v>1.8144</v>
      </c>
      <c r="I4038" s="2">
        <v>5.1840000000000011</v>
      </c>
    </row>
    <row r="4039" spans="1:9" x14ac:dyDescent="0.3">
      <c r="A4039" t="str">
        <f t="shared" si="1339"/>
        <v>United States</v>
      </c>
      <c r="B4039" t="s">
        <v>416</v>
      </c>
      <c r="C4039" t="s">
        <v>7</v>
      </c>
      <c r="D4039" t="s">
        <v>8</v>
      </c>
      <c r="E4039" t="s">
        <v>38</v>
      </c>
      <c r="F4039">
        <v>1</v>
      </c>
      <c r="G4039">
        <v>0.2</v>
      </c>
      <c r="H4039" s="2">
        <v>2.9339999999999997</v>
      </c>
      <c r="I4039" s="2">
        <v>7.8239999999999998</v>
      </c>
    </row>
    <row r="4040" spans="1:9" x14ac:dyDescent="0.3">
      <c r="A4040" t="str">
        <f t="shared" si="1339"/>
        <v>United States</v>
      </c>
      <c r="B4040" t="s">
        <v>417</v>
      </c>
      <c r="C4040" t="s">
        <v>7</v>
      </c>
      <c r="D4040" t="s">
        <v>8</v>
      </c>
      <c r="E4040" t="s">
        <v>12</v>
      </c>
      <c r="F4040">
        <v>4</v>
      </c>
      <c r="G4040">
        <v>0.2</v>
      </c>
      <c r="H4040" s="2">
        <v>0.89599999999999991</v>
      </c>
      <c r="I4040" s="2">
        <v>14.336000000000002</v>
      </c>
    </row>
    <row r="4041" spans="1:9" x14ac:dyDescent="0.3">
      <c r="A4041" t="str">
        <f t="shared" si="1339"/>
        <v>United States</v>
      </c>
      <c r="B4041" t="str">
        <f t="shared" ref="B4041:B4042" si="1340">B4040</f>
        <v>Port Saint Lucie</v>
      </c>
      <c r="C4041" t="str">
        <f>C4040</f>
        <v>Second Class</v>
      </c>
      <c r="D4041" t="s">
        <v>15</v>
      </c>
      <c r="E4041" t="s">
        <v>34</v>
      </c>
      <c r="F4041">
        <v>5</v>
      </c>
      <c r="G4041">
        <v>0.2</v>
      </c>
      <c r="H4041" s="2">
        <v>5.7980000000000018</v>
      </c>
      <c r="I4041" s="2">
        <v>231.92000000000002</v>
      </c>
    </row>
    <row r="4042" spans="1:9" x14ac:dyDescent="0.3">
      <c r="A4042" t="str">
        <f t="shared" si="1339"/>
        <v>United States</v>
      </c>
      <c r="B4042" t="str">
        <f t="shared" si="1340"/>
        <v>Port Saint Lucie</v>
      </c>
      <c r="C4042" t="s">
        <v>22</v>
      </c>
      <c r="D4042" t="s">
        <v>8</v>
      </c>
      <c r="E4042" t="s">
        <v>20</v>
      </c>
      <c r="F4042">
        <v>2</v>
      </c>
      <c r="G4042">
        <v>0.7</v>
      </c>
      <c r="H4042" s="2">
        <v>-2.2450000000000001</v>
      </c>
      <c r="I4042" s="2">
        <v>2.6940000000000004</v>
      </c>
    </row>
    <row r="4043" spans="1:9" x14ac:dyDescent="0.3">
      <c r="A4043" t="str">
        <f t="shared" si="1339"/>
        <v>United States</v>
      </c>
      <c r="B4043" t="s">
        <v>418</v>
      </c>
      <c r="C4043" t="s">
        <v>27</v>
      </c>
      <c r="D4043" t="s">
        <v>8</v>
      </c>
      <c r="E4043" t="s">
        <v>19</v>
      </c>
      <c r="F4043">
        <v>2</v>
      </c>
      <c r="G4043">
        <v>0</v>
      </c>
      <c r="H4043" s="2">
        <v>6.5120000000000005</v>
      </c>
      <c r="I4043" s="2">
        <v>16.28</v>
      </c>
    </row>
    <row r="4044" spans="1:9" x14ac:dyDescent="0.3">
      <c r="A4044" t="str">
        <f t="shared" si="1339"/>
        <v>United States</v>
      </c>
      <c r="B4044" t="s">
        <v>419</v>
      </c>
      <c r="C4044" t="s">
        <v>11</v>
      </c>
      <c r="D4044" t="s">
        <v>8</v>
      </c>
      <c r="E4044" t="s">
        <v>19</v>
      </c>
      <c r="F4044">
        <v>3</v>
      </c>
      <c r="G4044">
        <v>0.2</v>
      </c>
      <c r="H4044" s="2">
        <v>0.71520000000000028</v>
      </c>
      <c r="I4044" s="2">
        <v>7.1519999999999992</v>
      </c>
    </row>
    <row r="4045" spans="1:9" x14ac:dyDescent="0.3">
      <c r="A4045" t="str">
        <f t="shared" si="1339"/>
        <v>United States</v>
      </c>
      <c r="B4045" t="str">
        <f t="shared" ref="B4045:B4062" si="1341">B4044</f>
        <v>Portland</v>
      </c>
      <c r="C4045" t="str">
        <f t="shared" ref="C4045:C4048" si="1342">C4044</f>
        <v>First Class</v>
      </c>
      <c r="D4045" t="str">
        <f t="shared" ref="D4045:D4047" si="1343">D4044</f>
        <v>Consumer</v>
      </c>
      <c r="E4045" t="s">
        <v>20</v>
      </c>
      <c r="F4045">
        <v>7</v>
      </c>
      <c r="G4045">
        <v>0.7</v>
      </c>
      <c r="H4045" s="2">
        <v>-3.4649999999999999</v>
      </c>
      <c r="I4045" s="2">
        <v>4.1580000000000004</v>
      </c>
    </row>
    <row r="4046" spans="1:9" x14ac:dyDescent="0.3">
      <c r="A4046" t="str">
        <f t="shared" si="1339"/>
        <v>United States</v>
      </c>
      <c r="B4046" t="str">
        <f t="shared" si="1341"/>
        <v>Portland</v>
      </c>
      <c r="C4046" t="str">
        <f t="shared" si="1342"/>
        <v>First Class</v>
      </c>
      <c r="D4046" t="str">
        <f t="shared" si="1343"/>
        <v>Consumer</v>
      </c>
      <c r="E4046" t="s">
        <v>46</v>
      </c>
      <c r="F4046">
        <v>3</v>
      </c>
      <c r="G4046">
        <v>0.7</v>
      </c>
      <c r="H4046" s="2">
        <v>-251.98739999999992</v>
      </c>
      <c r="I4046" s="2">
        <v>179.99100000000004</v>
      </c>
    </row>
    <row r="4047" spans="1:9" x14ac:dyDescent="0.3">
      <c r="A4047" t="str">
        <f t="shared" si="1339"/>
        <v>United States</v>
      </c>
      <c r="B4047" t="str">
        <f t="shared" si="1341"/>
        <v>Portland</v>
      </c>
      <c r="C4047" t="str">
        <f t="shared" si="1342"/>
        <v>First Class</v>
      </c>
      <c r="D4047" t="str">
        <f t="shared" si="1343"/>
        <v>Consumer</v>
      </c>
      <c r="E4047" t="s">
        <v>24</v>
      </c>
      <c r="F4047">
        <v>4</v>
      </c>
      <c r="G4047">
        <v>0.4</v>
      </c>
      <c r="H4047" s="2">
        <v>88.899200000000022</v>
      </c>
      <c r="I4047" s="2">
        <v>917.50400000000013</v>
      </c>
    </row>
    <row r="4048" spans="1:9" x14ac:dyDescent="0.3">
      <c r="A4048" t="str">
        <f t="shared" si="1339"/>
        <v>United States</v>
      </c>
      <c r="B4048" t="str">
        <f t="shared" si="1341"/>
        <v>Portland</v>
      </c>
      <c r="C4048" t="str">
        <f t="shared" si="1342"/>
        <v>First Class</v>
      </c>
      <c r="D4048" t="s">
        <v>17</v>
      </c>
      <c r="E4048" t="s">
        <v>33</v>
      </c>
      <c r="F4048">
        <v>5</v>
      </c>
      <c r="G4048">
        <v>0.2</v>
      </c>
      <c r="H4048" s="2">
        <v>25.245000000000019</v>
      </c>
      <c r="I4048" s="2">
        <v>403.92</v>
      </c>
    </row>
    <row r="4049" spans="1:9" x14ac:dyDescent="0.3">
      <c r="A4049" t="str">
        <f t="shared" si="1339"/>
        <v>United States</v>
      </c>
      <c r="B4049" t="str">
        <f t="shared" si="1341"/>
        <v>Portland</v>
      </c>
      <c r="C4049" t="s">
        <v>7</v>
      </c>
      <c r="D4049" t="s">
        <v>8</v>
      </c>
      <c r="E4049" t="s">
        <v>19</v>
      </c>
      <c r="F4049">
        <v>4</v>
      </c>
      <c r="G4049">
        <v>0.2</v>
      </c>
      <c r="H4049" s="2">
        <v>9.0575999999999972</v>
      </c>
      <c r="I4049" s="2">
        <v>120.76800000000001</v>
      </c>
    </row>
    <row r="4050" spans="1:9" x14ac:dyDescent="0.3">
      <c r="A4050" t="str">
        <f t="shared" si="1339"/>
        <v>United States</v>
      </c>
      <c r="B4050" t="str">
        <f t="shared" si="1341"/>
        <v>Portland</v>
      </c>
      <c r="C4050" t="str">
        <f t="shared" ref="C4050:C4051" si="1344">C4049</f>
        <v>Second Class</v>
      </c>
      <c r="D4050" t="str">
        <f t="shared" ref="D4050:D4051" si="1345">D4049</f>
        <v>Consumer</v>
      </c>
      <c r="E4050" t="s">
        <v>16</v>
      </c>
      <c r="F4050">
        <v>5</v>
      </c>
      <c r="G4050">
        <v>0.2</v>
      </c>
      <c r="H4050" s="2">
        <v>9.0719999999999992</v>
      </c>
      <c r="I4050" s="2">
        <v>25.920000000000005</v>
      </c>
    </row>
    <row r="4051" spans="1:9" x14ac:dyDescent="0.3">
      <c r="A4051" t="str">
        <f t="shared" si="1339"/>
        <v>United States</v>
      </c>
      <c r="B4051" t="str">
        <f t="shared" si="1341"/>
        <v>Portland</v>
      </c>
      <c r="C4051" t="str">
        <f t="shared" si="1344"/>
        <v>Second Class</v>
      </c>
      <c r="D4051" t="str">
        <f t="shared" si="1345"/>
        <v>Consumer</v>
      </c>
      <c r="E4051" t="s">
        <v>24</v>
      </c>
      <c r="F4051">
        <v>4</v>
      </c>
      <c r="G4051">
        <v>0.2</v>
      </c>
      <c r="H4051" s="2">
        <v>35.996399999999952</v>
      </c>
      <c r="I4051" s="2">
        <v>319.96800000000002</v>
      </c>
    </row>
    <row r="4052" spans="1:9" x14ac:dyDescent="0.3">
      <c r="A4052" t="str">
        <f t="shared" si="1339"/>
        <v>United States</v>
      </c>
      <c r="B4052" t="str">
        <f t="shared" si="1341"/>
        <v>Portland</v>
      </c>
      <c r="C4052" t="s">
        <v>22</v>
      </c>
      <c r="D4052" t="s">
        <v>8</v>
      </c>
      <c r="E4052" t="s">
        <v>23</v>
      </c>
      <c r="F4052">
        <v>12</v>
      </c>
      <c r="G4052">
        <v>0.4</v>
      </c>
      <c r="H4052" s="2">
        <v>128.44390000000001</v>
      </c>
      <c r="I4052" s="2">
        <v>519.74400000000003</v>
      </c>
    </row>
    <row r="4053" spans="1:9" x14ac:dyDescent="0.3">
      <c r="A4053" t="str">
        <f t="shared" si="1339"/>
        <v>United States</v>
      </c>
      <c r="B4053" t="str">
        <f t="shared" si="1341"/>
        <v>Portland</v>
      </c>
      <c r="C4053" t="str">
        <f t="shared" ref="C4053:C4062" si="1346">C4052</f>
        <v>Standard Class</v>
      </c>
      <c r="D4053" t="str">
        <f t="shared" ref="D4053:D4058" si="1347">D4052</f>
        <v>Consumer</v>
      </c>
      <c r="E4053" t="s">
        <v>20</v>
      </c>
      <c r="F4053">
        <v>2</v>
      </c>
      <c r="G4053">
        <v>0.7</v>
      </c>
      <c r="H4053" s="2">
        <v>-0.79200000000000004</v>
      </c>
      <c r="I4053" s="2">
        <v>1.0800000000000003</v>
      </c>
    </row>
    <row r="4054" spans="1:9" x14ac:dyDescent="0.3">
      <c r="A4054" t="str">
        <f t="shared" si="1339"/>
        <v>United States</v>
      </c>
      <c r="B4054" t="str">
        <f t="shared" si="1341"/>
        <v>Portland</v>
      </c>
      <c r="C4054" t="str">
        <f t="shared" si="1346"/>
        <v>Standard Class</v>
      </c>
      <c r="D4054" t="str">
        <f t="shared" si="1347"/>
        <v>Consumer</v>
      </c>
      <c r="E4054" t="s">
        <v>34</v>
      </c>
      <c r="F4054">
        <v>1</v>
      </c>
      <c r="G4054">
        <v>0.7</v>
      </c>
      <c r="H4054" s="2">
        <v>-103.86059999999998</v>
      </c>
      <c r="I4054" s="2">
        <v>66.294000000000011</v>
      </c>
    </row>
    <row r="4055" spans="1:9" x14ac:dyDescent="0.3">
      <c r="A4055" t="str">
        <f t="shared" si="1339"/>
        <v>United States</v>
      </c>
      <c r="B4055" t="str">
        <f t="shared" si="1341"/>
        <v>Portland</v>
      </c>
      <c r="C4055" t="str">
        <f t="shared" si="1346"/>
        <v>Standard Class</v>
      </c>
      <c r="D4055" t="str">
        <f t="shared" si="1347"/>
        <v>Consumer</v>
      </c>
      <c r="E4055" t="s">
        <v>33</v>
      </c>
      <c r="F4055">
        <v>4</v>
      </c>
      <c r="G4055">
        <v>0.2</v>
      </c>
      <c r="H4055" s="2">
        <v>-14.558399999999978</v>
      </c>
      <c r="I4055" s="2">
        <v>291.16800000000001</v>
      </c>
    </row>
    <row r="4056" spans="1:9" x14ac:dyDescent="0.3">
      <c r="A4056" t="str">
        <f t="shared" si="1339"/>
        <v>United States</v>
      </c>
      <c r="B4056" t="str">
        <f t="shared" si="1341"/>
        <v>Portland</v>
      </c>
      <c r="C4056" t="str">
        <f t="shared" si="1346"/>
        <v>Standard Class</v>
      </c>
      <c r="D4056" t="str">
        <f t="shared" si="1347"/>
        <v>Consumer</v>
      </c>
      <c r="E4056" t="s">
        <v>16</v>
      </c>
      <c r="F4056">
        <v>11</v>
      </c>
      <c r="G4056">
        <v>0.4</v>
      </c>
      <c r="H4056" s="2">
        <v>58.730399999999996</v>
      </c>
      <c r="I4056" s="2">
        <v>172.864</v>
      </c>
    </row>
    <row r="4057" spans="1:9" x14ac:dyDescent="0.3">
      <c r="A4057" t="str">
        <f t="shared" si="1339"/>
        <v>United States</v>
      </c>
      <c r="B4057" t="str">
        <f t="shared" si="1341"/>
        <v>Portland</v>
      </c>
      <c r="C4057" t="str">
        <f t="shared" si="1346"/>
        <v>Standard Class</v>
      </c>
      <c r="D4057" t="str">
        <f t="shared" si="1347"/>
        <v>Consumer</v>
      </c>
      <c r="E4057" t="s">
        <v>24</v>
      </c>
      <c r="F4057">
        <v>3</v>
      </c>
      <c r="G4057">
        <v>0.2</v>
      </c>
      <c r="H4057" s="2">
        <v>54.5916</v>
      </c>
      <c r="I4057" s="2">
        <v>155.976</v>
      </c>
    </row>
    <row r="4058" spans="1:9" x14ac:dyDescent="0.3">
      <c r="A4058" t="str">
        <f t="shared" si="1339"/>
        <v>United States</v>
      </c>
      <c r="B4058" t="str">
        <f t="shared" si="1341"/>
        <v>Portland</v>
      </c>
      <c r="C4058" t="str">
        <f t="shared" si="1346"/>
        <v>Standard Class</v>
      </c>
      <c r="D4058" t="str">
        <f t="shared" si="1347"/>
        <v>Consumer</v>
      </c>
      <c r="E4058" t="s">
        <v>14</v>
      </c>
      <c r="F4058">
        <v>8</v>
      </c>
      <c r="G4058">
        <v>0.4</v>
      </c>
      <c r="H4058" s="2">
        <v>-91.977999999999966</v>
      </c>
      <c r="I4058" s="2">
        <v>481.6</v>
      </c>
    </row>
    <row r="4059" spans="1:9" x14ac:dyDescent="0.3">
      <c r="A4059" t="str">
        <f t="shared" si="1339"/>
        <v>United States</v>
      </c>
      <c r="B4059" t="str">
        <f t="shared" si="1341"/>
        <v>Portland</v>
      </c>
      <c r="C4059" t="str">
        <f t="shared" si="1346"/>
        <v>Standard Class</v>
      </c>
      <c r="D4059" t="s">
        <v>15</v>
      </c>
      <c r="E4059" t="s">
        <v>12</v>
      </c>
      <c r="F4059">
        <v>1</v>
      </c>
      <c r="G4059">
        <v>0.2</v>
      </c>
      <c r="H4059" s="2">
        <v>0.8382000000000005</v>
      </c>
      <c r="I4059" s="2">
        <v>11.176000000000002</v>
      </c>
    </row>
    <row r="4060" spans="1:9" x14ac:dyDescent="0.3">
      <c r="A4060" t="str">
        <f t="shared" si="1339"/>
        <v>United States</v>
      </c>
      <c r="B4060" t="str">
        <f t="shared" si="1341"/>
        <v>Portland</v>
      </c>
      <c r="C4060" t="str">
        <f t="shared" si="1346"/>
        <v>Standard Class</v>
      </c>
      <c r="D4060" t="str">
        <f t="shared" ref="D4060:D4061" si="1348">D4059</f>
        <v>Corporate</v>
      </c>
      <c r="E4060" t="s">
        <v>33</v>
      </c>
      <c r="F4060">
        <v>3</v>
      </c>
      <c r="G4060">
        <v>0.2</v>
      </c>
      <c r="H4060" s="2">
        <v>23.027999999999992</v>
      </c>
      <c r="I4060" s="2">
        <v>230.28000000000003</v>
      </c>
    </row>
    <row r="4061" spans="1:9" x14ac:dyDescent="0.3">
      <c r="A4061" t="str">
        <f t="shared" si="1339"/>
        <v>United States</v>
      </c>
      <c r="B4061" t="str">
        <f t="shared" si="1341"/>
        <v>Portland</v>
      </c>
      <c r="C4061" t="str">
        <f t="shared" si="1346"/>
        <v>Standard Class</v>
      </c>
      <c r="D4061" t="str">
        <f t="shared" si="1348"/>
        <v>Corporate</v>
      </c>
      <c r="E4061" t="s">
        <v>16</v>
      </c>
      <c r="F4061">
        <v>11</v>
      </c>
      <c r="G4061">
        <v>0.4</v>
      </c>
      <c r="H4061" s="2">
        <v>45.569199999999995</v>
      </c>
      <c r="I4061" s="2">
        <v>136.624</v>
      </c>
    </row>
    <row r="4062" spans="1:9" x14ac:dyDescent="0.3">
      <c r="A4062" t="str">
        <f t="shared" si="1339"/>
        <v>United States</v>
      </c>
      <c r="B4062" t="str">
        <f t="shared" si="1341"/>
        <v>Portland</v>
      </c>
      <c r="C4062" t="str">
        <f t="shared" si="1346"/>
        <v>Standard Class</v>
      </c>
      <c r="D4062" t="s">
        <v>17</v>
      </c>
      <c r="E4062" t="s">
        <v>20</v>
      </c>
      <c r="F4062">
        <v>1</v>
      </c>
      <c r="G4062">
        <v>0.7</v>
      </c>
      <c r="H4062" s="2">
        <v>-3.7880000000000003</v>
      </c>
      <c r="I4062" s="2">
        <v>5.6820000000000013</v>
      </c>
    </row>
    <row r="4063" spans="1:9" x14ac:dyDescent="0.3">
      <c r="A4063" t="str">
        <f t="shared" si="1339"/>
        <v>United States</v>
      </c>
      <c r="B4063" t="s">
        <v>420</v>
      </c>
      <c r="C4063" t="s">
        <v>11</v>
      </c>
      <c r="D4063" t="s">
        <v>8</v>
      </c>
      <c r="E4063" t="s">
        <v>16</v>
      </c>
      <c r="F4063">
        <v>7</v>
      </c>
      <c r="G4063">
        <v>0</v>
      </c>
      <c r="H4063" s="2">
        <v>26.555199999999999</v>
      </c>
      <c r="I4063" s="2">
        <v>56.86</v>
      </c>
    </row>
    <row r="4064" spans="1:9" x14ac:dyDescent="0.3">
      <c r="A4064" t="str">
        <f t="shared" si="1339"/>
        <v>United States</v>
      </c>
      <c r="B4064" t="str">
        <f t="shared" ref="B4064:B4090" si="1349">B4063</f>
        <v>Providence</v>
      </c>
      <c r="C4064" t="str">
        <f t="shared" ref="C4064:C4069" si="1350">C4063</f>
        <v>First Class</v>
      </c>
      <c r="D4064" t="str">
        <f>D4063</f>
        <v>Consumer</v>
      </c>
      <c r="E4064" t="s">
        <v>14</v>
      </c>
      <c r="F4064">
        <v>2</v>
      </c>
      <c r="G4064">
        <v>0</v>
      </c>
      <c r="H4064" s="2">
        <v>17.379999999999995</v>
      </c>
      <c r="I4064" s="2">
        <v>69.52</v>
      </c>
    </row>
    <row r="4065" spans="1:9" x14ac:dyDescent="0.3">
      <c r="A4065" t="str">
        <f t="shared" si="1339"/>
        <v>United States</v>
      </c>
      <c r="B4065" t="str">
        <f t="shared" si="1349"/>
        <v>Providence</v>
      </c>
      <c r="C4065" t="str">
        <f t="shared" si="1350"/>
        <v>First Class</v>
      </c>
      <c r="D4065" t="s">
        <v>15</v>
      </c>
      <c r="E4065" t="s">
        <v>23</v>
      </c>
      <c r="F4065">
        <v>2</v>
      </c>
      <c r="G4065">
        <v>0</v>
      </c>
      <c r="H4065" s="2">
        <v>4.8986000000000018</v>
      </c>
      <c r="I4065" s="2">
        <v>69.98</v>
      </c>
    </row>
    <row r="4066" spans="1:9" x14ac:dyDescent="0.3">
      <c r="A4066" t="str">
        <f t="shared" si="1339"/>
        <v>United States</v>
      </c>
      <c r="B4066" t="str">
        <f t="shared" si="1349"/>
        <v>Providence</v>
      </c>
      <c r="C4066" t="str">
        <f t="shared" si="1350"/>
        <v>First Class</v>
      </c>
      <c r="D4066" t="s">
        <v>17</v>
      </c>
      <c r="E4066" t="s">
        <v>20</v>
      </c>
      <c r="F4066">
        <v>3</v>
      </c>
      <c r="G4066">
        <v>0</v>
      </c>
      <c r="H4066" s="2">
        <v>23.774400000000004</v>
      </c>
      <c r="I4066" s="2">
        <v>49.53</v>
      </c>
    </row>
    <row r="4067" spans="1:9" x14ac:dyDescent="0.3">
      <c r="A4067" t="str">
        <f t="shared" si="1339"/>
        <v>United States</v>
      </c>
      <c r="B4067" t="str">
        <f t="shared" si="1349"/>
        <v>Providence</v>
      </c>
      <c r="C4067" t="str">
        <f t="shared" si="1350"/>
        <v>First Class</v>
      </c>
      <c r="D4067" t="str">
        <f t="shared" ref="D4067:D4069" si="1351">D4066</f>
        <v>Home Office</v>
      </c>
      <c r="E4067" t="s">
        <v>33</v>
      </c>
      <c r="F4067">
        <v>4</v>
      </c>
      <c r="G4067">
        <v>0</v>
      </c>
      <c r="H4067" s="2">
        <v>244.24959999999999</v>
      </c>
      <c r="I4067" s="2">
        <v>872.32</v>
      </c>
    </row>
    <row r="4068" spans="1:9" x14ac:dyDescent="0.3">
      <c r="A4068" t="str">
        <f t="shared" si="1339"/>
        <v>United States</v>
      </c>
      <c r="B4068" t="str">
        <f t="shared" si="1349"/>
        <v>Providence</v>
      </c>
      <c r="C4068" t="str">
        <f t="shared" si="1350"/>
        <v>First Class</v>
      </c>
      <c r="D4068" t="str">
        <f t="shared" si="1351"/>
        <v>Home Office</v>
      </c>
      <c r="E4068" t="s">
        <v>16</v>
      </c>
      <c r="F4068">
        <v>3</v>
      </c>
      <c r="G4068">
        <v>0</v>
      </c>
      <c r="H4068" s="2">
        <v>7.6679999999999993</v>
      </c>
      <c r="I4068" s="2">
        <v>17.04</v>
      </c>
    </row>
    <row r="4069" spans="1:9" x14ac:dyDescent="0.3">
      <c r="A4069" t="str">
        <f t="shared" si="1339"/>
        <v>United States</v>
      </c>
      <c r="B4069" t="str">
        <f t="shared" si="1349"/>
        <v>Providence</v>
      </c>
      <c r="C4069" t="str">
        <f t="shared" si="1350"/>
        <v>First Class</v>
      </c>
      <c r="D4069" t="str">
        <f t="shared" si="1351"/>
        <v>Home Office</v>
      </c>
      <c r="E4069" t="s">
        <v>14</v>
      </c>
      <c r="F4069">
        <v>9</v>
      </c>
      <c r="G4069">
        <v>0</v>
      </c>
      <c r="H4069" s="2">
        <v>481.86899999999986</v>
      </c>
      <c r="I4069" s="2">
        <v>1606.23</v>
      </c>
    </row>
    <row r="4070" spans="1:9" x14ac:dyDescent="0.3">
      <c r="A4070" t="str">
        <f t="shared" si="1339"/>
        <v>United States</v>
      </c>
      <c r="B4070" t="str">
        <f t="shared" si="1349"/>
        <v>Providence</v>
      </c>
      <c r="C4070" t="s">
        <v>7</v>
      </c>
      <c r="D4070" t="s">
        <v>8</v>
      </c>
      <c r="E4070" t="s">
        <v>20</v>
      </c>
      <c r="F4070">
        <v>5</v>
      </c>
      <c r="G4070">
        <v>0</v>
      </c>
      <c r="H4070" s="2">
        <v>13.365</v>
      </c>
      <c r="I4070" s="2">
        <v>29.700000000000003</v>
      </c>
    </row>
    <row r="4071" spans="1:9" x14ac:dyDescent="0.3">
      <c r="A4071" t="str">
        <f t="shared" si="1339"/>
        <v>United States</v>
      </c>
      <c r="B4071" t="str">
        <f t="shared" si="1349"/>
        <v>Providence</v>
      </c>
      <c r="C4071" t="str">
        <f t="shared" ref="C4071:C4077" si="1352">C4070</f>
        <v>Second Class</v>
      </c>
      <c r="D4071" t="str">
        <f>D4070</f>
        <v>Consumer</v>
      </c>
      <c r="E4071" t="s">
        <v>16</v>
      </c>
      <c r="F4071">
        <v>4</v>
      </c>
      <c r="G4071">
        <v>0</v>
      </c>
      <c r="H4071" s="2">
        <v>17.981999999999999</v>
      </c>
      <c r="I4071" s="2">
        <v>39.96</v>
      </c>
    </row>
    <row r="4072" spans="1:9" x14ac:dyDescent="0.3">
      <c r="A4072" t="str">
        <f t="shared" si="1339"/>
        <v>United States</v>
      </c>
      <c r="B4072" t="str">
        <f t="shared" si="1349"/>
        <v>Providence</v>
      </c>
      <c r="C4072" t="str">
        <f t="shared" si="1352"/>
        <v>Second Class</v>
      </c>
      <c r="D4072" t="s">
        <v>15</v>
      </c>
      <c r="E4072" t="s">
        <v>34</v>
      </c>
      <c r="F4072">
        <v>1</v>
      </c>
      <c r="G4072">
        <v>0</v>
      </c>
      <c r="H4072" s="2">
        <v>50.825400000000002</v>
      </c>
      <c r="I4072" s="2">
        <v>220.98</v>
      </c>
    </row>
    <row r="4073" spans="1:9" x14ac:dyDescent="0.3">
      <c r="A4073" t="str">
        <f t="shared" si="1339"/>
        <v>United States</v>
      </c>
      <c r="B4073" t="str">
        <f t="shared" si="1349"/>
        <v>Providence</v>
      </c>
      <c r="C4073" t="str">
        <f t="shared" si="1352"/>
        <v>Second Class</v>
      </c>
      <c r="D4073" t="str">
        <f>D4072</f>
        <v>Corporate</v>
      </c>
      <c r="E4073" t="s">
        <v>9</v>
      </c>
      <c r="F4073">
        <v>6</v>
      </c>
      <c r="G4073">
        <v>0</v>
      </c>
      <c r="H4073" s="2">
        <v>34.757999999999953</v>
      </c>
      <c r="I4073" s="2">
        <v>695.16</v>
      </c>
    </row>
    <row r="4074" spans="1:9" x14ac:dyDescent="0.3">
      <c r="A4074" t="str">
        <f t="shared" si="1339"/>
        <v>United States</v>
      </c>
      <c r="B4074" t="str">
        <f t="shared" si="1349"/>
        <v>Providence</v>
      </c>
      <c r="C4074" t="str">
        <f t="shared" si="1352"/>
        <v>Second Class</v>
      </c>
      <c r="D4074" t="s">
        <v>17</v>
      </c>
      <c r="E4074" t="s">
        <v>23</v>
      </c>
      <c r="F4074">
        <v>2</v>
      </c>
      <c r="G4074">
        <v>0</v>
      </c>
      <c r="H4074" s="2">
        <v>83.991600000000005</v>
      </c>
      <c r="I4074" s="2">
        <v>199.98</v>
      </c>
    </row>
    <row r="4075" spans="1:9" x14ac:dyDescent="0.3">
      <c r="A4075" t="str">
        <f t="shared" si="1339"/>
        <v>United States</v>
      </c>
      <c r="B4075" t="str">
        <f t="shared" si="1349"/>
        <v>Providence</v>
      </c>
      <c r="C4075" t="str">
        <f t="shared" si="1352"/>
        <v>Second Class</v>
      </c>
      <c r="D4075" t="str">
        <f t="shared" ref="D4075:D4077" si="1353">D4074</f>
        <v>Home Office</v>
      </c>
      <c r="E4075" t="s">
        <v>33</v>
      </c>
      <c r="F4075">
        <v>1</v>
      </c>
      <c r="G4075">
        <v>0</v>
      </c>
      <c r="H4075" s="2">
        <v>15.537199999999999</v>
      </c>
      <c r="I4075" s="2">
        <v>110.98</v>
      </c>
    </row>
    <row r="4076" spans="1:9" x14ac:dyDescent="0.3">
      <c r="A4076" t="str">
        <f t="shared" si="1339"/>
        <v>United States</v>
      </c>
      <c r="B4076" t="str">
        <f t="shared" si="1349"/>
        <v>Providence</v>
      </c>
      <c r="C4076" t="str">
        <f t="shared" si="1352"/>
        <v>Second Class</v>
      </c>
      <c r="D4076" t="str">
        <f t="shared" si="1353"/>
        <v>Home Office</v>
      </c>
      <c r="E4076" t="s">
        <v>16</v>
      </c>
      <c r="F4076">
        <v>2</v>
      </c>
      <c r="G4076">
        <v>0</v>
      </c>
      <c r="H4076" s="2">
        <v>4.1159999999999997</v>
      </c>
      <c r="I4076" s="2">
        <v>8.4</v>
      </c>
    </row>
    <row r="4077" spans="1:9" x14ac:dyDescent="0.3">
      <c r="A4077" t="str">
        <f t="shared" si="1339"/>
        <v>United States</v>
      </c>
      <c r="B4077" t="str">
        <f t="shared" si="1349"/>
        <v>Providence</v>
      </c>
      <c r="C4077" t="str">
        <f t="shared" si="1352"/>
        <v>Second Class</v>
      </c>
      <c r="D4077" t="str">
        <f t="shared" si="1353"/>
        <v>Home Office</v>
      </c>
      <c r="E4077" t="s">
        <v>24</v>
      </c>
      <c r="F4077">
        <v>3</v>
      </c>
      <c r="G4077">
        <v>0</v>
      </c>
      <c r="H4077" s="2">
        <v>3.8654999999999973</v>
      </c>
      <c r="I4077" s="2">
        <v>128.85000000000002</v>
      </c>
    </row>
    <row r="4078" spans="1:9" x14ac:dyDescent="0.3">
      <c r="A4078" t="str">
        <f t="shared" si="1339"/>
        <v>United States</v>
      </c>
      <c r="B4078" t="str">
        <f t="shared" si="1349"/>
        <v>Providence</v>
      </c>
      <c r="C4078" t="s">
        <v>22</v>
      </c>
      <c r="D4078" t="s">
        <v>8</v>
      </c>
      <c r="E4078" t="s">
        <v>14</v>
      </c>
      <c r="F4078">
        <v>5</v>
      </c>
      <c r="G4078">
        <v>0</v>
      </c>
      <c r="H4078" s="2">
        <v>1.0429999999999984</v>
      </c>
      <c r="I4078" s="2">
        <v>14.9</v>
      </c>
    </row>
    <row r="4079" spans="1:9" x14ac:dyDescent="0.3">
      <c r="A4079" t="str">
        <f t="shared" si="1339"/>
        <v>United States</v>
      </c>
      <c r="B4079" t="str">
        <f t="shared" si="1349"/>
        <v>Providence</v>
      </c>
      <c r="C4079" t="str">
        <f t="shared" ref="C4079:C4090" si="1354">C4078</f>
        <v>Standard Class</v>
      </c>
      <c r="D4079" t="s">
        <v>15</v>
      </c>
      <c r="E4079" t="s">
        <v>16</v>
      </c>
      <c r="F4079">
        <v>2</v>
      </c>
      <c r="G4079">
        <v>0</v>
      </c>
      <c r="H4079" s="2">
        <v>6.2208000000000006</v>
      </c>
      <c r="I4079" s="2">
        <v>12.96</v>
      </c>
    </row>
    <row r="4080" spans="1:9" x14ac:dyDescent="0.3">
      <c r="A4080" t="str">
        <f t="shared" si="1339"/>
        <v>United States</v>
      </c>
      <c r="B4080" t="str">
        <f t="shared" si="1349"/>
        <v>Providence</v>
      </c>
      <c r="C4080" t="str">
        <f t="shared" si="1354"/>
        <v>Standard Class</v>
      </c>
      <c r="D4080" t="str">
        <f t="shared" ref="D4080:D4081" si="1355">D4079</f>
        <v>Corporate</v>
      </c>
      <c r="E4080" t="s">
        <v>24</v>
      </c>
      <c r="F4080">
        <v>2</v>
      </c>
      <c r="G4080">
        <v>0</v>
      </c>
      <c r="H4080" s="2">
        <v>1.0597999999999956</v>
      </c>
      <c r="I4080" s="2">
        <v>105.98</v>
      </c>
    </row>
    <row r="4081" spans="1:9" x14ac:dyDescent="0.3">
      <c r="A4081" t="str">
        <f t="shared" si="1339"/>
        <v>United States</v>
      </c>
      <c r="B4081" t="str">
        <f t="shared" si="1349"/>
        <v>Providence</v>
      </c>
      <c r="C4081" t="str">
        <f t="shared" si="1354"/>
        <v>Standard Class</v>
      </c>
      <c r="D4081" t="str">
        <f t="shared" si="1355"/>
        <v>Corporate</v>
      </c>
      <c r="E4081" t="s">
        <v>25</v>
      </c>
      <c r="F4081">
        <v>7</v>
      </c>
      <c r="G4081">
        <v>0.3</v>
      </c>
      <c r="H4081" s="2">
        <v>-28.22399999999999</v>
      </c>
      <c r="I4081" s="2">
        <v>493.9199999999999</v>
      </c>
    </row>
    <row r="4082" spans="1:9" x14ac:dyDescent="0.3">
      <c r="A4082" t="str">
        <f t="shared" si="1339"/>
        <v>United States</v>
      </c>
      <c r="B4082" t="str">
        <f t="shared" si="1349"/>
        <v>Providence</v>
      </c>
      <c r="C4082" t="str">
        <f t="shared" si="1354"/>
        <v>Standard Class</v>
      </c>
      <c r="D4082" t="s">
        <v>17</v>
      </c>
      <c r="E4082" t="s">
        <v>23</v>
      </c>
      <c r="F4082">
        <v>4</v>
      </c>
      <c r="G4082">
        <v>0</v>
      </c>
      <c r="H4082" s="2">
        <v>742.63200000000006</v>
      </c>
      <c r="I4082" s="2">
        <v>1687.8</v>
      </c>
    </row>
    <row r="4083" spans="1:9" x14ac:dyDescent="0.3">
      <c r="A4083" t="str">
        <f t="shared" si="1339"/>
        <v>United States</v>
      </c>
      <c r="B4083" t="str">
        <f t="shared" si="1349"/>
        <v>Providence</v>
      </c>
      <c r="C4083" t="str">
        <f t="shared" si="1354"/>
        <v>Standard Class</v>
      </c>
      <c r="D4083" t="str">
        <f t="shared" ref="D4083:D4090" si="1356">D4082</f>
        <v>Home Office</v>
      </c>
      <c r="E4083" t="s">
        <v>20</v>
      </c>
      <c r="F4083">
        <v>1</v>
      </c>
      <c r="G4083">
        <v>0</v>
      </c>
      <c r="H4083" s="2">
        <v>13.983999999999998</v>
      </c>
      <c r="I4083" s="2">
        <v>30.4</v>
      </c>
    </row>
    <row r="4084" spans="1:9" x14ac:dyDescent="0.3">
      <c r="A4084" t="str">
        <f t="shared" si="1339"/>
        <v>United States</v>
      </c>
      <c r="B4084" t="str">
        <f t="shared" si="1349"/>
        <v>Providence</v>
      </c>
      <c r="C4084" t="str">
        <f t="shared" si="1354"/>
        <v>Standard Class</v>
      </c>
      <c r="D4084" t="str">
        <f t="shared" si="1356"/>
        <v>Home Office</v>
      </c>
      <c r="E4084" t="s">
        <v>34</v>
      </c>
      <c r="F4084">
        <v>2</v>
      </c>
      <c r="G4084">
        <v>0</v>
      </c>
      <c r="H4084" s="2">
        <v>78.650800000000004</v>
      </c>
      <c r="I4084" s="2">
        <v>341.96</v>
      </c>
    </row>
    <row r="4085" spans="1:9" x14ac:dyDescent="0.3">
      <c r="A4085" t="str">
        <f t="shared" si="1339"/>
        <v>United States</v>
      </c>
      <c r="B4085" t="str">
        <f t="shared" si="1349"/>
        <v>Providence</v>
      </c>
      <c r="C4085" t="str">
        <f t="shared" si="1354"/>
        <v>Standard Class</v>
      </c>
      <c r="D4085" t="str">
        <f t="shared" si="1356"/>
        <v>Home Office</v>
      </c>
      <c r="E4085" t="s">
        <v>33</v>
      </c>
      <c r="F4085">
        <v>6</v>
      </c>
      <c r="G4085">
        <v>0</v>
      </c>
      <c r="H4085" s="2">
        <v>151.47000000000003</v>
      </c>
      <c r="I4085" s="2">
        <v>605.88</v>
      </c>
    </row>
    <row r="4086" spans="1:9" x14ac:dyDescent="0.3">
      <c r="A4086" t="str">
        <f t="shared" si="1339"/>
        <v>United States</v>
      </c>
      <c r="B4086" t="str">
        <f t="shared" si="1349"/>
        <v>Providence</v>
      </c>
      <c r="C4086" t="str">
        <f t="shared" si="1354"/>
        <v>Standard Class</v>
      </c>
      <c r="D4086" t="str">
        <f t="shared" si="1356"/>
        <v>Home Office</v>
      </c>
      <c r="E4086" t="s">
        <v>45</v>
      </c>
      <c r="F4086">
        <v>9</v>
      </c>
      <c r="G4086">
        <v>0</v>
      </c>
      <c r="H4086" s="2">
        <v>2591.9567999999999</v>
      </c>
      <c r="I4086" s="2">
        <v>5399.91</v>
      </c>
    </row>
    <row r="4087" spans="1:9" x14ac:dyDescent="0.3">
      <c r="A4087" t="str">
        <f t="shared" si="1339"/>
        <v>United States</v>
      </c>
      <c r="B4087" t="str">
        <f t="shared" si="1349"/>
        <v>Providence</v>
      </c>
      <c r="C4087" t="str">
        <f t="shared" si="1354"/>
        <v>Standard Class</v>
      </c>
      <c r="D4087" t="str">
        <f t="shared" si="1356"/>
        <v>Home Office</v>
      </c>
      <c r="E4087" t="s">
        <v>21</v>
      </c>
      <c r="F4087">
        <v>6</v>
      </c>
      <c r="G4087">
        <v>0</v>
      </c>
      <c r="H4087" s="2">
        <v>23.898600000000002</v>
      </c>
      <c r="I4087" s="2">
        <v>72.42</v>
      </c>
    </row>
    <row r="4088" spans="1:9" x14ac:dyDescent="0.3">
      <c r="A4088" t="str">
        <f t="shared" si="1339"/>
        <v>United States</v>
      </c>
      <c r="B4088" t="str">
        <f t="shared" si="1349"/>
        <v>Providence</v>
      </c>
      <c r="C4088" t="str">
        <f t="shared" si="1354"/>
        <v>Standard Class</v>
      </c>
      <c r="D4088" t="str">
        <f t="shared" si="1356"/>
        <v>Home Office</v>
      </c>
      <c r="E4088" t="s">
        <v>16</v>
      </c>
      <c r="F4088">
        <v>7</v>
      </c>
      <c r="G4088">
        <v>0</v>
      </c>
      <c r="H4088" s="2">
        <v>98.972599999999986</v>
      </c>
      <c r="I4088" s="2">
        <v>210.57999999999998</v>
      </c>
    </row>
    <row r="4089" spans="1:9" x14ac:dyDescent="0.3">
      <c r="A4089" t="str">
        <f t="shared" si="1339"/>
        <v>United States</v>
      </c>
      <c r="B4089" t="str">
        <f t="shared" si="1349"/>
        <v>Providence</v>
      </c>
      <c r="C4089" t="str">
        <f t="shared" si="1354"/>
        <v>Standard Class</v>
      </c>
      <c r="D4089" t="str">
        <f t="shared" si="1356"/>
        <v>Home Office</v>
      </c>
      <c r="E4089" t="s">
        <v>24</v>
      </c>
      <c r="F4089">
        <v>5</v>
      </c>
      <c r="G4089">
        <v>0</v>
      </c>
      <c r="H4089" s="2">
        <v>176.38600000000002</v>
      </c>
      <c r="I4089" s="2">
        <v>629.94999999999993</v>
      </c>
    </row>
    <row r="4090" spans="1:9" x14ac:dyDescent="0.3">
      <c r="A4090" t="str">
        <f t="shared" si="1339"/>
        <v>United States</v>
      </c>
      <c r="B4090" t="str">
        <f t="shared" si="1349"/>
        <v>Providence</v>
      </c>
      <c r="C4090" t="str">
        <f t="shared" si="1354"/>
        <v>Standard Class</v>
      </c>
      <c r="D4090" t="str">
        <f t="shared" si="1356"/>
        <v>Home Office</v>
      </c>
      <c r="E4090" t="s">
        <v>14</v>
      </c>
      <c r="F4090">
        <v>8</v>
      </c>
      <c r="G4090">
        <v>0</v>
      </c>
      <c r="H4090" s="2">
        <v>616.77099999999996</v>
      </c>
      <c r="I4090" s="2">
        <v>2198.5</v>
      </c>
    </row>
    <row r="4091" spans="1:9" x14ac:dyDescent="0.3">
      <c r="A4091" t="str">
        <f t="shared" si="1339"/>
        <v>United States</v>
      </c>
      <c r="B4091" t="s">
        <v>421</v>
      </c>
      <c r="C4091" t="s">
        <v>7</v>
      </c>
      <c r="D4091" t="s">
        <v>15</v>
      </c>
      <c r="E4091" t="s">
        <v>20</v>
      </c>
      <c r="F4091">
        <v>8</v>
      </c>
      <c r="G4091">
        <v>0.60000000000000009</v>
      </c>
      <c r="H4091" s="2">
        <v>16.728299999999997</v>
      </c>
      <c r="I4091" s="2">
        <v>48.144000000000005</v>
      </c>
    </row>
    <row r="4092" spans="1:9" x14ac:dyDescent="0.3">
      <c r="A4092" t="str">
        <f t="shared" si="1339"/>
        <v>United States</v>
      </c>
      <c r="B4092" t="str">
        <f t="shared" ref="B4092:B4097" si="1357">B4091</f>
        <v>Provo</v>
      </c>
      <c r="C4092" t="str">
        <f t="shared" ref="C4092:C4095" si="1358">C4091</f>
        <v>Second Class</v>
      </c>
      <c r="D4092" t="str">
        <f t="shared" ref="D4092:D4095" si="1359">D4091</f>
        <v>Corporate</v>
      </c>
      <c r="E4092" t="s">
        <v>34</v>
      </c>
      <c r="F4092">
        <v>3</v>
      </c>
      <c r="G4092">
        <v>0</v>
      </c>
      <c r="H4092" s="2">
        <v>77.576399999999921</v>
      </c>
      <c r="I4092" s="2">
        <v>1292.94</v>
      </c>
    </row>
    <row r="4093" spans="1:9" x14ac:dyDescent="0.3">
      <c r="A4093" t="str">
        <f t="shared" si="1339"/>
        <v>United States</v>
      </c>
      <c r="B4093" t="str">
        <f t="shared" si="1357"/>
        <v>Provo</v>
      </c>
      <c r="C4093" t="str">
        <f t="shared" si="1358"/>
        <v>Second Class</v>
      </c>
      <c r="D4093" t="str">
        <f t="shared" si="1359"/>
        <v>Corporate</v>
      </c>
      <c r="E4093" t="s">
        <v>43</v>
      </c>
      <c r="F4093">
        <v>5</v>
      </c>
      <c r="G4093">
        <v>0</v>
      </c>
      <c r="H4093" s="2">
        <v>7.056</v>
      </c>
      <c r="I4093" s="2">
        <v>14.399999999999999</v>
      </c>
    </row>
    <row r="4094" spans="1:9" x14ac:dyDescent="0.3">
      <c r="A4094" t="str">
        <f t="shared" si="1339"/>
        <v>United States</v>
      </c>
      <c r="B4094" t="str">
        <f t="shared" si="1357"/>
        <v>Provo</v>
      </c>
      <c r="C4094" t="str">
        <f t="shared" si="1358"/>
        <v>Second Class</v>
      </c>
      <c r="D4094" t="str">
        <f t="shared" si="1359"/>
        <v>Corporate</v>
      </c>
      <c r="E4094" t="s">
        <v>16</v>
      </c>
      <c r="F4094">
        <v>10</v>
      </c>
      <c r="G4094">
        <v>0</v>
      </c>
      <c r="H4094" s="2">
        <v>90.682199999999995</v>
      </c>
      <c r="I4094" s="2">
        <v>186.85999999999999</v>
      </c>
    </row>
    <row r="4095" spans="1:9" x14ac:dyDescent="0.3">
      <c r="A4095" t="str">
        <f t="shared" si="1339"/>
        <v>United States</v>
      </c>
      <c r="B4095" t="str">
        <f t="shared" si="1357"/>
        <v>Provo</v>
      </c>
      <c r="C4095" t="str">
        <f t="shared" si="1358"/>
        <v>Second Class</v>
      </c>
      <c r="D4095" t="str">
        <f t="shared" si="1359"/>
        <v>Corporate</v>
      </c>
      <c r="E4095" t="s">
        <v>14</v>
      </c>
      <c r="F4095">
        <v>2</v>
      </c>
      <c r="G4095">
        <v>0</v>
      </c>
      <c r="H4095" s="2">
        <v>65.435000000000002</v>
      </c>
      <c r="I4095" s="2">
        <v>261.74</v>
      </c>
    </row>
    <row r="4096" spans="1:9" x14ac:dyDescent="0.3">
      <c r="A4096" t="str">
        <f t="shared" si="1339"/>
        <v>United States</v>
      </c>
      <c r="B4096" t="str">
        <f t="shared" si="1357"/>
        <v>Provo</v>
      </c>
      <c r="C4096" t="s">
        <v>22</v>
      </c>
      <c r="D4096" t="s">
        <v>8</v>
      </c>
      <c r="E4096" t="s">
        <v>25</v>
      </c>
      <c r="F4096">
        <v>5</v>
      </c>
      <c r="G4096">
        <v>0</v>
      </c>
      <c r="H4096" s="2">
        <v>118.65750000000006</v>
      </c>
      <c r="I4096" s="2">
        <v>912.75</v>
      </c>
    </row>
    <row r="4097" spans="1:9" x14ac:dyDescent="0.3">
      <c r="A4097" t="str">
        <f t="shared" si="1339"/>
        <v>United States</v>
      </c>
      <c r="B4097" t="str">
        <f t="shared" si="1357"/>
        <v>Provo</v>
      </c>
      <c r="C4097" t="str">
        <f>C4096</f>
        <v>Standard Class</v>
      </c>
      <c r="D4097" t="s">
        <v>17</v>
      </c>
      <c r="E4097" t="s">
        <v>9</v>
      </c>
      <c r="F4097">
        <v>5</v>
      </c>
      <c r="G4097">
        <v>0</v>
      </c>
      <c r="H4097" s="2">
        <v>12.432000000000002</v>
      </c>
      <c r="I4097" s="2">
        <v>44.400000000000006</v>
      </c>
    </row>
    <row r="4098" spans="1:9" x14ac:dyDescent="0.3">
      <c r="A4098" t="str">
        <f t="shared" si="1339"/>
        <v>United States</v>
      </c>
      <c r="B4098" t="s">
        <v>422</v>
      </c>
      <c r="C4098" t="s">
        <v>11</v>
      </c>
      <c r="D4098" t="s">
        <v>15</v>
      </c>
      <c r="E4098" t="s">
        <v>19</v>
      </c>
      <c r="F4098">
        <v>1</v>
      </c>
      <c r="G4098">
        <v>0.2</v>
      </c>
      <c r="H4098" s="2">
        <v>0.89459999999999995</v>
      </c>
      <c r="I4098" s="2">
        <v>3.4079999999999999</v>
      </c>
    </row>
    <row r="4099" spans="1:9" x14ac:dyDescent="0.3">
      <c r="A4099" t="str">
        <f t="shared" si="1339"/>
        <v>United States</v>
      </c>
      <c r="B4099" t="str">
        <f t="shared" ref="B4099:B4103" si="1360">B4098</f>
        <v>Pueblo</v>
      </c>
      <c r="C4099" t="str">
        <f t="shared" ref="C4099:C4101" si="1361">C4098</f>
        <v>First Class</v>
      </c>
      <c r="D4099" t="s">
        <v>17</v>
      </c>
      <c r="E4099" t="s">
        <v>23</v>
      </c>
      <c r="F4099">
        <v>5</v>
      </c>
      <c r="G4099">
        <v>0.2</v>
      </c>
      <c r="H4099" s="2">
        <v>0.84950000000000259</v>
      </c>
      <c r="I4099" s="2">
        <v>67.959999999999994</v>
      </c>
    </row>
    <row r="4100" spans="1:9" x14ac:dyDescent="0.3">
      <c r="A4100" t="str">
        <f t="shared" ref="A4100:A4163" si="1362">A4099</f>
        <v>United States</v>
      </c>
      <c r="B4100" t="str">
        <f t="shared" si="1360"/>
        <v>Pueblo</v>
      </c>
      <c r="C4100" t="str">
        <f t="shared" si="1361"/>
        <v>First Class</v>
      </c>
      <c r="D4100" t="str">
        <f t="shared" ref="D4100:D4101" si="1363">D4099</f>
        <v>Home Office</v>
      </c>
      <c r="E4100" t="s">
        <v>20</v>
      </c>
      <c r="F4100">
        <v>8</v>
      </c>
      <c r="G4100">
        <v>1.4</v>
      </c>
      <c r="H4100" s="2">
        <v>-24.101600000000001</v>
      </c>
      <c r="I4100" s="2">
        <v>29.880000000000006</v>
      </c>
    </row>
    <row r="4101" spans="1:9" x14ac:dyDescent="0.3">
      <c r="A4101" t="str">
        <f t="shared" si="1362"/>
        <v>United States</v>
      </c>
      <c r="B4101" t="str">
        <f t="shared" si="1360"/>
        <v>Pueblo</v>
      </c>
      <c r="C4101" t="str">
        <f t="shared" si="1361"/>
        <v>First Class</v>
      </c>
      <c r="D4101" t="str">
        <f t="shared" si="1363"/>
        <v>Home Office</v>
      </c>
      <c r="E4101" t="s">
        <v>46</v>
      </c>
      <c r="F4101">
        <v>6</v>
      </c>
      <c r="G4101">
        <v>0.7</v>
      </c>
      <c r="H4101" s="2">
        <v>-938.28</v>
      </c>
      <c r="I4101" s="2">
        <v>703.71</v>
      </c>
    </row>
    <row r="4102" spans="1:9" x14ac:dyDescent="0.3">
      <c r="A4102" t="str">
        <f t="shared" si="1362"/>
        <v>United States</v>
      </c>
      <c r="B4102" t="str">
        <f t="shared" si="1360"/>
        <v>Pueblo</v>
      </c>
      <c r="C4102" t="s">
        <v>27</v>
      </c>
      <c r="D4102" t="s">
        <v>8</v>
      </c>
      <c r="E4102" t="s">
        <v>20</v>
      </c>
      <c r="F4102">
        <v>9</v>
      </c>
      <c r="G4102">
        <v>1.4</v>
      </c>
      <c r="H4102" s="2">
        <v>-24.907199999999996</v>
      </c>
      <c r="I4102" s="2">
        <v>36.252000000000002</v>
      </c>
    </row>
    <row r="4103" spans="1:9" x14ac:dyDescent="0.3">
      <c r="A4103" t="str">
        <f t="shared" si="1362"/>
        <v>United States</v>
      </c>
      <c r="B4103" t="str">
        <f t="shared" si="1360"/>
        <v>Pueblo</v>
      </c>
      <c r="C4103" t="s">
        <v>22</v>
      </c>
      <c r="D4103" t="s">
        <v>8</v>
      </c>
      <c r="E4103" t="s">
        <v>12</v>
      </c>
      <c r="F4103">
        <v>13</v>
      </c>
      <c r="G4103">
        <v>0.2</v>
      </c>
      <c r="H4103" s="2">
        <v>84.572799999999944</v>
      </c>
      <c r="I4103" s="2">
        <v>845.72799999999995</v>
      </c>
    </row>
    <row r="4104" spans="1:9" x14ac:dyDescent="0.3">
      <c r="A4104" t="str">
        <f t="shared" si="1362"/>
        <v>United States</v>
      </c>
      <c r="B4104" t="s">
        <v>423</v>
      </c>
      <c r="C4104" t="s">
        <v>11</v>
      </c>
      <c r="D4104" t="s">
        <v>8</v>
      </c>
      <c r="E4104" t="s">
        <v>20</v>
      </c>
      <c r="F4104">
        <v>2</v>
      </c>
      <c r="G4104">
        <v>0.8</v>
      </c>
      <c r="H4104" s="2">
        <v>-3.2406000000000006</v>
      </c>
      <c r="I4104" s="2">
        <v>1.9639999999999995</v>
      </c>
    </row>
    <row r="4105" spans="1:9" x14ac:dyDescent="0.3">
      <c r="A4105" t="str">
        <f t="shared" si="1362"/>
        <v>United States</v>
      </c>
      <c r="B4105" t="str">
        <f t="shared" ref="B4105:B4121" si="1364">B4104</f>
        <v>Quincy</v>
      </c>
      <c r="C4105" t="str">
        <f t="shared" ref="C4105:C4108" si="1365">C4104</f>
        <v>First Class</v>
      </c>
      <c r="D4105" t="s">
        <v>15</v>
      </c>
      <c r="E4105" t="s">
        <v>20</v>
      </c>
      <c r="F4105">
        <v>9</v>
      </c>
      <c r="G4105">
        <v>0.8</v>
      </c>
      <c r="H4105" s="2">
        <v>-5.1840000000000011</v>
      </c>
      <c r="I4105" s="2">
        <v>3.2399999999999993</v>
      </c>
    </row>
    <row r="4106" spans="1:9" x14ac:dyDescent="0.3">
      <c r="A4106" t="str">
        <f t="shared" si="1362"/>
        <v>United States</v>
      </c>
      <c r="B4106" t="str">
        <f t="shared" si="1364"/>
        <v>Quincy</v>
      </c>
      <c r="C4106" t="str">
        <f t="shared" si="1365"/>
        <v>First Class</v>
      </c>
      <c r="D4106" t="str">
        <f t="shared" ref="D4106:D4108" si="1366">D4105</f>
        <v>Corporate</v>
      </c>
      <c r="E4106" t="s">
        <v>43</v>
      </c>
      <c r="F4106">
        <v>4</v>
      </c>
      <c r="G4106">
        <v>0.2</v>
      </c>
      <c r="H4106" s="2">
        <v>17.759999999999998</v>
      </c>
      <c r="I4106" s="2">
        <v>47.360000000000007</v>
      </c>
    </row>
    <row r="4107" spans="1:9" x14ac:dyDescent="0.3">
      <c r="A4107" t="str">
        <f t="shared" si="1362"/>
        <v>United States</v>
      </c>
      <c r="B4107" t="str">
        <f t="shared" si="1364"/>
        <v>Quincy</v>
      </c>
      <c r="C4107" t="str">
        <f t="shared" si="1365"/>
        <v>First Class</v>
      </c>
      <c r="D4107" t="str">
        <f t="shared" si="1366"/>
        <v>Corporate</v>
      </c>
      <c r="E4107" t="s">
        <v>16</v>
      </c>
      <c r="F4107">
        <v>4</v>
      </c>
      <c r="G4107">
        <v>0.2</v>
      </c>
      <c r="H4107" s="2">
        <v>30.979999999999993</v>
      </c>
      <c r="I4107" s="2">
        <v>99.13600000000001</v>
      </c>
    </row>
    <row r="4108" spans="1:9" x14ac:dyDescent="0.3">
      <c r="A4108" t="str">
        <f t="shared" si="1362"/>
        <v>United States</v>
      </c>
      <c r="B4108" t="str">
        <f t="shared" si="1364"/>
        <v>Quincy</v>
      </c>
      <c r="C4108" t="str">
        <f t="shared" si="1365"/>
        <v>First Class</v>
      </c>
      <c r="D4108" t="str">
        <f t="shared" si="1366"/>
        <v>Corporate</v>
      </c>
      <c r="E4108" t="s">
        <v>14</v>
      </c>
      <c r="F4108">
        <v>2</v>
      </c>
      <c r="G4108">
        <v>0.2</v>
      </c>
      <c r="H4108" s="2">
        <v>2.4009999999999998</v>
      </c>
      <c r="I4108" s="2">
        <v>27.439999999999998</v>
      </c>
    </row>
    <row r="4109" spans="1:9" x14ac:dyDescent="0.3">
      <c r="A4109" t="str">
        <f t="shared" si="1362"/>
        <v>United States</v>
      </c>
      <c r="B4109" t="str">
        <f t="shared" si="1364"/>
        <v>Quincy</v>
      </c>
      <c r="C4109" t="s">
        <v>27</v>
      </c>
      <c r="D4109" t="s">
        <v>17</v>
      </c>
      <c r="E4109" t="s">
        <v>21</v>
      </c>
      <c r="F4109">
        <v>2</v>
      </c>
      <c r="G4109">
        <v>0</v>
      </c>
      <c r="H4109" s="2">
        <v>14.500999999999991</v>
      </c>
      <c r="I4109" s="2">
        <v>85.3</v>
      </c>
    </row>
    <row r="4110" spans="1:9" x14ac:dyDescent="0.3">
      <c r="A4110" t="str">
        <f t="shared" si="1362"/>
        <v>United States</v>
      </c>
      <c r="B4110" t="str">
        <f t="shared" si="1364"/>
        <v>Quincy</v>
      </c>
      <c r="C4110" t="s">
        <v>7</v>
      </c>
      <c r="D4110" t="s">
        <v>8</v>
      </c>
      <c r="E4110" t="s">
        <v>20</v>
      </c>
      <c r="F4110">
        <v>5</v>
      </c>
      <c r="G4110">
        <v>0</v>
      </c>
      <c r="H4110" s="2">
        <v>13.919999999999998</v>
      </c>
      <c r="I4110" s="2">
        <v>29</v>
      </c>
    </row>
    <row r="4111" spans="1:9" x14ac:dyDescent="0.3">
      <c r="A4111" t="str">
        <f t="shared" si="1362"/>
        <v>United States</v>
      </c>
      <c r="B4111" t="str">
        <f t="shared" si="1364"/>
        <v>Quincy</v>
      </c>
      <c r="C4111" t="str">
        <f t="shared" ref="C4111:C4114" si="1367">C4110</f>
        <v>Second Class</v>
      </c>
      <c r="D4111" t="str">
        <f t="shared" ref="D4111:D4114" si="1368">D4110</f>
        <v>Consumer</v>
      </c>
      <c r="E4111" t="s">
        <v>18</v>
      </c>
      <c r="F4111">
        <v>4</v>
      </c>
      <c r="G4111">
        <v>0</v>
      </c>
      <c r="H4111" s="2">
        <v>5.2559999999999993</v>
      </c>
      <c r="I4111" s="2">
        <v>11.68</v>
      </c>
    </row>
    <row r="4112" spans="1:9" x14ac:dyDescent="0.3">
      <c r="A4112" t="str">
        <f t="shared" si="1362"/>
        <v>United States</v>
      </c>
      <c r="B4112" t="str">
        <f t="shared" si="1364"/>
        <v>Quincy</v>
      </c>
      <c r="C4112" t="str">
        <f t="shared" si="1367"/>
        <v>Second Class</v>
      </c>
      <c r="D4112" t="str">
        <f t="shared" si="1368"/>
        <v>Consumer</v>
      </c>
      <c r="E4112" t="s">
        <v>16</v>
      </c>
      <c r="F4112">
        <v>12</v>
      </c>
      <c r="G4112">
        <v>0</v>
      </c>
      <c r="H4112" s="2">
        <v>96.948300000000003</v>
      </c>
      <c r="I4112" s="2">
        <v>204.51</v>
      </c>
    </row>
    <row r="4113" spans="1:9" x14ac:dyDescent="0.3">
      <c r="A4113" t="str">
        <f t="shared" si="1362"/>
        <v>United States</v>
      </c>
      <c r="B4113" t="str">
        <f t="shared" si="1364"/>
        <v>Quincy</v>
      </c>
      <c r="C4113" t="str">
        <f t="shared" si="1367"/>
        <v>Second Class</v>
      </c>
      <c r="D4113" t="str">
        <f t="shared" si="1368"/>
        <v>Consumer</v>
      </c>
      <c r="E4113" t="s">
        <v>24</v>
      </c>
      <c r="F4113">
        <v>3</v>
      </c>
      <c r="G4113">
        <v>0</v>
      </c>
      <c r="H4113" s="2">
        <v>28.785599999999995</v>
      </c>
      <c r="I4113" s="2">
        <v>59.97</v>
      </c>
    </row>
    <row r="4114" spans="1:9" x14ac:dyDescent="0.3">
      <c r="A4114" t="str">
        <f t="shared" si="1362"/>
        <v>United States</v>
      </c>
      <c r="B4114" t="str">
        <f t="shared" si="1364"/>
        <v>Quincy</v>
      </c>
      <c r="C4114" t="str">
        <f t="shared" si="1367"/>
        <v>Second Class</v>
      </c>
      <c r="D4114" t="str">
        <f t="shared" si="1368"/>
        <v>Consumer</v>
      </c>
      <c r="E4114" t="s">
        <v>25</v>
      </c>
      <c r="F4114">
        <v>1</v>
      </c>
      <c r="G4114">
        <v>0.3</v>
      </c>
      <c r="H4114" s="2">
        <v>20.966999999999999</v>
      </c>
      <c r="I4114" s="2">
        <v>244.61499999999998</v>
      </c>
    </row>
    <row r="4115" spans="1:9" x14ac:dyDescent="0.3">
      <c r="A4115" t="str">
        <f t="shared" si="1362"/>
        <v>United States</v>
      </c>
      <c r="B4115" t="str">
        <f t="shared" si="1364"/>
        <v>Quincy</v>
      </c>
      <c r="C4115" t="s">
        <v>22</v>
      </c>
      <c r="D4115" t="s">
        <v>8</v>
      </c>
      <c r="E4115" t="s">
        <v>23</v>
      </c>
      <c r="F4115">
        <v>4</v>
      </c>
      <c r="G4115">
        <v>0.2</v>
      </c>
      <c r="H4115" s="2">
        <v>2.7191999999999901</v>
      </c>
      <c r="I4115" s="2">
        <v>108.76800000000001</v>
      </c>
    </row>
    <row r="4116" spans="1:9" x14ac:dyDescent="0.3">
      <c r="A4116" t="str">
        <f t="shared" si="1362"/>
        <v>United States</v>
      </c>
      <c r="B4116" t="str">
        <f t="shared" si="1364"/>
        <v>Quincy</v>
      </c>
      <c r="C4116" t="str">
        <f t="shared" ref="C4116:C4121" si="1369">C4115</f>
        <v>Standard Class</v>
      </c>
      <c r="D4116" t="str">
        <f t="shared" ref="D4116:D4119" si="1370">D4115</f>
        <v>Consumer</v>
      </c>
      <c r="E4116" t="s">
        <v>19</v>
      </c>
      <c r="F4116">
        <v>5</v>
      </c>
      <c r="G4116">
        <v>0.2</v>
      </c>
      <c r="H4116" s="2">
        <v>1.7115</v>
      </c>
      <c r="I4116" s="2">
        <v>19.559999999999999</v>
      </c>
    </row>
    <row r="4117" spans="1:9" x14ac:dyDescent="0.3">
      <c r="A4117" t="str">
        <f t="shared" si="1362"/>
        <v>United States</v>
      </c>
      <c r="B4117" t="str">
        <f t="shared" si="1364"/>
        <v>Quincy</v>
      </c>
      <c r="C4117" t="str">
        <f t="shared" si="1369"/>
        <v>Standard Class</v>
      </c>
      <c r="D4117" t="str">
        <f t="shared" si="1370"/>
        <v>Consumer</v>
      </c>
      <c r="E4117" t="s">
        <v>20</v>
      </c>
      <c r="F4117">
        <v>4</v>
      </c>
      <c r="G4117">
        <v>0.8</v>
      </c>
      <c r="H4117" s="2">
        <v>-4.4880000000000013</v>
      </c>
      <c r="I4117" s="2">
        <v>2.9919999999999995</v>
      </c>
    </row>
    <row r="4118" spans="1:9" x14ac:dyDescent="0.3">
      <c r="A4118" t="str">
        <f t="shared" si="1362"/>
        <v>United States</v>
      </c>
      <c r="B4118" t="str">
        <f t="shared" si="1364"/>
        <v>Quincy</v>
      </c>
      <c r="C4118" t="str">
        <f t="shared" si="1369"/>
        <v>Standard Class</v>
      </c>
      <c r="D4118" t="str">
        <f t="shared" si="1370"/>
        <v>Consumer</v>
      </c>
      <c r="E4118" t="s">
        <v>43</v>
      </c>
      <c r="F4118">
        <v>6</v>
      </c>
      <c r="G4118">
        <v>0.2</v>
      </c>
      <c r="H4118" s="2">
        <v>6.4427999999999992</v>
      </c>
      <c r="I4118" s="2">
        <v>19.824000000000002</v>
      </c>
    </row>
    <row r="4119" spans="1:9" x14ac:dyDescent="0.3">
      <c r="A4119" t="str">
        <f t="shared" si="1362"/>
        <v>United States</v>
      </c>
      <c r="B4119" t="str">
        <f t="shared" si="1364"/>
        <v>Quincy</v>
      </c>
      <c r="C4119" t="str">
        <f t="shared" si="1369"/>
        <v>Standard Class</v>
      </c>
      <c r="D4119" t="str">
        <f t="shared" si="1370"/>
        <v>Consumer</v>
      </c>
      <c r="E4119" t="s">
        <v>16</v>
      </c>
      <c r="F4119">
        <v>5</v>
      </c>
      <c r="G4119">
        <v>0</v>
      </c>
      <c r="H4119" s="2">
        <v>12.863800000000001</v>
      </c>
      <c r="I4119" s="2">
        <v>27.64</v>
      </c>
    </row>
    <row r="4120" spans="1:9" x14ac:dyDescent="0.3">
      <c r="A4120" t="str">
        <f t="shared" si="1362"/>
        <v>United States</v>
      </c>
      <c r="B4120" t="str">
        <f t="shared" si="1364"/>
        <v>Quincy</v>
      </c>
      <c r="C4120" t="str">
        <f t="shared" si="1369"/>
        <v>Standard Class</v>
      </c>
      <c r="D4120" t="s">
        <v>17</v>
      </c>
      <c r="E4120" t="s">
        <v>23</v>
      </c>
      <c r="F4120">
        <v>10</v>
      </c>
      <c r="G4120">
        <v>0</v>
      </c>
      <c r="H4120" s="2">
        <v>93.203999999999994</v>
      </c>
      <c r="I4120" s="2">
        <v>258.89999999999998</v>
      </c>
    </row>
    <row r="4121" spans="1:9" x14ac:dyDescent="0.3">
      <c r="A4121" t="str">
        <f t="shared" si="1362"/>
        <v>United States</v>
      </c>
      <c r="B4121" t="str">
        <f t="shared" si="1364"/>
        <v>Quincy</v>
      </c>
      <c r="C4121" t="str">
        <f t="shared" si="1369"/>
        <v>Standard Class</v>
      </c>
      <c r="D4121" t="str">
        <f>D4120</f>
        <v>Home Office</v>
      </c>
      <c r="E4121" t="s">
        <v>16</v>
      </c>
      <c r="F4121">
        <v>2</v>
      </c>
      <c r="G4121">
        <v>0</v>
      </c>
      <c r="H4121" s="2">
        <v>11.543199999999999</v>
      </c>
      <c r="I4121" s="2">
        <v>24.56</v>
      </c>
    </row>
    <row r="4122" spans="1:9" x14ac:dyDescent="0.3">
      <c r="A4122" t="str">
        <f t="shared" si="1362"/>
        <v>United States</v>
      </c>
      <c r="B4122" t="s">
        <v>424</v>
      </c>
      <c r="C4122" t="s">
        <v>11</v>
      </c>
      <c r="D4122" t="s">
        <v>15</v>
      </c>
      <c r="E4122" t="s">
        <v>12</v>
      </c>
      <c r="F4122">
        <v>4</v>
      </c>
      <c r="G4122">
        <v>0.2</v>
      </c>
      <c r="H4122" s="2">
        <v>94.278400000000033</v>
      </c>
      <c r="I4122" s="2">
        <v>942.78400000000011</v>
      </c>
    </row>
    <row r="4123" spans="1:9" x14ac:dyDescent="0.3">
      <c r="A4123" t="str">
        <f t="shared" si="1362"/>
        <v>United States</v>
      </c>
      <c r="B4123" t="str">
        <f t="shared" ref="B4123:B4139" si="1371">B4122</f>
        <v>Raleigh</v>
      </c>
      <c r="C4123" t="str">
        <f t="shared" ref="C4123:C4126" si="1372">C4122</f>
        <v>First Class</v>
      </c>
      <c r="D4123" t="str">
        <f t="shared" ref="D4123:D4126" si="1373">D4122</f>
        <v>Corporate</v>
      </c>
      <c r="E4123" t="s">
        <v>20</v>
      </c>
      <c r="F4123">
        <v>2</v>
      </c>
      <c r="G4123">
        <v>0.7</v>
      </c>
      <c r="H4123" s="2">
        <v>-2.3136000000000001</v>
      </c>
      <c r="I4123" s="2">
        <v>2.8920000000000008</v>
      </c>
    </row>
    <row r="4124" spans="1:9" x14ac:dyDescent="0.3">
      <c r="A4124" t="str">
        <f t="shared" si="1362"/>
        <v>United States</v>
      </c>
      <c r="B4124" t="str">
        <f t="shared" si="1371"/>
        <v>Raleigh</v>
      </c>
      <c r="C4124" t="str">
        <f t="shared" si="1372"/>
        <v>First Class</v>
      </c>
      <c r="D4124" t="str">
        <f t="shared" si="1373"/>
        <v>Corporate</v>
      </c>
      <c r="E4124" t="s">
        <v>21</v>
      </c>
      <c r="F4124">
        <v>10</v>
      </c>
      <c r="G4124">
        <v>0.2</v>
      </c>
      <c r="H4124" s="2">
        <v>45.954000000000008</v>
      </c>
      <c r="I4124" s="2">
        <v>159.84000000000003</v>
      </c>
    </row>
    <row r="4125" spans="1:9" x14ac:dyDescent="0.3">
      <c r="A4125" t="str">
        <f t="shared" si="1362"/>
        <v>United States</v>
      </c>
      <c r="B4125" t="str">
        <f t="shared" si="1371"/>
        <v>Raleigh</v>
      </c>
      <c r="C4125" t="str">
        <f t="shared" si="1372"/>
        <v>First Class</v>
      </c>
      <c r="D4125" t="str">
        <f t="shared" si="1373"/>
        <v>Corporate</v>
      </c>
      <c r="E4125" t="s">
        <v>16</v>
      </c>
      <c r="F4125">
        <v>5</v>
      </c>
      <c r="G4125">
        <v>0.4</v>
      </c>
      <c r="H4125" s="2">
        <v>26.522199999999991</v>
      </c>
      <c r="I4125" s="2">
        <v>83.744</v>
      </c>
    </row>
    <row r="4126" spans="1:9" x14ac:dyDescent="0.3">
      <c r="A4126" t="str">
        <f t="shared" si="1362"/>
        <v>United States</v>
      </c>
      <c r="B4126" t="str">
        <f t="shared" si="1371"/>
        <v>Raleigh</v>
      </c>
      <c r="C4126" t="str">
        <f t="shared" si="1372"/>
        <v>First Class</v>
      </c>
      <c r="D4126" t="str">
        <f t="shared" si="1373"/>
        <v>Corporate</v>
      </c>
      <c r="E4126" t="s">
        <v>24</v>
      </c>
      <c r="F4126">
        <v>1</v>
      </c>
      <c r="G4126">
        <v>0.2</v>
      </c>
      <c r="H4126" s="2">
        <v>8.3519999999999932</v>
      </c>
      <c r="I4126" s="2">
        <v>74.239999999999995</v>
      </c>
    </row>
    <row r="4127" spans="1:9" x14ac:dyDescent="0.3">
      <c r="A4127" t="str">
        <f t="shared" si="1362"/>
        <v>United States</v>
      </c>
      <c r="B4127" t="str">
        <f t="shared" si="1371"/>
        <v>Raleigh</v>
      </c>
      <c r="C4127" t="s">
        <v>27</v>
      </c>
      <c r="D4127" t="s">
        <v>8</v>
      </c>
      <c r="E4127" t="s">
        <v>24</v>
      </c>
      <c r="F4127">
        <v>9</v>
      </c>
      <c r="G4127">
        <v>0.2</v>
      </c>
      <c r="H4127" s="2">
        <v>86.392799999999994</v>
      </c>
      <c r="I4127" s="2">
        <v>863.928</v>
      </c>
    </row>
    <row r="4128" spans="1:9" x14ac:dyDescent="0.3">
      <c r="A4128" t="str">
        <f t="shared" si="1362"/>
        <v>United States</v>
      </c>
      <c r="B4128" t="str">
        <f t="shared" si="1371"/>
        <v>Raleigh</v>
      </c>
      <c r="C4128" t="s">
        <v>7</v>
      </c>
      <c r="D4128" t="s">
        <v>8</v>
      </c>
      <c r="E4128" t="s">
        <v>33</v>
      </c>
      <c r="F4128">
        <v>4</v>
      </c>
      <c r="G4128">
        <v>0.2</v>
      </c>
      <c r="H4128" s="2">
        <v>12.177999999999983</v>
      </c>
      <c r="I4128" s="2">
        <v>194.84800000000001</v>
      </c>
    </row>
    <row r="4129" spans="1:9" x14ac:dyDescent="0.3">
      <c r="A4129" t="str">
        <f t="shared" si="1362"/>
        <v>United States</v>
      </c>
      <c r="B4129" t="str">
        <f t="shared" si="1371"/>
        <v>Raleigh</v>
      </c>
      <c r="C4129" t="str">
        <f t="shared" ref="C4129:C4131" si="1374">C4128</f>
        <v>Second Class</v>
      </c>
      <c r="D4129" t="str">
        <f>D4128</f>
        <v>Consumer</v>
      </c>
      <c r="E4129" t="s">
        <v>43</v>
      </c>
      <c r="F4129">
        <v>2</v>
      </c>
      <c r="G4129">
        <v>0.2</v>
      </c>
      <c r="H4129" s="2">
        <v>1.6704000000000001</v>
      </c>
      <c r="I4129" s="2">
        <v>4.6079999999999997</v>
      </c>
    </row>
    <row r="4130" spans="1:9" x14ac:dyDescent="0.3">
      <c r="A4130" t="str">
        <f t="shared" si="1362"/>
        <v>United States</v>
      </c>
      <c r="B4130" t="str">
        <f t="shared" si="1371"/>
        <v>Raleigh</v>
      </c>
      <c r="C4130" t="str">
        <f t="shared" si="1374"/>
        <v>Second Class</v>
      </c>
      <c r="D4130" t="s">
        <v>17</v>
      </c>
      <c r="E4130" t="s">
        <v>21</v>
      </c>
      <c r="F4130">
        <v>8</v>
      </c>
      <c r="G4130">
        <v>0.2</v>
      </c>
      <c r="H4130" s="2">
        <v>6.2855999999999987</v>
      </c>
      <c r="I4130" s="2">
        <v>18.624000000000002</v>
      </c>
    </row>
    <row r="4131" spans="1:9" x14ac:dyDescent="0.3">
      <c r="A4131" t="str">
        <f t="shared" si="1362"/>
        <v>United States</v>
      </c>
      <c r="B4131" t="str">
        <f t="shared" si="1371"/>
        <v>Raleigh</v>
      </c>
      <c r="C4131" t="str">
        <f t="shared" si="1374"/>
        <v>Second Class</v>
      </c>
      <c r="D4131" t="str">
        <f>D4130</f>
        <v>Home Office</v>
      </c>
      <c r="E4131" t="s">
        <v>24</v>
      </c>
      <c r="F4131">
        <v>6</v>
      </c>
      <c r="G4131">
        <v>0.60000000000000009</v>
      </c>
      <c r="H4131" s="2">
        <v>160.53139999999979</v>
      </c>
      <c r="I4131" s="2">
        <v>1636.6880000000001</v>
      </c>
    </row>
    <row r="4132" spans="1:9" x14ac:dyDescent="0.3">
      <c r="A4132" t="str">
        <f t="shared" si="1362"/>
        <v>United States</v>
      </c>
      <c r="B4132" t="str">
        <f t="shared" si="1371"/>
        <v>Raleigh</v>
      </c>
      <c r="C4132" t="s">
        <v>22</v>
      </c>
      <c r="D4132" t="s">
        <v>8</v>
      </c>
      <c r="E4132" t="s">
        <v>23</v>
      </c>
      <c r="F4132">
        <v>2</v>
      </c>
      <c r="G4132">
        <v>0.2</v>
      </c>
      <c r="H4132" s="2">
        <v>13.195600000000001</v>
      </c>
      <c r="I4132" s="2">
        <v>47.984000000000002</v>
      </c>
    </row>
    <row r="4133" spans="1:9" x14ac:dyDescent="0.3">
      <c r="A4133" t="str">
        <f t="shared" si="1362"/>
        <v>United States</v>
      </c>
      <c r="B4133" t="str">
        <f t="shared" si="1371"/>
        <v>Raleigh</v>
      </c>
      <c r="C4133" t="str">
        <f t="shared" ref="C4133:C4139" si="1375">C4132</f>
        <v>Standard Class</v>
      </c>
      <c r="D4133" t="str">
        <f t="shared" ref="D4133:D4137" si="1376">D4132</f>
        <v>Consumer</v>
      </c>
      <c r="E4133" t="s">
        <v>19</v>
      </c>
      <c r="F4133">
        <v>3</v>
      </c>
      <c r="G4133">
        <v>0.2</v>
      </c>
      <c r="H4133" s="2">
        <v>5.9519999999999946</v>
      </c>
      <c r="I4133" s="2">
        <v>47.616</v>
      </c>
    </row>
    <row r="4134" spans="1:9" x14ac:dyDescent="0.3">
      <c r="A4134" t="str">
        <f t="shared" si="1362"/>
        <v>United States</v>
      </c>
      <c r="B4134" t="str">
        <f t="shared" si="1371"/>
        <v>Raleigh</v>
      </c>
      <c r="C4134" t="str">
        <f t="shared" si="1375"/>
        <v>Standard Class</v>
      </c>
      <c r="D4134" t="str">
        <f t="shared" si="1376"/>
        <v>Consumer</v>
      </c>
      <c r="E4134" t="s">
        <v>20</v>
      </c>
      <c r="F4134">
        <v>7</v>
      </c>
      <c r="G4134">
        <v>0.7</v>
      </c>
      <c r="H4134" s="2">
        <v>-24.662400000000005</v>
      </c>
      <c r="I4134" s="2">
        <v>30.828000000000007</v>
      </c>
    </row>
    <row r="4135" spans="1:9" x14ac:dyDescent="0.3">
      <c r="A4135" t="str">
        <f t="shared" si="1362"/>
        <v>United States</v>
      </c>
      <c r="B4135" t="str">
        <f t="shared" si="1371"/>
        <v>Raleigh</v>
      </c>
      <c r="C4135" t="str">
        <f t="shared" si="1375"/>
        <v>Standard Class</v>
      </c>
      <c r="D4135" t="str">
        <f t="shared" si="1376"/>
        <v>Consumer</v>
      </c>
      <c r="E4135" t="s">
        <v>21</v>
      </c>
      <c r="F4135">
        <v>3</v>
      </c>
      <c r="G4135">
        <v>0.2</v>
      </c>
      <c r="H4135" s="2">
        <v>12.114900000000002</v>
      </c>
      <c r="I4135" s="2">
        <v>46.152000000000001</v>
      </c>
    </row>
    <row r="4136" spans="1:9" x14ac:dyDescent="0.3">
      <c r="A4136" t="str">
        <f t="shared" si="1362"/>
        <v>United States</v>
      </c>
      <c r="B4136" t="str">
        <f t="shared" si="1371"/>
        <v>Raleigh</v>
      </c>
      <c r="C4136" t="str">
        <f t="shared" si="1375"/>
        <v>Standard Class</v>
      </c>
      <c r="D4136" t="str">
        <f t="shared" si="1376"/>
        <v>Consumer</v>
      </c>
      <c r="E4136" t="s">
        <v>16</v>
      </c>
      <c r="F4136">
        <v>1</v>
      </c>
      <c r="G4136">
        <v>0.2</v>
      </c>
      <c r="H4136" s="2">
        <v>1.6762000000000001</v>
      </c>
      <c r="I4136" s="2">
        <v>4.6240000000000006</v>
      </c>
    </row>
    <row r="4137" spans="1:9" x14ac:dyDescent="0.3">
      <c r="A4137" t="str">
        <f t="shared" si="1362"/>
        <v>United States</v>
      </c>
      <c r="B4137" t="str">
        <f t="shared" si="1371"/>
        <v>Raleigh</v>
      </c>
      <c r="C4137" t="str">
        <f t="shared" si="1375"/>
        <v>Standard Class</v>
      </c>
      <c r="D4137" t="str">
        <f t="shared" si="1376"/>
        <v>Consumer</v>
      </c>
      <c r="E4137" t="s">
        <v>24</v>
      </c>
      <c r="F4137">
        <v>5</v>
      </c>
      <c r="G4137">
        <v>0.4</v>
      </c>
      <c r="H4137" s="2">
        <v>30.844899999999981</v>
      </c>
      <c r="I4137" s="2">
        <v>286.26400000000001</v>
      </c>
    </row>
    <row r="4138" spans="1:9" x14ac:dyDescent="0.3">
      <c r="A4138" t="str">
        <f t="shared" si="1362"/>
        <v>United States</v>
      </c>
      <c r="B4138" t="str">
        <f t="shared" si="1371"/>
        <v>Raleigh</v>
      </c>
      <c r="C4138" t="str">
        <f t="shared" si="1375"/>
        <v>Standard Class</v>
      </c>
      <c r="D4138" t="s">
        <v>15</v>
      </c>
      <c r="E4138" t="s">
        <v>12</v>
      </c>
      <c r="F4138">
        <v>1</v>
      </c>
      <c r="G4138">
        <v>0.2</v>
      </c>
      <c r="H4138" s="2">
        <v>3.6587999999999976</v>
      </c>
      <c r="I4138" s="2">
        <v>48.783999999999999</v>
      </c>
    </row>
    <row r="4139" spans="1:9" x14ac:dyDescent="0.3">
      <c r="A4139" t="str">
        <f t="shared" si="1362"/>
        <v>United States</v>
      </c>
      <c r="B4139" t="str">
        <f t="shared" si="1371"/>
        <v>Raleigh</v>
      </c>
      <c r="C4139" t="str">
        <f t="shared" si="1375"/>
        <v>Standard Class</v>
      </c>
      <c r="D4139" t="str">
        <f>D4138</f>
        <v>Corporate</v>
      </c>
      <c r="E4139" t="s">
        <v>20</v>
      </c>
      <c r="F4139">
        <v>4</v>
      </c>
      <c r="G4139">
        <v>0.7</v>
      </c>
      <c r="H4139" s="2">
        <v>-10.037199999999999</v>
      </c>
      <c r="I4139" s="2">
        <v>13.092000000000002</v>
      </c>
    </row>
    <row r="4140" spans="1:9" x14ac:dyDescent="0.3">
      <c r="A4140" t="str">
        <f t="shared" si="1362"/>
        <v>United States</v>
      </c>
      <c r="B4140" t="s">
        <v>425</v>
      </c>
      <c r="C4140" t="s">
        <v>7</v>
      </c>
      <c r="D4140" t="s">
        <v>8</v>
      </c>
      <c r="E4140" t="s">
        <v>12</v>
      </c>
      <c r="F4140">
        <v>3</v>
      </c>
      <c r="G4140">
        <v>0</v>
      </c>
      <c r="H4140" s="2">
        <v>41.293800000000005</v>
      </c>
      <c r="I4140" s="2">
        <v>152.94</v>
      </c>
    </row>
    <row r="4141" spans="1:9" x14ac:dyDescent="0.3">
      <c r="A4141" t="str">
        <f t="shared" si="1362"/>
        <v>United States</v>
      </c>
      <c r="B4141" t="str">
        <f t="shared" ref="B4141:B4143" si="1377">B4140</f>
        <v>Rancho Cucamonga</v>
      </c>
      <c r="C4141" t="s">
        <v>22</v>
      </c>
      <c r="D4141" t="s">
        <v>8</v>
      </c>
      <c r="E4141" t="s">
        <v>20</v>
      </c>
      <c r="F4141">
        <v>3</v>
      </c>
      <c r="G4141">
        <v>0.2</v>
      </c>
      <c r="H4141" s="2">
        <v>11.138399999999999</v>
      </c>
      <c r="I4141" s="2">
        <v>34.271999999999998</v>
      </c>
    </row>
    <row r="4142" spans="1:9" x14ac:dyDescent="0.3">
      <c r="A4142" t="str">
        <f t="shared" si="1362"/>
        <v>United States</v>
      </c>
      <c r="B4142" t="str">
        <f t="shared" si="1377"/>
        <v>Rancho Cucamonga</v>
      </c>
      <c r="C4142" t="str">
        <f t="shared" ref="C4142:C4143" si="1378">C4141</f>
        <v>Standard Class</v>
      </c>
      <c r="D4142" t="str">
        <f>D4141</f>
        <v>Consumer</v>
      </c>
      <c r="E4142" t="s">
        <v>16</v>
      </c>
      <c r="F4142">
        <v>6</v>
      </c>
      <c r="G4142">
        <v>0</v>
      </c>
      <c r="H4142" s="2">
        <v>18.662400000000002</v>
      </c>
      <c r="I4142" s="2">
        <v>38.880000000000003</v>
      </c>
    </row>
    <row r="4143" spans="1:9" x14ac:dyDescent="0.3">
      <c r="A4143" t="str">
        <f t="shared" si="1362"/>
        <v>United States</v>
      </c>
      <c r="B4143" t="str">
        <f t="shared" si="1377"/>
        <v>Rancho Cucamonga</v>
      </c>
      <c r="C4143" t="str">
        <f t="shared" si="1378"/>
        <v>Standard Class</v>
      </c>
      <c r="D4143" t="s">
        <v>15</v>
      </c>
      <c r="E4143" t="s">
        <v>43</v>
      </c>
      <c r="F4143">
        <v>2</v>
      </c>
      <c r="G4143">
        <v>0</v>
      </c>
      <c r="H4143" s="2">
        <v>2.6495999999999995</v>
      </c>
      <c r="I4143" s="2">
        <v>5.76</v>
      </c>
    </row>
    <row r="4144" spans="1:9" x14ac:dyDescent="0.3">
      <c r="A4144" t="str">
        <f t="shared" si="1362"/>
        <v>United States</v>
      </c>
      <c r="B4144" t="s">
        <v>426</v>
      </c>
      <c r="C4144" t="s">
        <v>11</v>
      </c>
      <c r="D4144" t="s">
        <v>15</v>
      </c>
      <c r="E4144" t="s">
        <v>20</v>
      </c>
      <c r="F4144">
        <v>2</v>
      </c>
      <c r="G4144">
        <v>0</v>
      </c>
      <c r="H4144" s="2">
        <v>5.0195999999999996</v>
      </c>
      <c r="I4144" s="2">
        <v>10.68</v>
      </c>
    </row>
    <row r="4145" spans="1:9" x14ac:dyDescent="0.3">
      <c r="A4145" t="str">
        <f t="shared" si="1362"/>
        <v>United States</v>
      </c>
      <c r="B4145" t="str">
        <f>B4144</f>
        <v>Rapid City</v>
      </c>
      <c r="C4145" t="str">
        <f>C4144</f>
        <v>First Class</v>
      </c>
      <c r="D4145" t="str">
        <f>D4144</f>
        <v>Corporate</v>
      </c>
      <c r="E4145" t="s">
        <v>34</v>
      </c>
      <c r="F4145">
        <v>2</v>
      </c>
      <c r="G4145">
        <v>0</v>
      </c>
      <c r="H4145" s="2">
        <v>39.748800000000003</v>
      </c>
      <c r="I4145" s="2">
        <v>141.96</v>
      </c>
    </row>
    <row r="4146" spans="1:9" x14ac:dyDescent="0.3">
      <c r="A4146" t="str">
        <f t="shared" si="1362"/>
        <v>United States</v>
      </c>
      <c r="B4146" t="s">
        <v>427</v>
      </c>
      <c r="C4146" t="s">
        <v>7</v>
      </c>
      <c r="D4146" t="s">
        <v>8</v>
      </c>
      <c r="E4146" t="s">
        <v>38</v>
      </c>
      <c r="F4146">
        <v>3</v>
      </c>
      <c r="G4146">
        <v>0.2</v>
      </c>
      <c r="H4146" s="2">
        <v>2.8781999999999992</v>
      </c>
      <c r="I4146" s="2">
        <v>8.8559999999999999</v>
      </c>
    </row>
    <row r="4147" spans="1:9" x14ac:dyDescent="0.3">
      <c r="A4147" t="str">
        <f t="shared" si="1362"/>
        <v>United States</v>
      </c>
      <c r="B4147" t="str">
        <f t="shared" ref="B4147:B4150" si="1379">B4146</f>
        <v>Reading</v>
      </c>
      <c r="C4147" t="str">
        <f t="shared" ref="C4147:C4149" si="1380">C4146</f>
        <v>Second Class</v>
      </c>
      <c r="D4147" t="str">
        <f>D4146</f>
        <v>Consumer</v>
      </c>
      <c r="E4147" t="s">
        <v>21</v>
      </c>
      <c r="F4147">
        <v>5</v>
      </c>
      <c r="G4147">
        <v>0.2</v>
      </c>
      <c r="H4147" s="2">
        <v>-30.392000000000024</v>
      </c>
      <c r="I4147" s="2">
        <v>303.92</v>
      </c>
    </row>
    <row r="4148" spans="1:9" x14ac:dyDescent="0.3">
      <c r="A4148" t="str">
        <f t="shared" si="1362"/>
        <v>United States</v>
      </c>
      <c r="B4148" t="str">
        <f t="shared" si="1379"/>
        <v>Reading</v>
      </c>
      <c r="C4148" t="str">
        <f t="shared" si="1380"/>
        <v>Second Class</v>
      </c>
      <c r="D4148" t="s">
        <v>15</v>
      </c>
      <c r="E4148" t="s">
        <v>34</v>
      </c>
      <c r="F4148">
        <v>4</v>
      </c>
      <c r="G4148">
        <v>0.5</v>
      </c>
      <c r="H4148" s="2">
        <v>-250.54079999999999</v>
      </c>
      <c r="I4148" s="2">
        <v>521.96</v>
      </c>
    </row>
    <row r="4149" spans="1:9" x14ac:dyDescent="0.3">
      <c r="A4149" t="str">
        <f t="shared" si="1362"/>
        <v>United States</v>
      </c>
      <c r="B4149" t="str">
        <f t="shared" si="1379"/>
        <v>Reading</v>
      </c>
      <c r="C4149" t="str">
        <f t="shared" si="1380"/>
        <v>Second Class</v>
      </c>
      <c r="D4149" t="str">
        <f>D4148</f>
        <v>Corporate</v>
      </c>
      <c r="E4149" t="s">
        <v>21</v>
      </c>
      <c r="F4149">
        <v>2</v>
      </c>
      <c r="G4149">
        <v>0.2</v>
      </c>
      <c r="H4149" s="2">
        <v>7.7896000000000001</v>
      </c>
      <c r="I4149" s="2">
        <v>23.968000000000004</v>
      </c>
    </row>
    <row r="4150" spans="1:9" x14ac:dyDescent="0.3">
      <c r="A4150" t="str">
        <f t="shared" si="1362"/>
        <v>United States</v>
      </c>
      <c r="B4150" t="str">
        <f t="shared" si="1379"/>
        <v>Reading</v>
      </c>
      <c r="C4150" t="s">
        <v>22</v>
      </c>
      <c r="D4150" t="s">
        <v>15</v>
      </c>
      <c r="E4150" t="s">
        <v>14</v>
      </c>
      <c r="F4150">
        <v>2</v>
      </c>
      <c r="G4150">
        <v>0.2</v>
      </c>
      <c r="H4150" s="2">
        <v>1.5007999999999999</v>
      </c>
      <c r="I4150" s="2">
        <v>15.008000000000003</v>
      </c>
    </row>
    <row r="4151" spans="1:9" x14ac:dyDescent="0.3">
      <c r="A4151" t="str">
        <f t="shared" si="1362"/>
        <v>United States</v>
      </c>
      <c r="B4151" t="s">
        <v>428</v>
      </c>
      <c r="C4151" t="s">
        <v>22</v>
      </c>
      <c r="D4151" t="s">
        <v>8</v>
      </c>
      <c r="E4151" t="s">
        <v>24</v>
      </c>
      <c r="F4151">
        <v>3</v>
      </c>
      <c r="G4151">
        <v>0.2</v>
      </c>
      <c r="H4151" s="2">
        <v>25.018199999999993</v>
      </c>
      <c r="I4151" s="2">
        <v>333.57600000000002</v>
      </c>
    </row>
    <row r="4152" spans="1:9" x14ac:dyDescent="0.3">
      <c r="A4152" t="str">
        <f t="shared" si="1362"/>
        <v>United States</v>
      </c>
      <c r="B4152" t="s">
        <v>429</v>
      </c>
      <c r="C4152" t="s">
        <v>27</v>
      </c>
      <c r="D4152" t="s">
        <v>8</v>
      </c>
      <c r="E4152" t="s">
        <v>19</v>
      </c>
      <c r="F4152">
        <v>8</v>
      </c>
      <c r="G4152">
        <v>0</v>
      </c>
      <c r="H4152" s="2">
        <v>14.712000000000002</v>
      </c>
      <c r="I4152" s="2">
        <v>40.44</v>
      </c>
    </row>
    <row r="4153" spans="1:9" x14ac:dyDescent="0.3">
      <c r="A4153" t="str">
        <f t="shared" si="1362"/>
        <v>United States</v>
      </c>
      <c r="B4153" t="str">
        <f t="shared" ref="B4153:B4164" si="1381">B4152</f>
        <v>Redlands</v>
      </c>
      <c r="C4153" t="str">
        <f t="shared" ref="C4153:C4161" si="1382">C4152</f>
        <v>Same Day</v>
      </c>
      <c r="D4153" t="str">
        <f t="shared" ref="D4153:D4161" si="1383">D4152</f>
        <v>Consumer</v>
      </c>
      <c r="E4153" t="s">
        <v>20</v>
      </c>
      <c r="F4153">
        <v>3</v>
      </c>
      <c r="G4153">
        <v>0.2</v>
      </c>
      <c r="H4153" s="2">
        <v>124.48499999999999</v>
      </c>
      <c r="I4153" s="2">
        <v>398.35199999999998</v>
      </c>
    </row>
    <row r="4154" spans="1:9" x14ac:dyDescent="0.3">
      <c r="A4154" t="str">
        <f t="shared" si="1362"/>
        <v>United States</v>
      </c>
      <c r="B4154" t="str">
        <f t="shared" si="1381"/>
        <v>Redlands</v>
      </c>
      <c r="C4154" t="str">
        <f t="shared" si="1382"/>
        <v>Same Day</v>
      </c>
      <c r="D4154" t="str">
        <f t="shared" si="1383"/>
        <v>Consumer</v>
      </c>
      <c r="E4154" t="s">
        <v>34</v>
      </c>
      <c r="F4154">
        <v>1</v>
      </c>
      <c r="G4154">
        <v>0.15</v>
      </c>
      <c r="H4154" s="2">
        <v>20.03919999999998</v>
      </c>
      <c r="I4154" s="2">
        <v>425.83300000000003</v>
      </c>
    </row>
    <row r="4155" spans="1:9" x14ac:dyDescent="0.3">
      <c r="A4155" t="str">
        <f t="shared" si="1362"/>
        <v>United States</v>
      </c>
      <c r="B4155" t="str">
        <f t="shared" si="1381"/>
        <v>Redlands</v>
      </c>
      <c r="C4155" t="str">
        <f t="shared" si="1382"/>
        <v>Same Day</v>
      </c>
      <c r="D4155" t="str">
        <f t="shared" si="1383"/>
        <v>Consumer</v>
      </c>
      <c r="E4155" t="s">
        <v>33</v>
      </c>
      <c r="F4155">
        <v>4</v>
      </c>
      <c r="G4155">
        <v>0.2</v>
      </c>
      <c r="H4155" s="2">
        <v>20.196000000000012</v>
      </c>
      <c r="I4155" s="2">
        <v>323.13600000000002</v>
      </c>
    </row>
    <row r="4156" spans="1:9" x14ac:dyDescent="0.3">
      <c r="A4156" t="str">
        <f t="shared" si="1362"/>
        <v>United States</v>
      </c>
      <c r="B4156" t="str">
        <f t="shared" si="1381"/>
        <v>Redlands</v>
      </c>
      <c r="C4156" t="str">
        <f t="shared" si="1382"/>
        <v>Same Day</v>
      </c>
      <c r="D4156" t="str">
        <f t="shared" si="1383"/>
        <v>Consumer</v>
      </c>
      <c r="E4156" t="s">
        <v>18</v>
      </c>
      <c r="F4156">
        <v>5</v>
      </c>
      <c r="G4156">
        <v>0</v>
      </c>
      <c r="H4156" s="2">
        <v>8.0269999999999992</v>
      </c>
      <c r="I4156" s="2">
        <v>17.450000000000003</v>
      </c>
    </row>
    <row r="4157" spans="1:9" x14ac:dyDescent="0.3">
      <c r="A4157" t="str">
        <f t="shared" si="1362"/>
        <v>United States</v>
      </c>
      <c r="B4157" t="str">
        <f t="shared" si="1381"/>
        <v>Redlands</v>
      </c>
      <c r="C4157" t="str">
        <f t="shared" si="1382"/>
        <v>Same Day</v>
      </c>
      <c r="D4157" t="str">
        <f t="shared" si="1383"/>
        <v>Consumer</v>
      </c>
      <c r="E4157" t="s">
        <v>43</v>
      </c>
      <c r="F4157">
        <v>3</v>
      </c>
      <c r="G4157">
        <v>0</v>
      </c>
      <c r="H4157" s="2">
        <v>3.6017999999999999</v>
      </c>
      <c r="I4157" s="2">
        <v>7.83</v>
      </c>
    </row>
    <row r="4158" spans="1:9" x14ac:dyDescent="0.3">
      <c r="A4158" t="str">
        <f t="shared" si="1362"/>
        <v>United States</v>
      </c>
      <c r="B4158" t="str">
        <f t="shared" si="1381"/>
        <v>Redlands</v>
      </c>
      <c r="C4158" t="str">
        <f t="shared" si="1382"/>
        <v>Same Day</v>
      </c>
      <c r="D4158" t="str">
        <f t="shared" si="1383"/>
        <v>Consumer</v>
      </c>
      <c r="E4158" t="s">
        <v>16</v>
      </c>
      <c r="F4158">
        <v>6</v>
      </c>
      <c r="G4158">
        <v>0</v>
      </c>
      <c r="H4158" s="2">
        <v>22.845599999999997</v>
      </c>
      <c r="I4158" s="2">
        <v>49.88</v>
      </c>
    </row>
    <row r="4159" spans="1:9" x14ac:dyDescent="0.3">
      <c r="A4159" t="str">
        <f t="shared" si="1362"/>
        <v>United States</v>
      </c>
      <c r="B4159" t="str">
        <f t="shared" si="1381"/>
        <v>Redlands</v>
      </c>
      <c r="C4159" t="str">
        <f t="shared" si="1382"/>
        <v>Same Day</v>
      </c>
      <c r="D4159" t="str">
        <f t="shared" si="1383"/>
        <v>Consumer</v>
      </c>
      <c r="E4159" t="s">
        <v>24</v>
      </c>
      <c r="F4159">
        <v>4</v>
      </c>
      <c r="G4159">
        <v>0.2</v>
      </c>
      <c r="H4159" s="2">
        <v>145.78199999999993</v>
      </c>
      <c r="I4159" s="2">
        <v>1295.8400000000001</v>
      </c>
    </row>
    <row r="4160" spans="1:9" x14ac:dyDescent="0.3">
      <c r="A4160" t="str">
        <f t="shared" si="1362"/>
        <v>United States</v>
      </c>
      <c r="B4160" t="str">
        <f t="shared" si="1381"/>
        <v>Redlands</v>
      </c>
      <c r="C4160" t="str">
        <f t="shared" si="1382"/>
        <v>Same Day</v>
      </c>
      <c r="D4160" t="str">
        <f t="shared" si="1383"/>
        <v>Consumer</v>
      </c>
      <c r="E4160" t="s">
        <v>14</v>
      </c>
      <c r="F4160">
        <v>5</v>
      </c>
      <c r="G4160">
        <v>0</v>
      </c>
      <c r="H4160" s="2">
        <v>26.5383</v>
      </c>
      <c r="I4160" s="2">
        <v>98.289999999999992</v>
      </c>
    </row>
    <row r="4161" spans="1:9" x14ac:dyDescent="0.3">
      <c r="A4161" t="str">
        <f t="shared" si="1362"/>
        <v>United States</v>
      </c>
      <c r="B4161" t="str">
        <f t="shared" si="1381"/>
        <v>Redlands</v>
      </c>
      <c r="C4161" t="str">
        <f t="shared" si="1382"/>
        <v>Same Day</v>
      </c>
      <c r="D4161" t="str">
        <f t="shared" si="1383"/>
        <v>Consumer</v>
      </c>
      <c r="E4161" t="s">
        <v>9</v>
      </c>
      <c r="F4161">
        <v>3</v>
      </c>
      <c r="G4161">
        <v>0</v>
      </c>
      <c r="H4161" s="2">
        <v>8.0190000000000001</v>
      </c>
      <c r="I4161" s="2">
        <v>29.700000000000003</v>
      </c>
    </row>
    <row r="4162" spans="1:9" x14ac:dyDescent="0.3">
      <c r="A4162" t="str">
        <f t="shared" si="1362"/>
        <v>United States</v>
      </c>
      <c r="B4162" t="str">
        <f t="shared" si="1381"/>
        <v>Redlands</v>
      </c>
      <c r="C4162" t="s">
        <v>22</v>
      </c>
      <c r="D4162" t="s">
        <v>8</v>
      </c>
      <c r="E4162" t="s">
        <v>19</v>
      </c>
      <c r="F4162">
        <v>9</v>
      </c>
      <c r="G4162">
        <v>0</v>
      </c>
      <c r="H4162" s="2">
        <v>48.964500000000001</v>
      </c>
      <c r="I4162" s="2">
        <v>181.35</v>
      </c>
    </row>
    <row r="4163" spans="1:9" x14ac:dyDescent="0.3">
      <c r="A4163" t="str">
        <f t="shared" si="1362"/>
        <v>United States</v>
      </c>
      <c r="B4163" t="str">
        <f t="shared" si="1381"/>
        <v>Redlands</v>
      </c>
      <c r="C4163" t="str">
        <f t="shared" ref="C4163:C4164" si="1384">C4162</f>
        <v>Standard Class</v>
      </c>
      <c r="D4163" t="str">
        <f>D4162</f>
        <v>Consumer</v>
      </c>
      <c r="E4163" t="s">
        <v>43</v>
      </c>
      <c r="F4163">
        <v>3</v>
      </c>
      <c r="G4163">
        <v>0</v>
      </c>
      <c r="H4163" s="2">
        <v>4.2336</v>
      </c>
      <c r="I4163" s="2">
        <v>8.64</v>
      </c>
    </row>
    <row r="4164" spans="1:9" x14ac:dyDescent="0.3">
      <c r="A4164" t="str">
        <f t="shared" ref="A4164:A4227" si="1385">A4163</f>
        <v>United States</v>
      </c>
      <c r="B4164" t="str">
        <f t="shared" si="1381"/>
        <v>Redlands</v>
      </c>
      <c r="C4164" t="str">
        <f t="shared" si="1384"/>
        <v>Standard Class</v>
      </c>
      <c r="D4164" t="s">
        <v>15</v>
      </c>
      <c r="E4164" t="s">
        <v>38</v>
      </c>
      <c r="F4164">
        <v>7</v>
      </c>
      <c r="G4164">
        <v>0</v>
      </c>
      <c r="H4164" s="2">
        <v>6.7115999999999989</v>
      </c>
      <c r="I4164" s="2">
        <v>14.280000000000001</v>
      </c>
    </row>
    <row r="4165" spans="1:9" x14ac:dyDescent="0.3">
      <c r="A4165" t="str">
        <f t="shared" si="1385"/>
        <v>United States</v>
      </c>
      <c r="B4165" t="s">
        <v>430</v>
      </c>
      <c r="C4165" t="s">
        <v>11</v>
      </c>
      <c r="D4165" t="s">
        <v>15</v>
      </c>
      <c r="E4165" t="s">
        <v>20</v>
      </c>
      <c r="F4165">
        <v>7</v>
      </c>
      <c r="G4165">
        <v>0.7</v>
      </c>
      <c r="H4165" s="2">
        <v>-58.71599999999998</v>
      </c>
      <c r="I4165" s="2">
        <v>88.074000000000012</v>
      </c>
    </row>
    <row r="4166" spans="1:9" x14ac:dyDescent="0.3">
      <c r="A4166" t="str">
        <f t="shared" si="1385"/>
        <v>United States</v>
      </c>
      <c r="B4166" t="str">
        <f t="shared" ref="B4166:B4172" si="1386">B4165</f>
        <v>Redmond</v>
      </c>
      <c r="C4166" t="s">
        <v>22</v>
      </c>
      <c r="D4166" t="s">
        <v>8</v>
      </c>
      <c r="E4166" t="s">
        <v>23</v>
      </c>
      <c r="F4166">
        <v>1</v>
      </c>
      <c r="G4166">
        <v>0</v>
      </c>
      <c r="H4166" s="2">
        <v>6.796599999999998</v>
      </c>
      <c r="I4166" s="2">
        <v>19.989999999999998</v>
      </c>
    </row>
    <row r="4167" spans="1:9" x14ac:dyDescent="0.3">
      <c r="A4167" t="str">
        <f t="shared" si="1385"/>
        <v>United States</v>
      </c>
      <c r="B4167" t="str">
        <f t="shared" si="1386"/>
        <v>Redmond</v>
      </c>
      <c r="C4167" t="str">
        <f t="shared" ref="C4167:C4172" si="1387">C4166</f>
        <v>Standard Class</v>
      </c>
      <c r="D4167" t="str">
        <f t="shared" ref="D4167:D4170" si="1388">D4166</f>
        <v>Consumer</v>
      </c>
      <c r="E4167" t="s">
        <v>12</v>
      </c>
      <c r="F4167">
        <v>4</v>
      </c>
      <c r="G4167">
        <v>0.2</v>
      </c>
      <c r="H4167" s="2">
        <v>15.015599999999985</v>
      </c>
      <c r="I4167" s="2">
        <v>133.47200000000001</v>
      </c>
    </row>
    <row r="4168" spans="1:9" x14ac:dyDescent="0.3">
      <c r="A4168" t="str">
        <f t="shared" si="1385"/>
        <v>United States</v>
      </c>
      <c r="B4168" t="str">
        <f t="shared" si="1386"/>
        <v>Redmond</v>
      </c>
      <c r="C4168" t="str">
        <f t="shared" si="1387"/>
        <v>Standard Class</v>
      </c>
      <c r="D4168" t="str">
        <f t="shared" si="1388"/>
        <v>Consumer</v>
      </c>
      <c r="E4168" t="s">
        <v>20</v>
      </c>
      <c r="F4168">
        <v>15</v>
      </c>
      <c r="G4168">
        <v>0.89999999999999991</v>
      </c>
      <c r="H4168" s="2">
        <v>-17.033999999999992</v>
      </c>
      <c r="I4168" s="2">
        <v>54.24</v>
      </c>
    </row>
    <row r="4169" spans="1:9" x14ac:dyDescent="0.3">
      <c r="A4169" t="str">
        <f t="shared" si="1385"/>
        <v>United States</v>
      </c>
      <c r="B4169" t="str">
        <f t="shared" si="1386"/>
        <v>Redmond</v>
      </c>
      <c r="C4169" t="str">
        <f t="shared" si="1387"/>
        <v>Standard Class</v>
      </c>
      <c r="D4169" t="str">
        <f t="shared" si="1388"/>
        <v>Consumer</v>
      </c>
      <c r="E4169" t="s">
        <v>21</v>
      </c>
      <c r="F4169">
        <v>5</v>
      </c>
      <c r="G4169">
        <v>0.4</v>
      </c>
      <c r="H4169" s="2">
        <v>7.949600000000002</v>
      </c>
      <c r="I4169" s="2">
        <v>34.624000000000002</v>
      </c>
    </row>
    <row r="4170" spans="1:9" x14ac:dyDescent="0.3">
      <c r="A4170" t="str">
        <f t="shared" si="1385"/>
        <v>United States</v>
      </c>
      <c r="B4170" t="str">
        <f t="shared" si="1386"/>
        <v>Redmond</v>
      </c>
      <c r="C4170" t="str">
        <f t="shared" si="1387"/>
        <v>Standard Class</v>
      </c>
      <c r="D4170" t="str">
        <f t="shared" si="1388"/>
        <v>Consumer</v>
      </c>
      <c r="E4170" t="s">
        <v>24</v>
      </c>
      <c r="F4170">
        <v>11</v>
      </c>
      <c r="G4170">
        <v>0.4</v>
      </c>
      <c r="H4170" s="2">
        <v>6.869800000000005</v>
      </c>
      <c r="I4170" s="2">
        <v>578.31200000000013</v>
      </c>
    </row>
    <row r="4171" spans="1:9" x14ac:dyDescent="0.3">
      <c r="A4171" t="str">
        <f t="shared" si="1385"/>
        <v>United States</v>
      </c>
      <c r="B4171" t="str">
        <f t="shared" si="1386"/>
        <v>Redmond</v>
      </c>
      <c r="C4171" t="str">
        <f t="shared" si="1387"/>
        <v>Standard Class</v>
      </c>
      <c r="D4171" t="s">
        <v>15</v>
      </c>
      <c r="E4171" t="s">
        <v>25</v>
      </c>
      <c r="F4171">
        <v>5</v>
      </c>
      <c r="G4171">
        <v>0.5</v>
      </c>
      <c r="H4171" s="2">
        <v>-120.51299999999998</v>
      </c>
      <c r="I4171" s="2">
        <v>177.22499999999999</v>
      </c>
    </row>
    <row r="4172" spans="1:9" x14ac:dyDescent="0.3">
      <c r="A4172" t="str">
        <f t="shared" si="1385"/>
        <v>United States</v>
      </c>
      <c r="B4172" t="str">
        <f t="shared" si="1386"/>
        <v>Redmond</v>
      </c>
      <c r="C4172" t="str">
        <f t="shared" si="1387"/>
        <v>Standard Class</v>
      </c>
      <c r="D4172" t="s">
        <v>17</v>
      </c>
      <c r="E4172" t="s">
        <v>43</v>
      </c>
      <c r="F4172">
        <v>4</v>
      </c>
      <c r="G4172">
        <v>0</v>
      </c>
      <c r="H4172" s="2">
        <v>5.9135999999999997</v>
      </c>
      <c r="I4172" s="2">
        <v>12.32</v>
      </c>
    </row>
    <row r="4173" spans="1:9" x14ac:dyDescent="0.3">
      <c r="A4173" t="str">
        <f t="shared" si="1385"/>
        <v>United States</v>
      </c>
      <c r="B4173" t="s">
        <v>431</v>
      </c>
      <c r="C4173" t="s">
        <v>11</v>
      </c>
      <c r="D4173" t="s">
        <v>8</v>
      </c>
      <c r="E4173" t="s">
        <v>20</v>
      </c>
      <c r="F4173">
        <v>2</v>
      </c>
      <c r="G4173">
        <v>0.2</v>
      </c>
      <c r="H4173" s="2">
        <v>3.9419999999999993</v>
      </c>
      <c r="I4173" s="2">
        <v>11.68</v>
      </c>
    </row>
    <row r="4174" spans="1:9" x14ac:dyDescent="0.3">
      <c r="A4174" t="str">
        <f t="shared" si="1385"/>
        <v>United States</v>
      </c>
      <c r="B4174" t="str">
        <f t="shared" ref="B4174:B4179" si="1389">B4173</f>
        <v>Redondo Beach</v>
      </c>
      <c r="C4174" t="str">
        <f t="shared" ref="C4174:C4175" si="1390">C4173</f>
        <v>First Class</v>
      </c>
      <c r="D4174" t="str">
        <f t="shared" ref="D4174:D4175" si="1391">D4173</f>
        <v>Consumer</v>
      </c>
      <c r="E4174" t="s">
        <v>18</v>
      </c>
      <c r="F4174">
        <v>2</v>
      </c>
      <c r="G4174">
        <v>0</v>
      </c>
      <c r="H4174" s="2">
        <v>1.7876000000000003</v>
      </c>
      <c r="I4174" s="2">
        <v>4.3600000000000003</v>
      </c>
    </row>
    <row r="4175" spans="1:9" x14ac:dyDescent="0.3">
      <c r="A4175" t="str">
        <f t="shared" si="1385"/>
        <v>United States</v>
      </c>
      <c r="B4175" t="str">
        <f t="shared" si="1389"/>
        <v>Redondo Beach</v>
      </c>
      <c r="C4175" t="str">
        <f t="shared" si="1390"/>
        <v>First Class</v>
      </c>
      <c r="D4175" t="str">
        <f t="shared" si="1391"/>
        <v>Consumer</v>
      </c>
      <c r="E4175" t="s">
        <v>16</v>
      </c>
      <c r="F4175">
        <v>2</v>
      </c>
      <c r="G4175">
        <v>0</v>
      </c>
      <c r="H4175" s="2">
        <v>46.118399999999994</v>
      </c>
      <c r="I4175" s="2">
        <v>96.08</v>
      </c>
    </row>
    <row r="4176" spans="1:9" x14ac:dyDescent="0.3">
      <c r="A4176" t="str">
        <f t="shared" si="1385"/>
        <v>United States</v>
      </c>
      <c r="B4176" t="str">
        <f t="shared" si="1389"/>
        <v>Redondo Beach</v>
      </c>
      <c r="C4176" t="s">
        <v>22</v>
      </c>
      <c r="D4176" t="s">
        <v>8</v>
      </c>
      <c r="E4176" t="s">
        <v>38</v>
      </c>
      <c r="F4176">
        <v>1</v>
      </c>
      <c r="G4176">
        <v>0</v>
      </c>
      <c r="H4176" s="2">
        <v>3.7435999999999998</v>
      </c>
      <c r="I4176" s="2">
        <v>7.64</v>
      </c>
    </row>
    <row r="4177" spans="1:9" x14ac:dyDescent="0.3">
      <c r="A4177" t="str">
        <f t="shared" si="1385"/>
        <v>United States</v>
      </c>
      <c r="B4177" t="str">
        <f t="shared" si="1389"/>
        <v>Redondo Beach</v>
      </c>
      <c r="C4177" t="str">
        <f t="shared" ref="C4177:C4179" si="1392">C4176</f>
        <v>Standard Class</v>
      </c>
      <c r="D4177" t="s">
        <v>15</v>
      </c>
      <c r="E4177" t="s">
        <v>20</v>
      </c>
      <c r="F4177">
        <v>7</v>
      </c>
      <c r="G4177">
        <v>0.2</v>
      </c>
      <c r="H4177" s="2">
        <v>6.5569000000000006</v>
      </c>
      <c r="I4177" s="2">
        <v>18.088000000000001</v>
      </c>
    </row>
    <row r="4178" spans="1:9" x14ac:dyDescent="0.3">
      <c r="A4178" t="str">
        <f t="shared" si="1385"/>
        <v>United States</v>
      </c>
      <c r="B4178" t="str">
        <f t="shared" si="1389"/>
        <v>Redondo Beach</v>
      </c>
      <c r="C4178" t="str">
        <f t="shared" si="1392"/>
        <v>Standard Class</v>
      </c>
      <c r="D4178" t="str">
        <f t="shared" ref="D4178:D4179" si="1393">D4177</f>
        <v>Corporate</v>
      </c>
      <c r="E4178" t="s">
        <v>34</v>
      </c>
      <c r="F4178">
        <v>3</v>
      </c>
      <c r="G4178">
        <v>0.15</v>
      </c>
      <c r="H4178" s="2">
        <v>-18.146999999999998</v>
      </c>
      <c r="I4178" s="2">
        <v>308.49900000000002</v>
      </c>
    </row>
    <row r="4179" spans="1:9" x14ac:dyDescent="0.3">
      <c r="A4179" t="str">
        <f t="shared" si="1385"/>
        <v>United States</v>
      </c>
      <c r="B4179" t="str">
        <f t="shared" si="1389"/>
        <v>Redondo Beach</v>
      </c>
      <c r="C4179" t="str">
        <f t="shared" si="1392"/>
        <v>Standard Class</v>
      </c>
      <c r="D4179" t="str">
        <f t="shared" si="1393"/>
        <v>Corporate</v>
      </c>
      <c r="E4179" t="s">
        <v>24</v>
      </c>
      <c r="F4179">
        <v>18</v>
      </c>
      <c r="G4179">
        <v>0.4</v>
      </c>
      <c r="H4179" s="2">
        <v>132.42739999999995</v>
      </c>
      <c r="I4179" s="2">
        <v>1513.4560000000001</v>
      </c>
    </row>
    <row r="4180" spans="1:9" x14ac:dyDescent="0.3">
      <c r="A4180" t="str">
        <f t="shared" si="1385"/>
        <v>United States</v>
      </c>
      <c r="B4180" t="s">
        <v>432</v>
      </c>
      <c r="C4180" t="s">
        <v>22</v>
      </c>
      <c r="D4180" t="s">
        <v>15</v>
      </c>
      <c r="E4180" t="s">
        <v>20</v>
      </c>
      <c r="F4180">
        <v>6</v>
      </c>
      <c r="G4180">
        <v>0.2</v>
      </c>
      <c r="H4180" s="2">
        <v>14.142599999999996</v>
      </c>
      <c r="I4180" s="2">
        <v>41.904000000000003</v>
      </c>
    </row>
    <row r="4181" spans="1:9" x14ac:dyDescent="0.3">
      <c r="A4181" t="str">
        <f t="shared" si="1385"/>
        <v>United States</v>
      </c>
      <c r="B4181" t="s">
        <v>433</v>
      </c>
      <c r="C4181" t="s">
        <v>27</v>
      </c>
      <c r="D4181" t="s">
        <v>17</v>
      </c>
      <c r="E4181" t="s">
        <v>24</v>
      </c>
      <c r="F4181">
        <v>7</v>
      </c>
      <c r="G4181">
        <v>0.2</v>
      </c>
      <c r="H4181" s="2">
        <v>59.492999999999952</v>
      </c>
      <c r="I4181" s="2">
        <v>475.94400000000002</v>
      </c>
    </row>
    <row r="4182" spans="1:9" x14ac:dyDescent="0.3">
      <c r="A4182" t="str">
        <f t="shared" si="1385"/>
        <v>United States</v>
      </c>
      <c r="B4182" t="str">
        <f t="shared" ref="B4182:B4184" si="1394">B4181</f>
        <v>Reno</v>
      </c>
      <c r="C4182" t="s">
        <v>22</v>
      </c>
      <c r="D4182" t="s">
        <v>15</v>
      </c>
      <c r="E4182" t="s">
        <v>19</v>
      </c>
      <c r="F4182">
        <v>2</v>
      </c>
      <c r="G4182">
        <v>0</v>
      </c>
      <c r="H4182" s="2">
        <v>1.6379999999999999</v>
      </c>
      <c r="I4182" s="2">
        <v>3.64</v>
      </c>
    </row>
    <row r="4183" spans="1:9" x14ac:dyDescent="0.3">
      <c r="A4183" t="str">
        <f t="shared" si="1385"/>
        <v>United States</v>
      </c>
      <c r="B4183" t="str">
        <f t="shared" si="1394"/>
        <v>Reno</v>
      </c>
      <c r="C4183" t="str">
        <f t="shared" ref="C4183:C4184" si="1395">C4182</f>
        <v>Standard Class</v>
      </c>
      <c r="D4183" t="str">
        <f>D4182</f>
        <v>Corporate</v>
      </c>
      <c r="E4183" t="s">
        <v>20</v>
      </c>
      <c r="F4183">
        <v>7</v>
      </c>
      <c r="G4183">
        <v>0.2</v>
      </c>
      <c r="H4183" s="2">
        <v>53.921700000000008</v>
      </c>
      <c r="I4183" s="2">
        <v>159.768</v>
      </c>
    </row>
    <row r="4184" spans="1:9" x14ac:dyDescent="0.3">
      <c r="A4184" t="str">
        <f t="shared" si="1385"/>
        <v>United States</v>
      </c>
      <c r="B4184" t="str">
        <f t="shared" si="1394"/>
        <v>Reno</v>
      </c>
      <c r="C4184" t="str">
        <f t="shared" si="1395"/>
        <v>Standard Class</v>
      </c>
      <c r="D4184" t="s">
        <v>17</v>
      </c>
      <c r="E4184" t="s">
        <v>18</v>
      </c>
      <c r="F4184">
        <v>1</v>
      </c>
      <c r="G4184">
        <v>0</v>
      </c>
      <c r="H4184" s="2">
        <v>0</v>
      </c>
      <c r="I4184" s="2">
        <v>4.71</v>
      </c>
    </row>
    <row r="4185" spans="1:9" x14ac:dyDescent="0.3">
      <c r="A4185" t="str">
        <f t="shared" si="1385"/>
        <v>United States</v>
      </c>
      <c r="B4185" t="s">
        <v>434</v>
      </c>
      <c r="C4185" t="s">
        <v>22</v>
      </c>
      <c r="D4185" t="s">
        <v>8</v>
      </c>
      <c r="E4185" t="s">
        <v>20</v>
      </c>
      <c r="F4185">
        <v>5</v>
      </c>
      <c r="G4185">
        <v>0.2</v>
      </c>
      <c r="H4185" s="2">
        <v>56.55</v>
      </c>
      <c r="I4185" s="2">
        <v>150.80000000000001</v>
      </c>
    </row>
    <row r="4186" spans="1:9" x14ac:dyDescent="0.3">
      <c r="A4186" t="str">
        <f t="shared" si="1385"/>
        <v>United States</v>
      </c>
      <c r="B4186" t="str">
        <f t="shared" ref="B4186:B4187" si="1396">B4185</f>
        <v>Renton</v>
      </c>
      <c r="C4186" t="str">
        <f t="shared" ref="C4186:C4187" si="1397">C4185</f>
        <v>Standard Class</v>
      </c>
      <c r="D4186" t="str">
        <f t="shared" ref="D4186:D4187" si="1398">D4185</f>
        <v>Consumer</v>
      </c>
      <c r="E4186" t="s">
        <v>46</v>
      </c>
      <c r="F4186">
        <v>1</v>
      </c>
      <c r="G4186">
        <v>0.2</v>
      </c>
      <c r="H4186" s="2">
        <v>103.99920000000003</v>
      </c>
      <c r="I4186" s="2">
        <v>1039.992</v>
      </c>
    </row>
    <row r="4187" spans="1:9" x14ac:dyDescent="0.3">
      <c r="A4187" t="str">
        <f t="shared" si="1385"/>
        <v>United States</v>
      </c>
      <c r="B4187" t="str">
        <f t="shared" si="1396"/>
        <v>Renton</v>
      </c>
      <c r="C4187" t="str">
        <f t="shared" si="1397"/>
        <v>Standard Class</v>
      </c>
      <c r="D4187" t="str">
        <f t="shared" si="1398"/>
        <v>Consumer</v>
      </c>
      <c r="E4187" t="s">
        <v>16</v>
      </c>
      <c r="F4187">
        <v>8</v>
      </c>
      <c r="G4187">
        <v>0</v>
      </c>
      <c r="H4187" s="2">
        <v>24.883200000000002</v>
      </c>
      <c r="I4187" s="2">
        <v>51.84</v>
      </c>
    </row>
    <row r="4188" spans="1:9" x14ac:dyDescent="0.3">
      <c r="A4188" t="str">
        <f t="shared" si="1385"/>
        <v>United States</v>
      </c>
      <c r="B4188" t="s">
        <v>435</v>
      </c>
      <c r="C4188" t="s">
        <v>22</v>
      </c>
      <c r="D4188" t="s">
        <v>15</v>
      </c>
      <c r="E4188" t="s">
        <v>12</v>
      </c>
      <c r="F4188">
        <v>2</v>
      </c>
      <c r="G4188">
        <v>0</v>
      </c>
      <c r="H4188" s="2">
        <v>16.1096</v>
      </c>
      <c r="I4188" s="2">
        <v>61.96</v>
      </c>
    </row>
    <row r="4189" spans="1:9" x14ac:dyDescent="0.3">
      <c r="A4189" t="str">
        <f t="shared" si="1385"/>
        <v>United States</v>
      </c>
      <c r="B4189" t="str">
        <f t="shared" ref="B4189:B4194" si="1399">B4188</f>
        <v>Revere</v>
      </c>
      <c r="C4189" t="str">
        <f t="shared" ref="C4189:C4194" si="1400">C4188</f>
        <v>Standard Class</v>
      </c>
      <c r="D4189" t="str">
        <f t="shared" ref="D4189:D4192" si="1401">D4188</f>
        <v>Corporate</v>
      </c>
      <c r="E4189" t="s">
        <v>20</v>
      </c>
      <c r="F4189">
        <v>2</v>
      </c>
      <c r="G4189">
        <v>0</v>
      </c>
      <c r="H4189" s="2">
        <v>3.0575999999999999</v>
      </c>
      <c r="I4189" s="2">
        <v>6.24</v>
      </c>
    </row>
    <row r="4190" spans="1:9" x14ac:dyDescent="0.3">
      <c r="A4190" t="str">
        <f t="shared" si="1385"/>
        <v>United States</v>
      </c>
      <c r="B4190" t="str">
        <f t="shared" si="1399"/>
        <v>Revere</v>
      </c>
      <c r="C4190" t="str">
        <f t="shared" si="1400"/>
        <v>Standard Class</v>
      </c>
      <c r="D4190" t="str">
        <f t="shared" si="1401"/>
        <v>Corporate</v>
      </c>
      <c r="E4190" t="s">
        <v>34</v>
      </c>
      <c r="F4190">
        <v>2</v>
      </c>
      <c r="G4190">
        <v>0</v>
      </c>
      <c r="H4190" s="2">
        <v>83.25079999999997</v>
      </c>
      <c r="I4190" s="2">
        <v>361.96</v>
      </c>
    </row>
    <row r="4191" spans="1:9" x14ac:dyDescent="0.3">
      <c r="A4191" t="str">
        <f t="shared" si="1385"/>
        <v>United States</v>
      </c>
      <c r="B4191" t="str">
        <f t="shared" si="1399"/>
        <v>Revere</v>
      </c>
      <c r="C4191" t="str">
        <f t="shared" si="1400"/>
        <v>Standard Class</v>
      </c>
      <c r="D4191" t="str">
        <f t="shared" si="1401"/>
        <v>Corporate</v>
      </c>
      <c r="E4191" t="s">
        <v>16</v>
      </c>
      <c r="F4191">
        <v>9</v>
      </c>
      <c r="G4191">
        <v>0</v>
      </c>
      <c r="H4191" s="2">
        <v>125.46899999999999</v>
      </c>
      <c r="I4191" s="2">
        <v>278.82</v>
      </c>
    </row>
    <row r="4192" spans="1:9" x14ac:dyDescent="0.3">
      <c r="A4192" t="str">
        <f t="shared" si="1385"/>
        <v>United States</v>
      </c>
      <c r="B4192" t="str">
        <f t="shared" si="1399"/>
        <v>Revere</v>
      </c>
      <c r="C4192" t="str">
        <f t="shared" si="1400"/>
        <v>Standard Class</v>
      </c>
      <c r="D4192" t="str">
        <f t="shared" si="1401"/>
        <v>Corporate</v>
      </c>
      <c r="E4192" t="s">
        <v>14</v>
      </c>
      <c r="F4192">
        <v>4</v>
      </c>
      <c r="G4192">
        <v>0</v>
      </c>
      <c r="H4192" s="2">
        <v>2.6783999999999963</v>
      </c>
      <c r="I4192" s="2">
        <v>66.959999999999994</v>
      </c>
    </row>
    <row r="4193" spans="1:9" x14ac:dyDescent="0.3">
      <c r="A4193" t="str">
        <f t="shared" si="1385"/>
        <v>United States</v>
      </c>
      <c r="B4193" t="str">
        <f t="shared" si="1399"/>
        <v>Revere</v>
      </c>
      <c r="C4193" t="str">
        <f t="shared" si="1400"/>
        <v>Standard Class</v>
      </c>
      <c r="D4193" t="s">
        <v>17</v>
      </c>
      <c r="E4193" t="s">
        <v>20</v>
      </c>
      <c r="F4193">
        <v>2</v>
      </c>
      <c r="G4193">
        <v>0</v>
      </c>
      <c r="H4193" s="2">
        <v>18.940000000000001</v>
      </c>
      <c r="I4193" s="2">
        <v>37.880000000000003</v>
      </c>
    </row>
    <row r="4194" spans="1:9" x14ac:dyDescent="0.3">
      <c r="A4194" t="str">
        <f t="shared" si="1385"/>
        <v>United States</v>
      </c>
      <c r="B4194" t="str">
        <f t="shared" si="1399"/>
        <v>Revere</v>
      </c>
      <c r="C4194" t="str">
        <f t="shared" si="1400"/>
        <v>Standard Class</v>
      </c>
      <c r="D4194" t="str">
        <f>D4193</f>
        <v>Home Office</v>
      </c>
      <c r="E4194" t="s">
        <v>16</v>
      </c>
      <c r="F4194">
        <v>3</v>
      </c>
      <c r="G4194">
        <v>0</v>
      </c>
      <c r="H4194" s="2">
        <v>9.3312000000000008</v>
      </c>
      <c r="I4194" s="2">
        <v>19.440000000000001</v>
      </c>
    </row>
    <row r="4195" spans="1:9" x14ac:dyDescent="0.3">
      <c r="A4195" t="str">
        <f t="shared" si="1385"/>
        <v>United States</v>
      </c>
      <c r="B4195" t="s">
        <v>436</v>
      </c>
      <c r="C4195" t="s">
        <v>11</v>
      </c>
      <c r="D4195" t="s">
        <v>15</v>
      </c>
      <c r="E4195" t="s">
        <v>21</v>
      </c>
      <c r="F4195">
        <v>5</v>
      </c>
      <c r="G4195">
        <v>0.6</v>
      </c>
      <c r="H4195" s="2">
        <v>-147.96300000000002</v>
      </c>
      <c r="I4195" s="2">
        <v>190.92</v>
      </c>
    </row>
    <row r="4196" spans="1:9" x14ac:dyDescent="0.3">
      <c r="A4196" t="str">
        <f t="shared" si="1385"/>
        <v>United States</v>
      </c>
      <c r="B4196" t="str">
        <f>B4195</f>
        <v>Richardson</v>
      </c>
      <c r="C4196" t="str">
        <f>C4195</f>
        <v>First Class</v>
      </c>
      <c r="D4196" t="str">
        <f>D4195</f>
        <v>Corporate</v>
      </c>
      <c r="E4196" t="s">
        <v>24</v>
      </c>
      <c r="F4196">
        <v>7</v>
      </c>
      <c r="G4196">
        <v>0.2</v>
      </c>
      <c r="H4196" s="2">
        <v>123.47369999999989</v>
      </c>
      <c r="I4196" s="2">
        <v>1097.5440000000003</v>
      </c>
    </row>
    <row r="4197" spans="1:9" x14ac:dyDescent="0.3">
      <c r="A4197" t="str">
        <f t="shared" si="1385"/>
        <v>United States</v>
      </c>
      <c r="B4197" t="s">
        <v>437</v>
      </c>
      <c r="C4197" t="s">
        <v>11</v>
      </c>
      <c r="D4197" t="s">
        <v>8</v>
      </c>
      <c r="E4197" t="s">
        <v>12</v>
      </c>
      <c r="F4197">
        <v>4</v>
      </c>
      <c r="G4197">
        <v>0</v>
      </c>
      <c r="H4197" s="2">
        <v>56.352799999999974</v>
      </c>
      <c r="I4197" s="2">
        <v>194.32</v>
      </c>
    </row>
    <row r="4198" spans="1:9" x14ac:dyDescent="0.3">
      <c r="A4198" t="str">
        <f t="shared" si="1385"/>
        <v>United States</v>
      </c>
      <c r="B4198" t="str">
        <f t="shared" ref="B4198:B4229" si="1402">B4197</f>
        <v>Richmond</v>
      </c>
      <c r="C4198" t="str">
        <f t="shared" ref="C4198:C4206" si="1403">C4197</f>
        <v>First Class</v>
      </c>
      <c r="D4198" t="str">
        <f>D4197</f>
        <v>Consumer</v>
      </c>
      <c r="E4198" t="s">
        <v>21</v>
      </c>
      <c r="F4198">
        <v>4</v>
      </c>
      <c r="G4198">
        <v>0</v>
      </c>
      <c r="H4198" s="2">
        <v>11.177600000000002</v>
      </c>
      <c r="I4198" s="2">
        <v>39.92</v>
      </c>
    </row>
    <row r="4199" spans="1:9" x14ac:dyDescent="0.3">
      <c r="A4199" t="str">
        <f t="shared" si="1385"/>
        <v>United States</v>
      </c>
      <c r="B4199" t="str">
        <f t="shared" si="1402"/>
        <v>Richmond</v>
      </c>
      <c r="C4199" t="str">
        <f t="shared" si="1403"/>
        <v>First Class</v>
      </c>
      <c r="D4199" t="s">
        <v>15</v>
      </c>
      <c r="E4199" t="s">
        <v>16</v>
      </c>
      <c r="F4199">
        <v>3</v>
      </c>
      <c r="G4199">
        <v>0</v>
      </c>
      <c r="H4199" s="2">
        <v>16.670400000000001</v>
      </c>
      <c r="I4199" s="2">
        <v>36.24</v>
      </c>
    </row>
    <row r="4200" spans="1:9" x14ac:dyDescent="0.3">
      <c r="A4200" t="str">
        <f t="shared" si="1385"/>
        <v>United States</v>
      </c>
      <c r="B4200" t="str">
        <f t="shared" si="1402"/>
        <v>Richmond</v>
      </c>
      <c r="C4200" t="str">
        <f t="shared" si="1403"/>
        <v>First Class</v>
      </c>
      <c r="D4200" t="s">
        <v>17</v>
      </c>
      <c r="E4200" t="s">
        <v>23</v>
      </c>
      <c r="F4200">
        <v>2</v>
      </c>
      <c r="G4200">
        <v>0</v>
      </c>
      <c r="H4200" s="2">
        <v>4.3623999999999974</v>
      </c>
      <c r="I4200" s="2">
        <v>22.96</v>
      </c>
    </row>
    <row r="4201" spans="1:9" x14ac:dyDescent="0.3">
      <c r="A4201" t="str">
        <f t="shared" si="1385"/>
        <v>United States</v>
      </c>
      <c r="B4201" t="str">
        <f t="shared" si="1402"/>
        <v>Richmond</v>
      </c>
      <c r="C4201" t="str">
        <f t="shared" si="1403"/>
        <v>First Class</v>
      </c>
      <c r="D4201" t="str">
        <f t="shared" ref="D4201:D4206" si="1404">D4200</f>
        <v>Home Office</v>
      </c>
      <c r="E4201" t="s">
        <v>20</v>
      </c>
      <c r="F4201">
        <v>3</v>
      </c>
      <c r="G4201">
        <v>0</v>
      </c>
      <c r="H4201" s="2">
        <v>7.1345999999999989</v>
      </c>
      <c r="I4201" s="2">
        <v>15.18</v>
      </c>
    </row>
    <row r="4202" spans="1:9" x14ac:dyDescent="0.3">
      <c r="A4202" t="str">
        <f t="shared" si="1385"/>
        <v>United States</v>
      </c>
      <c r="B4202" t="str">
        <f t="shared" si="1402"/>
        <v>Richmond</v>
      </c>
      <c r="C4202" t="str">
        <f t="shared" si="1403"/>
        <v>First Class</v>
      </c>
      <c r="D4202" t="str">
        <f t="shared" si="1404"/>
        <v>Home Office</v>
      </c>
      <c r="E4202" t="s">
        <v>33</v>
      </c>
      <c r="F4202">
        <v>1</v>
      </c>
      <c r="G4202">
        <v>0</v>
      </c>
      <c r="H4202" s="2">
        <v>9.1637999999999984</v>
      </c>
      <c r="I4202" s="2">
        <v>33.94</v>
      </c>
    </row>
    <row r="4203" spans="1:9" x14ac:dyDescent="0.3">
      <c r="A4203" t="str">
        <f t="shared" si="1385"/>
        <v>United States</v>
      </c>
      <c r="B4203" t="str">
        <f t="shared" si="1402"/>
        <v>Richmond</v>
      </c>
      <c r="C4203" t="str">
        <f t="shared" si="1403"/>
        <v>First Class</v>
      </c>
      <c r="D4203" t="str">
        <f t="shared" si="1404"/>
        <v>Home Office</v>
      </c>
      <c r="E4203" t="s">
        <v>38</v>
      </c>
      <c r="F4203">
        <v>5</v>
      </c>
      <c r="G4203">
        <v>0</v>
      </c>
      <c r="H4203" s="2">
        <v>17.472000000000001</v>
      </c>
      <c r="I4203" s="2">
        <v>36.4</v>
      </c>
    </row>
    <row r="4204" spans="1:9" x14ac:dyDescent="0.3">
      <c r="A4204" t="str">
        <f t="shared" si="1385"/>
        <v>United States</v>
      </c>
      <c r="B4204" t="str">
        <f t="shared" si="1402"/>
        <v>Richmond</v>
      </c>
      <c r="C4204" t="str">
        <f t="shared" si="1403"/>
        <v>First Class</v>
      </c>
      <c r="D4204" t="str">
        <f t="shared" si="1404"/>
        <v>Home Office</v>
      </c>
      <c r="E4204" t="s">
        <v>43</v>
      </c>
      <c r="F4204">
        <v>8</v>
      </c>
      <c r="G4204">
        <v>0</v>
      </c>
      <c r="H4204" s="2">
        <v>14.399999999999999</v>
      </c>
      <c r="I4204" s="2">
        <v>30</v>
      </c>
    </row>
    <row r="4205" spans="1:9" x14ac:dyDescent="0.3">
      <c r="A4205" t="str">
        <f t="shared" si="1385"/>
        <v>United States</v>
      </c>
      <c r="B4205" t="str">
        <f t="shared" si="1402"/>
        <v>Richmond</v>
      </c>
      <c r="C4205" t="str">
        <f t="shared" si="1403"/>
        <v>First Class</v>
      </c>
      <c r="D4205" t="str">
        <f t="shared" si="1404"/>
        <v>Home Office</v>
      </c>
      <c r="E4205" t="s">
        <v>14</v>
      </c>
      <c r="F4205">
        <v>11</v>
      </c>
      <c r="G4205">
        <v>0</v>
      </c>
      <c r="H4205" s="2">
        <v>10.543200000000024</v>
      </c>
      <c r="I4205" s="2">
        <v>421.18</v>
      </c>
    </row>
    <row r="4206" spans="1:9" x14ac:dyDescent="0.3">
      <c r="A4206" t="str">
        <f t="shared" si="1385"/>
        <v>United States</v>
      </c>
      <c r="B4206" t="str">
        <f t="shared" si="1402"/>
        <v>Richmond</v>
      </c>
      <c r="C4206" t="str">
        <f t="shared" si="1403"/>
        <v>First Class</v>
      </c>
      <c r="D4206" t="str">
        <f t="shared" si="1404"/>
        <v>Home Office</v>
      </c>
      <c r="E4206" t="s">
        <v>9</v>
      </c>
      <c r="F4206">
        <v>2</v>
      </c>
      <c r="G4206">
        <v>0</v>
      </c>
      <c r="H4206" s="2">
        <v>10.517999999999997</v>
      </c>
      <c r="I4206" s="2">
        <v>35.06</v>
      </c>
    </row>
    <row r="4207" spans="1:9" x14ac:dyDescent="0.3">
      <c r="A4207" t="str">
        <f t="shared" si="1385"/>
        <v>United States</v>
      </c>
      <c r="B4207" t="str">
        <f t="shared" si="1402"/>
        <v>Richmond</v>
      </c>
      <c r="C4207" t="s">
        <v>7</v>
      </c>
      <c r="D4207" t="s">
        <v>8</v>
      </c>
      <c r="E4207" t="s">
        <v>23</v>
      </c>
      <c r="F4207">
        <v>5</v>
      </c>
      <c r="G4207">
        <v>0</v>
      </c>
      <c r="H4207" s="2">
        <v>48.328499999999991</v>
      </c>
      <c r="I4207" s="2">
        <v>146.44999999999999</v>
      </c>
    </row>
    <row r="4208" spans="1:9" x14ac:dyDescent="0.3">
      <c r="A4208" t="str">
        <f t="shared" si="1385"/>
        <v>United States</v>
      </c>
      <c r="B4208" t="str">
        <f t="shared" si="1402"/>
        <v>Richmond</v>
      </c>
      <c r="C4208" t="str">
        <f t="shared" ref="C4208:C4222" si="1405">C4207</f>
        <v>Second Class</v>
      </c>
      <c r="D4208" t="str">
        <f t="shared" ref="D4208:D4216" si="1406">D4207</f>
        <v>Consumer</v>
      </c>
      <c r="E4208" t="s">
        <v>12</v>
      </c>
      <c r="F4208">
        <v>5</v>
      </c>
      <c r="G4208">
        <v>0</v>
      </c>
      <c r="H4208" s="2">
        <v>62.32099999999997</v>
      </c>
      <c r="I4208" s="2">
        <v>214.89999999999998</v>
      </c>
    </row>
    <row r="4209" spans="1:9" x14ac:dyDescent="0.3">
      <c r="A4209" t="str">
        <f t="shared" si="1385"/>
        <v>United States</v>
      </c>
      <c r="B4209" t="str">
        <f t="shared" si="1402"/>
        <v>Richmond</v>
      </c>
      <c r="C4209" t="str">
        <f t="shared" si="1405"/>
        <v>Second Class</v>
      </c>
      <c r="D4209" t="str">
        <f t="shared" si="1406"/>
        <v>Consumer</v>
      </c>
      <c r="E4209" t="s">
        <v>19</v>
      </c>
      <c r="F4209">
        <v>2</v>
      </c>
      <c r="G4209">
        <v>0</v>
      </c>
      <c r="H4209" s="2">
        <v>1.9023999999999992</v>
      </c>
      <c r="I4209" s="2">
        <v>6.56</v>
      </c>
    </row>
    <row r="4210" spans="1:9" x14ac:dyDescent="0.3">
      <c r="A4210" t="str">
        <f t="shared" si="1385"/>
        <v>United States</v>
      </c>
      <c r="B4210" t="str">
        <f t="shared" si="1402"/>
        <v>Richmond</v>
      </c>
      <c r="C4210" t="str">
        <f t="shared" si="1405"/>
        <v>Second Class</v>
      </c>
      <c r="D4210" t="str">
        <f t="shared" si="1406"/>
        <v>Consumer</v>
      </c>
      <c r="E4210" t="s">
        <v>20</v>
      </c>
      <c r="F4210">
        <v>12</v>
      </c>
      <c r="G4210">
        <v>0</v>
      </c>
      <c r="H4210" s="2">
        <v>35.434400000000004</v>
      </c>
      <c r="I4210" s="2">
        <v>74.400000000000006</v>
      </c>
    </row>
    <row r="4211" spans="1:9" x14ac:dyDescent="0.3">
      <c r="A4211" t="str">
        <f t="shared" si="1385"/>
        <v>United States</v>
      </c>
      <c r="B4211" t="str">
        <f t="shared" si="1402"/>
        <v>Richmond</v>
      </c>
      <c r="C4211" t="str">
        <f t="shared" si="1405"/>
        <v>Second Class</v>
      </c>
      <c r="D4211" t="str">
        <f t="shared" si="1406"/>
        <v>Consumer</v>
      </c>
      <c r="E4211" t="s">
        <v>45</v>
      </c>
      <c r="F4211">
        <v>2</v>
      </c>
      <c r="G4211">
        <v>0</v>
      </c>
      <c r="H4211" s="2">
        <v>629.99099999999999</v>
      </c>
      <c r="I4211" s="2">
        <v>1399.98</v>
      </c>
    </row>
    <row r="4212" spans="1:9" x14ac:dyDescent="0.3">
      <c r="A4212" t="str">
        <f t="shared" si="1385"/>
        <v>United States</v>
      </c>
      <c r="B4212" t="str">
        <f t="shared" si="1402"/>
        <v>Richmond</v>
      </c>
      <c r="C4212" t="str">
        <f t="shared" si="1405"/>
        <v>Second Class</v>
      </c>
      <c r="D4212" t="str">
        <f t="shared" si="1406"/>
        <v>Consumer</v>
      </c>
      <c r="E4212" t="s">
        <v>43</v>
      </c>
      <c r="F4212">
        <v>4</v>
      </c>
      <c r="G4212">
        <v>0</v>
      </c>
      <c r="H4212" s="2">
        <v>6.4491999999999994</v>
      </c>
      <c r="I4212" s="2">
        <v>14.02</v>
      </c>
    </row>
    <row r="4213" spans="1:9" x14ac:dyDescent="0.3">
      <c r="A4213" t="str">
        <f t="shared" si="1385"/>
        <v>United States</v>
      </c>
      <c r="B4213" t="str">
        <f t="shared" si="1402"/>
        <v>Richmond</v>
      </c>
      <c r="C4213" t="str">
        <f t="shared" si="1405"/>
        <v>Second Class</v>
      </c>
      <c r="D4213" t="str">
        <f t="shared" si="1406"/>
        <v>Consumer</v>
      </c>
      <c r="E4213" t="s">
        <v>16</v>
      </c>
      <c r="F4213">
        <v>9</v>
      </c>
      <c r="G4213">
        <v>0</v>
      </c>
      <c r="H4213" s="2">
        <v>23.896599999999999</v>
      </c>
      <c r="I4213" s="2">
        <v>51.62</v>
      </c>
    </row>
    <row r="4214" spans="1:9" x14ac:dyDescent="0.3">
      <c r="A4214" t="str">
        <f t="shared" si="1385"/>
        <v>United States</v>
      </c>
      <c r="B4214" t="str">
        <f t="shared" si="1402"/>
        <v>Richmond</v>
      </c>
      <c r="C4214" t="str">
        <f t="shared" si="1405"/>
        <v>Second Class</v>
      </c>
      <c r="D4214" t="str">
        <f t="shared" si="1406"/>
        <v>Consumer</v>
      </c>
      <c r="E4214" t="s">
        <v>24</v>
      </c>
      <c r="F4214">
        <v>5</v>
      </c>
      <c r="G4214">
        <v>0</v>
      </c>
      <c r="H4214" s="2">
        <v>55.647000000000006</v>
      </c>
      <c r="I4214" s="2">
        <v>206.1</v>
      </c>
    </row>
    <row r="4215" spans="1:9" x14ac:dyDescent="0.3">
      <c r="A4215" t="str">
        <f t="shared" si="1385"/>
        <v>United States</v>
      </c>
      <c r="B4215" t="str">
        <f t="shared" si="1402"/>
        <v>Richmond</v>
      </c>
      <c r="C4215" t="str">
        <f t="shared" si="1405"/>
        <v>Second Class</v>
      </c>
      <c r="D4215" t="str">
        <f t="shared" si="1406"/>
        <v>Consumer</v>
      </c>
      <c r="E4215" t="s">
        <v>14</v>
      </c>
      <c r="F4215">
        <v>4</v>
      </c>
      <c r="G4215">
        <v>0</v>
      </c>
      <c r="H4215" s="2">
        <v>10.593800000000019</v>
      </c>
      <c r="I4215" s="2">
        <v>348.08</v>
      </c>
    </row>
    <row r="4216" spans="1:9" x14ac:dyDescent="0.3">
      <c r="A4216" t="str">
        <f t="shared" si="1385"/>
        <v>United States</v>
      </c>
      <c r="B4216" t="str">
        <f t="shared" si="1402"/>
        <v>Richmond</v>
      </c>
      <c r="C4216" t="str">
        <f t="shared" si="1405"/>
        <v>Second Class</v>
      </c>
      <c r="D4216" t="str">
        <f t="shared" si="1406"/>
        <v>Consumer</v>
      </c>
      <c r="E4216" t="s">
        <v>25</v>
      </c>
      <c r="F4216">
        <v>2</v>
      </c>
      <c r="G4216">
        <v>0</v>
      </c>
      <c r="H4216" s="2">
        <v>58.419999999999987</v>
      </c>
      <c r="I4216" s="2">
        <v>292.10000000000002</v>
      </c>
    </row>
    <row r="4217" spans="1:9" x14ac:dyDescent="0.3">
      <c r="A4217" t="str">
        <f t="shared" si="1385"/>
        <v>United States</v>
      </c>
      <c r="B4217" t="str">
        <f t="shared" si="1402"/>
        <v>Richmond</v>
      </c>
      <c r="C4217" t="str">
        <f t="shared" si="1405"/>
        <v>Second Class</v>
      </c>
      <c r="D4217" t="s">
        <v>15</v>
      </c>
      <c r="E4217" t="s">
        <v>23</v>
      </c>
      <c r="F4217">
        <v>2</v>
      </c>
      <c r="G4217">
        <v>0</v>
      </c>
      <c r="H4217" s="2">
        <v>14.172800000000002</v>
      </c>
      <c r="I4217" s="2">
        <v>32.96</v>
      </c>
    </row>
    <row r="4218" spans="1:9" x14ac:dyDescent="0.3">
      <c r="A4218" t="str">
        <f t="shared" si="1385"/>
        <v>United States</v>
      </c>
      <c r="B4218" t="str">
        <f t="shared" si="1402"/>
        <v>Richmond</v>
      </c>
      <c r="C4218" t="str">
        <f t="shared" si="1405"/>
        <v>Second Class</v>
      </c>
      <c r="D4218" t="str">
        <f t="shared" ref="D4218:D4222" si="1407">D4217</f>
        <v>Corporate</v>
      </c>
      <c r="E4218" t="s">
        <v>12</v>
      </c>
      <c r="F4218">
        <v>10</v>
      </c>
      <c r="G4218">
        <v>0</v>
      </c>
      <c r="H4218" s="2">
        <v>732.65909999999985</v>
      </c>
      <c r="I4218" s="2">
        <v>2251.3099999999995</v>
      </c>
    </row>
    <row r="4219" spans="1:9" x14ac:dyDescent="0.3">
      <c r="A4219" t="str">
        <f t="shared" si="1385"/>
        <v>United States</v>
      </c>
      <c r="B4219" t="str">
        <f t="shared" si="1402"/>
        <v>Richmond</v>
      </c>
      <c r="C4219" t="str">
        <f t="shared" si="1405"/>
        <v>Second Class</v>
      </c>
      <c r="D4219" t="str">
        <f t="shared" si="1407"/>
        <v>Corporate</v>
      </c>
      <c r="E4219" t="s">
        <v>16</v>
      </c>
      <c r="F4219">
        <v>13</v>
      </c>
      <c r="G4219">
        <v>0</v>
      </c>
      <c r="H4219" s="2">
        <v>102.18579999999999</v>
      </c>
      <c r="I4219" s="2">
        <v>218.54</v>
      </c>
    </row>
    <row r="4220" spans="1:9" x14ac:dyDescent="0.3">
      <c r="A4220" t="str">
        <f t="shared" si="1385"/>
        <v>United States</v>
      </c>
      <c r="B4220" t="str">
        <f t="shared" si="1402"/>
        <v>Richmond</v>
      </c>
      <c r="C4220" t="str">
        <f t="shared" si="1405"/>
        <v>Second Class</v>
      </c>
      <c r="D4220" t="str">
        <f t="shared" si="1407"/>
        <v>Corporate</v>
      </c>
      <c r="E4220" t="s">
        <v>24</v>
      </c>
      <c r="F4220">
        <v>3</v>
      </c>
      <c r="G4220">
        <v>0</v>
      </c>
      <c r="H4220" s="2">
        <v>164.63160000000005</v>
      </c>
      <c r="I4220" s="2">
        <v>587.97</v>
      </c>
    </row>
    <row r="4221" spans="1:9" x14ac:dyDescent="0.3">
      <c r="A4221" t="str">
        <f t="shared" si="1385"/>
        <v>United States</v>
      </c>
      <c r="B4221" t="str">
        <f t="shared" si="1402"/>
        <v>Richmond</v>
      </c>
      <c r="C4221" t="str">
        <f t="shared" si="1405"/>
        <v>Second Class</v>
      </c>
      <c r="D4221" t="str">
        <f t="shared" si="1407"/>
        <v>Corporate</v>
      </c>
      <c r="E4221" t="s">
        <v>14</v>
      </c>
      <c r="F4221">
        <v>5</v>
      </c>
      <c r="G4221">
        <v>0</v>
      </c>
      <c r="H4221" s="2">
        <v>207.14699999999993</v>
      </c>
      <c r="I4221" s="2">
        <v>714.30000000000007</v>
      </c>
    </row>
    <row r="4222" spans="1:9" x14ac:dyDescent="0.3">
      <c r="A4222" t="str">
        <f t="shared" si="1385"/>
        <v>United States</v>
      </c>
      <c r="B4222" t="str">
        <f t="shared" si="1402"/>
        <v>Richmond</v>
      </c>
      <c r="C4222" t="str">
        <f t="shared" si="1405"/>
        <v>Second Class</v>
      </c>
      <c r="D4222" t="str">
        <f t="shared" si="1407"/>
        <v>Corporate</v>
      </c>
      <c r="E4222" t="s">
        <v>9</v>
      </c>
      <c r="F4222">
        <v>5</v>
      </c>
      <c r="G4222">
        <v>0</v>
      </c>
      <c r="H4222" s="2">
        <v>11.802999999999999</v>
      </c>
      <c r="I4222" s="2">
        <v>40.700000000000003</v>
      </c>
    </row>
    <row r="4223" spans="1:9" x14ac:dyDescent="0.3">
      <c r="A4223" t="str">
        <f t="shared" si="1385"/>
        <v>United States</v>
      </c>
      <c r="B4223" t="str">
        <f t="shared" si="1402"/>
        <v>Richmond</v>
      </c>
      <c r="C4223" t="s">
        <v>22</v>
      </c>
      <c r="D4223" t="s">
        <v>8</v>
      </c>
      <c r="E4223" t="s">
        <v>12</v>
      </c>
      <c r="F4223">
        <v>16</v>
      </c>
      <c r="G4223">
        <v>0</v>
      </c>
      <c r="H4223" s="2">
        <v>78.397199999999998</v>
      </c>
      <c r="I4223" s="2">
        <v>275.14</v>
      </c>
    </row>
    <row r="4224" spans="1:9" x14ac:dyDescent="0.3">
      <c r="A4224" t="str">
        <f t="shared" si="1385"/>
        <v>United States</v>
      </c>
      <c r="B4224" t="str">
        <f t="shared" si="1402"/>
        <v>Richmond</v>
      </c>
      <c r="C4224" t="str">
        <f t="shared" ref="C4224:C4250" si="1408">C4223</f>
        <v>Standard Class</v>
      </c>
      <c r="D4224" t="str">
        <f t="shared" ref="D4224:D4231" si="1409">D4223</f>
        <v>Consumer</v>
      </c>
      <c r="E4224" t="s">
        <v>20</v>
      </c>
      <c r="F4224">
        <v>22</v>
      </c>
      <c r="G4224">
        <v>0</v>
      </c>
      <c r="H4224" s="2">
        <v>155.21940000000001</v>
      </c>
      <c r="I4224" s="2">
        <v>327.35000000000002</v>
      </c>
    </row>
    <row r="4225" spans="1:9" x14ac:dyDescent="0.3">
      <c r="A4225" t="str">
        <f t="shared" si="1385"/>
        <v>United States</v>
      </c>
      <c r="B4225" t="str">
        <f t="shared" si="1402"/>
        <v>Richmond</v>
      </c>
      <c r="C4225" t="str">
        <f t="shared" si="1408"/>
        <v>Standard Class</v>
      </c>
      <c r="D4225" t="str">
        <f t="shared" si="1409"/>
        <v>Consumer</v>
      </c>
      <c r="E4225" t="s">
        <v>33</v>
      </c>
      <c r="F4225">
        <v>9</v>
      </c>
      <c r="G4225">
        <v>0</v>
      </c>
      <c r="H4225" s="2">
        <v>318.2328</v>
      </c>
      <c r="I4225" s="2">
        <v>1300.3</v>
      </c>
    </row>
    <row r="4226" spans="1:9" x14ac:dyDescent="0.3">
      <c r="A4226" t="str">
        <f t="shared" si="1385"/>
        <v>United States</v>
      </c>
      <c r="B4226" t="str">
        <f t="shared" si="1402"/>
        <v>Richmond</v>
      </c>
      <c r="C4226" t="str">
        <f t="shared" si="1408"/>
        <v>Standard Class</v>
      </c>
      <c r="D4226" t="str">
        <f t="shared" si="1409"/>
        <v>Consumer</v>
      </c>
      <c r="E4226" t="s">
        <v>21</v>
      </c>
      <c r="F4226">
        <v>13</v>
      </c>
      <c r="G4226">
        <v>0</v>
      </c>
      <c r="H4226" s="2">
        <v>52.777999999999992</v>
      </c>
      <c r="I4226" s="2">
        <v>170.81</v>
      </c>
    </row>
    <row r="4227" spans="1:9" x14ac:dyDescent="0.3">
      <c r="A4227" t="str">
        <f t="shared" si="1385"/>
        <v>United States</v>
      </c>
      <c r="B4227" t="str">
        <f t="shared" si="1402"/>
        <v>Richmond</v>
      </c>
      <c r="C4227" t="str">
        <f t="shared" si="1408"/>
        <v>Standard Class</v>
      </c>
      <c r="D4227" t="str">
        <f t="shared" si="1409"/>
        <v>Consumer</v>
      </c>
      <c r="E4227" t="s">
        <v>43</v>
      </c>
      <c r="F4227">
        <v>3</v>
      </c>
      <c r="G4227">
        <v>0</v>
      </c>
      <c r="H4227" s="2">
        <v>144.51570000000001</v>
      </c>
      <c r="I4227" s="2">
        <v>294.93</v>
      </c>
    </row>
    <row r="4228" spans="1:9" x14ac:dyDescent="0.3">
      <c r="A4228" t="str">
        <f t="shared" ref="A4228:A4291" si="1410">A4227</f>
        <v>United States</v>
      </c>
      <c r="B4228" t="str">
        <f t="shared" si="1402"/>
        <v>Richmond</v>
      </c>
      <c r="C4228" t="str">
        <f t="shared" si="1408"/>
        <v>Standard Class</v>
      </c>
      <c r="D4228" t="str">
        <f t="shared" si="1409"/>
        <v>Consumer</v>
      </c>
      <c r="E4228" t="s">
        <v>16</v>
      </c>
      <c r="F4228">
        <v>8</v>
      </c>
      <c r="G4228">
        <v>0</v>
      </c>
      <c r="H4228" s="2">
        <v>26.472000000000001</v>
      </c>
      <c r="I4228" s="2">
        <v>54.240000000000009</v>
      </c>
    </row>
    <row r="4229" spans="1:9" x14ac:dyDescent="0.3">
      <c r="A4229" t="str">
        <f t="shared" si="1410"/>
        <v>United States</v>
      </c>
      <c r="B4229" t="str">
        <f t="shared" si="1402"/>
        <v>Richmond</v>
      </c>
      <c r="C4229" t="str">
        <f t="shared" si="1408"/>
        <v>Standard Class</v>
      </c>
      <c r="D4229" t="str">
        <f t="shared" si="1409"/>
        <v>Consumer</v>
      </c>
      <c r="E4229" t="s">
        <v>24</v>
      </c>
      <c r="F4229">
        <v>17</v>
      </c>
      <c r="G4229">
        <v>0</v>
      </c>
      <c r="H4229" s="2">
        <v>374.22560000000004</v>
      </c>
      <c r="I4229" s="2">
        <v>1204.83</v>
      </c>
    </row>
    <row r="4230" spans="1:9" x14ac:dyDescent="0.3">
      <c r="A4230" t="str">
        <f t="shared" si="1410"/>
        <v>United States</v>
      </c>
      <c r="B4230" t="str">
        <f t="shared" ref="B4230:B4250" si="1411">B4229</f>
        <v>Richmond</v>
      </c>
      <c r="C4230" t="str">
        <f t="shared" si="1408"/>
        <v>Standard Class</v>
      </c>
      <c r="D4230" t="str">
        <f t="shared" si="1409"/>
        <v>Consumer</v>
      </c>
      <c r="E4230" t="s">
        <v>14</v>
      </c>
      <c r="F4230">
        <v>6</v>
      </c>
      <c r="G4230">
        <v>0</v>
      </c>
      <c r="H4230" s="2">
        <v>52.101900000000008</v>
      </c>
      <c r="I4230" s="2">
        <v>192.96999999999997</v>
      </c>
    </row>
    <row r="4231" spans="1:9" x14ac:dyDescent="0.3">
      <c r="A4231" t="str">
        <f t="shared" si="1410"/>
        <v>United States</v>
      </c>
      <c r="B4231" t="str">
        <f t="shared" si="1411"/>
        <v>Richmond</v>
      </c>
      <c r="C4231" t="str">
        <f t="shared" si="1408"/>
        <v>Standard Class</v>
      </c>
      <c r="D4231" t="str">
        <f t="shared" si="1409"/>
        <v>Consumer</v>
      </c>
      <c r="E4231" t="s">
        <v>25</v>
      </c>
      <c r="F4231">
        <v>2</v>
      </c>
      <c r="G4231">
        <v>0</v>
      </c>
      <c r="H4231" s="2">
        <v>104.75279999999998</v>
      </c>
      <c r="I4231" s="2">
        <v>581.96</v>
      </c>
    </row>
    <row r="4232" spans="1:9" x14ac:dyDescent="0.3">
      <c r="A4232" t="str">
        <f t="shared" si="1410"/>
        <v>United States</v>
      </c>
      <c r="B4232" t="str">
        <f t="shared" si="1411"/>
        <v>Richmond</v>
      </c>
      <c r="C4232" t="str">
        <f t="shared" si="1408"/>
        <v>Standard Class</v>
      </c>
      <c r="D4232" t="s">
        <v>15</v>
      </c>
      <c r="E4232" t="s">
        <v>23</v>
      </c>
      <c r="F4232">
        <v>3</v>
      </c>
      <c r="G4232">
        <v>0</v>
      </c>
      <c r="H4232" s="2">
        <v>22.4316</v>
      </c>
      <c r="I4232" s="2">
        <v>62.31</v>
      </c>
    </row>
    <row r="4233" spans="1:9" x14ac:dyDescent="0.3">
      <c r="A4233" t="str">
        <f t="shared" si="1410"/>
        <v>United States</v>
      </c>
      <c r="B4233" t="str">
        <f t="shared" si="1411"/>
        <v>Richmond</v>
      </c>
      <c r="C4233" t="str">
        <f t="shared" si="1408"/>
        <v>Standard Class</v>
      </c>
      <c r="D4233" t="str">
        <f t="shared" ref="D4233:D4239" si="1412">D4232</f>
        <v>Corporate</v>
      </c>
      <c r="E4233" t="s">
        <v>19</v>
      </c>
      <c r="F4233">
        <v>6</v>
      </c>
      <c r="G4233">
        <v>0</v>
      </c>
      <c r="H4233" s="2">
        <v>3.1097999999999999</v>
      </c>
      <c r="I4233" s="2">
        <v>11.1</v>
      </c>
    </row>
    <row r="4234" spans="1:9" x14ac:dyDescent="0.3">
      <c r="A4234" t="str">
        <f t="shared" si="1410"/>
        <v>United States</v>
      </c>
      <c r="B4234" t="str">
        <f t="shared" si="1411"/>
        <v>Richmond</v>
      </c>
      <c r="C4234" t="str">
        <f t="shared" si="1408"/>
        <v>Standard Class</v>
      </c>
      <c r="D4234" t="str">
        <f t="shared" si="1412"/>
        <v>Corporate</v>
      </c>
      <c r="E4234" t="s">
        <v>20</v>
      </c>
      <c r="F4234">
        <v>16</v>
      </c>
      <c r="G4234">
        <v>0</v>
      </c>
      <c r="H4234" s="2">
        <v>77.971599999999995</v>
      </c>
      <c r="I4234" s="2">
        <v>161.97999999999999</v>
      </c>
    </row>
    <row r="4235" spans="1:9" x14ac:dyDescent="0.3">
      <c r="A4235" t="str">
        <f t="shared" si="1410"/>
        <v>United States</v>
      </c>
      <c r="B4235" t="str">
        <f t="shared" si="1411"/>
        <v>Richmond</v>
      </c>
      <c r="C4235" t="str">
        <f t="shared" si="1408"/>
        <v>Standard Class</v>
      </c>
      <c r="D4235" t="str">
        <f t="shared" si="1412"/>
        <v>Corporate</v>
      </c>
      <c r="E4235" t="s">
        <v>38</v>
      </c>
      <c r="F4235">
        <v>6</v>
      </c>
      <c r="G4235">
        <v>0</v>
      </c>
      <c r="H4235" s="2">
        <v>29.449199999999998</v>
      </c>
      <c r="I4235" s="2">
        <v>64.02</v>
      </c>
    </row>
    <row r="4236" spans="1:9" x14ac:dyDescent="0.3">
      <c r="A4236" t="str">
        <f t="shared" si="1410"/>
        <v>United States</v>
      </c>
      <c r="B4236" t="str">
        <f t="shared" si="1411"/>
        <v>Richmond</v>
      </c>
      <c r="C4236" t="str">
        <f t="shared" si="1408"/>
        <v>Standard Class</v>
      </c>
      <c r="D4236" t="str">
        <f t="shared" si="1412"/>
        <v>Corporate</v>
      </c>
      <c r="E4236" t="s">
        <v>21</v>
      </c>
      <c r="F4236">
        <v>4</v>
      </c>
      <c r="G4236">
        <v>0</v>
      </c>
      <c r="H4236" s="2">
        <v>6.9087999999999994</v>
      </c>
      <c r="I4236" s="2">
        <v>20.32</v>
      </c>
    </row>
    <row r="4237" spans="1:9" x14ac:dyDescent="0.3">
      <c r="A4237" t="str">
        <f t="shared" si="1410"/>
        <v>United States</v>
      </c>
      <c r="B4237" t="str">
        <f t="shared" si="1411"/>
        <v>Richmond</v>
      </c>
      <c r="C4237" t="str">
        <f t="shared" si="1408"/>
        <v>Standard Class</v>
      </c>
      <c r="D4237" t="str">
        <f t="shared" si="1412"/>
        <v>Corporate</v>
      </c>
      <c r="E4237" t="s">
        <v>16</v>
      </c>
      <c r="F4237">
        <v>10</v>
      </c>
      <c r="G4237">
        <v>0</v>
      </c>
      <c r="H4237" s="2">
        <v>310.92919999999998</v>
      </c>
      <c r="I4237" s="2">
        <v>648.49999999999989</v>
      </c>
    </row>
    <row r="4238" spans="1:9" x14ac:dyDescent="0.3">
      <c r="A4238" t="str">
        <f t="shared" si="1410"/>
        <v>United States</v>
      </c>
      <c r="B4238" t="str">
        <f t="shared" si="1411"/>
        <v>Richmond</v>
      </c>
      <c r="C4238" t="str">
        <f t="shared" si="1408"/>
        <v>Standard Class</v>
      </c>
      <c r="D4238" t="str">
        <f t="shared" si="1412"/>
        <v>Corporate</v>
      </c>
      <c r="E4238" t="s">
        <v>24</v>
      </c>
      <c r="F4238">
        <v>1</v>
      </c>
      <c r="G4238">
        <v>0</v>
      </c>
      <c r="H4238" s="2">
        <v>9.9873000000000012</v>
      </c>
      <c r="I4238" s="2">
        <v>36.99</v>
      </c>
    </row>
    <row r="4239" spans="1:9" x14ac:dyDescent="0.3">
      <c r="A4239" t="str">
        <f t="shared" si="1410"/>
        <v>United States</v>
      </c>
      <c r="B4239" t="str">
        <f t="shared" si="1411"/>
        <v>Richmond</v>
      </c>
      <c r="C4239" t="str">
        <f t="shared" si="1408"/>
        <v>Standard Class</v>
      </c>
      <c r="D4239" t="str">
        <f t="shared" si="1412"/>
        <v>Corporate</v>
      </c>
      <c r="E4239" t="s">
        <v>14</v>
      </c>
      <c r="F4239">
        <v>5</v>
      </c>
      <c r="G4239">
        <v>0</v>
      </c>
      <c r="H4239" s="2">
        <v>29.163099999999986</v>
      </c>
      <c r="I4239" s="2">
        <v>263.47000000000003</v>
      </c>
    </row>
    <row r="4240" spans="1:9" x14ac:dyDescent="0.3">
      <c r="A4240" t="str">
        <f t="shared" si="1410"/>
        <v>United States</v>
      </c>
      <c r="B4240" t="str">
        <f t="shared" si="1411"/>
        <v>Richmond</v>
      </c>
      <c r="C4240" t="str">
        <f t="shared" si="1408"/>
        <v>Standard Class</v>
      </c>
      <c r="D4240" t="s">
        <v>17</v>
      </c>
      <c r="E4240" t="s">
        <v>23</v>
      </c>
      <c r="F4240">
        <v>8</v>
      </c>
      <c r="G4240">
        <v>0</v>
      </c>
      <c r="H4240" s="2">
        <v>72.857200000000006</v>
      </c>
      <c r="I4240" s="2">
        <v>171.92000000000002</v>
      </c>
    </row>
    <row r="4241" spans="1:9" x14ac:dyDescent="0.3">
      <c r="A4241" t="str">
        <f t="shared" si="1410"/>
        <v>United States</v>
      </c>
      <c r="B4241" t="str">
        <f t="shared" si="1411"/>
        <v>Richmond</v>
      </c>
      <c r="C4241" t="str">
        <f t="shared" si="1408"/>
        <v>Standard Class</v>
      </c>
      <c r="D4241" t="str">
        <f t="shared" ref="D4241:D4250" si="1413">D4240</f>
        <v>Home Office</v>
      </c>
      <c r="E4241" t="s">
        <v>19</v>
      </c>
      <c r="F4241">
        <v>1</v>
      </c>
      <c r="G4241">
        <v>0</v>
      </c>
      <c r="H4241" s="2">
        <v>2.6416000000000004</v>
      </c>
      <c r="I4241" s="2">
        <v>10.16</v>
      </c>
    </row>
    <row r="4242" spans="1:9" x14ac:dyDescent="0.3">
      <c r="A4242" t="str">
        <f t="shared" si="1410"/>
        <v>United States</v>
      </c>
      <c r="B4242" t="str">
        <f t="shared" si="1411"/>
        <v>Richmond</v>
      </c>
      <c r="C4242" t="str">
        <f t="shared" si="1408"/>
        <v>Standard Class</v>
      </c>
      <c r="D4242" t="str">
        <f t="shared" si="1413"/>
        <v>Home Office</v>
      </c>
      <c r="E4242" t="s">
        <v>20</v>
      </c>
      <c r="F4242">
        <v>1</v>
      </c>
      <c r="G4242">
        <v>0</v>
      </c>
      <c r="H4242" s="2">
        <v>1.4112</v>
      </c>
      <c r="I4242" s="2">
        <v>2.88</v>
      </c>
    </row>
    <row r="4243" spans="1:9" x14ac:dyDescent="0.3">
      <c r="A4243" t="str">
        <f t="shared" si="1410"/>
        <v>United States</v>
      </c>
      <c r="B4243" t="str">
        <f t="shared" si="1411"/>
        <v>Richmond</v>
      </c>
      <c r="C4243" t="str">
        <f t="shared" si="1408"/>
        <v>Standard Class</v>
      </c>
      <c r="D4243" t="str">
        <f t="shared" si="1413"/>
        <v>Home Office</v>
      </c>
      <c r="E4243" t="s">
        <v>33</v>
      </c>
      <c r="F4243">
        <v>3</v>
      </c>
      <c r="G4243">
        <v>0</v>
      </c>
      <c r="H4243" s="2">
        <v>240.29399999999995</v>
      </c>
      <c r="I4243" s="2">
        <v>828.59999999999991</v>
      </c>
    </row>
    <row r="4244" spans="1:9" x14ac:dyDescent="0.3">
      <c r="A4244" t="str">
        <f t="shared" si="1410"/>
        <v>United States</v>
      </c>
      <c r="B4244" t="str">
        <f t="shared" si="1411"/>
        <v>Richmond</v>
      </c>
      <c r="C4244" t="str">
        <f t="shared" si="1408"/>
        <v>Standard Class</v>
      </c>
      <c r="D4244" t="str">
        <f t="shared" si="1413"/>
        <v>Home Office</v>
      </c>
      <c r="E4244" t="s">
        <v>38</v>
      </c>
      <c r="F4244">
        <v>6</v>
      </c>
      <c r="G4244">
        <v>0</v>
      </c>
      <c r="H4244" s="2">
        <v>50.94</v>
      </c>
      <c r="I4244" s="2">
        <v>101.88</v>
      </c>
    </row>
    <row r="4245" spans="1:9" x14ac:dyDescent="0.3">
      <c r="A4245" t="str">
        <f t="shared" si="1410"/>
        <v>United States</v>
      </c>
      <c r="B4245" t="str">
        <f t="shared" si="1411"/>
        <v>Richmond</v>
      </c>
      <c r="C4245" t="str">
        <f t="shared" si="1408"/>
        <v>Standard Class</v>
      </c>
      <c r="D4245" t="str">
        <f t="shared" si="1413"/>
        <v>Home Office</v>
      </c>
      <c r="E4245" t="s">
        <v>18</v>
      </c>
      <c r="F4245">
        <v>2</v>
      </c>
      <c r="G4245">
        <v>0</v>
      </c>
      <c r="H4245" s="2">
        <v>0.1008</v>
      </c>
      <c r="I4245" s="2">
        <v>2.52</v>
      </c>
    </row>
    <row r="4246" spans="1:9" x14ac:dyDescent="0.3">
      <c r="A4246" t="str">
        <f t="shared" si="1410"/>
        <v>United States</v>
      </c>
      <c r="B4246" t="str">
        <f t="shared" si="1411"/>
        <v>Richmond</v>
      </c>
      <c r="C4246" t="str">
        <f t="shared" si="1408"/>
        <v>Standard Class</v>
      </c>
      <c r="D4246" t="str">
        <f t="shared" si="1413"/>
        <v>Home Office</v>
      </c>
      <c r="E4246" t="s">
        <v>21</v>
      </c>
      <c r="F4246">
        <v>4</v>
      </c>
      <c r="G4246">
        <v>0</v>
      </c>
      <c r="H4246" s="2">
        <v>18.4176</v>
      </c>
      <c r="I4246" s="2">
        <v>46.42</v>
      </c>
    </row>
    <row r="4247" spans="1:9" x14ac:dyDescent="0.3">
      <c r="A4247" t="str">
        <f t="shared" si="1410"/>
        <v>United States</v>
      </c>
      <c r="B4247" t="str">
        <f t="shared" si="1411"/>
        <v>Richmond</v>
      </c>
      <c r="C4247" t="str">
        <f t="shared" si="1408"/>
        <v>Standard Class</v>
      </c>
      <c r="D4247" t="str">
        <f t="shared" si="1413"/>
        <v>Home Office</v>
      </c>
      <c r="E4247" t="s">
        <v>16</v>
      </c>
      <c r="F4247">
        <v>1</v>
      </c>
      <c r="G4247">
        <v>0</v>
      </c>
      <c r="H4247" s="2">
        <v>5.5565999999999995</v>
      </c>
      <c r="I4247" s="2">
        <v>11.34</v>
      </c>
    </row>
    <row r="4248" spans="1:9" x14ac:dyDescent="0.3">
      <c r="A4248" t="str">
        <f t="shared" si="1410"/>
        <v>United States</v>
      </c>
      <c r="B4248" t="str">
        <f t="shared" si="1411"/>
        <v>Richmond</v>
      </c>
      <c r="C4248" t="str">
        <f t="shared" si="1408"/>
        <v>Standard Class</v>
      </c>
      <c r="D4248" t="str">
        <f t="shared" si="1413"/>
        <v>Home Office</v>
      </c>
      <c r="E4248" t="s">
        <v>24</v>
      </c>
      <c r="F4248">
        <v>10</v>
      </c>
      <c r="G4248">
        <v>0</v>
      </c>
      <c r="H4248" s="2">
        <v>589.73479999999972</v>
      </c>
      <c r="I4248" s="2">
        <v>2037.74</v>
      </c>
    </row>
    <row r="4249" spans="1:9" x14ac:dyDescent="0.3">
      <c r="A4249" t="str">
        <f t="shared" si="1410"/>
        <v>United States</v>
      </c>
      <c r="B4249" t="str">
        <f t="shared" si="1411"/>
        <v>Richmond</v>
      </c>
      <c r="C4249" t="str">
        <f t="shared" si="1408"/>
        <v>Standard Class</v>
      </c>
      <c r="D4249" t="str">
        <f t="shared" si="1413"/>
        <v>Home Office</v>
      </c>
      <c r="E4249" t="s">
        <v>14</v>
      </c>
      <c r="F4249">
        <v>19</v>
      </c>
      <c r="G4249">
        <v>0</v>
      </c>
      <c r="H4249" s="2">
        <v>398.20639999999992</v>
      </c>
      <c r="I4249" s="2">
        <v>1530.1200000000001</v>
      </c>
    </row>
    <row r="4250" spans="1:9" x14ac:dyDescent="0.3">
      <c r="A4250" t="str">
        <f t="shared" si="1410"/>
        <v>United States</v>
      </c>
      <c r="B4250" t="str">
        <f t="shared" si="1411"/>
        <v>Richmond</v>
      </c>
      <c r="C4250" t="str">
        <f t="shared" si="1408"/>
        <v>Standard Class</v>
      </c>
      <c r="D4250" t="str">
        <f t="shared" si="1413"/>
        <v>Home Office</v>
      </c>
      <c r="E4250" t="s">
        <v>25</v>
      </c>
      <c r="F4250">
        <v>3</v>
      </c>
      <c r="G4250">
        <v>0</v>
      </c>
      <c r="H4250" s="2">
        <v>67.064400000000006</v>
      </c>
      <c r="I4250" s="2">
        <v>257.94</v>
      </c>
    </row>
    <row r="4251" spans="1:9" x14ac:dyDescent="0.3">
      <c r="A4251" t="str">
        <f t="shared" si="1410"/>
        <v>United States</v>
      </c>
      <c r="B4251" t="s">
        <v>438</v>
      </c>
      <c r="C4251" t="s">
        <v>22</v>
      </c>
      <c r="D4251" t="s">
        <v>8</v>
      </c>
      <c r="E4251" t="s">
        <v>33</v>
      </c>
      <c r="F4251">
        <v>7</v>
      </c>
      <c r="G4251">
        <v>0.4</v>
      </c>
      <c r="H4251" s="2">
        <v>119.58779999999994</v>
      </c>
      <c r="I4251" s="2">
        <v>1114.192</v>
      </c>
    </row>
    <row r="4252" spans="1:9" x14ac:dyDescent="0.3">
      <c r="A4252" t="str">
        <f t="shared" si="1410"/>
        <v>United States</v>
      </c>
      <c r="B4252" t="s">
        <v>439</v>
      </c>
      <c r="C4252" t="s">
        <v>11</v>
      </c>
      <c r="D4252" t="s">
        <v>8</v>
      </c>
      <c r="E4252" t="s">
        <v>20</v>
      </c>
      <c r="F4252">
        <v>1</v>
      </c>
      <c r="G4252">
        <v>0.2</v>
      </c>
      <c r="H4252" s="2">
        <v>1.3944000000000001</v>
      </c>
      <c r="I4252" s="2">
        <v>3.9840000000000004</v>
      </c>
    </row>
    <row r="4253" spans="1:9" x14ac:dyDescent="0.3">
      <c r="A4253" t="str">
        <f t="shared" si="1410"/>
        <v>United States</v>
      </c>
      <c r="B4253" t="str">
        <f t="shared" ref="B4253:B4265" si="1414">B4252</f>
        <v>Riverside</v>
      </c>
      <c r="C4253" t="str">
        <f t="shared" ref="C4253:C4256" si="1415">C4252</f>
        <v>First Class</v>
      </c>
      <c r="D4253" t="s">
        <v>15</v>
      </c>
      <c r="E4253" t="s">
        <v>23</v>
      </c>
      <c r="F4253">
        <v>2</v>
      </c>
      <c r="G4253">
        <v>0</v>
      </c>
      <c r="H4253" s="2">
        <v>15.098399999999998</v>
      </c>
      <c r="I4253" s="2">
        <v>41.94</v>
      </c>
    </row>
    <row r="4254" spans="1:9" x14ac:dyDescent="0.3">
      <c r="A4254" t="str">
        <f t="shared" si="1410"/>
        <v>United States</v>
      </c>
      <c r="B4254" t="str">
        <f t="shared" si="1414"/>
        <v>Riverside</v>
      </c>
      <c r="C4254" t="str">
        <f t="shared" si="1415"/>
        <v>First Class</v>
      </c>
      <c r="D4254" t="str">
        <f t="shared" ref="D4254:D4256" si="1416">D4253</f>
        <v>Corporate</v>
      </c>
      <c r="E4254" t="s">
        <v>19</v>
      </c>
      <c r="F4254">
        <v>4</v>
      </c>
      <c r="G4254">
        <v>0</v>
      </c>
      <c r="H4254" s="2">
        <v>3.8047999999999984</v>
      </c>
      <c r="I4254" s="2">
        <v>13.12</v>
      </c>
    </row>
    <row r="4255" spans="1:9" x14ac:dyDescent="0.3">
      <c r="A4255" t="str">
        <f t="shared" si="1410"/>
        <v>United States</v>
      </c>
      <c r="B4255" t="str">
        <f t="shared" si="1414"/>
        <v>Riverside</v>
      </c>
      <c r="C4255" t="str">
        <f t="shared" si="1415"/>
        <v>First Class</v>
      </c>
      <c r="D4255" t="str">
        <f t="shared" si="1416"/>
        <v>Corporate</v>
      </c>
      <c r="E4255" t="s">
        <v>16</v>
      </c>
      <c r="F4255">
        <v>2</v>
      </c>
      <c r="G4255">
        <v>0</v>
      </c>
      <c r="H4255" s="2">
        <v>5.8604000000000003</v>
      </c>
      <c r="I4255" s="2">
        <v>11.96</v>
      </c>
    </row>
    <row r="4256" spans="1:9" x14ac:dyDescent="0.3">
      <c r="A4256" t="str">
        <f t="shared" si="1410"/>
        <v>United States</v>
      </c>
      <c r="B4256" t="str">
        <f t="shared" si="1414"/>
        <v>Riverside</v>
      </c>
      <c r="C4256" t="str">
        <f t="shared" si="1415"/>
        <v>First Class</v>
      </c>
      <c r="D4256" t="str">
        <f t="shared" si="1416"/>
        <v>Corporate</v>
      </c>
      <c r="E4256" t="s">
        <v>14</v>
      </c>
      <c r="F4256">
        <v>3</v>
      </c>
      <c r="G4256">
        <v>0</v>
      </c>
      <c r="H4256" s="2">
        <v>160.62299999999993</v>
      </c>
      <c r="I4256" s="2">
        <v>535.41</v>
      </c>
    </row>
    <row r="4257" spans="1:9" x14ac:dyDescent="0.3">
      <c r="A4257" t="str">
        <f t="shared" si="1410"/>
        <v>United States</v>
      </c>
      <c r="B4257" t="str">
        <f t="shared" si="1414"/>
        <v>Riverside</v>
      </c>
      <c r="C4257" t="s">
        <v>27</v>
      </c>
      <c r="D4257" t="s">
        <v>15</v>
      </c>
      <c r="E4257" t="s">
        <v>12</v>
      </c>
      <c r="F4257">
        <v>2</v>
      </c>
      <c r="G4257">
        <v>0</v>
      </c>
      <c r="H4257" s="2">
        <v>13.787999999999997</v>
      </c>
      <c r="I4257" s="2">
        <v>45.96</v>
      </c>
    </row>
    <row r="4258" spans="1:9" x14ac:dyDescent="0.3">
      <c r="A4258" t="str">
        <f t="shared" si="1410"/>
        <v>United States</v>
      </c>
      <c r="B4258" t="str">
        <f t="shared" si="1414"/>
        <v>Riverside</v>
      </c>
      <c r="C4258" t="str">
        <f t="shared" ref="C4258:C4260" si="1417">C4257</f>
        <v>Same Day</v>
      </c>
      <c r="D4258" t="str">
        <f t="shared" ref="D4258:D4259" si="1418">D4257</f>
        <v>Corporate</v>
      </c>
      <c r="E4258" t="s">
        <v>16</v>
      </c>
      <c r="F4258">
        <v>2</v>
      </c>
      <c r="G4258">
        <v>0</v>
      </c>
      <c r="H4258" s="2">
        <v>6.2208000000000006</v>
      </c>
      <c r="I4258" s="2">
        <v>12.96</v>
      </c>
    </row>
    <row r="4259" spans="1:9" x14ac:dyDescent="0.3">
      <c r="A4259" t="str">
        <f t="shared" si="1410"/>
        <v>United States</v>
      </c>
      <c r="B4259" t="str">
        <f t="shared" si="1414"/>
        <v>Riverside</v>
      </c>
      <c r="C4259" t="str">
        <f t="shared" si="1417"/>
        <v>Same Day</v>
      </c>
      <c r="D4259" t="str">
        <f t="shared" si="1418"/>
        <v>Corporate</v>
      </c>
      <c r="E4259" t="s">
        <v>24</v>
      </c>
      <c r="F4259">
        <v>2</v>
      </c>
      <c r="G4259">
        <v>0.2</v>
      </c>
      <c r="H4259" s="2">
        <v>90.976200000000063</v>
      </c>
      <c r="I4259" s="2">
        <v>1039.7280000000001</v>
      </c>
    </row>
    <row r="4260" spans="1:9" x14ac:dyDescent="0.3">
      <c r="A4260" t="str">
        <f t="shared" si="1410"/>
        <v>United States</v>
      </c>
      <c r="B4260" t="str">
        <f t="shared" si="1414"/>
        <v>Riverside</v>
      </c>
      <c r="C4260" t="str">
        <f t="shared" si="1417"/>
        <v>Same Day</v>
      </c>
      <c r="D4260" t="s">
        <v>17</v>
      </c>
      <c r="E4260" t="s">
        <v>19</v>
      </c>
      <c r="F4260">
        <v>3</v>
      </c>
      <c r="G4260">
        <v>0</v>
      </c>
      <c r="H4260" s="2">
        <v>2.1060000000000008</v>
      </c>
      <c r="I4260" s="2">
        <v>7.8000000000000007</v>
      </c>
    </row>
    <row r="4261" spans="1:9" x14ac:dyDescent="0.3">
      <c r="A4261" t="str">
        <f t="shared" si="1410"/>
        <v>United States</v>
      </c>
      <c r="B4261" t="str">
        <f t="shared" si="1414"/>
        <v>Riverside</v>
      </c>
      <c r="C4261" t="s">
        <v>22</v>
      </c>
      <c r="D4261" t="s">
        <v>8</v>
      </c>
      <c r="E4261" t="s">
        <v>19</v>
      </c>
      <c r="F4261">
        <v>3</v>
      </c>
      <c r="G4261">
        <v>0</v>
      </c>
      <c r="H4261" s="2">
        <v>3.2471999999999994</v>
      </c>
      <c r="I4261" s="2">
        <v>9.84</v>
      </c>
    </row>
    <row r="4262" spans="1:9" x14ac:dyDescent="0.3">
      <c r="A4262" t="str">
        <f t="shared" si="1410"/>
        <v>United States</v>
      </c>
      <c r="B4262" t="str">
        <f t="shared" si="1414"/>
        <v>Riverside</v>
      </c>
      <c r="C4262" t="str">
        <f t="shared" ref="C4262:C4265" si="1419">C4261</f>
        <v>Standard Class</v>
      </c>
      <c r="D4262" t="str">
        <f>D4261</f>
        <v>Consumer</v>
      </c>
      <c r="E4262" t="s">
        <v>16</v>
      </c>
      <c r="F4262">
        <v>3</v>
      </c>
      <c r="G4262">
        <v>0</v>
      </c>
      <c r="H4262" s="2">
        <v>11.230799999999999</v>
      </c>
      <c r="I4262" s="2">
        <v>22.919999999999998</v>
      </c>
    </row>
    <row r="4263" spans="1:9" x14ac:dyDescent="0.3">
      <c r="A4263" t="str">
        <f t="shared" si="1410"/>
        <v>United States</v>
      </c>
      <c r="B4263" t="str">
        <f t="shared" si="1414"/>
        <v>Riverside</v>
      </c>
      <c r="C4263" t="str">
        <f t="shared" si="1419"/>
        <v>Standard Class</v>
      </c>
      <c r="D4263" t="s">
        <v>15</v>
      </c>
      <c r="E4263" t="s">
        <v>12</v>
      </c>
      <c r="F4263">
        <v>4</v>
      </c>
      <c r="G4263">
        <v>0</v>
      </c>
      <c r="H4263" s="2">
        <v>34.964799999999997</v>
      </c>
      <c r="I4263" s="2">
        <v>134.47999999999999</v>
      </c>
    </row>
    <row r="4264" spans="1:9" x14ac:dyDescent="0.3">
      <c r="A4264" t="str">
        <f t="shared" si="1410"/>
        <v>United States</v>
      </c>
      <c r="B4264" t="str">
        <f t="shared" si="1414"/>
        <v>Riverside</v>
      </c>
      <c r="C4264" t="str">
        <f t="shared" si="1419"/>
        <v>Standard Class</v>
      </c>
      <c r="D4264" t="str">
        <f>D4263</f>
        <v>Corporate</v>
      </c>
      <c r="E4264" t="s">
        <v>16</v>
      </c>
      <c r="F4264">
        <v>2</v>
      </c>
      <c r="G4264">
        <v>0</v>
      </c>
      <c r="H4264" s="2">
        <v>6.2208000000000006</v>
      </c>
      <c r="I4264" s="2">
        <v>12.96</v>
      </c>
    </row>
    <row r="4265" spans="1:9" x14ac:dyDescent="0.3">
      <c r="A4265" t="str">
        <f t="shared" si="1410"/>
        <v>United States</v>
      </c>
      <c r="B4265" t="str">
        <f t="shared" si="1414"/>
        <v>Riverside</v>
      </c>
      <c r="C4265" t="str">
        <f t="shared" si="1419"/>
        <v>Standard Class</v>
      </c>
      <c r="D4265" t="s">
        <v>17</v>
      </c>
      <c r="E4265" t="s">
        <v>20</v>
      </c>
      <c r="F4265">
        <v>7</v>
      </c>
      <c r="G4265">
        <v>0.2</v>
      </c>
      <c r="H4265" s="2">
        <v>19.193999999999999</v>
      </c>
      <c r="I4265" s="2">
        <v>51.184000000000012</v>
      </c>
    </row>
    <row r="4266" spans="1:9" x14ac:dyDescent="0.3">
      <c r="A4266" t="str">
        <f t="shared" si="1410"/>
        <v>United States</v>
      </c>
      <c r="B4266" t="s">
        <v>440</v>
      </c>
      <c r="C4266" t="s">
        <v>11</v>
      </c>
      <c r="D4266" t="s">
        <v>8</v>
      </c>
      <c r="E4266" t="s">
        <v>19</v>
      </c>
      <c r="F4266">
        <v>2</v>
      </c>
      <c r="G4266">
        <v>0</v>
      </c>
      <c r="H4266" s="2">
        <v>4.9431999999999992</v>
      </c>
      <c r="I4266" s="2">
        <v>13.36</v>
      </c>
    </row>
    <row r="4267" spans="1:9" x14ac:dyDescent="0.3">
      <c r="A4267" t="str">
        <f t="shared" si="1410"/>
        <v>United States</v>
      </c>
      <c r="B4267" t="str">
        <f t="shared" ref="B4267:B4301" si="1420">B4266</f>
        <v>Rochester</v>
      </c>
      <c r="C4267" t="str">
        <f t="shared" ref="C4267:C4272" si="1421">C4266</f>
        <v>First Class</v>
      </c>
      <c r="D4267" t="str">
        <f t="shared" ref="D4267:D4270" si="1422">D4266</f>
        <v>Consumer</v>
      </c>
      <c r="E4267" t="s">
        <v>20</v>
      </c>
      <c r="F4267">
        <v>2</v>
      </c>
      <c r="G4267">
        <v>0.2</v>
      </c>
      <c r="H4267" s="2">
        <v>89.954799999999992</v>
      </c>
      <c r="I4267" s="2">
        <v>276.78400000000005</v>
      </c>
    </row>
    <row r="4268" spans="1:9" x14ac:dyDescent="0.3">
      <c r="A4268" t="str">
        <f t="shared" si="1410"/>
        <v>United States</v>
      </c>
      <c r="B4268" t="str">
        <f t="shared" si="1420"/>
        <v>Rochester</v>
      </c>
      <c r="C4268" t="str">
        <f t="shared" si="1421"/>
        <v>First Class</v>
      </c>
      <c r="D4268" t="str">
        <f t="shared" si="1422"/>
        <v>Consumer</v>
      </c>
      <c r="E4268" t="s">
        <v>16</v>
      </c>
      <c r="F4268">
        <v>2</v>
      </c>
      <c r="G4268">
        <v>0</v>
      </c>
      <c r="H4268" s="2">
        <v>6.2208000000000006</v>
      </c>
      <c r="I4268" s="2">
        <v>12.96</v>
      </c>
    </row>
    <row r="4269" spans="1:9" x14ac:dyDescent="0.3">
      <c r="A4269" t="str">
        <f t="shared" si="1410"/>
        <v>United States</v>
      </c>
      <c r="B4269" t="str">
        <f t="shared" si="1420"/>
        <v>Rochester</v>
      </c>
      <c r="C4269" t="str">
        <f t="shared" si="1421"/>
        <v>First Class</v>
      </c>
      <c r="D4269" t="str">
        <f t="shared" si="1422"/>
        <v>Consumer</v>
      </c>
      <c r="E4269" t="s">
        <v>24</v>
      </c>
      <c r="F4269">
        <v>7</v>
      </c>
      <c r="G4269">
        <v>0</v>
      </c>
      <c r="H4269" s="2">
        <v>172.06080000000003</v>
      </c>
      <c r="I4269" s="2">
        <v>623.92999999999995</v>
      </c>
    </row>
    <row r="4270" spans="1:9" x14ac:dyDescent="0.3">
      <c r="A4270" t="str">
        <f t="shared" si="1410"/>
        <v>United States</v>
      </c>
      <c r="B4270" t="str">
        <f t="shared" si="1420"/>
        <v>Rochester</v>
      </c>
      <c r="C4270" t="str">
        <f t="shared" si="1421"/>
        <v>First Class</v>
      </c>
      <c r="D4270" t="str">
        <f t="shared" si="1422"/>
        <v>Consumer</v>
      </c>
      <c r="E4270" t="s">
        <v>14</v>
      </c>
      <c r="F4270">
        <v>3</v>
      </c>
      <c r="G4270">
        <v>0</v>
      </c>
      <c r="H4270" s="2">
        <v>5.8409999999999869</v>
      </c>
      <c r="I4270" s="2">
        <v>116.82</v>
      </c>
    </row>
    <row r="4271" spans="1:9" x14ac:dyDescent="0.3">
      <c r="A4271" t="str">
        <f t="shared" si="1410"/>
        <v>United States</v>
      </c>
      <c r="B4271" t="str">
        <f t="shared" si="1420"/>
        <v>Rochester</v>
      </c>
      <c r="C4271" t="str">
        <f t="shared" si="1421"/>
        <v>First Class</v>
      </c>
      <c r="D4271" t="s">
        <v>15</v>
      </c>
      <c r="E4271" t="s">
        <v>43</v>
      </c>
      <c r="F4271">
        <v>7</v>
      </c>
      <c r="G4271">
        <v>0</v>
      </c>
      <c r="H4271" s="2">
        <v>10.348799999999999</v>
      </c>
      <c r="I4271" s="2">
        <v>21.560000000000002</v>
      </c>
    </row>
    <row r="4272" spans="1:9" x14ac:dyDescent="0.3">
      <c r="A4272" t="str">
        <f t="shared" si="1410"/>
        <v>United States</v>
      </c>
      <c r="B4272" t="str">
        <f t="shared" si="1420"/>
        <v>Rochester</v>
      </c>
      <c r="C4272" t="str">
        <f t="shared" si="1421"/>
        <v>First Class</v>
      </c>
      <c r="D4272" t="str">
        <f>D4271</f>
        <v>Corporate</v>
      </c>
      <c r="E4272" t="s">
        <v>16</v>
      </c>
      <c r="F4272">
        <v>9</v>
      </c>
      <c r="G4272">
        <v>0</v>
      </c>
      <c r="H4272" s="2">
        <v>69.959999999999994</v>
      </c>
      <c r="I4272" s="2">
        <v>145.75</v>
      </c>
    </row>
    <row r="4273" spans="1:9" x14ac:dyDescent="0.3">
      <c r="A4273" t="str">
        <f t="shared" si="1410"/>
        <v>United States</v>
      </c>
      <c r="B4273" t="str">
        <f t="shared" si="1420"/>
        <v>Rochester</v>
      </c>
      <c r="C4273" t="s">
        <v>27</v>
      </c>
      <c r="D4273" t="s">
        <v>8</v>
      </c>
      <c r="E4273" t="s">
        <v>20</v>
      </c>
      <c r="F4273">
        <v>5</v>
      </c>
      <c r="G4273">
        <v>0</v>
      </c>
      <c r="H4273" s="2">
        <v>71.858500000000006</v>
      </c>
      <c r="I4273" s="2">
        <v>146.65</v>
      </c>
    </row>
    <row r="4274" spans="1:9" x14ac:dyDescent="0.3">
      <c r="A4274" t="str">
        <f t="shared" si="1410"/>
        <v>United States</v>
      </c>
      <c r="B4274" t="str">
        <f t="shared" si="1420"/>
        <v>Rochester</v>
      </c>
      <c r="C4274" t="str">
        <f t="shared" ref="C4274:C4276" si="1423">C4273</f>
        <v>Same Day</v>
      </c>
      <c r="D4274" t="str">
        <f t="shared" ref="D4274:D4275" si="1424">D4273</f>
        <v>Consumer</v>
      </c>
      <c r="E4274" t="s">
        <v>18</v>
      </c>
      <c r="F4274">
        <v>2</v>
      </c>
      <c r="G4274">
        <v>0</v>
      </c>
      <c r="H4274" s="2">
        <v>2.5279999999999996</v>
      </c>
      <c r="I4274" s="2">
        <v>7.9</v>
      </c>
    </row>
    <row r="4275" spans="1:9" x14ac:dyDescent="0.3">
      <c r="A4275" t="str">
        <f t="shared" si="1410"/>
        <v>United States</v>
      </c>
      <c r="B4275" t="str">
        <f t="shared" si="1420"/>
        <v>Rochester</v>
      </c>
      <c r="C4275" t="str">
        <f t="shared" si="1423"/>
        <v>Same Day</v>
      </c>
      <c r="D4275" t="str">
        <f t="shared" si="1424"/>
        <v>Consumer</v>
      </c>
      <c r="E4275" t="s">
        <v>14</v>
      </c>
      <c r="F4275">
        <v>4</v>
      </c>
      <c r="G4275">
        <v>0</v>
      </c>
      <c r="H4275" s="2">
        <v>57.501599999999996</v>
      </c>
      <c r="I4275" s="2">
        <v>221.16</v>
      </c>
    </row>
    <row r="4276" spans="1:9" x14ac:dyDescent="0.3">
      <c r="A4276" t="str">
        <f t="shared" si="1410"/>
        <v>United States</v>
      </c>
      <c r="B4276" t="str">
        <f t="shared" si="1420"/>
        <v>Rochester</v>
      </c>
      <c r="C4276" t="str">
        <f t="shared" si="1423"/>
        <v>Same Day</v>
      </c>
      <c r="D4276" t="s">
        <v>15</v>
      </c>
      <c r="E4276" t="s">
        <v>21</v>
      </c>
      <c r="F4276">
        <v>5</v>
      </c>
      <c r="G4276">
        <v>0</v>
      </c>
      <c r="H4276" s="2">
        <v>75.679999999999978</v>
      </c>
      <c r="I4276" s="2">
        <v>756.80000000000007</v>
      </c>
    </row>
    <row r="4277" spans="1:9" x14ac:dyDescent="0.3">
      <c r="A4277" t="str">
        <f t="shared" si="1410"/>
        <v>United States</v>
      </c>
      <c r="B4277" t="str">
        <f t="shared" si="1420"/>
        <v>Rochester</v>
      </c>
      <c r="C4277" t="s">
        <v>7</v>
      </c>
      <c r="D4277" t="s">
        <v>8</v>
      </c>
      <c r="E4277" t="s">
        <v>23</v>
      </c>
      <c r="F4277">
        <v>1</v>
      </c>
      <c r="G4277">
        <v>0</v>
      </c>
      <c r="H4277" s="2">
        <v>2.2364999999999995</v>
      </c>
      <c r="I4277" s="2">
        <v>31.95</v>
      </c>
    </row>
    <row r="4278" spans="1:9" x14ac:dyDescent="0.3">
      <c r="A4278" t="str">
        <f t="shared" si="1410"/>
        <v>United States</v>
      </c>
      <c r="B4278" t="str">
        <f t="shared" si="1420"/>
        <v>Rochester</v>
      </c>
      <c r="C4278" t="str">
        <f t="shared" ref="C4278:C4281" si="1425">C4277</f>
        <v>Second Class</v>
      </c>
      <c r="D4278" t="str">
        <f t="shared" ref="D4278:D4281" si="1426">D4277</f>
        <v>Consumer</v>
      </c>
      <c r="E4278" t="s">
        <v>20</v>
      </c>
      <c r="F4278">
        <v>3</v>
      </c>
      <c r="G4278">
        <v>0.2</v>
      </c>
      <c r="H4278" s="2">
        <v>3.6791999999999998</v>
      </c>
      <c r="I4278" s="2">
        <v>10.512</v>
      </c>
    </row>
    <row r="4279" spans="1:9" x14ac:dyDescent="0.3">
      <c r="A4279" t="str">
        <f t="shared" si="1410"/>
        <v>United States</v>
      </c>
      <c r="B4279" t="str">
        <f t="shared" si="1420"/>
        <v>Rochester</v>
      </c>
      <c r="C4279" t="str">
        <f t="shared" si="1425"/>
        <v>Second Class</v>
      </c>
      <c r="D4279" t="str">
        <f t="shared" si="1426"/>
        <v>Consumer</v>
      </c>
      <c r="E4279" t="s">
        <v>16</v>
      </c>
      <c r="F4279">
        <v>4</v>
      </c>
      <c r="G4279">
        <v>0</v>
      </c>
      <c r="H4279" s="2">
        <v>11.720800000000001</v>
      </c>
      <c r="I4279" s="2">
        <v>23.92</v>
      </c>
    </row>
    <row r="4280" spans="1:9" x14ac:dyDescent="0.3">
      <c r="A4280" t="str">
        <f t="shared" si="1410"/>
        <v>United States</v>
      </c>
      <c r="B4280" t="str">
        <f t="shared" si="1420"/>
        <v>Rochester</v>
      </c>
      <c r="C4280" t="str">
        <f t="shared" si="1425"/>
        <v>Second Class</v>
      </c>
      <c r="D4280" t="str">
        <f t="shared" si="1426"/>
        <v>Consumer</v>
      </c>
      <c r="E4280" t="s">
        <v>14</v>
      </c>
      <c r="F4280">
        <v>2</v>
      </c>
      <c r="G4280">
        <v>0</v>
      </c>
      <c r="H4280" s="2">
        <v>5.8707999999999991</v>
      </c>
      <c r="I4280" s="2">
        <v>22.58</v>
      </c>
    </row>
    <row r="4281" spans="1:9" x14ac:dyDescent="0.3">
      <c r="A4281" t="str">
        <f t="shared" si="1410"/>
        <v>United States</v>
      </c>
      <c r="B4281" t="str">
        <f t="shared" si="1420"/>
        <v>Rochester</v>
      </c>
      <c r="C4281" t="str">
        <f t="shared" si="1425"/>
        <v>Second Class</v>
      </c>
      <c r="D4281" t="str">
        <f t="shared" si="1426"/>
        <v>Consumer</v>
      </c>
      <c r="E4281" t="s">
        <v>25</v>
      </c>
      <c r="F4281">
        <v>1</v>
      </c>
      <c r="G4281">
        <v>0.4</v>
      </c>
      <c r="H4281" s="2">
        <v>-13.978000000000009</v>
      </c>
      <c r="I4281" s="2">
        <v>209.67</v>
      </c>
    </row>
    <row r="4282" spans="1:9" x14ac:dyDescent="0.3">
      <c r="A4282" t="str">
        <f t="shared" si="1410"/>
        <v>United States</v>
      </c>
      <c r="B4282" t="str">
        <f t="shared" si="1420"/>
        <v>Rochester</v>
      </c>
      <c r="C4282" t="s">
        <v>22</v>
      </c>
      <c r="D4282" t="s">
        <v>8</v>
      </c>
      <c r="E4282" t="s">
        <v>23</v>
      </c>
      <c r="F4282">
        <v>7</v>
      </c>
      <c r="G4282">
        <v>0</v>
      </c>
      <c r="H4282" s="2">
        <v>180.76659999999998</v>
      </c>
      <c r="I4282" s="2">
        <v>562.74</v>
      </c>
    </row>
    <row r="4283" spans="1:9" x14ac:dyDescent="0.3">
      <c r="A4283" t="str">
        <f t="shared" si="1410"/>
        <v>United States</v>
      </c>
      <c r="B4283" t="str">
        <f t="shared" si="1420"/>
        <v>Rochester</v>
      </c>
      <c r="C4283" t="str">
        <f t="shared" ref="C4283:C4301" si="1427">C4282</f>
        <v>Standard Class</v>
      </c>
      <c r="D4283" t="str">
        <f t="shared" ref="D4283:D4293" si="1428">D4282</f>
        <v>Consumer</v>
      </c>
      <c r="E4283" t="s">
        <v>12</v>
      </c>
      <c r="F4283">
        <v>3</v>
      </c>
      <c r="G4283">
        <v>0</v>
      </c>
      <c r="H4283" s="2">
        <v>8.4942000000000011</v>
      </c>
      <c r="I4283" s="2">
        <v>32.67</v>
      </c>
    </row>
    <row r="4284" spans="1:9" x14ac:dyDescent="0.3">
      <c r="A4284" t="str">
        <f t="shared" si="1410"/>
        <v>United States</v>
      </c>
      <c r="B4284" t="str">
        <f t="shared" si="1420"/>
        <v>Rochester</v>
      </c>
      <c r="C4284" t="str">
        <f t="shared" si="1427"/>
        <v>Standard Class</v>
      </c>
      <c r="D4284" t="str">
        <f t="shared" si="1428"/>
        <v>Consumer</v>
      </c>
      <c r="E4284" t="s">
        <v>19</v>
      </c>
      <c r="F4284">
        <v>5</v>
      </c>
      <c r="G4284">
        <v>0</v>
      </c>
      <c r="H4284" s="2">
        <v>2.5519999999999996</v>
      </c>
      <c r="I4284" s="2">
        <v>8.8000000000000007</v>
      </c>
    </row>
    <row r="4285" spans="1:9" x14ac:dyDescent="0.3">
      <c r="A4285" t="str">
        <f t="shared" si="1410"/>
        <v>United States</v>
      </c>
      <c r="B4285" t="str">
        <f t="shared" si="1420"/>
        <v>Rochester</v>
      </c>
      <c r="C4285" t="str">
        <f t="shared" si="1427"/>
        <v>Standard Class</v>
      </c>
      <c r="D4285" t="str">
        <f t="shared" si="1428"/>
        <v>Consumer</v>
      </c>
      <c r="E4285" t="s">
        <v>20</v>
      </c>
      <c r="F4285">
        <v>22</v>
      </c>
      <c r="G4285">
        <v>0.60000000000000009</v>
      </c>
      <c r="H4285" s="2">
        <v>481.98470000000003</v>
      </c>
      <c r="I4285" s="2">
        <v>1278.508</v>
      </c>
    </row>
    <row r="4286" spans="1:9" x14ac:dyDescent="0.3">
      <c r="A4286" t="str">
        <f t="shared" si="1410"/>
        <v>United States</v>
      </c>
      <c r="B4286" t="str">
        <f t="shared" si="1420"/>
        <v>Rochester</v>
      </c>
      <c r="C4286" t="str">
        <f t="shared" si="1427"/>
        <v>Standard Class</v>
      </c>
      <c r="D4286" t="str">
        <f t="shared" si="1428"/>
        <v>Consumer</v>
      </c>
      <c r="E4286" t="s">
        <v>33</v>
      </c>
      <c r="F4286">
        <v>3</v>
      </c>
      <c r="G4286">
        <v>0</v>
      </c>
      <c r="H4286" s="2">
        <v>51.294299999999964</v>
      </c>
      <c r="I4286" s="2">
        <v>269.96999999999997</v>
      </c>
    </row>
    <row r="4287" spans="1:9" x14ac:dyDescent="0.3">
      <c r="A4287" t="str">
        <f t="shared" si="1410"/>
        <v>United States</v>
      </c>
      <c r="B4287" t="str">
        <f t="shared" si="1420"/>
        <v>Rochester</v>
      </c>
      <c r="C4287" t="str">
        <f t="shared" si="1427"/>
        <v>Standard Class</v>
      </c>
      <c r="D4287" t="str">
        <f t="shared" si="1428"/>
        <v>Consumer</v>
      </c>
      <c r="E4287" t="s">
        <v>38</v>
      </c>
      <c r="F4287">
        <v>3</v>
      </c>
      <c r="G4287">
        <v>0</v>
      </c>
      <c r="H4287" s="2">
        <v>5.0921999999999992</v>
      </c>
      <c r="I4287" s="2">
        <v>11.07</v>
      </c>
    </row>
    <row r="4288" spans="1:9" x14ac:dyDescent="0.3">
      <c r="A4288" t="str">
        <f t="shared" si="1410"/>
        <v>United States</v>
      </c>
      <c r="B4288" t="str">
        <f t="shared" si="1420"/>
        <v>Rochester</v>
      </c>
      <c r="C4288" t="str">
        <f t="shared" si="1427"/>
        <v>Standard Class</v>
      </c>
      <c r="D4288" t="str">
        <f t="shared" si="1428"/>
        <v>Consumer</v>
      </c>
      <c r="E4288" t="s">
        <v>21</v>
      </c>
      <c r="F4288">
        <v>2</v>
      </c>
      <c r="G4288">
        <v>0</v>
      </c>
      <c r="H4288" s="2">
        <v>5.936399999999999</v>
      </c>
      <c r="I4288" s="2">
        <v>17.46</v>
      </c>
    </row>
    <row r="4289" spans="1:9" x14ac:dyDescent="0.3">
      <c r="A4289" t="str">
        <f t="shared" si="1410"/>
        <v>United States</v>
      </c>
      <c r="B4289" t="str">
        <f t="shared" si="1420"/>
        <v>Rochester</v>
      </c>
      <c r="C4289" t="str">
        <f t="shared" si="1427"/>
        <v>Standard Class</v>
      </c>
      <c r="D4289" t="str">
        <f t="shared" si="1428"/>
        <v>Consumer</v>
      </c>
      <c r="E4289" t="s">
        <v>43</v>
      </c>
      <c r="F4289">
        <v>2</v>
      </c>
      <c r="G4289">
        <v>0</v>
      </c>
      <c r="H4289" s="2">
        <v>2.9567999999999999</v>
      </c>
      <c r="I4289" s="2">
        <v>6.16</v>
      </c>
    </row>
    <row r="4290" spans="1:9" x14ac:dyDescent="0.3">
      <c r="A4290" t="str">
        <f t="shared" si="1410"/>
        <v>United States</v>
      </c>
      <c r="B4290" t="str">
        <f t="shared" si="1420"/>
        <v>Rochester</v>
      </c>
      <c r="C4290" t="str">
        <f t="shared" si="1427"/>
        <v>Standard Class</v>
      </c>
      <c r="D4290" t="str">
        <f t="shared" si="1428"/>
        <v>Consumer</v>
      </c>
      <c r="E4290" t="s">
        <v>16</v>
      </c>
      <c r="F4290">
        <v>7</v>
      </c>
      <c r="G4290">
        <v>0</v>
      </c>
      <c r="H4290" s="2">
        <v>21.772800000000004</v>
      </c>
      <c r="I4290" s="2">
        <v>45.36</v>
      </c>
    </row>
    <row r="4291" spans="1:9" x14ac:dyDescent="0.3">
      <c r="A4291" t="str">
        <f t="shared" si="1410"/>
        <v>United States</v>
      </c>
      <c r="B4291" t="str">
        <f t="shared" si="1420"/>
        <v>Rochester</v>
      </c>
      <c r="C4291" t="str">
        <f t="shared" si="1427"/>
        <v>Standard Class</v>
      </c>
      <c r="D4291" t="str">
        <f t="shared" si="1428"/>
        <v>Consumer</v>
      </c>
      <c r="E4291" t="s">
        <v>24</v>
      </c>
      <c r="F4291">
        <v>2</v>
      </c>
      <c r="G4291">
        <v>0</v>
      </c>
      <c r="H4291" s="2">
        <v>201.13409999999996</v>
      </c>
      <c r="I4291" s="2">
        <v>671.98</v>
      </c>
    </row>
    <row r="4292" spans="1:9" x14ac:dyDescent="0.3">
      <c r="A4292" t="str">
        <f t="shared" ref="A4292:A4355" si="1429">A4291</f>
        <v>United States</v>
      </c>
      <c r="B4292" t="str">
        <f t="shared" si="1420"/>
        <v>Rochester</v>
      </c>
      <c r="C4292" t="str">
        <f t="shared" si="1427"/>
        <v>Standard Class</v>
      </c>
      <c r="D4292" t="str">
        <f t="shared" si="1428"/>
        <v>Consumer</v>
      </c>
      <c r="E4292" t="s">
        <v>14</v>
      </c>
      <c r="F4292">
        <v>10</v>
      </c>
      <c r="G4292">
        <v>0</v>
      </c>
      <c r="H4292" s="2">
        <v>177.39599999999993</v>
      </c>
      <c r="I4292" s="2">
        <v>1015.7199999999999</v>
      </c>
    </row>
    <row r="4293" spans="1:9" x14ac:dyDescent="0.3">
      <c r="A4293" t="str">
        <f t="shared" si="1429"/>
        <v>United States</v>
      </c>
      <c r="B4293" t="str">
        <f t="shared" si="1420"/>
        <v>Rochester</v>
      </c>
      <c r="C4293" t="str">
        <f t="shared" si="1427"/>
        <v>Standard Class</v>
      </c>
      <c r="D4293" t="str">
        <f t="shared" si="1428"/>
        <v>Consumer</v>
      </c>
      <c r="E4293" t="s">
        <v>25</v>
      </c>
      <c r="F4293">
        <v>2</v>
      </c>
      <c r="G4293">
        <v>0</v>
      </c>
      <c r="H4293" s="2">
        <v>97.203200000000038</v>
      </c>
      <c r="I4293" s="2">
        <v>607.52</v>
      </c>
    </row>
    <row r="4294" spans="1:9" x14ac:dyDescent="0.3">
      <c r="A4294" t="str">
        <f t="shared" si="1429"/>
        <v>United States</v>
      </c>
      <c r="B4294" t="str">
        <f t="shared" si="1420"/>
        <v>Rochester</v>
      </c>
      <c r="C4294" t="str">
        <f t="shared" si="1427"/>
        <v>Standard Class</v>
      </c>
      <c r="D4294" t="s">
        <v>15</v>
      </c>
      <c r="E4294" t="s">
        <v>20</v>
      </c>
      <c r="F4294">
        <v>1</v>
      </c>
      <c r="G4294">
        <v>0.2</v>
      </c>
      <c r="H4294" s="2">
        <v>2.3570999999999991</v>
      </c>
      <c r="I4294" s="2">
        <v>6.9840000000000009</v>
      </c>
    </row>
    <row r="4295" spans="1:9" x14ac:dyDescent="0.3">
      <c r="A4295" t="str">
        <f t="shared" si="1429"/>
        <v>United States</v>
      </c>
      <c r="B4295" t="str">
        <f t="shared" si="1420"/>
        <v>Rochester</v>
      </c>
      <c r="C4295" t="str">
        <f t="shared" si="1427"/>
        <v>Standard Class</v>
      </c>
      <c r="D4295" t="str">
        <f t="shared" ref="D4295:D4298" si="1430">D4294</f>
        <v>Corporate</v>
      </c>
      <c r="E4295" t="s">
        <v>21</v>
      </c>
      <c r="F4295">
        <v>14</v>
      </c>
      <c r="G4295">
        <v>0</v>
      </c>
      <c r="H4295" s="2">
        <v>38.797800000000002</v>
      </c>
      <c r="I4295" s="2">
        <v>113.16999999999999</v>
      </c>
    </row>
    <row r="4296" spans="1:9" x14ac:dyDescent="0.3">
      <c r="A4296" t="str">
        <f t="shared" si="1429"/>
        <v>United States</v>
      </c>
      <c r="B4296" t="str">
        <f t="shared" si="1420"/>
        <v>Rochester</v>
      </c>
      <c r="C4296" t="str">
        <f t="shared" si="1427"/>
        <v>Standard Class</v>
      </c>
      <c r="D4296" t="str">
        <f t="shared" si="1430"/>
        <v>Corporate</v>
      </c>
      <c r="E4296" t="s">
        <v>16</v>
      </c>
      <c r="F4296">
        <v>11</v>
      </c>
      <c r="G4296">
        <v>0</v>
      </c>
      <c r="H4296" s="2">
        <v>37.9696</v>
      </c>
      <c r="I4296" s="2">
        <v>81.28</v>
      </c>
    </row>
    <row r="4297" spans="1:9" x14ac:dyDescent="0.3">
      <c r="A4297" t="str">
        <f t="shared" si="1429"/>
        <v>United States</v>
      </c>
      <c r="B4297" t="str">
        <f t="shared" si="1420"/>
        <v>Rochester</v>
      </c>
      <c r="C4297" t="str">
        <f t="shared" si="1427"/>
        <v>Standard Class</v>
      </c>
      <c r="D4297" t="str">
        <f t="shared" si="1430"/>
        <v>Corporate</v>
      </c>
      <c r="E4297" t="s">
        <v>24</v>
      </c>
      <c r="F4297">
        <v>3</v>
      </c>
      <c r="G4297">
        <v>0</v>
      </c>
      <c r="H4297" s="2">
        <v>10.046400000000002</v>
      </c>
      <c r="I4297" s="2">
        <v>35.880000000000003</v>
      </c>
    </row>
    <row r="4298" spans="1:9" x14ac:dyDescent="0.3">
      <c r="A4298" t="str">
        <f t="shared" si="1429"/>
        <v>United States</v>
      </c>
      <c r="B4298" t="str">
        <f t="shared" si="1420"/>
        <v>Rochester</v>
      </c>
      <c r="C4298" t="str">
        <f t="shared" si="1427"/>
        <v>Standard Class</v>
      </c>
      <c r="D4298" t="str">
        <f t="shared" si="1430"/>
        <v>Corporate</v>
      </c>
      <c r="E4298" t="s">
        <v>25</v>
      </c>
      <c r="F4298">
        <v>3</v>
      </c>
      <c r="G4298">
        <v>0.4</v>
      </c>
      <c r="H4298" s="2">
        <v>-213.55740000000006</v>
      </c>
      <c r="I4298" s="2">
        <v>376.86599999999999</v>
      </c>
    </row>
    <row r="4299" spans="1:9" x14ac:dyDescent="0.3">
      <c r="A4299" t="str">
        <f t="shared" si="1429"/>
        <v>United States</v>
      </c>
      <c r="B4299" t="str">
        <f t="shared" si="1420"/>
        <v>Rochester</v>
      </c>
      <c r="C4299" t="str">
        <f t="shared" si="1427"/>
        <v>Standard Class</v>
      </c>
      <c r="D4299" t="s">
        <v>17</v>
      </c>
      <c r="E4299" t="s">
        <v>19</v>
      </c>
      <c r="F4299">
        <v>3</v>
      </c>
      <c r="G4299">
        <v>0</v>
      </c>
      <c r="H4299" s="2">
        <v>6.0147000000000004</v>
      </c>
      <c r="I4299" s="2">
        <v>14.669999999999998</v>
      </c>
    </row>
    <row r="4300" spans="1:9" x14ac:dyDescent="0.3">
      <c r="A4300" t="str">
        <f t="shared" si="1429"/>
        <v>United States</v>
      </c>
      <c r="B4300" t="str">
        <f t="shared" si="1420"/>
        <v>Rochester</v>
      </c>
      <c r="C4300" t="str">
        <f t="shared" si="1427"/>
        <v>Standard Class</v>
      </c>
      <c r="D4300" t="str">
        <f t="shared" ref="D4300:D4301" si="1431">D4299</f>
        <v>Home Office</v>
      </c>
      <c r="E4300" t="s">
        <v>20</v>
      </c>
      <c r="F4300">
        <v>4</v>
      </c>
      <c r="G4300">
        <v>0.2</v>
      </c>
      <c r="H4300" s="2">
        <v>10.429999999999998</v>
      </c>
      <c r="I4300" s="2">
        <v>33.375999999999998</v>
      </c>
    </row>
    <row r="4301" spans="1:9" x14ac:dyDescent="0.3">
      <c r="A4301" t="str">
        <f t="shared" si="1429"/>
        <v>United States</v>
      </c>
      <c r="B4301" t="str">
        <f t="shared" si="1420"/>
        <v>Rochester</v>
      </c>
      <c r="C4301" t="str">
        <f t="shared" si="1427"/>
        <v>Standard Class</v>
      </c>
      <c r="D4301" t="str">
        <f t="shared" si="1431"/>
        <v>Home Office</v>
      </c>
      <c r="E4301" t="s">
        <v>14</v>
      </c>
      <c r="F4301">
        <v>4</v>
      </c>
      <c r="G4301">
        <v>0</v>
      </c>
      <c r="H4301" s="2">
        <v>38.350800000000007</v>
      </c>
      <c r="I4301" s="2">
        <v>142.04</v>
      </c>
    </row>
    <row r="4302" spans="1:9" x14ac:dyDescent="0.3">
      <c r="A4302" t="str">
        <f t="shared" si="1429"/>
        <v>United States</v>
      </c>
      <c r="B4302" t="s">
        <v>441</v>
      </c>
      <c r="C4302" t="s">
        <v>22</v>
      </c>
      <c r="D4302" t="s">
        <v>8</v>
      </c>
      <c r="E4302" t="s">
        <v>23</v>
      </c>
      <c r="F4302">
        <v>4</v>
      </c>
      <c r="G4302">
        <v>0</v>
      </c>
      <c r="H4302" s="2">
        <v>54.333200000000005</v>
      </c>
      <c r="I4302" s="2">
        <v>132.52000000000001</v>
      </c>
    </row>
    <row r="4303" spans="1:9" x14ac:dyDescent="0.3">
      <c r="A4303" t="str">
        <f t="shared" si="1429"/>
        <v>United States</v>
      </c>
      <c r="B4303" t="s">
        <v>442</v>
      </c>
      <c r="C4303" t="s">
        <v>27</v>
      </c>
      <c r="D4303" t="s">
        <v>8</v>
      </c>
      <c r="E4303" t="s">
        <v>18</v>
      </c>
      <c r="F4303">
        <v>3</v>
      </c>
      <c r="G4303">
        <v>0</v>
      </c>
      <c r="H4303" s="2">
        <v>3.7919999999999994</v>
      </c>
      <c r="I4303" s="2">
        <v>11.850000000000001</v>
      </c>
    </row>
    <row r="4304" spans="1:9" x14ac:dyDescent="0.3">
      <c r="A4304" t="str">
        <f t="shared" si="1429"/>
        <v>United States</v>
      </c>
      <c r="B4304" t="s">
        <v>443</v>
      </c>
      <c r="C4304" t="s">
        <v>11</v>
      </c>
      <c r="D4304" t="s">
        <v>8</v>
      </c>
      <c r="E4304" t="s">
        <v>20</v>
      </c>
      <c r="F4304">
        <v>8</v>
      </c>
      <c r="G4304">
        <v>0.8</v>
      </c>
      <c r="H4304" s="2">
        <v>-53.708800000000025</v>
      </c>
      <c r="I4304" s="2">
        <v>33.567999999999991</v>
      </c>
    </row>
    <row r="4305" spans="1:9" x14ac:dyDescent="0.3">
      <c r="A4305" t="str">
        <f t="shared" si="1429"/>
        <v>United States</v>
      </c>
      <c r="B4305" t="str">
        <f t="shared" ref="B4305:B4314" si="1432">B4304</f>
        <v>Rockford</v>
      </c>
      <c r="C4305" t="str">
        <f>C4304</f>
        <v>First Class</v>
      </c>
      <c r="D4305" t="s">
        <v>15</v>
      </c>
      <c r="E4305" t="s">
        <v>20</v>
      </c>
      <c r="F4305">
        <v>7</v>
      </c>
      <c r="G4305">
        <v>0.8</v>
      </c>
      <c r="H4305" s="2">
        <v>-729.91380000000004</v>
      </c>
      <c r="I4305" s="2">
        <v>442.37199999999996</v>
      </c>
    </row>
    <row r="4306" spans="1:9" x14ac:dyDescent="0.3">
      <c r="A4306" t="str">
        <f t="shared" si="1429"/>
        <v>United States</v>
      </c>
      <c r="B4306" t="str">
        <f t="shared" si="1432"/>
        <v>Rockford</v>
      </c>
      <c r="C4306" t="s">
        <v>7</v>
      </c>
      <c r="D4306" t="s">
        <v>15</v>
      </c>
      <c r="E4306" t="s">
        <v>20</v>
      </c>
      <c r="F4306">
        <v>4</v>
      </c>
      <c r="G4306">
        <v>0.8</v>
      </c>
      <c r="H4306" s="2">
        <v>-22.144000000000005</v>
      </c>
      <c r="I4306" s="2">
        <v>13.839999999999998</v>
      </c>
    </row>
    <row r="4307" spans="1:9" x14ac:dyDescent="0.3">
      <c r="A4307" t="str">
        <f t="shared" si="1429"/>
        <v>United States</v>
      </c>
      <c r="B4307" t="str">
        <f t="shared" si="1432"/>
        <v>Rockford</v>
      </c>
      <c r="C4307" t="str">
        <f>C4306</f>
        <v>Second Class</v>
      </c>
      <c r="D4307" t="str">
        <f>D4306</f>
        <v>Corporate</v>
      </c>
      <c r="E4307" t="s">
        <v>16</v>
      </c>
      <c r="F4307">
        <v>4</v>
      </c>
      <c r="G4307">
        <v>0.2</v>
      </c>
      <c r="H4307" s="2">
        <v>63.753599999999992</v>
      </c>
      <c r="I4307" s="2">
        <v>175.87200000000001</v>
      </c>
    </row>
    <row r="4308" spans="1:9" x14ac:dyDescent="0.3">
      <c r="A4308" t="str">
        <f t="shared" si="1429"/>
        <v>United States</v>
      </c>
      <c r="B4308" t="str">
        <f t="shared" si="1432"/>
        <v>Rockford</v>
      </c>
      <c r="C4308" t="s">
        <v>22</v>
      </c>
      <c r="D4308" t="s">
        <v>8</v>
      </c>
      <c r="E4308" t="s">
        <v>19</v>
      </c>
      <c r="F4308">
        <v>7</v>
      </c>
      <c r="G4308">
        <v>0.2</v>
      </c>
      <c r="H4308" s="2">
        <v>12.874400000000001</v>
      </c>
      <c r="I4308" s="2">
        <v>128.744</v>
      </c>
    </row>
    <row r="4309" spans="1:9" x14ac:dyDescent="0.3">
      <c r="A4309" t="str">
        <f t="shared" si="1429"/>
        <v>United States</v>
      </c>
      <c r="B4309" t="str">
        <f t="shared" si="1432"/>
        <v>Rockford</v>
      </c>
      <c r="C4309" t="str">
        <f t="shared" ref="C4309:C4314" si="1433">C4308</f>
        <v>Standard Class</v>
      </c>
      <c r="D4309" t="str">
        <f t="shared" ref="D4309:D4311" si="1434">D4308</f>
        <v>Consumer</v>
      </c>
      <c r="E4309" t="s">
        <v>20</v>
      </c>
      <c r="F4309">
        <v>3</v>
      </c>
      <c r="G4309">
        <v>0.8</v>
      </c>
      <c r="H4309" s="2">
        <v>-2.678399999999999</v>
      </c>
      <c r="I4309" s="2">
        <v>1.7279999999999995</v>
      </c>
    </row>
    <row r="4310" spans="1:9" x14ac:dyDescent="0.3">
      <c r="A4310" t="str">
        <f t="shared" si="1429"/>
        <v>United States</v>
      </c>
      <c r="B4310" t="str">
        <f t="shared" si="1432"/>
        <v>Rockford</v>
      </c>
      <c r="C4310" t="str">
        <f t="shared" si="1433"/>
        <v>Standard Class</v>
      </c>
      <c r="D4310" t="str">
        <f t="shared" si="1434"/>
        <v>Consumer</v>
      </c>
      <c r="E4310" t="s">
        <v>24</v>
      </c>
      <c r="F4310">
        <v>4</v>
      </c>
      <c r="G4310">
        <v>0.2</v>
      </c>
      <c r="H4310" s="2">
        <v>143.99680000000006</v>
      </c>
      <c r="I4310" s="2">
        <v>1439.9680000000001</v>
      </c>
    </row>
    <row r="4311" spans="1:9" x14ac:dyDescent="0.3">
      <c r="A4311" t="str">
        <f t="shared" si="1429"/>
        <v>United States</v>
      </c>
      <c r="B4311" t="str">
        <f t="shared" si="1432"/>
        <v>Rockford</v>
      </c>
      <c r="C4311" t="str">
        <f t="shared" si="1433"/>
        <v>Standard Class</v>
      </c>
      <c r="D4311" t="str">
        <f t="shared" si="1434"/>
        <v>Consumer</v>
      </c>
      <c r="E4311" t="s">
        <v>25</v>
      </c>
      <c r="F4311">
        <v>3</v>
      </c>
      <c r="G4311">
        <v>0.5</v>
      </c>
      <c r="H4311" s="2">
        <v>-538.44600000000003</v>
      </c>
      <c r="I4311" s="2">
        <v>626.09999999999991</v>
      </c>
    </row>
    <row r="4312" spans="1:9" x14ac:dyDescent="0.3">
      <c r="A4312" t="str">
        <f t="shared" si="1429"/>
        <v>United States</v>
      </c>
      <c r="B4312" t="str">
        <f t="shared" si="1432"/>
        <v>Rockford</v>
      </c>
      <c r="C4312" t="str">
        <f t="shared" si="1433"/>
        <v>Standard Class</v>
      </c>
      <c r="D4312" t="s">
        <v>15</v>
      </c>
      <c r="E4312" t="s">
        <v>16</v>
      </c>
      <c r="F4312">
        <v>6</v>
      </c>
      <c r="G4312">
        <v>0.2</v>
      </c>
      <c r="H4312" s="2">
        <v>13.780799999999996</v>
      </c>
      <c r="I4312" s="2">
        <v>38.016000000000005</v>
      </c>
    </row>
    <row r="4313" spans="1:9" x14ac:dyDescent="0.3">
      <c r="A4313" t="str">
        <f t="shared" si="1429"/>
        <v>United States</v>
      </c>
      <c r="B4313" t="str">
        <f t="shared" si="1432"/>
        <v>Rockford</v>
      </c>
      <c r="C4313" t="str">
        <f t="shared" si="1433"/>
        <v>Standard Class</v>
      </c>
      <c r="D4313" t="s">
        <v>17</v>
      </c>
      <c r="E4313" t="s">
        <v>20</v>
      </c>
      <c r="F4313">
        <v>4</v>
      </c>
      <c r="G4313">
        <v>0.8</v>
      </c>
      <c r="H4313" s="2">
        <v>-18.836400000000005</v>
      </c>
      <c r="I4313" s="2">
        <v>11.415999999999997</v>
      </c>
    </row>
    <row r="4314" spans="1:9" x14ac:dyDescent="0.3">
      <c r="A4314" t="str">
        <f t="shared" si="1429"/>
        <v>United States</v>
      </c>
      <c r="B4314" t="str">
        <f t="shared" si="1432"/>
        <v>Rockford</v>
      </c>
      <c r="C4314" t="str">
        <f t="shared" si="1433"/>
        <v>Standard Class</v>
      </c>
      <c r="D4314" t="str">
        <f>D4313</f>
        <v>Home Office</v>
      </c>
      <c r="E4314" t="s">
        <v>33</v>
      </c>
      <c r="F4314">
        <v>14</v>
      </c>
      <c r="G4314">
        <v>0.3</v>
      </c>
      <c r="H4314" s="2">
        <v>-18.185999999999993</v>
      </c>
      <c r="I4314" s="2">
        <v>254.60399999999998</v>
      </c>
    </row>
    <row r="4315" spans="1:9" x14ac:dyDescent="0.3">
      <c r="A4315" t="str">
        <f t="shared" si="1429"/>
        <v>United States</v>
      </c>
      <c r="B4315" t="s">
        <v>444</v>
      </c>
      <c r="C4315" t="s">
        <v>7</v>
      </c>
      <c r="D4315" t="s">
        <v>8</v>
      </c>
      <c r="E4315" t="s">
        <v>20</v>
      </c>
      <c r="F4315">
        <v>1</v>
      </c>
      <c r="G4315">
        <v>0</v>
      </c>
      <c r="H4315" s="2">
        <v>3.6162000000000001</v>
      </c>
      <c r="I4315" s="2">
        <v>7.38</v>
      </c>
    </row>
    <row r="4316" spans="1:9" x14ac:dyDescent="0.3">
      <c r="A4316" t="str">
        <f t="shared" si="1429"/>
        <v>United States</v>
      </c>
      <c r="B4316" t="str">
        <f t="shared" ref="B4316:B4318" si="1435">B4315</f>
        <v>Rockville</v>
      </c>
      <c r="C4316" t="str">
        <f>C4315</f>
        <v>Second Class</v>
      </c>
      <c r="D4316" t="str">
        <f>D4315</f>
        <v>Consumer</v>
      </c>
      <c r="E4316" t="s">
        <v>16</v>
      </c>
      <c r="F4316">
        <v>3</v>
      </c>
      <c r="G4316">
        <v>0</v>
      </c>
      <c r="H4316" s="2">
        <v>9.3312000000000008</v>
      </c>
      <c r="I4316" s="2">
        <v>19.440000000000001</v>
      </c>
    </row>
    <row r="4317" spans="1:9" x14ac:dyDescent="0.3">
      <c r="A4317" t="str">
        <f t="shared" si="1429"/>
        <v>United States</v>
      </c>
      <c r="B4317" t="str">
        <f t="shared" si="1435"/>
        <v>Rockville</v>
      </c>
      <c r="C4317" t="s">
        <v>22</v>
      </c>
      <c r="D4317" t="s">
        <v>8</v>
      </c>
      <c r="E4317" t="s">
        <v>33</v>
      </c>
      <c r="F4317">
        <v>2</v>
      </c>
      <c r="G4317">
        <v>0</v>
      </c>
      <c r="H4317" s="2">
        <v>51.749999999999986</v>
      </c>
      <c r="I4317" s="2">
        <v>172.5</v>
      </c>
    </row>
    <row r="4318" spans="1:9" x14ac:dyDescent="0.3">
      <c r="A4318" t="str">
        <f t="shared" si="1429"/>
        <v>United States</v>
      </c>
      <c r="B4318" t="str">
        <f t="shared" si="1435"/>
        <v>Rockville</v>
      </c>
      <c r="C4318" t="str">
        <f>C4317</f>
        <v>Standard Class</v>
      </c>
      <c r="D4318" t="str">
        <f>D4317</f>
        <v>Consumer</v>
      </c>
      <c r="E4318" t="s">
        <v>24</v>
      </c>
      <c r="F4318">
        <v>5</v>
      </c>
      <c r="G4318">
        <v>0</v>
      </c>
      <c r="H4318" s="2">
        <v>68.517300000000006</v>
      </c>
      <c r="I4318" s="2">
        <v>270.45</v>
      </c>
    </row>
    <row r="4319" spans="1:9" x14ac:dyDescent="0.3">
      <c r="A4319" t="str">
        <f t="shared" si="1429"/>
        <v>United States</v>
      </c>
      <c r="B4319" t="s">
        <v>445</v>
      </c>
      <c r="C4319" t="s">
        <v>22</v>
      </c>
      <c r="D4319" t="s">
        <v>8</v>
      </c>
      <c r="E4319" t="s">
        <v>20</v>
      </c>
      <c r="F4319">
        <v>9</v>
      </c>
      <c r="G4319">
        <v>0</v>
      </c>
      <c r="H4319" s="2">
        <v>18.5886</v>
      </c>
      <c r="I4319" s="2">
        <v>40.410000000000004</v>
      </c>
    </row>
    <row r="4320" spans="1:9" x14ac:dyDescent="0.3">
      <c r="A4320" t="str">
        <f t="shared" si="1429"/>
        <v>United States</v>
      </c>
      <c r="B4320" t="s">
        <v>446</v>
      </c>
      <c r="C4320" t="s">
        <v>22</v>
      </c>
      <c r="D4320" t="s">
        <v>8</v>
      </c>
      <c r="E4320" t="s">
        <v>19</v>
      </c>
      <c r="F4320">
        <v>10</v>
      </c>
      <c r="G4320">
        <v>0</v>
      </c>
      <c r="H4320" s="2">
        <v>9.1601999999999997</v>
      </c>
      <c r="I4320" s="2">
        <v>35.01</v>
      </c>
    </row>
    <row r="4321" spans="1:9" x14ac:dyDescent="0.3">
      <c r="A4321" t="str">
        <f t="shared" si="1429"/>
        <v>United States</v>
      </c>
      <c r="B4321" t="str">
        <f t="shared" ref="B4321:B4324" si="1436">B4320</f>
        <v>Rome</v>
      </c>
      <c r="C4321" t="str">
        <f t="shared" ref="C4321:C4324" si="1437">C4320</f>
        <v>Standard Class</v>
      </c>
      <c r="D4321" t="s">
        <v>15</v>
      </c>
      <c r="E4321" t="s">
        <v>33</v>
      </c>
      <c r="F4321">
        <v>1</v>
      </c>
      <c r="G4321">
        <v>0.1</v>
      </c>
      <c r="H4321" s="2">
        <v>15.147000000000004</v>
      </c>
      <c r="I4321" s="2">
        <v>90.882000000000005</v>
      </c>
    </row>
    <row r="4322" spans="1:9" x14ac:dyDescent="0.3">
      <c r="A4322" t="str">
        <f t="shared" si="1429"/>
        <v>United States</v>
      </c>
      <c r="B4322" t="str">
        <f t="shared" si="1436"/>
        <v>Rome</v>
      </c>
      <c r="C4322" t="str">
        <f t="shared" si="1437"/>
        <v>Standard Class</v>
      </c>
      <c r="D4322" t="s">
        <v>17</v>
      </c>
      <c r="E4322" t="s">
        <v>21</v>
      </c>
      <c r="F4322">
        <v>4</v>
      </c>
      <c r="G4322">
        <v>0</v>
      </c>
      <c r="H4322" s="2">
        <v>14.459599999999998</v>
      </c>
      <c r="I4322" s="2">
        <v>39.08</v>
      </c>
    </row>
    <row r="4323" spans="1:9" x14ac:dyDescent="0.3">
      <c r="A4323" t="str">
        <f t="shared" si="1429"/>
        <v>United States</v>
      </c>
      <c r="B4323" t="str">
        <f t="shared" si="1436"/>
        <v>Rome</v>
      </c>
      <c r="C4323" t="str">
        <f t="shared" si="1437"/>
        <v>Standard Class</v>
      </c>
      <c r="D4323" t="str">
        <f t="shared" ref="D4323:D4324" si="1438">D4322</f>
        <v>Home Office</v>
      </c>
      <c r="E4323" t="s">
        <v>16</v>
      </c>
      <c r="F4323">
        <v>5</v>
      </c>
      <c r="G4323">
        <v>0</v>
      </c>
      <c r="H4323" s="2">
        <v>47.952000000000005</v>
      </c>
      <c r="I4323" s="2">
        <v>99.9</v>
      </c>
    </row>
    <row r="4324" spans="1:9" x14ac:dyDescent="0.3">
      <c r="A4324" t="str">
        <f t="shared" si="1429"/>
        <v>United States</v>
      </c>
      <c r="B4324" t="str">
        <f t="shared" si="1436"/>
        <v>Rome</v>
      </c>
      <c r="C4324" t="str">
        <f t="shared" si="1437"/>
        <v>Standard Class</v>
      </c>
      <c r="D4324" t="str">
        <f t="shared" si="1438"/>
        <v>Home Office</v>
      </c>
      <c r="E4324" t="s">
        <v>24</v>
      </c>
      <c r="F4324">
        <v>2</v>
      </c>
      <c r="G4324">
        <v>0</v>
      </c>
      <c r="H4324" s="2">
        <v>67.495000000000005</v>
      </c>
      <c r="I4324" s="2">
        <v>269.98</v>
      </c>
    </row>
    <row r="4325" spans="1:9" x14ac:dyDescent="0.3">
      <c r="A4325" t="str">
        <f t="shared" si="1429"/>
        <v>United States</v>
      </c>
      <c r="B4325" t="s">
        <v>447</v>
      </c>
      <c r="C4325" t="s">
        <v>7</v>
      </c>
      <c r="D4325" t="s">
        <v>8</v>
      </c>
      <c r="E4325" t="s">
        <v>20</v>
      </c>
      <c r="F4325">
        <v>2</v>
      </c>
      <c r="G4325">
        <v>0.8</v>
      </c>
      <c r="H4325" s="2">
        <v>-14.770800000000001</v>
      </c>
      <c r="I4325" s="2">
        <v>8.9519999999999982</v>
      </c>
    </row>
    <row r="4326" spans="1:9" x14ac:dyDescent="0.3">
      <c r="A4326" t="str">
        <f t="shared" si="1429"/>
        <v>United States</v>
      </c>
      <c r="B4326" t="s">
        <v>448</v>
      </c>
      <c r="C4326" t="s">
        <v>11</v>
      </c>
      <c r="D4326" t="s">
        <v>8</v>
      </c>
      <c r="E4326" t="s">
        <v>20</v>
      </c>
      <c r="F4326">
        <v>5</v>
      </c>
      <c r="G4326">
        <v>0.2</v>
      </c>
      <c r="H4326" s="2">
        <v>2.8079999999999998</v>
      </c>
      <c r="I4326" s="2">
        <v>8.32</v>
      </c>
    </row>
    <row r="4327" spans="1:9" x14ac:dyDescent="0.3">
      <c r="A4327" t="str">
        <f t="shared" si="1429"/>
        <v>United States</v>
      </c>
      <c r="B4327" t="str">
        <f t="shared" ref="B4327:B4346" si="1439">B4326</f>
        <v>Roseville</v>
      </c>
      <c r="C4327" t="str">
        <f>C4326</f>
        <v>First Class</v>
      </c>
      <c r="D4327" t="str">
        <f>D4326</f>
        <v>Consumer</v>
      </c>
      <c r="E4327" t="s">
        <v>9</v>
      </c>
      <c r="F4327">
        <v>2</v>
      </c>
      <c r="G4327">
        <v>0</v>
      </c>
      <c r="H4327" s="2">
        <v>0.17439999999999944</v>
      </c>
      <c r="I4327" s="2">
        <v>4.3600000000000003</v>
      </c>
    </row>
    <row r="4328" spans="1:9" x14ac:dyDescent="0.3">
      <c r="A4328" t="str">
        <f t="shared" si="1429"/>
        <v>United States</v>
      </c>
      <c r="B4328" t="str">
        <f t="shared" si="1439"/>
        <v>Roseville</v>
      </c>
      <c r="C4328" t="s">
        <v>27</v>
      </c>
      <c r="D4328" t="s">
        <v>17</v>
      </c>
      <c r="E4328" t="s">
        <v>20</v>
      </c>
      <c r="F4328">
        <v>1</v>
      </c>
      <c r="G4328">
        <v>0</v>
      </c>
      <c r="H4328" s="2">
        <v>3.7693999999999992</v>
      </c>
      <c r="I4328" s="2">
        <v>8.02</v>
      </c>
    </row>
    <row r="4329" spans="1:9" x14ac:dyDescent="0.3">
      <c r="A4329" t="str">
        <f t="shared" si="1429"/>
        <v>United States</v>
      </c>
      <c r="B4329" t="str">
        <f t="shared" si="1439"/>
        <v>Roseville</v>
      </c>
      <c r="C4329" t="str">
        <f t="shared" ref="C4329:C4330" si="1440">C4328</f>
        <v>Same Day</v>
      </c>
      <c r="D4329" t="str">
        <f t="shared" ref="D4329:D4330" si="1441">D4328</f>
        <v>Home Office</v>
      </c>
      <c r="E4329" t="s">
        <v>16</v>
      </c>
      <c r="F4329">
        <v>9</v>
      </c>
      <c r="G4329">
        <v>0</v>
      </c>
      <c r="H4329" s="2">
        <v>180.76590000000002</v>
      </c>
      <c r="I4329" s="2">
        <v>368.91</v>
      </c>
    </row>
    <row r="4330" spans="1:9" x14ac:dyDescent="0.3">
      <c r="A4330" t="str">
        <f t="shared" si="1429"/>
        <v>United States</v>
      </c>
      <c r="B4330" t="str">
        <f t="shared" si="1439"/>
        <v>Roseville</v>
      </c>
      <c r="C4330" t="str">
        <f t="shared" si="1440"/>
        <v>Same Day</v>
      </c>
      <c r="D4330" t="str">
        <f t="shared" si="1441"/>
        <v>Home Office</v>
      </c>
      <c r="E4330" t="s">
        <v>14</v>
      </c>
      <c r="F4330">
        <v>4</v>
      </c>
      <c r="G4330">
        <v>0</v>
      </c>
      <c r="H4330" s="2">
        <v>44.470399999999998</v>
      </c>
      <c r="I4330" s="2">
        <v>171.04</v>
      </c>
    </row>
    <row r="4331" spans="1:9" x14ac:dyDescent="0.3">
      <c r="A4331" t="str">
        <f t="shared" si="1429"/>
        <v>United States</v>
      </c>
      <c r="B4331" t="str">
        <f t="shared" si="1439"/>
        <v>Roseville</v>
      </c>
      <c r="C4331" t="s">
        <v>22</v>
      </c>
      <c r="D4331" t="s">
        <v>8</v>
      </c>
      <c r="E4331" t="s">
        <v>19</v>
      </c>
      <c r="F4331">
        <v>7</v>
      </c>
      <c r="G4331">
        <v>0</v>
      </c>
      <c r="H4331" s="2">
        <v>5.5307999999999993</v>
      </c>
      <c r="I4331" s="2">
        <v>19.5</v>
      </c>
    </row>
    <row r="4332" spans="1:9" x14ac:dyDescent="0.3">
      <c r="A4332" t="str">
        <f t="shared" si="1429"/>
        <v>United States</v>
      </c>
      <c r="B4332" t="str">
        <f t="shared" si="1439"/>
        <v>Roseville</v>
      </c>
      <c r="C4332" t="str">
        <f t="shared" ref="C4332:C4346" si="1442">C4331</f>
        <v>Standard Class</v>
      </c>
      <c r="D4332" t="str">
        <f t="shared" ref="D4332:D4337" si="1443">D4331</f>
        <v>Consumer</v>
      </c>
      <c r="E4332" t="s">
        <v>20</v>
      </c>
      <c r="F4332">
        <v>3</v>
      </c>
      <c r="G4332">
        <v>0.2</v>
      </c>
      <c r="H4332" s="2">
        <v>26.661599999999996</v>
      </c>
      <c r="I4332" s="2">
        <v>76.176000000000002</v>
      </c>
    </row>
    <row r="4333" spans="1:9" x14ac:dyDescent="0.3">
      <c r="A4333" t="str">
        <f t="shared" si="1429"/>
        <v>United States</v>
      </c>
      <c r="B4333" t="str">
        <f t="shared" si="1439"/>
        <v>Roseville</v>
      </c>
      <c r="C4333" t="str">
        <f t="shared" si="1442"/>
        <v>Standard Class</v>
      </c>
      <c r="D4333" t="str">
        <f t="shared" si="1443"/>
        <v>Consumer</v>
      </c>
      <c r="E4333" t="s">
        <v>38</v>
      </c>
      <c r="F4333">
        <v>2</v>
      </c>
      <c r="G4333">
        <v>0</v>
      </c>
      <c r="H4333" s="2">
        <v>8.2156000000000002</v>
      </c>
      <c r="I4333" s="2">
        <v>17.48</v>
      </c>
    </row>
    <row r="4334" spans="1:9" x14ac:dyDescent="0.3">
      <c r="A4334" t="str">
        <f t="shared" si="1429"/>
        <v>United States</v>
      </c>
      <c r="B4334" t="str">
        <f t="shared" si="1439"/>
        <v>Roseville</v>
      </c>
      <c r="C4334" t="str">
        <f t="shared" si="1442"/>
        <v>Standard Class</v>
      </c>
      <c r="D4334" t="str">
        <f t="shared" si="1443"/>
        <v>Consumer</v>
      </c>
      <c r="E4334" t="s">
        <v>18</v>
      </c>
      <c r="F4334">
        <v>2</v>
      </c>
      <c r="G4334">
        <v>0</v>
      </c>
      <c r="H4334" s="2">
        <v>1.9697999999999998</v>
      </c>
      <c r="I4334" s="2">
        <v>4.0199999999999996</v>
      </c>
    </row>
    <row r="4335" spans="1:9" x14ac:dyDescent="0.3">
      <c r="A4335" t="str">
        <f t="shared" si="1429"/>
        <v>United States</v>
      </c>
      <c r="B4335" t="str">
        <f t="shared" si="1439"/>
        <v>Roseville</v>
      </c>
      <c r="C4335" t="str">
        <f t="shared" si="1442"/>
        <v>Standard Class</v>
      </c>
      <c r="D4335" t="str">
        <f t="shared" si="1443"/>
        <v>Consumer</v>
      </c>
      <c r="E4335" t="s">
        <v>21</v>
      </c>
      <c r="F4335">
        <v>17</v>
      </c>
      <c r="G4335">
        <v>0</v>
      </c>
      <c r="H4335" s="2">
        <v>25.890599999999999</v>
      </c>
      <c r="I4335" s="2">
        <v>60.430000000000007</v>
      </c>
    </row>
    <row r="4336" spans="1:9" x14ac:dyDescent="0.3">
      <c r="A4336" t="str">
        <f t="shared" si="1429"/>
        <v>United States</v>
      </c>
      <c r="B4336" t="str">
        <f t="shared" si="1439"/>
        <v>Roseville</v>
      </c>
      <c r="C4336" t="str">
        <f t="shared" si="1442"/>
        <v>Standard Class</v>
      </c>
      <c r="D4336" t="str">
        <f t="shared" si="1443"/>
        <v>Consumer</v>
      </c>
      <c r="E4336" t="s">
        <v>16</v>
      </c>
      <c r="F4336">
        <v>7</v>
      </c>
      <c r="G4336">
        <v>0</v>
      </c>
      <c r="H4336" s="2">
        <v>35.607199999999999</v>
      </c>
      <c r="I4336" s="2">
        <v>74.92</v>
      </c>
    </row>
    <row r="4337" spans="1:9" x14ac:dyDescent="0.3">
      <c r="A4337" t="str">
        <f t="shared" si="1429"/>
        <v>United States</v>
      </c>
      <c r="B4337" t="str">
        <f t="shared" si="1439"/>
        <v>Roseville</v>
      </c>
      <c r="C4337" t="str">
        <f t="shared" si="1442"/>
        <v>Standard Class</v>
      </c>
      <c r="D4337" t="str">
        <f t="shared" si="1443"/>
        <v>Consumer</v>
      </c>
      <c r="E4337" t="s">
        <v>9</v>
      </c>
      <c r="F4337">
        <v>6</v>
      </c>
      <c r="G4337">
        <v>0</v>
      </c>
      <c r="H4337" s="2">
        <v>18.446400000000004</v>
      </c>
      <c r="I4337" s="2">
        <v>65.88</v>
      </c>
    </row>
    <row r="4338" spans="1:9" x14ac:dyDescent="0.3">
      <c r="A4338" t="str">
        <f t="shared" si="1429"/>
        <v>United States</v>
      </c>
      <c r="B4338" t="str">
        <f t="shared" si="1439"/>
        <v>Roseville</v>
      </c>
      <c r="C4338" t="str">
        <f t="shared" si="1442"/>
        <v>Standard Class</v>
      </c>
      <c r="D4338" t="s">
        <v>15</v>
      </c>
      <c r="E4338" t="s">
        <v>38</v>
      </c>
      <c r="F4338">
        <v>5</v>
      </c>
      <c r="G4338">
        <v>0</v>
      </c>
      <c r="H4338" s="2">
        <v>197.35299999999998</v>
      </c>
      <c r="I4338" s="2">
        <v>419.90000000000003</v>
      </c>
    </row>
    <row r="4339" spans="1:9" x14ac:dyDescent="0.3">
      <c r="A4339" t="str">
        <f t="shared" si="1429"/>
        <v>United States</v>
      </c>
      <c r="B4339" t="str">
        <f t="shared" si="1439"/>
        <v>Roseville</v>
      </c>
      <c r="C4339" t="str">
        <f t="shared" si="1442"/>
        <v>Standard Class</v>
      </c>
      <c r="D4339" t="str">
        <f t="shared" ref="D4339:D4340" si="1444">D4338</f>
        <v>Corporate</v>
      </c>
      <c r="E4339" t="s">
        <v>43</v>
      </c>
      <c r="F4339">
        <v>9</v>
      </c>
      <c r="G4339">
        <v>0</v>
      </c>
      <c r="H4339" s="2">
        <v>24.695999999999998</v>
      </c>
      <c r="I4339" s="2">
        <v>53.55</v>
      </c>
    </row>
    <row r="4340" spans="1:9" x14ac:dyDescent="0.3">
      <c r="A4340" t="str">
        <f t="shared" si="1429"/>
        <v>United States</v>
      </c>
      <c r="B4340" t="str">
        <f t="shared" si="1439"/>
        <v>Roseville</v>
      </c>
      <c r="C4340" t="str">
        <f t="shared" si="1442"/>
        <v>Standard Class</v>
      </c>
      <c r="D4340" t="str">
        <f t="shared" si="1444"/>
        <v>Corporate</v>
      </c>
      <c r="E4340" t="s">
        <v>16</v>
      </c>
      <c r="F4340">
        <v>3</v>
      </c>
      <c r="G4340">
        <v>0</v>
      </c>
      <c r="H4340" s="2">
        <v>31.519199999999998</v>
      </c>
      <c r="I4340" s="2">
        <v>68.52</v>
      </c>
    </row>
    <row r="4341" spans="1:9" x14ac:dyDescent="0.3">
      <c r="A4341" t="str">
        <f t="shared" si="1429"/>
        <v>United States</v>
      </c>
      <c r="B4341" t="str">
        <f t="shared" si="1439"/>
        <v>Roseville</v>
      </c>
      <c r="C4341" t="str">
        <f t="shared" si="1442"/>
        <v>Standard Class</v>
      </c>
      <c r="D4341" t="s">
        <v>17</v>
      </c>
      <c r="E4341" t="s">
        <v>12</v>
      </c>
      <c r="F4341">
        <v>2</v>
      </c>
      <c r="G4341">
        <v>0</v>
      </c>
      <c r="H4341" s="2">
        <v>178.90999999999997</v>
      </c>
      <c r="I4341" s="2">
        <v>715.64</v>
      </c>
    </row>
    <row r="4342" spans="1:9" x14ac:dyDescent="0.3">
      <c r="A4342" t="str">
        <f t="shared" si="1429"/>
        <v>United States</v>
      </c>
      <c r="B4342" t="str">
        <f t="shared" si="1439"/>
        <v>Roseville</v>
      </c>
      <c r="C4342" t="str">
        <f t="shared" si="1442"/>
        <v>Standard Class</v>
      </c>
      <c r="D4342" t="str">
        <f t="shared" ref="D4342:D4346" si="1445">D4341</f>
        <v>Home Office</v>
      </c>
      <c r="E4342" t="s">
        <v>20</v>
      </c>
      <c r="F4342">
        <v>3</v>
      </c>
      <c r="G4342">
        <v>0</v>
      </c>
      <c r="H4342" s="2">
        <v>34.389600000000002</v>
      </c>
      <c r="I4342" s="2">
        <v>74.760000000000005</v>
      </c>
    </row>
    <row r="4343" spans="1:9" x14ac:dyDescent="0.3">
      <c r="A4343" t="str">
        <f t="shared" si="1429"/>
        <v>United States</v>
      </c>
      <c r="B4343" t="str">
        <f t="shared" si="1439"/>
        <v>Roseville</v>
      </c>
      <c r="C4343" t="str">
        <f t="shared" si="1442"/>
        <v>Standard Class</v>
      </c>
      <c r="D4343" t="str">
        <f t="shared" si="1445"/>
        <v>Home Office</v>
      </c>
      <c r="E4343" t="s">
        <v>45</v>
      </c>
      <c r="F4343">
        <v>1</v>
      </c>
      <c r="G4343">
        <v>0</v>
      </c>
      <c r="H4343" s="2">
        <v>274.995</v>
      </c>
      <c r="I4343" s="2">
        <v>549.99</v>
      </c>
    </row>
    <row r="4344" spans="1:9" x14ac:dyDescent="0.3">
      <c r="A4344" t="str">
        <f t="shared" si="1429"/>
        <v>United States</v>
      </c>
      <c r="B4344" t="str">
        <f t="shared" si="1439"/>
        <v>Roseville</v>
      </c>
      <c r="C4344" t="str">
        <f t="shared" si="1442"/>
        <v>Standard Class</v>
      </c>
      <c r="D4344" t="str">
        <f t="shared" si="1445"/>
        <v>Home Office</v>
      </c>
      <c r="E4344" t="s">
        <v>18</v>
      </c>
      <c r="F4344">
        <v>2</v>
      </c>
      <c r="G4344">
        <v>0</v>
      </c>
      <c r="H4344" s="2">
        <v>1.1656</v>
      </c>
      <c r="I4344" s="2">
        <v>2.48</v>
      </c>
    </row>
    <row r="4345" spans="1:9" x14ac:dyDescent="0.3">
      <c r="A4345" t="str">
        <f t="shared" si="1429"/>
        <v>United States</v>
      </c>
      <c r="B4345" t="str">
        <f t="shared" si="1439"/>
        <v>Roseville</v>
      </c>
      <c r="C4345" t="str">
        <f t="shared" si="1442"/>
        <v>Standard Class</v>
      </c>
      <c r="D4345" t="str">
        <f t="shared" si="1445"/>
        <v>Home Office</v>
      </c>
      <c r="E4345" t="s">
        <v>21</v>
      </c>
      <c r="F4345">
        <v>3</v>
      </c>
      <c r="G4345">
        <v>0</v>
      </c>
      <c r="H4345" s="2">
        <v>12.856800000000002</v>
      </c>
      <c r="I4345" s="2">
        <v>29.22</v>
      </c>
    </row>
    <row r="4346" spans="1:9" x14ac:dyDescent="0.3">
      <c r="A4346" t="str">
        <f t="shared" si="1429"/>
        <v>United States</v>
      </c>
      <c r="B4346" t="str">
        <f t="shared" si="1439"/>
        <v>Roseville</v>
      </c>
      <c r="C4346" t="str">
        <f t="shared" si="1442"/>
        <v>Standard Class</v>
      </c>
      <c r="D4346" t="str">
        <f t="shared" si="1445"/>
        <v>Home Office</v>
      </c>
      <c r="E4346" t="s">
        <v>14</v>
      </c>
      <c r="F4346">
        <v>3</v>
      </c>
      <c r="G4346">
        <v>0</v>
      </c>
      <c r="H4346" s="2">
        <v>143.19179999999994</v>
      </c>
      <c r="I4346" s="2">
        <v>795.51</v>
      </c>
    </row>
    <row r="4347" spans="1:9" x14ac:dyDescent="0.3">
      <c r="A4347" t="str">
        <f t="shared" si="1429"/>
        <v>United States</v>
      </c>
      <c r="B4347" t="s">
        <v>449</v>
      </c>
      <c r="C4347" t="s">
        <v>11</v>
      </c>
      <c r="D4347" t="s">
        <v>8</v>
      </c>
      <c r="E4347" t="s">
        <v>23</v>
      </c>
      <c r="F4347">
        <v>5</v>
      </c>
      <c r="G4347">
        <v>0</v>
      </c>
      <c r="H4347" s="2">
        <v>65.978000000000009</v>
      </c>
      <c r="I4347" s="2">
        <v>149.94999999999999</v>
      </c>
    </row>
    <row r="4348" spans="1:9" x14ac:dyDescent="0.3">
      <c r="A4348" t="str">
        <f t="shared" si="1429"/>
        <v>United States</v>
      </c>
      <c r="B4348" t="str">
        <f t="shared" ref="B4348:B4360" si="1446">B4347</f>
        <v>Roswell</v>
      </c>
      <c r="C4348" t="s">
        <v>7</v>
      </c>
      <c r="D4348" t="s">
        <v>15</v>
      </c>
      <c r="E4348" t="s">
        <v>12</v>
      </c>
      <c r="F4348">
        <v>7</v>
      </c>
      <c r="G4348">
        <v>0</v>
      </c>
      <c r="H4348" s="2">
        <v>361.29939999999988</v>
      </c>
      <c r="I4348" s="2">
        <v>1245.8599999999999</v>
      </c>
    </row>
    <row r="4349" spans="1:9" x14ac:dyDescent="0.3">
      <c r="A4349" t="str">
        <f t="shared" si="1429"/>
        <v>United States</v>
      </c>
      <c r="B4349" t="str">
        <f t="shared" si="1446"/>
        <v>Roswell</v>
      </c>
      <c r="C4349" t="str">
        <f t="shared" ref="C4349:C4351" si="1447">C4348</f>
        <v>Second Class</v>
      </c>
      <c r="D4349" t="str">
        <f>D4348</f>
        <v>Corporate</v>
      </c>
      <c r="E4349" t="s">
        <v>38</v>
      </c>
      <c r="F4349">
        <v>3</v>
      </c>
      <c r="G4349">
        <v>0</v>
      </c>
      <c r="H4349" s="2">
        <v>8.7906000000000013</v>
      </c>
      <c r="I4349" s="2">
        <v>17.940000000000001</v>
      </c>
    </row>
    <row r="4350" spans="1:9" x14ac:dyDescent="0.3">
      <c r="A4350" t="str">
        <f t="shared" si="1429"/>
        <v>United States</v>
      </c>
      <c r="B4350" t="str">
        <f t="shared" si="1446"/>
        <v>Roswell</v>
      </c>
      <c r="C4350" t="str">
        <f t="shared" si="1447"/>
        <v>Second Class</v>
      </c>
      <c r="D4350" t="s">
        <v>17</v>
      </c>
      <c r="E4350" t="s">
        <v>33</v>
      </c>
      <c r="F4350">
        <v>4</v>
      </c>
      <c r="G4350">
        <v>0</v>
      </c>
      <c r="H4350" s="2">
        <v>188.2192</v>
      </c>
      <c r="I4350" s="2">
        <v>723.92</v>
      </c>
    </row>
    <row r="4351" spans="1:9" x14ac:dyDescent="0.3">
      <c r="A4351" t="str">
        <f t="shared" si="1429"/>
        <v>United States</v>
      </c>
      <c r="B4351" t="str">
        <f t="shared" si="1446"/>
        <v>Roswell</v>
      </c>
      <c r="C4351" t="str">
        <f t="shared" si="1447"/>
        <v>Second Class</v>
      </c>
      <c r="D4351" t="str">
        <f>D4350</f>
        <v>Home Office</v>
      </c>
      <c r="E4351" t="s">
        <v>16</v>
      </c>
      <c r="F4351">
        <v>3</v>
      </c>
      <c r="G4351">
        <v>0</v>
      </c>
      <c r="H4351" s="2">
        <v>49.970399999999991</v>
      </c>
      <c r="I4351" s="2">
        <v>106.32</v>
      </c>
    </row>
    <row r="4352" spans="1:9" x14ac:dyDescent="0.3">
      <c r="A4352" t="str">
        <f t="shared" si="1429"/>
        <v>United States</v>
      </c>
      <c r="B4352" t="str">
        <f t="shared" si="1446"/>
        <v>Roswell</v>
      </c>
      <c r="C4352" t="s">
        <v>22</v>
      </c>
      <c r="D4352" t="s">
        <v>8</v>
      </c>
      <c r="E4352" t="s">
        <v>23</v>
      </c>
      <c r="F4352">
        <v>11</v>
      </c>
      <c r="G4352">
        <v>0</v>
      </c>
      <c r="H4352" s="2">
        <v>132.99839999999995</v>
      </c>
      <c r="I4352" s="2">
        <v>721.88999999999987</v>
      </c>
    </row>
    <row r="4353" spans="1:9" x14ac:dyDescent="0.3">
      <c r="A4353" t="str">
        <f t="shared" si="1429"/>
        <v>United States</v>
      </c>
      <c r="B4353" t="str">
        <f t="shared" si="1446"/>
        <v>Roswell</v>
      </c>
      <c r="C4353" t="str">
        <f t="shared" ref="C4353:C4360" si="1448">C4352</f>
        <v>Standard Class</v>
      </c>
      <c r="D4353" t="str">
        <f t="shared" ref="D4353:D4357" si="1449">D4352</f>
        <v>Consumer</v>
      </c>
      <c r="E4353" t="s">
        <v>19</v>
      </c>
      <c r="F4353">
        <v>3</v>
      </c>
      <c r="G4353">
        <v>0</v>
      </c>
      <c r="H4353" s="2">
        <v>3.1520000000000001</v>
      </c>
      <c r="I4353" s="2">
        <v>10.34</v>
      </c>
    </row>
    <row r="4354" spans="1:9" x14ac:dyDescent="0.3">
      <c r="A4354" t="str">
        <f t="shared" si="1429"/>
        <v>United States</v>
      </c>
      <c r="B4354" t="str">
        <f t="shared" si="1446"/>
        <v>Roswell</v>
      </c>
      <c r="C4354" t="str">
        <f t="shared" si="1448"/>
        <v>Standard Class</v>
      </c>
      <c r="D4354" t="str">
        <f t="shared" si="1449"/>
        <v>Consumer</v>
      </c>
      <c r="E4354" t="s">
        <v>38</v>
      </c>
      <c r="F4354">
        <v>2</v>
      </c>
      <c r="G4354">
        <v>0</v>
      </c>
      <c r="H4354" s="2">
        <v>7.4871999999999996</v>
      </c>
      <c r="I4354" s="2">
        <v>15.28</v>
      </c>
    </row>
    <row r="4355" spans="1:9" x14ac:dyDescent="0.3">
      <c r="A4355" t="str">
        <f t="shared" si="1429"/>
        <v>United States</v>
      </c>
      <c r="B4355" t="str">
        <f t="shared" si="1446"/>
        <v>Roswell</v>
      </c>
      <c r="C4355" t="str">
        <f t="shared" si="1448"/>
        <v>Standard Class</v>
      </c>
      <c r="D4355" t="str">
        <f t="shared" si="1449"/>
        <v>Consumer</v>
      </c>
      <c r="E4355" t="s">
        <v>16</v>
      </c>
      <c r="F4355">
        <v>11</v>
      </c>
      <c r="G4355">
        <v>0</v>
      </c>
      <c r="H4355" s="2">
        <v>151.64180000000002</v>
      </c>
      <c r="I4355" s="2">
        <v>310.18</v>
      </c>
    </row>
    <row r="4356" spans="1:9" x14ac:dyDescent="0.3">
      <c r="A4356" t="str">
        <f t="shared" ref="A4356:A4419" si="1450">A4355</f>
        <v>United States</v>
      </c>
      <c r="B4356" t="str">
        <f t="shared" si="1446"/>
        <v>Roswell</v>
      </c>
      <c r="C4356" t="str">
        <f t="shared" si="1448"/>
        <v>Standard Class</v>
      </c>
      <c r="D4356" t="str">
        <f t="shared" si="1449"/>
        <v>Consumer</v>
      </c>
      <c r="E4356" t="s">
        <v>24</v>
      </c>
      <c r="F4356">
        <v>3</v>
      </c>
      <c r="G4356">
        <v>0</v>
      </c>
      <c r="H4356" s="2">
        <v>67.191599999999994</v>
      </c>
      <c r="I4356" s="2">
        <v>239.96999999999997</v>
      </c>
    </row>
    <row r="4357" spans="1:9" x14ac:dyDescent="0.3">
      <c r="A4357" t="str">
        <f t="shared" si="1450"/>
        <v>United States</v>
      </c>
      <c r="B4357" t="str">
        <f t="shared" si="1446"/>
        <v>Roswell</v>
      </c>
      <c r="C4357" t="str">
        <f t="shared" si="1448"/>
        <v>Standard Class</v>
      </c>
      <c r="D4357" t="str">
        <f t="shared" si="1449"/>
        <v>Consumer</v>
      </c>
      <c r="E4357" t="s">
        <v>14</v>
      </c>
      <c r="F4357">
        <v>2</v>
      </c>
      <c r="G4357">
        <v>0</v>
      </c>
      <c r="H4357" s="2">
        <v>107.08199999999997</v>
      </c>
      <c r="I4357" s="2">
        <v>356.94</v>
      </c>
    </row>
    <row r="4358" spans="1:9" x14ac:dyDescent="0.3">
      <c r="A4358" t="str">
        <f t="shared" si="1450"/>
        <v>United States</v>
      </c>
      <c r="B4358" t="str">
        <f t="shared" si="1446"/>
        <v>Roswell</v>
      </c>
      <c r="C4358" t="str">
        <f t="shared" si="1448"/>
        <v>Standard Class</v>
      </c>
      <c r="D4358" t="s">
        <v>15</v>
      </c>
      <c r="E4358" t="s">
        <v>20</v>
      </c>
      <c r="F4358">
        <v>3</v>
      </c>
      <c r="G4358">
        <v>0</v>
      </c>
      <c r="H4358" s="2">
        <v>1264.7558999999999</v>
      </c>
      <c r="I4358" s="2">
        <v>2690.9700000000003</v>
      </c>
    </row>
    <row r="4359" spans="1:9" x14ac:dyDescent="0.3">
      <c r="A4359" t="str">
        <f t="shared" si="1450"/>
        <v>United States</v>
      </c>
      <c r="B4359" t="str">
        <f t="shared" si="1446"/>
        <v>Roswell</v>
      </c>
      <c r="C4359" t="str">
        <f t="shared" si="1448"/>
        <v>Standard Class</v>
      </c>
      <c r="D4359" t="str">
        <f t="shared" ref="D4359:D4360" si="1451">D4358</f>
        <v>Corporate</v>
      </c>
      <c r="E4359" t="s">
        <v>21</v>
      </c>
      <c r="F4359">
        <v>6</v>
      </c>
      <c r="G4359">
        <v>0</v>
      </c>
      <c r="H4359" s="2">
        <v>15.758400000000002</v>
      </c>
      <c r="I4359" s="2">
        <v>56.28</v>
      </c>
    </row>
    <row r="4360" spans="1:9" x14ac:dyDescent="0.3">
      <c r="A4360" t="str">
        <f t="shared" si="1450"/>
        <v>United States</v>
      </c>
      <c r="B4360" t="str">
        <f t="shared" si="1446"/>
        <v>Roswell</v>
      </c>
      <c r="C4360" t="str">
        <f t="shared" si="1448"/>
        <v>Standard Class</v>
      </c>
      <c r="D4360" t="str">
        <f t="shared" si="1451"/>
        <v>Corporate</v>
      </c>
      <c r="E4360" t="s">
        <v>16</v>
      </c>
      <c r="F4360">
        <v>1</v>
      </c>
      <c r="G4360">
        <v>0</v>
      </c>
      <c r="H4360" s="2">
        <v>3.1104000000000003</v>
      </c>
      <c r="I4360" s="2">
        <v>6.48</v>
      </c>
    </row>
    <row r="4361" spans="1:9" x14ac:dyDescent="0.3">
      <c r="A4361" t="str">
        <f t="shared" si="1450"/>
        <v>United States</v>
      </c>
      <c r="B4361" t="s">
        <v>450</v>
      </c>
      <c r="C4361" t="s">
        <v>7</v>
      </c>
      <c r="D4361" t="s">
        <v>15</v>
      </c>
      <c r="E4361" t="s">
        <v>21</v>
      </c>
      <c r="F4361">
        <v>5</v>
      </c>
      <c r="G4361">
        <v>0.6</v>
      </c>
      <c r="H4361" s="2">
        <v>-427.45000000000005</v>
      </c>
      <c r="I4361" s="2">
        <v>341.96</v>
      </c>
    </row>
    <row r="4362" spans="1:9" x14ac:dyDescent="0.3">
      <c r="A4362" t="str">
        <f t="shared" si="1450"/>
        <v>United States</v>
      </c>
      <c r="B4362" t="str">
        <f t="shared" ref="B4362:B4367" si="1452">B4361</f>
        <v>Round Rock</v>
      </c>
      <c r="C4362" t="s">
        <v>22</v>
      </c>
      <c r="D4362" t="s">
        <v>8</v>
      </c>
      <c r="E4362" t="s">
        <v>23</v>
      </c>
      <c r="F4362">
        <v>7</v>
      </c>
      <c r="G4362">
        <v>0.2</v>
      </c>
      <c r="H4362" s="2">
        <v>5.7364999999999977</v>
      </c>
      <c r="I4362" s="2">
        <v>41.720000000000006</v>
      </c>
    </row>
    <row r="4363" spans="1:9" x14ac:dyDescent="0.3">
      <c r="A4363" t="str">
        <f t="shared" si="1450"/>
        <v>United States</v>
      </c>
      <c r="B4363" t="str">
        <f t="shared" si="1452"/>
        <v>Round Rock</v>
      </c>
      <c r="C4363" t="str">
        <f t="shared" ref="C4363:C4367" si="1453">C4362</f>
        <v>Standard Class</v>
      </c>
      <c r="D4363" t="str">
        <f t="shared" ref="D4363:D4367" si="1454">D4362</f>
        <v>Consumer</v>
      </c>
      <c r="E4363" t="s">
        <v>19</v>
      </c>
      <c r="F4363">
        <v>2</v>
      </c>
      <c r="G4363">
        <v>0.2</v>
      </c>
      <c r="H4363" s="2">
        <v>2.7168000000000001</v>
      </c>
      <c r="I4363" s="2">
        <v>27.168000000000003</v>
      </c>
    </row>
    <row r="4364" spans="1:9" x14ac:dyDescent="0.3">
      <c r="A4364" t="str">
        <f t="shared" si="1450"/>
        <v>United States</v>
      </c>
      <c r="B4364" t="str">
        <f t="shared" si="1452"/>
        <v>Round Rock</v>
      </c>
      <c r="C4364" t="str">
        <f t="shared" si="1453"/>
        <v>Standard Class</v>
      </c>
      <c r="D4364" t="str">
        <f t="shared" si="1454"/>
        <v>Consumer</v>
      </c>
      <c r="E4364" t="s">
        <v>34</v>
      </c>
      <c r="F4364">
        <v>2</v>
      </c>
      <c r="G4364">
        <v>0.32</v>
      </c>
      <c r="H4364" s="2">
        <v>-11.595999999999997</v>
      </c>
      <c r="I4364" s="2">
        <v>78.852799999999988</v>
      </c>
    </row>
    <row r="4365" spans="1:9" x14ac:dyDescent="0.3">
      <c r="A4365" t="str">
        <f t="shared" si="1450"/>
        <v>United States</v>
      </c>
      <c r="B4365" t="str">
        <f t="shared" si="1452"/>
        <v>Round Rock</v>
      </c>
      <c r="C4365" t="str">
        <f t="shared" si="1453"/>
        <v>Standard Class</v>
      </c>
      <c r="D4365" t="str">
        <f t="shared" si="1454"/>
        <v>Consumer</v>
      </c>
      <c r="E4365" t="s">
        <v>18</v>
      </c>
      <c r="F4365">
        <v>1</v>
      </c>
      <c r="G4365">
        <v>0.2</v>
      </c>
      <c r="H4365" s="2">
        <v>0.77759999999999996</v>
      </c>
      <c r="I4365" s="2">
        <v>2.3039999999999998</v>
      </c>
    </row>
    <row r="4366" spans="1:9" x14ac:dyDescent="0.3">
      <c r="A4366" t="str">
        <f t="shared" si="1450"/>
        <v>United States</v>
      </c>
      <c r="B4366" t="str">
        <f t="shared" si="1452"/>
        <v>Round Rock</v>
      </c>
      <c r="C4366" t="str">
        <f t="shared" si="1453"/>
        <v>Standard Class</v>
      </c>
      <c r="D4366" t="str">
        <f t="shared" si="1454"/>
        <v>Consumer</v>
      </c>
      <c r="E4366" t="s">
        <v>24</v>
      </c>
      <c r="F4366">
        <v>3</v>
      </c>
      <c r="G4366">
        <v>0.2</v>
      </c>
      <c r="H4366" s="2">
        <v>32.398200000000017</v>
      </c>
      <c r="I4366" s="2">
        <v>431.97600000000006</v>
      </c>
    </row>
    <row r="4367" spans="1:9" x14ac:dyDescent="0.3">
      <c r="A4367" t="str">
        <f t="shared" si="1450"/>
        <v>United States</v>
      </c>
      <c r="B4367" t="str">
        <f t="shared" si="1452"/>
        <v>Round Rock</v>
      </c>
      <c r="C4367" t="str">
        <f t="shared" si="1453"/>
        <v>Standard Class</v>
      </c>
      <c r="D4367" t="str">
        <f t="shared" si="1454"/>
        <v>Consumer</v>
      </c>
      <c r="E4367" t="s">
        <v>9</v>
      </c>
      <c r="F4367">
        <v>3</v>
      </c>
      <c r="G4367">
        <v>0.2</v>
      </c>
      <c r="H4367" s="2">
        <v>-786.01440000000025</v>
      </c>
      <c r="I4367" s="2">
        <v>3930.0720000000001</v>
      </c>
    </row>
    <row r="4368" spans="1:9" x14ac:dyDescent="0.3">
      <c r="A4368" t="str">
        <f t="shared" si="1450"/>
        <v>United States</v>
      </c>
      <c r="B4368" t="s">
        <v>451</v>
      </c>
      <c r="C4368" t="s">
        <v>22</v>
      </c>
      <c r="D4368" t="s">
        <v>8</v>
      </c>
      <c r="E4368" t="s">
        <v>16</v>
      </c>
      <c r="F4368">
        <v>4</v>
      </c>
      <c r="G4368">
        <v>0</v>
      </c>
      <c r="H4368" s="2">
        <v>16.963200000000001</v>
      </c>
      <c r="I4368" s="2">
        <v>35.340000000000003</v>
      </c>
    </row>
    <row r="4369" spans="1:9" x14ac:dyDescent="0.3">
      <c r="A4369" t="str">
        <f t="shared" si="1450"/>
        <v>United States</v>
      </c>
      <c r="B4369" t="s">
        <v>452</v>
      </c>
      <c r="C4369" t="s">
        <v>7</v>
      </c>
      <c r="D4369" t="s">
        <v>8</v>
      </c>
      <c r="E4369" t="s">
        <v>33</v>
      </c>
      <c r="F4369">
        <v>1</v>
      </c>
      <c r="G4369">
        <v>0.2</v>
      </c>
      <c r="H4369" s="2">
        <v>-18.106799999999993</v>
      </c>
      <c r="I4369" s="2">
        <v>120.71199999999999</v>
      </c>
    </row>
    <row r="4370" spans="1:9" x14ac:dyDescent="0.3">
      <c r="A4370" t="str">
        <f t="shared" si="1450"/>
        <v>United States</v>
      </c>
      <c r="B4370" t="str">
        <f t="shared" ref="B4370:B4378" si="1455">B4369</f>
        <v>Sacramento</v>
      </c>
      <c r="C4370" t="str">
        <f t="shared" ref="C4370:C4371" si="1456">C4369</f>
        <v>Second Class</v>
      </c>
      <c r="D4370" t="s">
        <v>15</v>
      </c>
      <c r="E4370" t="s">
        <v>20</v>
      </c>
      <c r="F4370">
        <v>6</v>
      </c>
      <c r="G4370">
        <v>0.4</v>
      </c>
      <c r="H4370" s="2">
        <v>11.048399999999997</v>
      </c>
      <c r="I4370" s="2">
        <v>32.736000000000004</v>
      </c>
    </row>
    <row r="4371" spans="1:9" x14ac:dyDescent="0.3">
      <c r="A4371" t="str">
        <f t="shared" si="1450"/>
        <v>United States</v>
      </c>
      <c r="B4371" t="str">
        <f t="shared" si="1455"/>
        <v>Sacramento</v>
      </c>
      <c r="C4371" t="str">
        <f t="shared" si="1456"/>
        <v>Second Class</v>
      </c>
      <c r="D4371" t="str">
        <f>D4370</f>
        <v>Corporate</v>
      </c>
      <c r="E4371" t="s">
        <v>24</v>
      </c>
      <c r="F4371">
        <v>2</v>
      </c>
      <c r="G4371">
        <v>0.2</v>
      </c>
      <c r="H4371" s="2">
        <v>30.238400000000013</v>
      </c>
      <c r="I4371" s="2">
        <v>302.38400000000001</v>
      </c>
    </row>
    <row r="4372" spans="1:9" x14ac:dyDescent="0.3">
      <c r="A4372" t="str">
        <f t="shared" si="1450"/>
        <v>United States</v>
      </c>
      <c r="B4372" t="str">
        <f t="shared" si="1455"/>
        <v>Sacramento</v>
      </c>
      <c r="C4372" t="s">
        <v>22</v>
      </c>
      <c r="D4372" t="s">
        <v>8</v>
      </c>
      <c r="E4372" t="s">
        <v>14</v>
      </c>
      <c r="F4372">
        <v>1</v>
      </c>
      <c r="G4372">
        <v>0</v>
      </c>
      <c r="H4372" s="2">
        <v>4.068699999999998</v>
      </c>
      <c r="I4372" s="2">
        <v>14.03</v>
      </c>
    </row>
    <row r="4373" spans="1:9" x14ac:dyDescent="0.3">
      <c r="A4373" t="str">
        <f t="shared" si="1450"/>
        <v>United States</v>
      </c>
      <c r="B4373" t="str">
        <f t="shared" si="1455"/>
        <v>Sacramento</v>
      </c>
      <c r="C4373" t="str">
        <f t="shared" ref="C4373:C4378" si="1457">C4372</f>
        <v>Standard Class</v>
      </c>
      <c r="D4373" t="str">
        <f>D4372</f>
        <v>Consumer</v>
      </c>
      <c r="E4373" t="s">
        <v>9</v>
      </c>
      <c r="F4373">
        <v>2</v>
      </c>
      <c r="G4373">
        <v>0</v>
      </c>
      <c r="H4373" s="2">
        <v>7.2696000000000005</v>
      </c>
      <c r="I4373" s="2">
        <v>27.96</v>
      </c>
    </row>
    <row r="4374" spans="1:9" x14ac:dyDescent="0.3">
      <c r="A4374" t="str">
        <f t="shared" si="1450"/>
        <v>United States</v>
      </c>
      <c r="B4374" t="str">
        <f t="shared" si="1455"/>
        <v>Sacramento</v>
      </c>
      <c r="C4374" t="str">
        <f t="shared" si="1457"/>
        <v>Standard Class</v>
      </c>
      <c r="D4374" t="s">
        <v>15</v>
      </c>
      <c r="E4374" t="s">
        <v>23</v>
      </c>
      <c r="F4374">
        <v>6</v>
      </c>
      <c r="G4374">
        <v>0</v>
      </c>
      <c r="H4374" s="2">
        <v>39.888599999999997</v>
      </c>
      <c r="I4374" s="2">
        <v>209.94</v>
      </c>
    </row>
    <row r="4375" spans="1:9" x14ac:dyDescent="0.3">
      <c r="A4375" t="str">
        <f t="shared" si="1450"/>
        <v>United States</v>
      </c>
      <c r="B4375" t="str">
        <f t="shared" si="1455"/>
        <v>Sacramento</v>
      </c>
      <c r="C4375" t="str">
        <f t="shared" si="1457"/>
        <v>Standard Class</v>
      </c>
      <c r="D4375" t="str">
        <f t="shared" ref="D4375:D4377" si="1458">D4374</f>
        <v>Corporate</v>
      </c>
      <c r="E4375" t="s">
        <v>20</v>
      </c>
      <c r="F4375">
        <v>7</v>
      </c>
      <c r="G4375">
        <v>0.4</v>
      </c>
      <c r="H4375" s="2">
        <v>1910.8157999999999</v>
      </c>
      <c r="I4375" s="2">
        <v>5096.7920000000004</v>
      </c>
    </row>
    <row r="4376" spans="1:9" x14ac:dyDescent="0.3">
      <c r="A4376" t="str">
        <f t="shared" si="1450"/>
        <v>United States</v>
      </c>
      <c r="B4376" t="str">
        <f t="shared" si="1455"/>
        <v>Sacramento</v>
      </c>
      <c r="C4376" t="str">
        <f t="shared" si="1457"/>
        <v>Standard Class</v>
      </c>
      <c r="D4376" t="str">
        <f t="shared" si="1458"/>
        <v>Corporate</v>
      </c>
      <c r="E4376" t="s">
        <v>33</v>
      </c>
      <c r="F4376">
        <v>5</v>
      </c>
      <c r="G4376">
        <v>0.2</v>
      </c>
      <c r="H4376" s="2">
        <v>70.196000000000026</v>
      </c>
      <c r="I4376" s="2">
        <v>1403.9200000000003</v>
      </c>
    </row>
    <row r="4377" spans="1:9" x14ac:dyDescent="0.3">
      <c r="A4377" t="str">
        <f t="shared" si="1450"/>
        <v>United States</v>
      </c>
      <c r="B4377" t="str">
        <f t="shared" si="1455"/>
        <v>Sacramento</v>
      </c>
      <c r="C4377" t="str">
        <f t="shared" si="1457"/>
        <v>Standard Class</v>
      </c>
      <c r="D4377" t="str">
        <f t="shared" si="1458"/>
        <v>Corporate</v>
      </c>
      <c r="E4377" t="s">
        <v>24</v>
      </c>
      <c r="F4377">
        <v>2</v>
      </c>
      <c r="G4377">
        <v>0.2</v>
      </c>
      <c r="H4377" s="2">
        <v>-7.9959999999999996</v>
      </c>
      <c r="I4377" s="2">
        <v>31.983999999999998</v>
      </c>
    </row>
    <row r="4378" spans="1:9" x14ac:dyDescent="0.3">
      <c r="A4378" t="str">
        <f t="shared" si="1450"/>
        <v>United States</v>
      </c>
      <c r="B4378" t="str">
        <f t="shared" si="1455"/>
        <v>Sacramento</v>
      </c>
      <c r="C4378" t="str">
        <f t="shared" si="1457"/>
        <v>Standard Class</v>
      </c>
      <c r="D4378" t="s">
        <v>17</v>
      </c>
      <c r="E4378" t="s">
        <v>21</v>
      </c>
      <c r="F4378">
        <v>4</v>
      </c>
      <c r="G4378">
        <v>0</v>
      </c>
      <c r="H4378" s="2">
        <v>22.263199999999998</v>
      </c>
      <c r="I4378" s="2">
        <v>70.820000000000007</v>
      </c>
    </row>
    <row r="4379" spans="1:9" x14ac:dyDescent="0.3">
      <c r="A4379" t="str">
        <f t="shared" si="1450"/>
        <v>United States</v>
      </c>
      <c r="B4379" t="s">
        <v>453</v>
      </c>
      <c r="C4379" t="s">
        <v>22</v>
      </c>
      <c r="D4379" t="s">
        <v>8</v>
      </c>
      <c r="E4379" t="s">
        <v>20</v>
      </c>
      <c r="F4379">
        <v>4</v>
      </c>
      <c r="G4379">
        <v>0</v>
      </c>
      <c r="H4379" s="2">
        <v>7.4824000000000002</v>
      </c>
      <c r="I4379" s="2">
        <v>15.92</v>
      </c>
    </row>
    <row r="4380" spans="1:9" x14ac:dyDescent="0.3">
      <c r="A4380" t="str">
        <f t="shared" si="1450"/>
        <v>United States</v>
      </c>
      <c r="B4380" t="str">
        <f t="shared" ref="B4380:B4383" si="1459">B4379</f>
        <v>Saginaw</v>
      </c>
      <c r="C4380" t="str">
        <f t="shared" ref="C4380:C4383" si="1460">C4379</f>
        <v>Standard Class</v>
      </c>
      <c r="D4380" t="str">
        <f t="shared" ref="D4380:D4382" si="1461">D4379</f>
        <v>Consumer</v>
      </c>
      <c r="E4380" t="s">
        <v>18</v>
      </c>
      <c r="F4380">
        <v>9</v>
      </c>
      <c r="G4380">
        <v>0</v>
      </c>
      <c r="H4380" s="2">
        <v>16.209899999999998</v>
      </c>
      <c r="I4380" s="2">
        <v>52.29</v>
      </c>
    </row>
    <row r="4381" spans="1:9" x14ac:dyDescent="0.3">
      <c r="A4381" t="str">
        <f t="shared" si="1450"/>
        <v>United States</v>
      </c>
      <c r="B4381" t="str">
        <f t="shared" si="1459"/>
        <v>Saginaw</v>
      </c>
      <c r="C4381" t="str">
        <f t="shared" si="1460"/>
        <v>Standard Class</v>
      </c>
      <c r="D4381" t="str">
        <f t="shared" si="1461"/>
        <v>Consumer</v>
      </c>
      <c r="E4381" t="s">
        <v>24</v>
      </c>
      <c r="F4381">
        <v>2</v>
      </c>
      <c r="G4381">
        <v>0</v>
      </c>
      <c r="H4381" s="2">
        <v>35.634600000000006</v>
      </c>
      <c r="I4381" s="2">
        <v>131.97999999999999</v>
      </c>
    </row>
    <row r="4382" spans="1:9" x14ac:dyDescent="0.3">
      <c r="A4382" t="str">
        <f t="shared" si="1450"/>
        <v>United States</v>
      </c>
      <c r="B4382" t="str">
        <f t="shared" si="1459"/>
        <v>Saginaw</v>
      </c>
      <c r="C4382" t="str">
        <f t="shared" si="1460"/>
        <v>Standard Class</v>
      </c>
      <c r="D4382" t="str">
        <f t="shared" si="1461"/>
        <v>Consumer</v>
      </c>
      <c r="E4382" t="s">
        <v>14</v>
      </c>
      <c r="F4382">
        <v>5</v>
      </c>
      <c r="G4382">
        <v>0</v>
      </c>
      <c r="H4382" s="2">
        <v>9.5539999999999878</v>
      </c>
      <c r="I4382" s="2">
        <v>175.91</v>
      </c>
    </row>
    <row r="4383" spans="1:9" x14ac:dyDescent="0.3">
      <c r="A4383" t="str">
        <f t="shared" si="1450"/>
        <v>United States</v>
      </c>
      <c r="B4383" t="str">
        <f t="shared" si="1459"/>
        <v>Saginaw</v>
      </c>
      <c r="C4383" t="str">
        <f t="shared" si="1460"/>
        <v>Standard Class</v>
      </c>
      <c r="D4383" t="s">
        <v>17</v>
      </c>
      <c r="E4383" t="s">
        <v>21</v>
      </c>
      <c r="F4383">
        <v>4</v>
      </c>
      <c r="G4383">
        <v>0</v>
      </c>
      <c r="H4383" s="2">
        <v>8.2992000000000008</v>
      </c>
      <c r="I4383" s="2">
        <v>19.760000000000002</v>
      </c>
    </row>
    <row r="4384" spans="1:9" x14ac:dyDescent="0.3">
      <c r="A4384" t="str">
        <f t="shared" si="1450"/>
        <v>United States</v>
      </c>
      <c r="B4384" t="s">
        <v>454</v>
      </c>
      <c r="C4384" t="s">
        <v>11</v>
      </c>
      <c r="D4384" t="s">
        <v>8</v>
      </c>
      <c r="E4384" t="s">
        <v>16</v>
      </c>
      <c r="F4384">
        <v>2</v>
      </c>
      <c r="G4384">
        <v>0</v>
      </c>
      <c r="H4384" s="2">
        <v>5.6644000000000005</v>
      </c>
      <c r="I4384" s="2">
        <v>11.56</v>
      </c>
    </row>
    <row r="4385" spans="1:9" x14ac:dyDescent="0.3">
      <c r="A4385" t="str">
        <f t="shared" si="1450"/>
        <v>United States</v>
      </c>
      <c r="B4385" t="str">
        <f t="shared" ref="B4385:B4393" si="1462">B4384</f>
        <v>Saint Charles</v>
      </c>
      <c r="C4385" t="s">
        <v>27</v>
      </c>
      <c r="D4385" t="s">
        <v>8</v>
      </c>
      <c r="E4385" t="s">
        <v>23</v>
      </c>
      <c r="F4385">
        <v>4</v>
      </c>
      <c r="G4385">
        <v>0</v>
      </c>
      <c r="H4385" s="2">
        <v>46.543199999999999</v>
      </c>
      <c r="I4385" s="2">
        <v>113.52</v>
      </c>
    </row>
    <row r="4386" spans="1:9" x14ac:dyDescent="0.3">
      <c r="A4386" t="str">
        <f t="shared" si="1450"/>
        <v>United States</v>
      </c>
      <c r="B4386" t="str">
        <f t="shared" si="1462"/>
        <v>Saint Charles</v>
      </c>
      <c r="C4386" t="str">
        <f>C4385</f>
        <v>Same Day</v>
      </c>
      <c r="D4386" t="str">
        <f>D4385</f>
        <v>Consumer</v>
      </c>
      <c r="E4386" t="s">
        <v>21</v>
      </c>
      <c r="F4386">
        <v>5</v>
      </c>
      <c r="G4386">
        <v>0</v>
      </c>
      <c r="H4386" s="2">
        <v>37.883999999999993</v>
      </c>
      <c r="I4386" s="2">
        <v>135.29999999999998</v>
      </c>
    </row>
    <row r="4387" spans="1:9" x14ac:dyDescent="0.3">
      <c r="A4387" t="str">
        <f t="shared" si="1450"/>
        <v>United States</v>
      </c>
      <c r="B4387" t="str">
        <f t="shared" si="1462"/>
        <v>Saint Charles</v>
      </c>
      <c r="C4387" t="s">
        <v>7</v>
      </c>
      <c r="D4387" t="s">
        <v>8</v>
      </c>
      <c r="E4387" t="s">
        <v>21</v>
      </c>
      <c r="F4387">
        <v>2</v>
      </c>
      <c r="G4387">
        <v>0.6</v>
      </c>
      <c r="H4387" s="2">
        <v>-31.861200000000004</v>
      </c>
      <c r="I4387" s="2">
        <v>30.344000000000001</v>
      </c>
    </row>
    <row r="4388" spans="1:9" x14ac:dyDescent="0.3">
      <c r="A4388" t="str">
        <f t="shared" si="1450"/>
        <v>United States</v>
      </c>
      <c r="B4388" t="str">
        <f t="shared" si="1462"/>
        <v>Saint Charles</v>
      </c>
      <c r="C4388" t="str">
        <f t="shared" ref="C4388:C4391" si="1463">C4387</f>
        <v>Second Class</v>
      </c>
      <c r="D4388" t="s">
        <v>17</v>
      </c>
      <c r="E4388" t="s">
        <v>23</v>
      </c>
      <c r="F4388">
        <v>8</v>
      </c>
      <c r="G4388">
        <v>0.2</v>
      </c>
      <c r="H4388" s="2">
        <v>135.45599999999996</v>
      </c>
      <c r="I4388" s="2">
        <v>637.44000000000005</v>
      </c>
    </row>
    <row r="4389" spans="1:9" x14ac:dyDescent="0.3">
      <c r="A4389" t="str">
        <f t="shared" si="1450"/>
        <v>United States</v>
      </c>
      <c r="B4389" t="str">
        <f t="shared" si="1462"/>
        <v>Saint Charles</v>
      </c>
      <c r="C4389" t="str">
        <f t="shared" si="1463"/>
        <v>Second Class</v>
      </c>
      <c r="D4389" t="str">
        <f t="shared" ref="D4389:D4391" si="1464">D4388</f>
        <v>Home Office</v>
      </c>
      <c r="E4389" t="s">
        <v>19</v>
      </c>
      <c r="F4389">
        <v>2</v>
      </c>
      <c r="G4389">
        <v>0.2</v>
      </c>
      <c r="H4389" s="2">
        <v>14.227200000000003</v>
      </c>
      <c r="I4389" s="2">
        <v>59.903999999999996</v>
      </c>
    </row>
    <row r="4390" spans="1:9" x14ac:dyDescent="0.3">
      <c r="A4390" t="str">
        <f t="shared" si="1450"/>
        <v>United States</v>
      </c>
      <c r="B4390" t="str">
        <f t="shared" si="1462"/>
        <v>Saint Charles</v>
      </c>
      <c r="C4390" t="str">
        <f t="shared" si="1463"/>
        <v>Second Class</v>
      </c>
      <c r="D4390" t="str">
        <f t="shared" si="1464"/>
        <v>Home Office</v>
      </c>
      <c r="E4390" t="s">
        <v>21</v>
      </c>
      <c r="F4390">
        <v>3</v>
      </c>
      <c r="G4390">
        <v>0.6</v>
      </c>
      <c r="H4390" s="2">
        <v>-33.641399999999997</v>
      </c>
      <c r="I4390" s="2">
        <v>51.756000000000007</v>
      </c>
    </row>
    <row r="4391" spans="1:9" x14ac:dyDescent="0.3">
      <c r="A4391" t="str">
        <f t="shared" si="1450"/>
        <v>United States</v>
      </c>
      <c r="B4391" t="str">
        <f t="shared" si="1462"/>
        <v>Saint Charles</v>
      </c>
      <c r="C4391" t="str">
        <f t="shared" si="1463"/>
        <v>Second Class</v>
      </c>
      <c r="D4391" t="str">
        <f t="shared" si="1464"/>
        <v>Home Office</v>
      </c>
      <c r="E4391" t="s">
        <v>46</v>
      </c>
      <c r="F4391">
        <v>2</v>
      </c>
      <c r="G4391">
        <v>0.3</v>
      </c>
      <c r="H4391" s="2">
        <v>137.26399999999995</v>
      </c>
      <c r="I4391" s="2">
        <v>600.53</v>
      </c>
    </row>
    <row r="4392" spans="1:9" x14ac:dyDescent="0.3">
      <c r="A4392" t="str">
        <f t="shared" si="1450"/>
        <v>United States</v>
      </c>
      <c r="B4392" t="str">
        <f t="shared" si="1462"/>
        <v>Saint Charles</v>
      </c>
      <c r="C4392" t="s">
        <v>22</v>
      </c>
      <c r="D4392" t="s">
        <v>15</v>
      </c>
      <c r="E4392" t="s">
        <v>16</v>
      </c>
      <c r="F4392">
        <v>2</v>
      </c>
      <c r="G4392">
        <v>0</v>
      </c>
      <c r="H4392" s="2">
        <v>4.7519999999999998</v>
      </c>
      <c r="I4392" s="2">
        <v>10.56</v>
      </c>
    </row>
    <row r="4393" spans="1:9" x14ac:dyDescent="0.3">
      <c r="A4393" t="str">
        <f t="shared" si="1450"/>
        <v>United States</v>
      </c>
      <c r="B4393" t="str">
        <f t="shared" si="1462"/>
        <v>Saint Charles</v>
      </c>
      <c r="C4393" t="str">
        <f>C4392</f>
        <v>Standard Class</v>
      </c>
      <c r="D4393" t="s">
        <v>17</v>
      </c>
      <c r="E4393" t="s">
        <v>21</v>
      </c>
      <c r="F4393">
        <v>3</v>
      </c>
      <c r="G4393">
        <v>0.6</v>
      </c>
      <c r="H4393" s="2">
        <v>-4.804800000000002</v>
      </c>
      <c r="I4393" s="2">
        <v>8.7360000000000007</v>
      </c>
    </row>
    <row r="4394" spans="1:9" x14ac:dyDescent="0.3">
      <c r="A4394" t="str">
        <f t="shared" si="1450"/>
        <v>United States</v>
      </c>
      <c r="B4394" t="s">
        <v>455</v>
      </c>
      <c r="C4394" t="s">
        <v>22</v>
      </c>
      <c r="D4394" t="s">
        <v>15</v>
      </c>
      <c r="E4394" t="s">
        <v>23</v>
      </c>
      <c r="F4394">
        <v>9</v>
      </c>
      <c r="G4394">
        <v>0</v>
      </c>
      <c r="H4394" s="2">
        <v>288.43799999999999</v>
      </c>
      <c r="I4394" s="2">
        <v>727.90000000000009</v>
      </c>
    </row>
    <row r="4395" spans="1:9" x14ac:dyDescent="0.3">
      <c r="A4395" t="str">
        <f t="shared" si="1450"/>
        <v>United States</v>
      </c>
      <c r="B4395" t="str">
        <f>B4394</f>
        <v>Saint Cloud</v>
      </c>
      <c r="C4395" t="str">
        <f>C4394</f>
        <v>Standard Class</v>
      </c>
      <c r="D4395" t="str">
        <f>D4394</f>
        <v>Corporate</v>
      </c>
      <c r="E4395" t="s">
        <v>33</v>
      </c>
      <c r="F4395">
        <v>4</v>
      </c>
      <c r="G4395">
        <v>0</v>
      </c>
      <c r="H4395" s="2">
        <v>181.17599999999993</v>
      </c>
      <c r="I4395" s="2">
        <v>603.91999999999996</v>
      </c>
    </row>
    <row r="4396" spans="1:9" x14ac:dyDescent="0.3">
      <c r="A4396" t="str">
        <f t="shared" si="1450"/>
        <v>United States</v>
      </c>
      <c r="B4396" t="s">
        <v>456</v>
      </c>
      <c r="C4396" t="s">
        <v>11</v>
      </c>
      <c r="D4396" t="s">
        <v>8</v>
      </c>
      <c r="E4396" t="s">
        <v>12</v>
      </c>
      <c r="F4396">
        <v>10</v>
      </c>
      <c r="G4396">
        <v>0</v>
      </c>
      <c r="H4396" s="2">
        <v>20.975000000000001</v>
      </c>
      <c r="I4396" s="2">
        <v>83.9</v>
      </c>
    </row>
    <row r="4397" spans="1:9" x14ac:dyDescent="0.3">
      <c r="A4397" t="str">
        <f t="shared" si="1450"/>
        <v>United States</v>
      </c>
      <c r="B4397" t="str">
        <f t="shared" ref="B4397:B4400" si="1465">B4396</f>
        <v>Saint Louis</v>
      </c>
      <c r="C4397" t="str">
        <f>C4396</f>
        <v>First Class</v>
      </c>
      <c r="D4397" t="str">
        <f>D4396</f>
        <v>Consumer</v>
      </c>
      <c r="E4397" t="s">
        <v>16</v>
      </c>
      <c r="F4397">
        <v>2</v>
      </c>
      <c r="G4397">
        <v>0</v>
      </c>
      <c r="H4397" s="2">
        <v>5.7623999999999995</v>
      </c>
      <c r="I4397" s="2">
        <v>11.76</v>
      </c>
    </row>
    <row r="4398" spans="1:9" x14ac:dyDescent="0.3">
      <c r="A4398" t="str">
        <f t="shared" si="1450"/>
        <v>United States</v>
      </c>
      <c r="B4398" t="str">
        <f t="shared" si="1465"/>
        <v>Saint Louis</v>
      </c>
      <c r="C4398" t="s">
        <v>7</v>
      </c>
      <c r="D4398" t="s">
        <v>8</v>
      </c>
      <c r="E4398" t="s">
        <v>23</v>
      </c>
      <c r="F4398">
        <v>7</v>
      </c>
      <c r="G4398">
        <v>0</v>
      </c>
      <c r="H4398" s="2">
        <v>43.598100000000002</v>
      </c>
      <c r="I4398" s="2">
        <v>111.79</v>
      </c>
    </row>
    <row r="4399" spans="1:9" x14ac:dyDescent="0.3">
      <c r="A4399" t="str">
        <f t="shared" si="1450"/>
        <v>United States</v>
      </c>
      <c r="B4399" t="str">
        <f t="shared" si="1465"/>
        <v>Saint Louis</v>
      </c>
      <c r="C4399" t="str">
        <f>C4398</f>
        <v>Second Class</v>
      </c>
      <c r="D4399" t="s">
        <v>15</v>
      </c>
      <c r="E4399" t="s">
        <v>16</v>
      </c>
      <c r="F4399">
        <v>4</v>
      </c>
      <c r="G4399">
        <v>0</v>
      </c>
      <c r="H4399" s="2">
        <v>12.441600000000001</v>
      </c>
      <c r="I4399" s="2">
        <v>25.92</v>
      </c>
    </row>
    <row r="4400" spans="1:9" x14ac:dyDescent="0.3">
      <c r="A4400" t="str">
        <f t="shared" si="1450"/>
        <v>United States</v>
      </c>
      <c r="B4400" t="str">
        <f t="shared" si="1465"/>
        <v>Saint Louis</v>
      </c>
      <c r="C4400" t="s">
        <v>22</v>
      </c>
      <c r="D4400" t="s">
        <v>15</v>
      </c>
      <c r="E4400" t="s">
        <v>9</v>
      </c>
      <c r="F4400">
        <v>3</v>
      </c>
      <c r="G4400">
        <v>0</v>
      </c>
      <c r="H4400" s="2">
        <v>15.776999999999996</v>
      </c>
      <c r="I4400" s="2">
        <v>52.59</v>
      </c>
    </row>
    <row r="4401" spans="1:9" x14ac:dyDescent="0.3">
      <c r="A4401" t="str">
        <f t="shared" si="1450"/>
        <v>United States</v>
      </c>
      <c r="B4401" t="s">
        <v>457</v>
      </c>
      <c r="C4401" t="s">
        <v>7</v>
      </c>
      <c r="D4401" t="s">
        <v>15</v>
      </c>
      <c r="E4401" t="s">
        <v>24</v>
      </c>
      <c r="F4401">
        <v>5</v>
      </c>
      <c r="G4401">
        <v>0</v>
      </c>
      <c r="H4401" s="2">
        <v>2.2990000000000066</v>
      </c>
      <c r="I4401" s="2">
        <v>114.94999999999999</v>
      </c>
    </row>
    <row r="4402" spans="1:9" x14ac:dyDescent="0.3">
      <c r="A4402" t="str">
        <f t="shared" si="1450"/>
        <v>United States</v>
      </c>
      <c r="B4402" t="str">
        <f>B4401</f>
        <v>Saint Paul</v>
      </c>
      <c r="C4402" t="s">
        <v>22</v>
      </c>
      <c r="D4402" t="s">
        <v>15</v>
      </c>
      <c r="E4402" t="s">
        <v>12</v>
      </c>
      <c r="F4402">
        <v>6</v>
      </c>
      <c r="G4402">
        <v>0</v>
      </c>
      <c r="H4402" s="2">
        <v>22.585199999999993</v>
      </c>
      <c r="I4402" s="2">
        <v>77.88</v>
      </c>
    </row>
    <row r="4403" spans="1:9" x14ac:dyDescent="0.3">
      <c r="A4403" t="str">
        <f t="shared" si="1450"/>
        <v>United States</v>
      </c>
      <c r="B4403" t="s">
        <v>458</v>
      </c>
      <c r="C4403" t="s">
        <v>22</v>
      </c>
      <c r="D4403" t="s">
        <v>17</v>
      </c>
      <c r="E4403" t="s">
        <v>25</v>
      </c>
      <c r="F4403">
        <v>4</v>
      </c>
      <c r="G4403">
        <v>0</v>
      </c>
      <c r="H4403" s="2">
        <v>146.40359999999998</v>
      </c>
      <c r="I4403" s="2">
        <v>697.16</v>
      </c>
    </row>
    <row r="4404" spans="1:9" x14ac:dyDescent="0.3">
      <c r="A4404" t="str">
        <f t="shared" si="1450"/>
        <v>United States</v>
      </c>
      <c r="B4404" t="s">
        <v>459</v>
      </c>
      <c r="C4404" t="s">
        <v>11</v>
      </c>
      <c r="D4404" t="s">
        <v>8</v>
      </c>
      <c r="E4404" t="s">
        <v>21</v>
      </c>
      <c r="F4404">
        <v>2</v>
      </c>
      <c r="G4404">
        <v>0.2</v>
      </c>
      <c r="H4404" s="2">
        <v>1.9989999999999979</v>
      </c>
      <c r="I4404" s="2">
        <v>31.983999999999998</v>
      </c>
    </row>
    <row r="4405" spans="1:9" x14ac:dyDescent="0.3">
      <c r="A4405" t="str">
        <f t="shared" si="1450"/>
        <v>United States</v>
      </c>
      <c r="B4405" t="str">
        <f t="shared" ref="B4405:B4414" si="1466">B4404</f>
        <v>Saint Petersburg</v>
      </c>
      <c r="C4405" t="s">
        <v>22</v>
      </c>
      <c r="D4405" t="s">
        <v>8</v>
      </c>
      <c r="E4405" t="s">
        <v>20</v>
      </c>
      <c r="F4405">
        <v>2</v>
      </c>
      <c r="G4405">
        <v>0.7</v>
      </c>
      <c r="H4405" s="2">
        <v>-12.224</v>
      </c>
      <c r="I4405" s="2">
        <v>18.336000000000002</v>
      </c>
    </row>
    <row r="4406" spans="1:9" x14ac:dyDescent="0.3">
      <c r="A4406" t="str">
        <f t="shared" si="1450"/>
        <v>United States</v>
      </c>
      <c r="B4406" t="str">
        <f t="shared" si="1466"/>
        <v>Saint Petersburg</v>
      </c>
      <c r="C4406" t="str">
        <f t="shared" ref="C4406:C4414" si="1467">C4405</f>
        <v>Standard Class</v>
      </c>
      <c r="D4406" t="str">
        <f t="shared" ref="D4406:D4407" si="1468">D4405</f>
        <v>Consumer</v>
      </c>
      <c r="E4406" t="s">
        <v>21</v>
      </c>
      <c r="F4406">
        <v>2</v>
      </c>
      <c r="G4406">
        <v>0.2</v>
      </c>
      <c r="H4406" s="2">
        <v>1.0679999999999996</v>
      </c>
      <c r="I4406" s="2">
        <v>17.088000000000001</v>
      </c>
    </row>
    <row r="4407" spans="1:9" x14ac:dyDescent="0.3">
      <c r="A4407" t="str">
        <f t="shared" si="1450"/>
        <v>United States</v>
      </c>
      <c r="B4407" t="str">
        <f t="shared" si="1466"/>
        <v>Saint Petersburg</v>
      </c>
      <c r="C4407" t="str">
        <f t="shared" si="1467"/>
        <v>Standard Class</v>
      </c>
      <c r="D4407" t="str">
        <f t="shared" si="1468"/>
        <v>Consumer</v>
      </c>
      <c r="E4407" t="s">
        <v>24</v>
      </c>
      <c r="F4407">
        <v>5</v>
      </c>
      <c r="G4407">
        <v>0.2</v>
      </c>
      <c r="H4407" s="2">
        <v>13.571999999999996</v>
      </c>
      <c r="I4407" s="2">
        <v>180.96</v>
      </c>
    </row>
    <row r="4408" spans="1:9" x14ac:dyDescent="0.3">
      <c r="A4408" t="str">
        <f t="shared" si="1450"/>
        <v>United States</v>
      </c>
      <c r="B4408" t="str">
        <f t="shared" si="1466"/>
        <v>Saint Petersburg</v>
      </c>
      <c r="C4408" t="str">
        <f t="shared" si="1467"/>
        <v>Standard Class</v>
      </c>
      <c r="D4408" t="s">
        <v>15</v>
      </c>
      <c r="E4408" t="s">
        <v>19</v>
      </c>
      <c r="F4408">
        <v>2</v>
      </c>
      <c r="G4408">
        <v>0.2</v>
      </c>
      <c r="H4408" s="2">
        <v>0.3335999999999999</v>
      </c>
      <c r="I4408" s="2">
        <v>4.4479999999999995</v>
      </c>
    </row>
    <row r="4409" spans="1:9" x14ac:dyDescent="0.3">
      <c r="A4409" t="str">
        <f t="shared" si="1450"/>
        <v>United States</v>
      </c>
      <c r="B4409" t="str">
        <f t="shared" si="1466"/>
        <v>Saint Petersburg</v>
      </c>
      <c r="C4409" t="str">
        <f t="shared" si="1467"/>
        <v>Standard Class</v>
      </c>
      <c r="D4409" t="str">
        <f t="shared" ref="D4409:D4414" si="1469">D4408</f>
        <v>Corporate</v>
      </c>
      <c r="E4409" t="s">
        <v>20</v>
      </c>
      <c r="F4409">
        <v>2</v>
      </c>
      <c r="G4409">
        <v>0.7</v>
      </c>
      <c r="H4409" s="2">
        <v>-13.393599999999999</v>
      </c>
      <c r="I4409" s="2">
        <v>18.264000000000003</v>
      </c>
    </row>
    <row r="4410" spans="1:9" x14ac:dyDescent="0.3">
      <c r="A4410" t="str">
        <f t="shared" si="1450"/>
        <v>United States</v>
      </c>
      <c r="B4410" t="str">
        <f t="shared" si="1466"/>
        <v>Saint Petersburg</v>
      </c>
      <c r="C4410" t="str">
        <f t="shared" si="1467"/>
        <v>Standard Class</v>
      </c>
      <c r="D4410" t="str">
        <f t="shared" si="1469"/>
        <v>Corporate</v>
      </c>
      <c r="E4410" t="s">
        <v>21</v>
      </c>
      <c r="F4410">
        <v>9</v>
      </c>
      <c r="G4410">
        <v>0.4</v>
      </c>
      <c r="H4410" s="2">
        <v>68.78309999999999</v>
      </c>
      <c r="I4410" s="2">
        <v>484.08800000000008</v>
      </c>
    </row>
    <row r="4411" spans="1:9" x14ac:dyDescent="0.3">
      <c r="A4411" t="str">
        <f t="shared" si="1450"/>
        <v>United States</v>
      </c>
      <c r="B4411" t="str">
        <f t="shared" si="1466"/>
        <v>Saint Petersburg</v>
      </c>
      <c r="C4411" t="str">
        <f t="shared" si="1467"/>
        <v>Standard Class</v>
      </c>
      <c r="D4411" t="str">
        <f t="shared" si="1469"/>
        <v>Corporate</v>
      </c>
      <c r="E4411" t="s">
        <v>43</v>
      </c>
      <c r="F4411">
        <v>3</v>
      </c>
      <c r="G4411">
        <v>0.2</v>
      </c>
      <c r="H4411" s="2">
        <v>3.1499999999999995</v>
      </c>
      <c r="I4411" s="2">
        <v>9</v>
      </c>
    </row>
    <row r="4412" spans="1:9" x14ac:dyDescent="0.3">
      <c r="A4412" t="str">
        <f t="shared" si="1450"/>
        <v>United States</v>
      </c>
      <c r="B4412" t="str">
        <f t="shared" si="1466"/>
        <v>Saint Petersburg</v>
      </c>
      <c r="C4412" t="str">
        <f t="shared" si="1467"/>
        <v>Standard Class</v>
      </c>
      <c r="D4412" t="str">
        <f t="shared" si="1469"/>
        <v>Corporate</v>
      </c>
      <c r="E4412" t="s">
        <v>16</v>
      </c>
      <c r="F4412">
        <v>20</v>
      </c>
      <c r="G4412">
        <v>0.60000000000000009</v>
      </c>
      <c r="H4412" s="2">
        <v>72.858199999999982</v>
      </c>
      <c r="I4412" s="2">
        <v>231.28000000000003</v>
      </c>
    </row>
    <row r="4413" spans="1:9" x14ac:dyDescent="0.3">
      <c r="A4413" t="str">
        <f t="shared" si="1450"/>
        <v>United States</v>
      </c>
      <c r="B4413" t="str">
        <f t="shared" si="1466"/>
        <v>Saint Petersburg</v>
      </c>
      <c r="C4413" t="str">
        <f t="shared" si="1467"/>
        <v>Standard Class</v>
      </c>
      <c r="D4413" t="str">
        <f t="shared" si="1469"/>
        <v>Corporate</v>
      </c>
      <c r="E4413" t="s">
        <v>24</v>
      </c>
      <c r="F4413">
        <v>2</v>
      </c>
      <c r="G4413">
        <v>0.2</v>
      </c>
      <c r="H4413" s="2">
        <v>22.297999999999973</v>
      </c>
      <c r="I4413" s="2">
        <v>178.38400000000001</v>
      </c>
    </row>
    <row r="4414" spans="1:9" x14ac:dyDescent="0.3">
      <c r="A4414" t="str">
        <f t="shared" si="1450"/>
        <v>United States</v>
      </c>
      <c r="B4414" t="str">
        <f t="shared" si="1466"/>
        <v>Saint Petersburg</v>
      </c>
      <c r="C4414" t="str">
        <f t="shared" si="1467"/>
        <v>Standard Class</v>
      </c>
      <c r="D4414" t="str">
        <f t="shared" si="1469"/>
        <v>Corporate</v>
      </c>
      <c r="E4414" t="s">
        <v>14</v>
      </c>
      <c r="F4414">
        <v>4</v>
      </c>
      <c r="G4414">
        <v>0.2</v>
      </c>
      <c r="H4414" s="2">
        <v>-6.4619999999999891</v>
      </c>
      <c r="I4414" s="2">
        <v>516.96</v>
      </c>
    </row>
    <row r="4415" spans="1:9" x14ac:dyDescent="0.3">
      <c r="A4415" t="str">
        <f t="shared" si="1450"/>
        <v>United States</v>
      </c>
      <c r="B4415" t="s">
        <v>460</v>
      </c>
      <c r="C4415" t="s">
        <v>11</v>
      </c>
      <c r="D4415" t="s">
        <v>8</v>
      </c>
      <c r="E4415" t="s">
        <v>19</v>
      </c>
      <c r="F4415">
        <v>1</v>
      </c>
      <c r="G4415">
        <v>0.2</v>
      </c>
      <c r="H4415" s="2">
        <v>1.7730000000000004</v>
      </c>
      <c r="I4415" s="2">
        <v>7.88</v>
      </c>
    </row>
    <row r="4416" spans="1:9" x14ac:dyDescent="0.3">
      <c r="A4416" t="str">
        <f t="shared" si="1450"/>
        <v>United States</v>
      </c>
      <c r="B4416" t="str">
        <f t="shared" ref="B4416:B4441" si="1470">B4415</f>
        <v>Salem</v>
      </c>
      <c r="C4416" t="str">
        <f t="shared" ref="C4416:C4423" si="1471">C4415</f>
        <v>First Class</v>
      </c>
      <c r="D4416" t="str">
        <f>D4415</f>
        <v>Consumer</v>
      </c>
      <c r="E4416" t="s">
        <v>33</v>
      </c>
      <c r="F4416">
        <v>2</v>
      </c>
      <c r="G4416">
        <v>0</v>
      </c>
      <c r="H4416" s="2">
        <v>168.47040000000004</v>
      </c>
      <c r="I4416" s="2">
        <v>701.96</v>
      </c>
    </row>
    <row r="4417" spans="1:9" x14ac:dyDescent="0.3">
      <c r="A4417" t="str">
        <f t="shared" si="1450"/>
        <v>United States</v>
      </c>
      <c r="B4417" t="str">
        <f t="shared" si="1470"/>
        <v>Salem</v>
      </c>
      <c r="C4417" t="str">
        <f t="shared" si="1471"/>
        <v>First Class</v>
      </c>
      <c r="D4417" t="s">
        <v>17</v>
      </c>
      <c r="E4417" t="s">
        <v>23</v>
      </c>
      <c r="F4417">
        <v>3</v>
      </c>
      <c r="G4417">
        <v>0.2</v>
      </c>
      <c r="H4417" s="2">
        <v>-8.4581999999999979</v>
      </c>
      <c r="I4417" s="2">
        <v>112.77600000000001</v>
      </c>
    </row>
    <row r="4418" spans="1:9" x14ac:dyDescent="0.3">
      <c r="A4418" t="str">
        <f t="shared" si="1450"/>
        <v>United States</v>
      </c>
      <c r="B4418" t="str">
        <f t="shared" si="1470"/>
        <v>Salem</v>
      </c>
      <c r="C4418" t="str">
        <f t="shared" si="1471"/>
        <v>First Class</v>
      </c>
      <c r="D4418" t="str">
        <f t="shared" ref="D4418:D4423" si="1472">D4417</f>
        <v>Home Office</v>
      </c>
      <c r="E4418" t="s">
        <v>19</v>
      </c>
      <c r="F4418">
        <v>5</v>
      </c>
      <c r="G4418">
        <v>0.4</v>
      </c>
      <c r="H4418" s="2">
        <v>2.8919999999999995</v>
      </c>
      <c r="I4418" s="2">
        <v>20.911999999999999</v>
      </c>
    </row>
    <row r="4419" spans="1:9" x14ac:dyDescent="0.3">
      <c r="A4419" t="str">
        <f t="shared" si="1450"/>
        <v>United States</v>
      </c>
      <c r="B4419" t="str">
        <f t="shared" si="1470"/>
        <v>Salem</v>
      </c>
      <c r="C4419" t="str">
        <f t="shared" si="1471"/>
        <v>First Class</v>
      </c>
      <c r="D4419" t="str">
        <f t="shared" si="1472"/>
        <v>Home Office</v>
      </c>
      <c r="E4419" t="s">
        <v>20</v>
      </c>
      <c r="F4419">
        <v>4</v>
      </c>
      <c r="G4419">
        <v>0.7</v>
      </c>
      <c r="H4419" s="2">
        <v>-30.159999999999997</v>
      </c>
      <c r="I4419" s="2">
        <v>45.240000000000009</v>
      </c>
    </row>
    <row r="4420" spans="1:9" x14ac:dyDescent="0.3">
      <c r="A4420" t="str">
        <f t="shared" ref="A4420:A4483" si="1473">A4419</f>
        <v>United States</v>
      </c>
      <c r="B4420" t="str">
        <f t="shared" si="1470"/>
        <v>Salem</v>
      </c>
      <c r="C4420" t="str">
        <f t="shared" si="1471"/>
        <v>First Class</v>
      </c>
      <c r="D4420" t="str">
        <f t="shared" si="1472"/>
        <v>Home Office</v>
      </c>
      <c r="E4420" t="s">
        <v>43</v>
      </c>
      <c r="F4420">
        <v>4</v>
      </c>
      <c r="G4420">
        <v>0.2</v>
      </c>
      <c r="H4420" s="2">
        <v>5.1791999999999998</v>
      </c>
      <c r="I4420" s="2">
        <v>15.936000000000002</v>
      </c>
    </row>
    <row r="4421" spans="1:9" x14ac:dyDescent="0.3">
      <c r="A4421" t="str">
        <f t="shared" si="1473"/>
        <v>United States</v>
      </c>
      <c r="B4421" t="str">
        <f t="shared" si="1470"/>
        <v>Salem</v>
      </c>
      <c r="C4421" t="str">
        <f t="shared" si="1471"/>
        <v>First Class</v>
      </c>
      <c r="D4421" t="str">
        <f t="shared" si="1472"/>
        <v>Home Office</v>
      </c>
      <c r="E4421" t="s">
        <v>16</v>
      </c>
      <c r="F4421">
        <v>2</v>
      </c>
      <c r="G4421">
        <v>0.2</v>
      </c>
      <c r="H4421" s="2">
        <v>3.7855999999999992</v>
      </c>
      <c r="I4421" s="2">
        <v>11.648000000000001</v>
      </c>
    </row>
    <row r="4422" spans="1:9" x14ac:dyDescent="0.3">
      <c r="A4422" t="str">
        <f t="shared" si="1473"/>
        <v>United States</v>
      </c>
      <c r="B4422" t="str">
        <f t="shared" si="1470"/>
        <v>Salem</v>
      </c>
      <c r="C4422" t="str">
        <f t="shared" si="1471"/>
        <v>First Class</v>
      </c>
      <c r="D4422" t="str">
        <f t="shared" si="1472"/>
        <v>Home Office</v>
      </c>
      <c r="E4422" t="s">
        <v>24</v>
      </c>
      <c r="F4422">
        <v>3</v>
      </c>
      <c r="G4422">
        <v>0.2</v>
      </c>
      <c r="H4422" s="2">
        <v>-7.17</v>
      </c>
      <c r="I4422" s="2">
        <v>28.68</v>
      </c>
    </row>
    <row r="4423" spans="1:9" x14ac:dyDescent="0.3">
      <c r="A4423" t="str">
        <f t="shared" si="1473"/>
        <v>United States</v>
      </c>
      <c r="B4423" t="str">
        <f t="shared" si="1470"/>
        <v>Salem</v>
      </c>
      <c r="C4423" t="str">
        <f t="shared" si="1471"/>
        <v>First Class</v>
      </c>
      <c r="D4423" t="str">
        <f t="shared" si="1472"/>
        <v>Home Office</v>
      </c>
      <c r="E4423" t="s">
        <v>25</v>
      </c>
      <c r="F4423">
        <v>5</v>
      </c>
      <c r="G4423">
        <v>0.5</v>
      </c>
      <c r="H4423" s="2">
        <v>-264.21500000000003</v>
      </c>
      <c r="I4423" s="2">
        <v>377.45</v>
      </c>
    </row>
    <row r="4424" spans="1:9" x14ac:dyDescent="0.3">
      <c r="A4424" t="str">
        <f t="shared" si="1473"/>
        <v>United States</v>
      </c>
      <c r="B4424" t="str">
        <f t="shared" si="1470"/>
        <v>Salem</v>
      </c>
      <c r="C4424" t="s">
        <v>7</v>
      </c>
      <c r="D4424" t="s">
        <v>8</v>
      </c>
      <c r="E4424" t="s">
        <v>19</v>
      </c>
      <c r="F4424">
        <v>7</v>
      </c>
      <c r="G4424">
        <v>0</v>
      </c>
      <c r="H4424" s="2">
        <v>9.1937999999999978</v>
      </c>
      <c r="I4424" s="2">
        <v>27.86</v>
      </c>
    </row>
    <row r="4425" spans="1:9" x14ac:dyDescent="0.3">
      <c r="A4425" t="str">
        <f t="shared" si="1473"/>
        <v>United States</v>
      </c>
      <c r="B4425" t="str">
        <f t="shared" si="1470"/>
        <v>Salem</v>
      </c>
      <c r="C4425" t="str">
        <f t="shared" ref="C4425:C4427" si="1474">C4424</f>
        <v>Second Class</v>
      </c>
      <c r="D4425" t="str">
        <f>D4424</f>
        <v>Consumer</v>
      </c>
      <c r="E4425" t="s">
        <v>14</v>
      </c>
      <c r="F4425">
        <v>3</v>
      </c>
      <c r="G4425">
        <v>0.2</v>
      </c>
      <c r="H4425" s="2">
        <v>2.5641000000000034</v>
      </c>
      <c r="I4425" s="2">
        <v>29.304000000000002</v>
      </c>
    </row>
    <row r="4426" spans="1:9" x14ac:dyDescent="0.3">
      <c r="A4426" t="str">
        <f t="shared" si="1473"/>
        <v>United States</v>
      </c>
      <c r="B4426" t="str">
        <f t="shared" si="1470"/>
        <v>Salem</v>
      </c>
      <c r="C4426" t="str">
        <f t="shared" si="1474"/>
        <v>Second Class</v>
      </c>
      <c r="D4426" t="s">
        <v>15</v>
      </c>
      <c r="E4426" t="s">
        <v>19</v>
      </c>
      <c r="F4426">
        <v>12</v>
      </c>
      <c r="G4426">
        <v>0.4</v>
      </c>
      <c r="H4426" s="2">
        <v>18.724200000000003</v>
      </c>
      <c r="I4426" s="2">
        <v>80.960000000000008</v>
      </c>
    </row>
    <row r="4427" spans="1:9" x14ac:dyDescent="0.3">
      <c r="A4427" t="str">
        <f t="shared" si="1473"/>
        <v>United States</v>
      </c>
      <c r="B4427" t="str">
        <f t="shared" si="1470"/>
        <v>Salem</v>
      </c>
      <c r="C4427" t="str">
        <f t="shared" si="1474"/>
        <v>Second Class</v>
      </c>
      <c r="D4427" t="str">
        <f>D4426</f>
        <v>Corporate</v>
      </c>
      <c r="E4427" t="s">
        <v>24</v>
      </c>
      <c r="F4427">
        <v>5</v>
      </c>
      <c r="G4427">
        <v>0.2</v>
      </c>
      <c r="H4427" s="2">
        <v>19.796999999999997</v>
      </c>
      <c r="I4427" s="2">
        <v>263.96000000000004</v>
      </c>
    </row>
    <row r="4428" spans="1:9" x14ac:dyDescent="0.3">
      <c r="A4428" t="str">
        <f t="shared" si="1473"/>
        <v>United States</v>
      </c>
      <c r="B4428" t="str">
        <f t="shared" si="1470"/>
        <v>Salem</v>
      </c>
      <c r="C4428" t="s">
        <v>22</v>
      </c>
      <c r="D4428" t="s">
        <v>8</v>
      </c>
      <c r="E4428" t="s">
        <v>23</v>
      </c>
      <c r="F4428">
        <v>10</v>
      </c>
      <c r="G4428">
        <v>0.2</v>
      </c>
      <c r="H4428" s="2">
        <v>-18.186000000000014</v>
      </c>
      <c r="I4428" s="2">
        <v>103.92000000000002</v>
      </c>
    </row>
    <row r="4429" spans="1:9" x14ac:dyDescent="0.3">
      <c r="A4429" t="str">
        <f t="shared" si="1473"/>
        <v>United States</v>
      </c>
      <c r="B4429" t="str">
        <f t="shared" si="1470"/>
        <v>Salem</v>
      </c>
      <c r="C4429" t="str">
        <f t="shared" ref="C4429:C4441" si="1475">C4428</f>
        <v>Standard Class</v>
      </c>
      <c r="D4429" t="str">
        <f t="shared" ref="D4429:D4438" si="1476">D4428</f>
        <v>Consumer</v>
      </c>
      <c r="E4429" t="s">
        <v>12</v>
      </c>
      <c r="F4429">
        <v>2</v>
      </c>
      <c r="G4429">
        <v>0</v>
      </c>
      <c r="H4429" s="2">
        <v>12.263999999999999</v>
      </c>
      <c r="I4429" s="2">
        <v>35.04</v>
      </c>
    </row>
    <row r="4430" spans="1:9" x14ac:dyDescent="0.3">
      <c r="A4430" t="str">
        <f t="shared" si="1473"/>
        <v>United States</v>
      </c>
      <c r="B4430" t="str">
        <f t="shared" si="1470"/>
        <v>Salem</v>
      </c>
      <c r="C4430" t="str">
        <f t="shared" si="1475"/>
        <v>Standard Class</v>
      </c>
      <c r="D4430" t="str">
        <f t="shared" si="1476"/>
        <v>Consumer</v>
      </c>
      <c r="E4430" t="s">
        <v>19</v>
      </c>
      <c r="F4430">
        <v>14</v>
      </c>
      <c r="G4430">
        <v>0.2</v>
      </c>
      <c r="H4430" s="2">
        <v>35.860199999999985</v>
      </c>
      <c r="I4430" s="2">
        <v>126.86799999999999</v>
      </c>
    </row>
    <row r="4431" spans="1:9" x14ac:dyDescent="0.3">
      <c r="A4431" t="str">
        <f t="shared" si="1473"/>
        <v>United States</v>
      </c>
      <c r="B4431" t="str">
        <f t="shared" si="1470"/>
        <v>Salem</v>
      </c>
      <c r="C4431" t="str">
        <f t="shared" si="1475"/>
        <v>Standard Class</v>
      </c>
      <c r="D4431" t="str">
        <f t="shared" si="1476"/>
        <v>Consumer</v>
      </c>
      <c r="E4431" t="s">
        <v>20</v>
      </c>
      <c r="F4431">
        <v>10</v>
      </c>
      <c r="G4431">
        <v>1.4</v>
      </c>
      <c r="H4431" s="2">
        <v>-10.244100000000001</v>
      </c>
      <c r="I4431" s="2">
        <v>38.217000000000006</v>
      </c>
    </row>
    <row r="4432" spans="1:9" x14ac:dyDescent="0.3">
      <c r="A4432" t="str">
        <f t="shared" si="1473"/>
        <v>United States</v>
      </c>
      <c r="B4432" t="str">
        <f t="shared" si="1470"/>
        <v>Salem</v>
      </c>
      <c r="C4432" t="str">
        <f t="shared" si="1475"/>
        <v>Standard Class</v>
      </c>
      <c r="D4432" t="str">
        <f t="shared" si="1476"/>
        <v>Consumer</v>
      </c>
      <c r="E4432" t="s">
        <v>34</v>
      </c>
      <c r="F4432">
        <v>3</v>
      </c>
      <c r="G4432">
        <v>0</v>
      </c>
      <c r="H4432" s="2">
        <v>69.67619999999998</v>
      </c>
      <c r="I4432" s="2">
        <v>302.94</v>
      </c>
    </row>
    <row r="4433" spans="1:9" x14ac:dyDescent="0.3">
      <c r="A4433" t="str">
        <f t="shared" si="1473"/>
        <v>United States</v>
      </c>
      <c r="B4433" t="str">
        <f t="shared" si="1470"/>
        <v>Salem</v>
      </c>
      <c r="C4433" t="str">
        <f t="shared" si="1475"/>
        <v>Standard Class</v>
      </c>
      <c r="D4433" t="str">
        <f t="shared" si="1476"/>
        <v>Consumer</v>
      </c>
      <c r="E4433" t="s">
        <v>21</v>
      </c>
      <c r="F4433">
        <v>5</v>
      </c>
      <c r="G4433">
        <v>0</v>
      </c>
      <c r="H4433" s="2">
        <v>3.8720000000000003</v>
      </c>
      <c r="I4433" s="2">
        <v>8.8000000000000007</v>
      </c>
    </row>
    <row r="4434" spans="1:9" x14ac:dyDescent="0.3">
      <c r="A4434" t="str">
        <f t="shared" si="1473"/>
        <v>United States</v>
      </c>
      <c r="B4434" t="str">
        <f t="shared" si="1470"/>
        <v>Salem</v>
      </c>
      <c r="C4434" t="str">
        <f t="shared" si="1475"/>
        <v>Standard Class</v>
      </c>
      <c r="D4434" t="str">
        <f t="shared" si="1476"/>
        <v>Consumer</v>
      </c>
      <c r="E4434" t="s">
        <v>43</v>
      </c>
      <c r="F4434">
        <v>12</v>
      </c>
      <c r="G4434">
        <v>0.4</v>
      </c>
      <c r="H4434" s="2">
        <v>12.807599999999997</v>
      </c>
      <c r="I4434" s="2">
        <v>39.408000000000001</v>
      </c>
    </row>
    <row r="4435" spans="1:9" x14ac:dyDescent="0.3">
      <c r="A4435" t="str">
        <f t="shared" si="1473"/>
        <v>United States</v>
      </c>
      <c r="B4435" t="str">
        <f t="shared" si="1470"/>
        <v>Salem</v>
      </c>
      <c r="C4435" t="str">
        <f t="shared" si="1475"/>
        <v>Standard Class</v>
      </c>
      <c r="D4435" t="str">
        <f t="shared" si="1476"/>
        <v>Consumer</v>
      </c>
      <c r="E4435" t="s">
        <v>16</v>
      </c>
      <c r="F4435">
        <v>12</v>
      </c>
      <c r="G4435">
        <v>0.60000000000000009</v>
      </c>
      <c r="H4435" s="2">
        <v>37.601599999999998</v>
      </c>
      <c r="I4435" s="2">
        <v>90.592000000000013</v>
      </c>
    </row>
    <row r="4436" spans="1:9" x14ac:dyDescent="0.3">
      <c r="A4436" t="str">
        <f t="shared" si="1473"/>
        <v>United States</v>
      </c>
      <c r="B4436" t="str">
        <f t="shared" si="1470"/>
        <v>Salem</v>
      </c>
      <c r="C4436" t="str">
        <f t="shared" si="1475"/>
        <v>Standard Class</v>
      </c>
      <c r="D4436" t="str">
        <f t="shared" si="1476"/>
        <v>Consumer</v>
      </c>
      <c r="E4436" t="s">
        <v>24</v>
      </c>
      <c r="F4436">
        <v>9</v>
      </c>
      <c r="G4436">
        <v>0.4</v>
      </c>
      <c r="H4436" s="2">
        <v>67.608800000000002</v>
      </c>
      <c r="I4436" s="2">
        <v>409.42399999999998</v>
      </c>
    </row>
    <row r="4437" spans="1:9" x14ac:dyDescent="0.3">
      <c r="A4437" t="str">
        <f t="shared" si="1473"/>
        <v>United States</v>
      </c>
      <c r="B4437" t="str">
        <f t="shared" si="1470"/>
        <v>Salem</v>
      </c>
      <c r="C4437" t="str">
        <f t="shared" si="1475"/>
        <v>Standard Class</v>
      </c>
      <c r="D4437" t="str">
        <f t="shared" si="1476"/>
        <v>Consumer</v>
      </c>
      <c r="E4437" t="s">
        <v>14</v>
      </c>
      <c r="F4437">
        <v>3</v>
      </c>
      <c r="G4437">
        <v>0.2</v>
      </c>
      <c r="H4437" s="2">
        <v>2.9304000000000023</v>
      </c>
      <c r="I4437" s="2">
        <v>39.072000000000003</v>
      </c>
    </row>
    <row r="4438" spans="1:9" x14ac:dyDescent="0.3">
      <c r="A4438" t="str">
        <f t="shared" si="1473"/>
        <v>United States</v>
      </c>
      <c r="B4438" t="str">
        <f t="shared" si="1470"/>
        <v>Salem</v>
      </c>
      <c r="C4438" t="str">
        <f t="shared" si="1475"/>
        <v>Standard Class</v>
      </c>
      <c r="D4438" t="str">
        <f t="shared" si="1476"/>
        <v>Consumer</v>
      </c>
      <c r="E4438" t="s">
        <v>9</v>
      </c>
      <c r="F4438">
        <v>7</v>
      </c>
      <c r="G4438">
        <v>0.2</v>
      </c>
      <c r="H4438" s="2">
        <v>8.9834999999999834</v>
      </c>
      <c r="I4438" s="2">
        <v>245.6</v>
      </c>
    </row>
    <row r="4439" spans="1:9" x14ac:dyDescent="0.3">
      <c r="A4439" t="str">
        <f t="shared" si="1473"/>
        <v>United States</v>
      </c>
      <c r="B4439" t="str">
        <f t="shared" si="1470"/>
        <v>Salem</v>
      </c>
      <c r="C4439" t="str">
        <f t="shared" si="1475"/>
        <v>Standard Class</v>
      </c>
      <c r="D4439" t="s">
        <v>17</v>
      </c>
      <c r="E4439" t="s">
        <v>38</v>
      </c>
      <c r="F4439">
        <v>3</v>
      </c>
      <c r="G4439">
        <v>0</v>
      </c>
      <c r="H4439" s="2">
        <v>118.34129999999999</v>
      </c>
      <c r="I4439" s="2">
        <v>251.79000000000002</v>
      </c>
    </row>
    <row r="4440" spans="1:9" x14ac:dyDescent="0.3">
      <c r="A4440" t="str">
        <f t="shared" si="1473"/>
        <v>United States</v>
      </c>
      <c r="B4440" t="str">
        <f t="shared" si="1470"/>
        <v>Salem</v>
      </c>
      <c r="C4440" t="str">
        <f t="shared" si="1475"/>
        <v>Standard Class</v>
      </c>
      <c r="D4440" t="str">
        <f t="shared" ref="D4440:D4441" si="1477">D4439</f>
        <v>Home Office</v>
      </c>
      <c r="E4440" t="s">
        <v>24</v>
      </c>
      <c r="F4440">
        <v>2</v>
      </c>
      <c r="G4440">
        <v>0</v>
      </c>
      <c r="H4440" s="2">
        <v>6.104000000000001</v>
      </c>
      <c r="I4440" s="2">
        <v>21.8</v>
      </c>
    </row>
    <row r="4441" spans="1:9" x14ac:dyDescent="0.3">
      <c r="A4441" t="str">
        <f t="shared" si="1473"/>
        <v>United States</v>
      </c>
      <c r="B4441" t="str">
        <f t="shared" si="1470"/>
        <v>Salem</v>
      </c>
      <c r="C4441" t="str">
        <f t="shared" si="1475"/>
        <v>Standard Class</v>
      </c>
      <c r="D4441" t="str">
        <f t="shared" si="1477"/>
        <v>Home Office</v>
      </c>
      <c r="E4441" t="s">
        <v>9</v>
      </c>
      <c r="F4441">
        <v>2</v>
      </c>
      <c r="G4441">
        <v>0.2</v>
      </c>
      <c r="H4441" s="2">
        <v>0.69839999999999902</v>
      </c>
      <c r="I4441" s="2">
        <v>6.2080000000000002</v>
      </c>
    </row>
    <row r="4442" spans="1:9" x14ac:dyDescent="0.3">
      <c r="A4442" t="str">
        <f t="shared" si="1473"/>
        <v>United States</v>
      </c>
      <c r="B4442" t="s">
        <v>461</v>
      </c>
      <c r="C4442" t="s">
        <v>7</v>
      </c>
      <c r="D4442" t="s">
        <v>15</v>
      </c>
      <c r="E4442" t="s">
        <v>19</v>
      </c>
      <c r="F4442">
        <v>2</v>
      </c>
      <c r="G4442">
        <v>0</v>
      </c>
      <c r="H4442" s="2">
        <v>1.3416000000000001</v>
      </c>
      <c r="I4442" s="2">
        <v>5.16</v>
      </c>
    </row>
    <row r="4443" spans="1:9" x14ac:dyDescent="0.3">
      <c r="A4443" t="str">
        <f t="shared" si="1473"/>
        <v>United States</v>
      </c>
      <c r="B4443" t="str">
        <f t="shared" ref="B4443:B4447" si="1478">B4442</f>
        <v>Salinas</v>
      </c>
      <c r="C4443" t="str">
        <f t="shared" ref="C4443:C4447" si="1479">C4442</f>
        <v>Second Class</v>
      </c>
      <c r="D4443" t="str">
        <f t="shared" ref="D4443:D4446" si="1480">D4442</f>
        <v>Corporate</v>
      </c>
      <c r="E4443" t="s">
        <v>20</v>
      </c>
      <c r="F4443">
        <v>9</v>
      </c>
      <c r="G4443">
        <v>0.60000000000000009</v>
      </c>
      <c r="H4443" s="2">
        <v>31.123099999999997</v>
      </c>
      <c r="I4443" s="2">
        <v>94.424000000000007</v>
      </c>
    </row>
    <row r="4444" spans="1:9" x14ac:dyDescent="0.3">
      <c r="A4444" t="str">
        <f t="shared" si="1473"/>
        <v>United States</v>
      </c>
      <c r="B4444" t="str">
        <f t="shared" si="1478"/>
        <v>Salinas</v>
      </c>
      <c r="C4444" t="str">
        <f t="shared" si="1479"/>
        <v>Second Class</v>
      </c>
      <c r="D4444" t="str">
        <f t="shared" si="1480"/>
        <v>Corporate</v>
      </c>
      <c r="E4444" t="s">
        <v>38</v>
      </c>
      <c r="F4444">
        <v>5</v>
      </c>
      <c r="G4444">
        <v>0</v>
      </c>
      <c r="H4444" s="2">
        <v>7.08</v>
      </c>
      <c r="I4444" s="2">
        <v>14.75</v>
      </c>
    </row>
    <row r="4445" spans="1:9" x14ac:dyDescent="0.3">
      <c r="A4445" t="str">
        <f t="shared" si="1473"/>
        <v>United States</v>
      </c>
      <c r="B4445" t="str">
        <f t="shared" si="1478"/>
        <v>Salinas</v>
      </c>
      <c r="C4445" t="str">
        <f t="shared" si="1479"/>
        <v>Second Class</v>
      </c>
      <c r="D4445" t="str">
        <f t="shared" si="1480"/>
        <v>Corporate</v>
      </c>
      <c r="E4445" t="s">
        <v>43</v>
      </c>
      <c r="F4445">
        <v>14</v>
      </c>
      <c r="G4445">
        <v>0</v>
      </c>
      <c r="H4445" s="2">
        <v>196.61320000000001</v>
      </c>
      <c r="I4445" s="2">
        <v>427.42</v>
      </c>
    </row>
    <row r="4446" spans="1:9" x14ac:dyDescent="0.3">
      <c r="A4446" t="str">
        <f t="shared" si="1473"/>
        <v>United States</v>
      </c>
      <c r="B4446" t="str">
        <f t="shared" si="1478"/>
        <v>Salinas</v>
      </c>
      <c r="C4446" t="str">
        <f t="shared" si="1479"/>
        <v>Second Class</v>
      </c>
      <c r="D4446" t="str">
        <f t="shared" si="1480"/>
        <v>Corporate</v>
      </c>
      <c r="E4446" t="s">
        <v>16</v>
      </c>
      <c r="F4446">
        <v>6</v>
      </c>
      <c r="G4446">
        <v>0</v>
      </c>
      <c r="H4446" s="2">
        <v>18.662400000000002</v>
      </c>
      <c r="I4446" s="2">
        <v>38.880000000000003</v>
      </c>
    </row>
    <row r="4447" spans="1:9" x14ac:dyDescent="0.3">
      <c r="A4447" t="str">
        <f t="shared" si="1473"/>
        <v>United States</v>
      </c>
      <c r="B4447" t="str">
        <f t="shared" si="1478"/>
        <v>Salinas</v>
      </c>
      <c r="C4447" t="str">
        <f t="shared" si="1479"/>
        <v>Second Class</v>
      </c>
      <c r="D4447" t="s">
        <v>17</v>
      </c>
      <c r="E4447" t="s">
        <v>34</v>
      </c>
      <c r="F4447">
        <v>3</v>
      </c>
      <c r="G4447">
        <v>0.15</v>
      </c>
      <c r="H4447" s="2">
        <v>15.697800000000004</v>
      </c>
      <c r="I4447" s="2">
        <v>148.25700000000001</v>
      </c>
    </row>
    <row r="4448" spans="1:9" x14ac:dyDescent="0.3">
      <c r="A4448" t="str">
        <f t="shared" si="1473"/>
        <v>United States</v>
      </c>
      <c r="B4448" t="s">
        <v>462</v>
      </c>
      <c r="C4448" t="s">
        <v>7</v>
      </c>
      <c r="D4448" t="s">
        <v>8</v>
      </c>
      <c r="E4448" t="s">
        <v>20</v>
      </c>
      <c r="F4448">
        <v>9</v>
      </c>
      <c r="G4448">
        <v>0.2</v>
      </c>
      <c r="H4448" s="2">
        <v>106.95779999999998</v>
      </c>
      <c r="I4448" s="2">
        <v>295.05599999999998</v>
      </c>
    </row>
    <row r="4449" spans="1:9" x14ac:dyDescent="0.3">
      <c r="A4449" t="str">
        <f t="shared" si="1473"/>
        <v>United States</v>
      </c>
      <c r="B4449" t="str">
        <f t="shared" ref="B4449:B4453" si="1481">B4448</f>
        <v>Salt Lake City</v>
      </c>
      <c r="C4449" t="str">
        <f>C4448</f>
        <v>Second Class</v>
      </c>
      <c r="D4449" t="s">
        <v>17</v>
      </c>
      <c r="E4449" t="s">
        <v>16</v>
      </c>
      <c r="F4449">
        <v>3</v>
      </c>
      <c r="G4449">
        <v>0</v>
      </c>
      <c r="H4449" s="2">
        <v>79.891199999999998</v>
      </c>
      <c r="I4449" s="2">
        <v>166.44</v>
      </c>
    </row>
    <row r="4450" spans="1:9" x14ac:dyDescent="0.3">
      <c r="A4450" t="str">
        <f t="shared" si="1473"/>
        <v>United States</v>
      </c>
      <c r="B4450" t="str">
        <f t="shared" si="1481"/>
        <v>Salt Lake City</v>
      </c>
      <c r="C4450" t="s">
        <v>22</v>
      </c>
      <c r="D4450" t="s">
        <v>8</v>
      </c>
      <c r="E4450" t="s">
        <v>20</v>
      </c>
      <c r="F4450">
        <v>3</v>
      </c>
      <c r="G4450">
        <v>0.2</v>
      </c>
      <c r="H4450" s="2">
        <v>37.235999999999997</v>
      </c>
      <c r="I4450" s="2">
        <v>102.72</v>
      </c>
    </row>
    <row r="4451" spans="1:9" x14ac:dyDescent="0.3">
      <c r="A4451" t="str">
        <f t="shared" si="1473"/>
        <v>United States</v>
      </c>
      <c r="B4451" t="str">
        <f t="shared" si="1481"/>
        <v>Salt Lake City</v>
      </c>
      <c r="C4451" t="str">
        <f t="shared" ref="C4451:C4453" si="1482">C4450</f>
        <v>Standard Class</v>
      </c>
      <c r="D4451" t="str">
        <f>D4450</f>
        <v>Consumer</v>
      </c>
      <c r="E4451" t="s">
        <v>16</v>
      </c>
      <c r="F4451">
        <v>3</v>
      </c>
      <c r="G4451">
        <v>0</v>
      </c>
      <c r="H4451" s="2">
        <v>9.3312000000000008</v>
      </c>
      <c r="I4451" s="2">
        <v>19.440000000000001</v>
      </c>
    </row>
    <row r="4452" spans="1:9" x14ac:dyDescent="0.3">
      <c r="A4452" t="str">
        <f t="shared" si="1473"/>
        <v>United States</v>
      </c>
      <c r="B4452" t="str">
        <f t="shared" si="1481"/>
        <v>Salt Lake City</v>
      </c>
      <c r="C4452" t="str">
        <f t="shared" si="1482"/>
        <v>Standard Class</v>
      </c>
      <c r="D4452" t="s">
        <v>17</v>
      </c>
      <c r="E4452" t="s">
        <v>20</v>
      </c>
      <c r="F4452">
        <v>5</v>
      </c>
      <c r="G4452">
        <v>0.2</v>
      </c>
      <c r="H4452" s="2">
        <v>13.037499999999998</v>
      </c>
      <c r="I4452" s="2">
        <v>41.72</v>
      </c>
    </row>
    <row r="4453" spans="1:9" x14ac:dyDescent="0.3">
      <c r="A4453" t="str">
        <f t="shared" si="1473"/>
        <v>United States</v>
      </c>
      <c r="B4453" t="str">
        <f t="shared" si="1481"/>
        <v>Salt Lake City</v>
      </c>
      <c r="C4453" t="str">
        <f t="shared" si="1482"/>
        <v>Standard Class</v>
      </c>
      <c r="D4453" t="str">
        <f>D4452</f>
        <v>Home Office</v>
      </c>
      <c r="E4453" t="s">
        <v>16</v>
      </c>
      <c r="F4453">
        <v>19</v>
      </c>
      <c r="G4453">
        <v>0</v>
      </c>
      <c r="H4453" s="2">
        <v>82.806399999999996</v>
      </c>
      <c r="I4453" s="2">
        <v>177.39999999999998</v>
      </c>
    </row>
    <row r="4454" spans="1:9" x14ac:dyDescent="0.3">
      <c r="A4454" t="str">
        <f t="shared" si="1473"/>
        <v>United States</v>
      </c>
      <c r="B4454" t="s">
        <v>463</v>
      </c>
      <c r="C4454" t="s">
        <v>7</v>
      </c>
      <c r="D4454" t="s">
        <v>8</v>
      </c>
      <c r="E4454" t="s">
        <v>12</v>
      </c>
      <c r="F4454">
        <v>4</v>
      </c>
      <c r="G4454">
        <v>0.8</v>
      </c>
      <c r="H4454" s="2">
        <v>-30.867200000000004</v>
      </c>
      <c r="I4454" s="2">
        <v>11.647999999999998</v>
      </c>
    </row>
    <row r="4455" spans="1:9" x14ac:dyDescent="0.3">
      <c r="A4455" t="str">
        <f t="shared" si="1473"/>
        <v>United States</v>
      </c>
      <c r="B4455" t="str">
        <f t="shared" ref="B4455:B4456" si="1483">B4454</f>
        <v>San Angelo</v>
      </c>
      <c r="C4455" t="str">
        <f>C4454</f>
        <v>Second Class</v>
      </c>
      <c r="D4455" t="str">
        <f>D4454</f>
        <v>Consumer</v>
      </c>
      <c r="E4455" t="s">
        <v>33</v>
      </c>
      <c r="F4455">
        <v>7</v>
      </c>
      <c r="G4455">
        <v>0.6</v>
      </c>
      <c r="H4455" s="2">
        <v>-18.96279999999998</v>
      </c>
      <c r="I4455" s="2">
        <v>333.67599999999999</v>
      </c>
    </row>
    <row r="4456" spans="1:9" x14ac:dyDescent="0.3">
      <c r="A4456" t="str">
        <f t="shared" si="1473"/>
        <v>United States</v>
      </c>
      <c r="B4456" t="str">
        <f t="shared" si="1483"/>
        <v>San Angelo</v>
      </c>
      <c r="C4456" t="s">
        <v>22</v>
      </c>
      <c r="D4456" t="s">
        <v>15</v>
      </c>
      <c r="E4456" t="s">
        <v>33</v>
      </c>
      <c r="F4456">
        <v>2</v>
      </c>
      <c r="G4456">
        <v>0.3</v>
      </c>
      <c r="H4456" s="2">
        <v>-8.7232000000000198</v>
      </c>
      <c r="I4456" s="2">
        <v>305.31200000000001</v>
      </c>
    </row>
    <row r="4457" spans="1:9" x14ac:dyDescent="0.3">
      <c r="A4457" t="str">
        <f t="shared" si="1473"/>
        <v>United States</v>
      </c>
      <c r="B4457" t="s">
        <v>464</v>
      </c>
      <c r="C4457" t="s">
        <v>11</v>
      </c>
      <c r="D4457" t="s">
        <v>8</v>
      </c>
      <c r="E4457" t="s">
        <v>33</v>
      </c>
      <c r="F4457">
        <v>3</v>
      </c>
      <c r="G4457">
        <v>0.3</v>
      </c>
      <c r="H4457" s="2">
        <v>-9.1335000000000122</v>
      </c>
      <c r="I4457" s="2">
        <v>127.869</v>
      </c>
    </row>
    <row r="4458" spans="1:9" x14ac:dyDescent="0.3">
      <c r="A4458" t="str">
        <f t="shared" si="1473"/>
        <v>United States</v>
      </c>
      <c r="B4458" t="str">
        <f t="shared" ref="B4458:B4494" si="1484">B4457</f>
        <v>San Antonio</v>
      </c>
      <c r="C4458" t="str">
        <f t="shared" ref="C4458:C4461" si="1485">C4457</f>
        <v>First Class</v>
      </c>
      <c r="D4458" t="s">
        <v>15</v>
      </c>
      <c r="E4458" t="s">
        <v>23</v>
      </c>
      <c r="F4458">
        <v>5</v>
      </c>
      <c r="G4458">
        <v>0.2</v>
      </c>
      <c r="H4458" s="2">
        <v>29.798999999999999</v>
      </c>
      <c r="I4458" s="2">
        <v>113.52000000000001</v>
      </c>
    </row>
    <row r="4459" spans="1:9" x14ac:dyDescent="0.3">
      <c r="A4459" t="str">
        <f t="shared" si="1473"/>
        <v>United States</v>
      </c>
      <c r="B4459" t="str">
        <f t="shared" si="1484"/>
        <v>San Antonio</v>
      </c>
      <c r="C4459" t="str">
        <f t="shared" si="1485"/>
        <v>First Class</v>
      </c>
      <c r="D4459" t="str">
        <f t="shared" ref="D4459:D4461" si="1486">D4458</f>
        <v>Corporate</v>
      </c>
      <c r="E4459" t="s">
        <v>19</v>
      </c>
      <c r="F4459">
        <v>4</v>
      </c>
      <c r="G4459">
        <v>0.2</v>
      </c>
      <c r="H4459" s="2">
        <v>8.7384000000000022</v>
      </c>
      <c r="I4459" s="2">
        <v>31.776</v>
      </c>
    </row>
    <row r="4460" spans="1:9" x14ac:dyDescent="0.3">
      <c r="A4460" t="str">
        <f t="shared" si="1473"/>
        <v>United States</v>
      </c>
      <c r="B4460" t="str">
        <f t="shared" si="1484"/>
        <v>San Antonio</v>
      </c>
      <c r="C4460" t="str">
        <f t="shared" si="1485"/>
        <v>First Class</v>
      </c>
      <c r="D4460" t="str">
        <f t="shared" si="1486"/>
        <v>Corporate</v>
      </c>
      <c r="E4460" t="s">
        <v>24</v>
      </c>
      <c r="F4460">
        <v>3</v>
      </c>
      <c r="G4460">
        <v>0.2</v>
      </c>
      <c r="H4460" s="2">
        <v>22.492499999999993</v>
      </c>
      <c r="I4460" s="2">
        <v>359.88</v>
      </c>
    </row>
    <row r="4461" spans="1:9" x14ac:dyDescent="0.3">
      <c r="A4461" t="str">
        <f t="shared" si="1473"/>
        <v>United States</v>
      </c>
      <c r="B4461" t="str">
        <f t="shared" si="1484"/>
        <v>San Antonio</v>
      </c>
      <c r="C4461" t="str">
        <f t="shared" si="1485"/>
        <v>First Class</v>
      </c>
      <c r="D4461" t="str">
        <f t="shared" si="1486"/>
        <v>Corporate</v>
      </c>
      <c r="E4461" t="s">
        <v>25</v>
      </c>
      <c r="F4461">
        <v>6</v>
      </c>
      <c r="G4461">
        <v>0.3</v>
      </c>
      <c r="H4461" s="2">
        <v>-71.811599999999999</v>
      </c>
      <c r="I4461" s="2">
        <v>718.11599999999987</v>
      </c>
    </row>
    <row r="4462" spans="1:9" x14ac:dyDescent="0.3">
      <c r="A4462" t="str">
        <f t="shared" si="1473"/>
        <v>United States</v>
      </c>
      <c r="B4462" t="str">
        <f t="shared" si="1484"/>
        <v>San Antonio</v>
      </c>
      <c r="C4462" t="s">
        <v>27</v>
      </c>
      <c r="D4462" t="s">
        <v>8</v>
      </c>
      <c r="E4462" t="s">
        <v>14</v>
      </c>
      <c r="F4462">
        <v>4</v>
      </c>
      <c r="G4462">
        <v>0.2</v>
      </c>
      <c r="H4462" s="2">
        <v>4.9632000000000005</v>
      </c>
      <c r="I4462" s="2">
        <v>49.632000000000005</v>
      </c>
    </row>
    <row r="4463" spans="1:9" x14ac:dyDescent="0.3">
      <c r="A4463" t="str">
        <f t="shared" si="1473"/>
        <v>United States</v>
      </c>
      <c r="B4463" t="str">
        <f t="shared" si="1484"/>
        <v>San Antonio</v>
      </c>
      <c r="C4463" t="str">
        <f>C4462</f>
        <v>Same Day</v>
      </c>
      <c r="D4463" t="s">
        <v>15</v>
      </c>
      <c r="E4463" t="s">
        <v>20</v>
      </c>
      <c r="F4463">
        <v>2</v>
      </c>
      <c r="G4463">
        <v>0.8</v>
      </c>
      <c r="H4463" s="2">
        <v>-336.62720000000013</v>
      </c>
      <c r="I4463" s="2">
        <v>210.39199999999997</v>
      </c>
    </row>
    <row r="4464" spans="1:9" x14ac:dyDescent="0.3">
      <c r="A4464" t="str">
        <f t="shared" si="1473"/>
        <v>United States</v>
      </c>
      <c r="B4464" t="str">
        <f t="shared" si="1484"/>
        <v>San Antonio</v>
      </c>
      <c r="C4464" t="s">
        <v>7</v>
      </c>
      <c r="D4464" t="s">
        <v>8</v>
      </c>
      <c r="E4464" t="s">
        <v>19</v>
      </c>
      <c r="F4464">
        <v>3</v>
      </c>
      <c r="G4464">
        <v>0.2</v>
      </c>
      <c r="H4464" s="2">
        <v>0.89880000000000004</v>
      </c>
      <c r="I4464" s="2">
        <v>10.272000000000002</v>
      </c>
    </row>
    <row r="4465" spans="1:9" x14ac:dyDescent="0.3">
      <c r="A4465" t="str">
        <f t="shared" si="1473"/>
        <v>United States</v>
      </c>
      <c r="B4465" t="str">
        <f t="shared" si="1484"/>
        <v>San Antonio</v>
      </c>
      <c r="C4465" t="str">
        <f t="shared" ref="C4465:C4470" si="1487">C4464</f>
        <v>Second Class</v>
      </c>
      <c r="D4465" t="str">
        <f t="shared" ref="D4465:D4468" si="1488">D4464</f>
        <v>Consumer</v>
      </c>
      <c r="E4465" t="s">
        <v>20</v>
      </c>
      <c r="F4465">
        <v>3</v>
      </c>
      <c r="G4465">
        <v>0.8</v>
      </c>
      <c r="H4465" s="2">
        <v>-6.2370000000000019</v>
      </c>
      <c r="I4465" s="2">
        <v>3.5639999999999992</v>
      </c>
    </row>
    <row r="4466" spans="1:9" x14ac:dyDescent="0.3">
      <c r="A4466" t="str">
        <f t="shared" si="1473"/>
        <v>United States</v>
      </c>
      <c r="B4466" t="str">
        <f t="shared" si="1484"/>
        <v>San Antonio</v>
      </c>
      <c r="C4466" t="str">
        <f t="shared" si="1487"/>
        <v>Second Class</v>
      </c>
      <c r="D4466" t="str">
        <f t="shared" si="1488"/>
        <v>Consumer</v>
      </c>
      <c r="E4466" t="s">
        <v>33</v>
      </c>
      <c r="F4466">
        <v>6</v>
      </c>
      <c r="G4466">
        <v>0.6</v>
      </c>
      <c r="H4466" s="2">
        <v>-33.183199999999999</v>
      </c>
      <c r="I4466" s="2">
        <v>210.61599999999999</v>
      </c>
    </row>
    <row r="4467" spans="1:9" x14ac:dyDescent="0.3">
      <c r="A4467" t="str">
        <f t="shared" si="1473"/>
        <v>United States</v>
      </c>
      <c r="B4467" t="str">
        <f t="shared" si="1484"/>
        <v>San Antonio</v>
      </c>
      <c r="C4467" t="str">
        <f t="shared" si="1487"/>
        <v>Second Class</v>
      </c>
      <c r="D4467" t="str">
        <f t="shared" si="1488"/>
        <v>Consumer</v>
      </c>
      <c r="E4467" t="s">
        <v>46</v>
      </c>
      <c r="F4467">
        <v>2</v>
      </c>
      <c r="G4467">
        <v>0.4</v>
      </c>
      <c r="H4467" s="2">
        <v>-79.908000000000015</v>
      </c>
      <c r="I4467" s="2">
        <v>399.53999999999996</v>
      </c>
    </row>
    <row r="4468" spans="1:9" x14ac:dyDescent="0.3">
      <c r="A4468" t="str">
        <f t="shared" si="1473"/>
        <v>United States</v>
      </c>
      <c r="B4468" t="str">
        <f t="shared" si="1484"/>
        <v>San Antonio</v>
      </c>
      <c r="C4468" t="str">
        <f t="shared" si="1487"/>
        <v>Second Class</v>
      </c>
      <c r="D4468" t="str">
        <f t="shared" si="1488"/>
        <v>Consumer</v>
      </c>
      <c r="E4468" t="s">
        <v>24</v>
      </c>
      <c r="F4468">
        <v>5</v>
      </c>
      <c r="G4468">
        <v>0.2</v>
      </c>
      <c r="H4468" s="2">
        <v>51.497499999999974</v>
      </c>
      <c r="I4468" s="2">
        <v>823.96000000000015</v>
      </c>
    </row>
    <row r="4469" spans="1:9" x14ac:dyDescent="0.3">
      <c r="A4469" t="str">
        <f t="shared" si="1473"/>
        <v>United States</v>
      </c>
      <c r="B4469" t="str">
        <f t="shared" si="1484"/>
        <v>San Antonio</v>
      </c>
      <c r="C4469" t="str">
        <f t="shared" si="1487"/>
        <v>Second Class</v>
      </c>
      <c r="D4469" t="s">
        <v>15</v>
      </c>
      <c r="E4469" t="s">
        <v>21</v>
      </c>
      <c r="F4469">
        <v>2</v>
      </c>
      <c r="G4469">
        <v>0.6</v>
      </c>
      <c r="H4469" s="2">
        <v>-30.588000000000001</v>
      </c>
      <c r="I4469" s="2">
        <v>40.783999999999999</v>
      </c>
    </row>
    <row r="4470" spans="1:9" x14ac:dyDescent="0.3">
      <c r="A4470" t="str">
        <f t="shared" si="1473"/>
        <v>United States</v>
      </c>
      <c r="B4470" t="str">
        <f t="shared" si="1484"/>
        <v>San Antonio</v>
      </c>
      <c r="C4470" t="str">
        <f t="shared" si="1487"/>
        <v>Second Class</v>
      </c>
      <c r="D4470" t="str">
        <f>D4469</f>
        <v>Corporate</v>
      </c>
      <c r="E4470" t="s">
        <v>43</v>
      </c>
      <c r="F4470">
        <v>4</v>
      </c>
      <c r="G4470">
        <v>0.2</v>
      </c>
      <c r="H4470" s="2">
        <v>13.532399999999996</v>
      </c>
      <c r="I4470" s="2">
        <v>40.096000000000004</v>
      </c>
    </row>
    <row r="4471" spans="1:9" x14ac:dyDescent="0.3">
      <c r="A4471" t="str">
        <f t="shared" si="1473"/>
        <v>United States</v>
      </c>
      <c r="B4471" t="str">
        <f t="shared" si="1484"/>
        <v>San Antonio</v>
      </c>
      <c r="C4471" t="s">
        <v>22</v>
      </c>
      <c r="D4471" t="s">
        <v>8</v>
      </c>
      <c r="E4471" t="s">
        <v>23</v>
      </c>
      <c r="F4471">
        <v>21</v>
      </c>
      <c r="G4471">
        <v>0.60000000000000009</v>
      </c>
      <c r="H4471" s="2">
        <v>11.765999999999963</v>
      </c>
      <c r="I4471" s="2">
        <v>921.16800000000012</v>
      </c>
    </row>
    <row r="4472" spans="1:9" x14ac:dyDescent="0.3">
      <c r="A4472" t="str">
        <f t="shared" si="1473"/>
        <v>United States</v>
      </c>
      <c r="B4472" t="str">
        <f t="shared" si="1484"/>
        <v>San Antonio</v>
      </c>
      <c r="C4472" t="str">
        <f t="shared" ref="C4472:C4494" si="1489">C4471</f>
        <v>Standard Class</v>
      </c>
      <c r="D4472" t="str">
        <f t="shared" ref="D4472:D4482" si="1490">D4471</f>
        <v>Consumer</v>
      </c>
      <c r="E4472" t="s">
        <v>12</v>
      </c>
      <c r="F4472">
        <v>15</v>
      </c>
      <c r="G4472">
        <v>2.4000000000000004</v>
      </c>
      <c r="H4472" s="2">
        <v>-1647.2214000000001</v>
      </c>
      <c r="I4472" s="2">
        <v>646.06399999999985</v>
      </c>
    </row>
    <row r="4473" spans="1:9" x14ac:dyDescent="0.3">
      <c r="A4473" t="str">
        <f t="shared" si="1473"/>
        <v>United States</v>
      </c>
      <c r="B4473" t="str">
        <f t="shared" si="1484"/>
        <v>San Antonio</v>
      </c>
      <c r="C4473" t="str">
        <f t="shared" si="1489"/>
        <v>Standard Class</v>
      </c>
      <c r="D4473" t="str">
        <f t="shared" si="1490"/>
        <v>Consumer</v>
      </c>
      <c r="E4473" t="s">
        <v>19</v>
      </c>
      <c r="F4473">
        <v>9</v>
      </c>
      <c r="G4473">
        <v>0.4</v>
      </c>
      <c r="H4473" s="2">
        <v>9.5459999999999976</v>
      </c>
      <c r="I4473" s="2">
        <v>42</v>
      </c>
    </row>
    <row r="4474" spans="1:9" x14ac:dyDescent="0.3">
      <c r="A4474" t="str">
        <f t="shared" si="1473"/>
        <v>United States</v>
      </c>
      <c r="B4474" t="str">
        <f t="shared" si="1484"/>
        <v>San Antonio</v>
      </c>
      <c r="C4474" t="str">
        <f t="shared" si="1489"/>
        <v>Standard Class</v>
      </c>
      <c r="D4474" t="str">
        <f t="shared" si="1490"/>
        <v>Consumer</v>
      </c>
      <c r="E4474" t="s">
        <v>20</v>
      </c>
      <c r="F4474">
        <v>19</v>
      </c>
      <c r="G4474">
        <v>3.2</v>
      </c>
      <c r="H4474" s="2">
        <v>-3744.2296000000019</v>
      </c>
      <c r="I4474" s="2">
        <v>2204.5199999999995</v>
      </c>
    </row>
    <row r="4475" spans="1:9" x14ac:dyDescent="0.3">
      <c r="A4475" t="str">
        <f t="shared" si="1473"/>
        <v>United States</v>
      </c>
      <c r="B4475" t="str">
        <f t="shared" si="1484"/>
        <v>San Antonio</v>
      </c>
      <c r="C4475" t="str">
        <f t="shared" si="1489"/>
        <v>Standard Class</v>
      </c>
      <c r="D4475" t="str">
        <f t="shared" si="1490"/>
        <v>Consumer</v>
      </c>
      <c r="E4475" t="s">
        <v>33</v>
      </c>
      <c r="F4475">
        <v>9</v>
      </c>
      <c r="G4475">
        <v>0.3</v>
      </c>
      <c r="H4475" s="2">
        <v>-24.858000000000175</v>
      </c>
      <c r="I4475" s="2">
        <v>1740.0599999999997</v>
      </c>
    </row>
    <row r="4476" spans="1:9" x14ac:dyDescent="0.3">
      <c r="A4476" t="str">
        <f t="shared" si="1473"/>
        <v>United States</v>
      </c>
      <c r="B4476" t="str">
        <f t="shared" si="1484"/>
        <v>San Antonio</v>
      </c>
      <c r="C4476" t="str">
        <f t="shared" si="1489"/>
        <v>Standard Class</v>
      </c>
      <c r="D4476" t="str">
        <f t="shared" si="1490"/>
        <v>Consumer</v>
      </c>
      <c r="E4476" t="s">
        <v>38</v>
      </c>
      <c r="F4476">
        <v>3</v>
      </c>
      <c r="G4476">
        <v>0.2</v>
      </c>
      <c r="H4476" s="2">
        <v>11.894999999999994</v>
      </c>
      <c r="I4476" s="2">
        <v>36.6</v>
      </c>
    </row>
    <row r="4477" spans="1:9" x14ac:dyDescent="0.3">
      <c r="A4477" t="str">
        <f t="shared" si="1473"/>
        <v>United States</v>
      </c>
      <c r="B4477" t="str">
        <f t="shared" si="1484"/>
        <v>San Antonio</v>
      </c>
      <c r="C4477" t="str">
        <f t="shared" si="1489"/>
        <v>Standard Class</v>
      </c>
      <c r="D4477" t="str">
        <f t="shared" si="1490"/>
        <v>Consumer</v>
      </c>
      <c r="E4477" t="s">
        <v>21</v>
      </c>
      <c r="F4477">
        <v>3</v>
      </c>
      <c r="G4477">
        <v>0.6</v>
      </c>
      <c r="H4477" s="2">
        <v>-10.060199999999998</v>
      </c>
      <c r="I4477" s="2">
        <v>17.496000000000002</v>
      </c>
    </row>
    <row r="4478" spans="1:9" x14ac:dyDescent="0.3">
      <c r="A4478" t="str">
        <f t="shared" si="1473"/>
        <v>United States</v>
      </c>
      <c r="B4478" t="str">
        <f t="shared" si="1484"/>
        <v>San Antonio</v>
      </c>
      <c r="C4478" t="str">
        <f t="shared" si="1489"/>
        <v>Standard Class</v>
      </c>
      <c r="D4478" t="str">
        <f t="shared" si="1490"/>
        <v>Consumer</v>
      </c>
      <c r="E4478" t="s">
        <v>46</v>
      </c>
      <c r="F4478">
        <v>11</v>
      </c>
      <c r="G4478">
        <v>0.8</v>
      </c>
      <c r="H4478" s="2">
        <v>-1326.402500000002</v>
      </c>
      <c r="I4478" s="2">
        <v>8447.8619999999992</v>
      </c>
    </row>
    <row r="4479" spans="1:9" x14ac:dyDescent="0.3">
      <c r="A4479" t="str">
        <f t="shared" si="1473"/>
        <v>United States</v>
      </c>
      <c r="B4479" t="str">
        <f t="shared" si="1484"/>
        <v>San Antonio</v>
      </c>
      <c r="C4479" t="str">
        <f t="shared" si="1489"/>
        <v>Standard Class</v>
      </c>
      <c r="D4479" t="str">
        <f t="shared" si="1490"/>
        <v>Consumer</v>
      </c>
      <c r="E4479" t="s">
        <v>16</v>
      </c>
      <c r="F4479">
        <v>5</v>
      </c>
      <c r="G4479">
        <v>0.2</v>
      </c>
      <c r="H4479" s="2">
        <v>24.527999999999995</v>
      </c>
      <c r="I4479" s="2">
        <v>70.08</v>
      </c>
    </row>
    <row r="4480" spans="1:9" x14ac:dyDescent="0.3">
      <c r="A4480" t="str">
        <f t="shared" si="1473"/>
        <v>United States</v>
      </c>
      <c r="B4480" t="str">
        <f t="shared" si="1484"/>
        <v>San Antonio</v>
      </c>
      <c r="C4480" t="str">
        <f t="shared" si="1489"/>
        <v>Standard Class</v>
      </c>
      <c r="D4480" t="str">
        <f t="shared" si="1490"/>
        <v>Consumer</v>
      </c>
      <c r="E4480" t="s">
        <v>24</v>
      </c>
      <c r="F4480">
        <v>6</v>
      </c>
      <c r="G4480">
        <v>0.4</v>
      </c>
      <c r="H4480" s="2">
        <v>56.036100000000033</v>
      </c>
      <c r="I4480" s="2">
        <v>614.35200000000009</v>
      </c>
    </row>
    <row r="4481" spans="1:9" x14ac:dyDescent="0.3">
      <c r="A4481" t="str">
        <f t="shared" si="1473"/>
        <v>United States</v>
      </c>
      <c r="B4481" t="str">
        <f t="shared" si="1484"/>
        <v>San Antonio</v>
      </c>
      <c r="C4481" t="str">
        <f t="shared" si="1489"/>
        <v>Standard Class</v>
      </c>
      <c r="D4481" t="str">
        <f t="shared" si="1490"/>
        <v>Consumer</v>
      </c>
      <c r="E4481" t="s">
        <v>14</v>
      </c>
      <c r="F4481">
        <v>6</v>
      </c>
      <c r="G4481">
        <v>0.4</v>
      </c>
      <c r="H4481" s="2">
        <v>-76.157700000000006</v>
      </c>
      <c r="I4481" s="2">
        <v>369.38400000000001</v>
      </c>
    </row>
    <row r="4482" spans="1:9" x14ac:dyDescent="0.3">
      <c r="A4482" t="str">
        <f t="shared" si="1473"/>
        <v>United States</v>
      </c>
      <c r="B4482" t="str">
        <f t="shared" si="1484"/>
        <v>San Antonio</v>
      </c>
      <c r="C4482" t="str">
        <f t="shared" si="1489"/>
        <v>Standard Class</v>
      </c>
      <c r="D4482" t="str">
        <f t="shared" si="1490"/>
        <v>Consumer</v>
      </c>
      <c r="E4482" t="s">
        <v>25</v>
      </c>
      <c r="F4482">
        <v>8</v>
      </c>
      <c r="G4482">
        <v>0.6</v>
      </c>
      <c r="H4482" s="2">
        <v>-127.57919999999996</v>
      </c>
      <c r="I4482" s="2">
        <v>1195.481</v>
      </c>
    </row>
    <row r="4483" spans="1:9" x14ac:dyDescent="0.3">
      <c r="A4483" t="str">
        <f t="shared" si="1473"/>
        <v>United States</v>
      </c>
      <c r="B4483" t="str">
        <f t="shared" si="1484"/>
        <v>San Antonio</v>
      </c>
      <c r="C4483" t="str">
        <f t="shared" si="1489"/>
        <v>Standard Class</v>
      </c>
      <c r="D4483" t="s">
        <v>15</v>
      </c>
      <c r="E4483" t="s">
        <v>23</v>
      </c>
      <c r="F4483">
        <v>5</v>
      </c>
      <c r="G4483">
        <v>0.4</v>
      </c>
      <c r="H4483" s="2">
        <v>-11.474000000000014</v>
      </c>
      <c r="I4483" s="2">
        <v>195.68000000000004</v>
      </c>
    </row>
    <row r="4484" spans="1:9" x14ac:dyDescent="0.3">
      <c r="A4484" t="str">
        <f t="shared" ref="A4484:A4547" si="1491">A4483</f>
        <v>United States</v>
      </c>
      <c r="B4484" t="str">
        <f t="shared" si="1484"/>
        <v>San Antonio</v>
      </c>
      <c r="C4484" t="str">
        <f t="shared" si="1489"/>
        <v>Standard Class</v>
      </c>
      <c r="D4484" t="str">
        <f t="shared" ref="D4484:D4491" si="1492">D4483</f>
        <v>Corporate</v>
      </c>
      <c r="E4484" t="s">
        <v>19</v>
      </c>
      <c r="F4484">
        <v>6</v>
      </c>
      <c r="G4484">
        <v>0.2</v>
      </c>
      <c r="H4484" s="2">
        <v>0.50039999999999996</v>
      </c>
      <c r="I4484" s="2">
        <v>6.6719999999999988</v>
      </c>
    </row>
    <row r="4485" spans="1:9" x14ac:dyDescent="0.3">
      <c r="A4485" t="str">
        <f t="shared" si="1491"/>
        <v>United States</v>
      </c>
      <c r="B4485" t="str">
        <f t="shared" si="1484"/>
        <v>San Antonio</v>
      </c>
      <c r="C4485" t="str">
        <f t="shared" si="1489"/>
        <v>Standard Class</v>
      </c>
      <c r="D4485" t="str">
        <f t="shared" si="1492"/>
        <v>Corporate</v>
      </c>
      <c r="E4485" t="s">
        <v>20</v>
      </c>
      <c r="F4485">
        <v>20</v>
      </c>
      <c r="G4485">
        <v>3.2</v>
      </c>
      <c r="H4485" s="2">
        <v>-111.37600000000005</v>
      </c>
      <c r="I4485" s="2">
        <v>67.579999999999984</v>
      </c>
    </row>
    <row r="4486" spans="1:9" x14ac:dyDescent="0.3">
      <c r="A4486" t="str">
        <f t="shared" si="1491"/>
        <v>United States</v>
      </c>
      <c r="B4486" t="str">
        <f t="shared" si="1484"/>
        <v>San Antonio</v>
      </c>
      <c r="C4486" t="str">
        <f t="shared" si="1489"/>
        <v>Standard Class</v>
      </c>
      <c r="D4486" t="str">
        <f t="shared" si="1492"/>
        <v>Corporate</v>
      </c>
      <c r="E4486" t="s">
        <v>33</v>
      </c>
      <c r="F4486">
        <v>4</v>
      </c>
      <c r="G4486">
        <v>0.3</v>
      </c>
      <c r="H4486" s="2">
        <v>-56.995999999999981</v>
      </c>
      <c r="I4486" s="2">
        <v>797.94399999999996</v>
      </c>
    </row>
    <row r="4487" spans="1:9" x14ac:dyDescent="0.3">
      <c r="A4487" t="str">
        <f t="shared" si="1491"/>
        <v>United States</v>
      </c>
      <c r="B4487" t="str">
        <f t="shared" si="1484"/>
        <v>San Antonio</v>
      </c>
      <c r="C4487" t="str">
        <f t="shared" si="1489"/>
        <v>Standard Class</v>
      </c>
      <c r="D4487" t="str">
        <f t="shared" si="1492"/>
        <v>Corporate</v>
      </c>
      <c r="E4487" t="s">
        <v>18</v>
      </c>
      <c r="F4487">
        <v>3</v>
      </c>
      <c r="G4487">
        <v>0.2</v>
      </c>
      <c r="H4487" s="2">
        <v>1.2431999999999999</v>
      </c>
      <c r="I4487" s="2">
        <v>3.5519999999999996</v>
      </c>
    </row>
    <row r="4488" spans="1:9" x14ac:dyDescent="0.3">
      <c r="A4488" t="str">
        <f t="shared" si="1491"/>
        <v>United States</v>
      </c>
      <c r="B4488" t="str">
        <f t="shared" si="1484"/>
        <v>San Antonio</v>
      </c>
      <c r="C4488" t="str">
        <f t="shared" si="1489"/>
        <v>Standard Class</v>
      </c>
      <c r="D4488" t="str">
        <f t="shared" si="1492"/>
        <v>Corporate</v>
      </c>
      <c r="E4488" t="s">
        <v>16</v>
      </c>
      <c r="F4488">
        <v>19</v>
      </c>
      <c r="G4488">
        <v>0.8</v>
      </c>
      <c r="H4488" s="2">
        <v>139.70400000000001</v>
      </c>
      <c r="I4488" s="2">
        <v>403.68</v>
      </c>
    </row>
    <row r="4489" spans="1:9" x14ac:dyDescent="0.3">
      <c r="A4489" t="str">
        <f t="shared" si="1491"/>
        <v>United States</v>
      </c>
      <c r="B4489" t="str">
        <f t="shared" si="1484"/>
        <v>San Antonio</v>
      </c>
      <c r="C4489" t="str">
        <f t="shared" si="1489"/>
        <v>Standard Class</v>
      </c>
      <c r="D4489" t="str">
        <f t="shared" si="1492"/>
        <v>Corporate</v>
      </c>
      <c r="E4489" t="s">
        <v>24</v>
      </c>
      <c r="F4489">
        <v>7</v>
      </c>
      <c r="G4489">
        <v>0.4</v>
      </c>
      <c r="H4489" s="2">
        <v>52.351199999999984</v>
      </c>
      <c r="I4489" s="2">
        <v>525.66399999999999</v>
      </c>
    </row>
    <row r="4490" spans="1:9" x14ac:dyDescent="0.3">
      <c r="A4490" t="str">
        <f t="shared" si="1491"/>
        <v>United States</v>
      </c>
      <c r="B4490" t="str">
        <f t="shared" si="1484"/>
        <v>San Antonio</v>
      </c>
      <c r="C4490" t="str">
        <f t="shared" si="1489"/>
        <v>Standard Class</v>
      </c>
      <c r="D4490" t="str">
        <f t="shared" si="1492"/>
        <v>Corporate</v>
      </c>
      <c r="E4490" t="s">
        <v>14</v>
      </c>
      <c r="F4490">
        <v>2</v>
      </c>
      <c r="G4490">
        <v>0.2</v>
      </c>
      <c r="H4490" s="2">
        <v>2.3673999999999991</v>
      </c>
      <c r="I4490" s="2">
        <v>27.056000000000001</v>
      </c>
    </row>
    <row r="4491" spans="1:9" x14ac:dyDescent="0.3">
      <c r="A4491" t="str">
        <f t="shared" si="1491"/>
        <v>United States</v>
      </c>
      <c r="B4491" t="str">
        <f t="shared" si="1484"/>
        <v>San Antonio</v>
      </c>
      <c r="C4491" t="str">
        <f t="shared" si="1489"/>
        <v>Standard Class</v>
      </c>
      <c r="D4491" t="str">
        <f t="shared" si="1492"/>
        <v>Corporate</v>
      </c>
      <c r="E4491" t="s">
        <v>25</v>
      </c>
      <c r="F4491">
        <v>2</v>
      </c>
      <c r="G4491">
        <v>0.3</v>
      </c>
      <c r="H4491" s="2">
        <v>-18.556200000000018</v>
      </c>
      <c r="I4491" s="2">
        <v>99.918000000000006</v>
      </c>
    </row>
    <row r="4492" spans="1:9" x14ac:dyDescent="0.3">
      <c r="A4492" t="str">
        <f t="shared" si="1491"/>
        <v>United States</v>
      </c>
      <c r="B4492" t="str">
        <f t="shared" si="1484"/>
        <v>San Antonio</v>
      </c>
      <c r="C4492" t="str">
        <f t="shared" si="1489"/>
        <v>Standard Class</v>
      </c>
      <c r="D4492" t="s">
        <v>17</v>
      </c>
      <c r="E4492" t="s">
        <v>20</v>
      </c>
      <c r="F4492">
        <v>4</v>
      </c>
      <c r="G4492">
        <v>0.8</v>
      </c>
      <c r="H4492" s="2">
        <v>-6.2860000000000031</v>
      </c>
      <c r="I4492" s="2">
        <v>3.5919999999999992</v>
      </c>
    </row>
    <row r="4493" spans="1:9" x14ac:dyDescent="0.3">
      <c r="A4493" t="str">
        <f t="shared" si="1491"/>
        <v>United States</v>
      </c>
      <c r="B4493" t="str">
        <f t="shared" si="1484"/>
        <v>San Antonio</v>
      </c>
      <c r="C4493" t="str">
        <f t="shared" si="1489"/>
        <v>Standard Class</v>
      </c>
      <c r="D4493" t="str">
        <f t="shared" ref="D4493:D4494" si="1493">D4492</f>
        <v>Home Office</v>
      </c>
      <c r="E4493" t="s">
        <v>43</v>
      </c>
      <c r="F4493">
        <v>6</v>
      </c>
      <c r="G4493">
        <v>0.2</v>
      </c>
      <c r="H4493" s="2">
        <v>20.298599999999993</v>
      </c>
      <c r="I4493" s="2">
        <v>60.144000000000005</v>
      </c>
    </row>
    <row r="4494" spans="1:9" x14ac:dyDescent="0.3">
      <c r="A4494" t="str">
        <f t="shared" si="1491"/>
        <v>United States</v>
      </c>
      <c r="B4494" t="str">
        <f t="shared" si="1484"/>
        <v>San Antonio</v>
      </c>
      <c r="C4494" t="str">
        <f t="shared" si="1489"/>
        <v>Standard Class</v>
      </c>
      <c r="D4494" t="str">
        <f t="shared" si="1493"/>
        <v>Home Office</v>
      </c>
      <c r="E4494" t="s">
        <v>25</v>
      </c>
      <c r="F4494">
        <v>2</v>
      </c>
      <c r="G4494">
        <v>0.3</v>
      </c>
      <c r="H4494" s="2">
        <v>-32.522600000000011</v>
      </c>
      <c r="I4494" s="2">
        <v>206.96200000000002</v>
      </c>
    </row>
    <row r="4495" spans="1:9" x14ac:dyDescent="0.3">
      <c r="A4495" t="str">
        <f t="shared" si="1491"/>
        <v>United States</v>
      </c>
      <c r="B4495" t="s">
        <v>465</v>
      </c>
      <c r="C4495" t="s">
        <v>22</v>
      </c>
      <c r="D4495" t="s">
        <v>8</v>
      </c>
      <c r="E4495" t="s">
        <v>20</v>
      </c>
      <c r="F4495">
        <v>6</v>
      </c>
      <c r="G4495">
        <v>0.60000000000000009</v>
      </c>
      <c r="H4495" s="2">
        <v>22.797599999999996</v>
      </c>
      <c r="I4495" s="2">
        <v>67.36</v>
      </c>
    </row>
    <row r="4496" spans="1:9" x14ac:dyDescent="0.3">
      <c r="A4496" t="str">
        <f t="shared" si="1491"/>
        <v>United States</v>
      </c>
      <c r="B4496" t="str">
        <f t="shared" ref="B4496:B4500" si="1494">B4495</f>
        <v>San Bernardino</v>
      </c>
      <c r="C4496" t="str">
        <f t="shared" ref="C4496:C4500" si="1495">C4495</f>
        <v>Standard Class</v>
      </c>
      <c r="D4496" t="str">
        <f t="shared" ref="D4496:D4499" si="1496">D4495</f>
        <v>Consumer</v>
      </c>
      <c r="E4496" t="s">
        <v>34</v>
      </c>
      <c r="F4496">
        <v>4</v>
      </c>
      <c r="G4496">
        <v>0.15</v>
      </c>
      <c r="H4496" s="2">
        <v>-40.196000000000055</v>
      </c>
      <c r="I4496" s="2">
        <v>683.33199999999999</v>
      </c>
    </row>
    <row r="4497" spans="1:9" x14ac:dyDescent="0.3">
      <c r="A4497" t="str">
        <f t="shared" si="1491"/>
        <v>United States</v>
      </c>
      <c r="B4497" t="str">
        <f t="shared" si="1494"/>
        <v>San Bernardino</v>
      </c>
      <c r="C4497" t="str">
        <f t="shared" si="1495"/>
        <v>Standard Class</v>
      </c>
      <c r="D4497" t="str">
        <f t="shared" si="1496"/>
        <v>Consumer</v>
      </c>
      <c r="E4497" t="s">
        <v>43</v>
      </c>
      <c r="F4497">
        <v>2</v>
      </c>
      <c r="G4497">
        <v>0</v>
      </c>
      <c r="H4497" s="2">
        <v>6.8713999999999995</v>
      </c>
      <c r="I4497" s="2">
        <v>14.62</v>
      </c>
    </row>
    <row r="4498" spans="1:9" x14ac:dyDescent="0.3">
      <c r="A4498" t="str">
        <f t="shared" si="1491"/>
        <v>United States</v>
      </c>
      <c r="B4498" t="str">
        <f t="shared" si="1494"/>
        <v>San Bernardino</v>
      </c>
      <c r="C4498" t="str">
        <f t="shared" si="1495"/>
        <v>Standard Class</v>
      </c>
      <c r="D4498" t="str">
        <f t="shared" si="1496"/>
        <v>Consumer</v>
      </c>
      <c r="E4498" t="s">
        <v>16</v>
      </c>
      <c r="F4498">
        <v>13</v>
      </c>
      <c r="G4498">
        <v>0</v>
      </c>
      <c r="H4498" s="2">
        <v>33.150599999999997</v>
      </c>
      <c r="I4498" s="2">
        <v>70.099999999999994</v>
      </c>
    </row>
    <row r="4499" spans="1:9" x14ac:dyDescent="0.3">
      <c r="A4499" t="str">
        <f t="shared" si="1491"/>
        <v>United States</v>
      </c>
      <c r="B4499" t="str">
        <f t="shared" si="1494"/>
        <v>San Bernardino</v>
      </c>
      <c r="C4499" t="str">
        <f t="shared" si="1495"/>
        <v>Standard Class</v>
      </c>
      <c r="D4499" t="str">
        <f t="shared" si="1496"/>
        <v>Consumer</v>
      </c>
      <c r="E4499" t="s">
        <v>9</v>
      </c>
      <c r="F4499">
        <v>4</v>
      </c>
      <c r="G4499">
        <v>0</v>
      </c>
      <c r="H4499" s="2">
        <v>8.6736000000000004</v>
      </c>
      <c r="I4499" s="2">
        <v>33.36</v>
      </c>
    </row>
    <row r="4500" spans="1:9" x14ac:dyDescent="0.3">
      <c r="A4500" t="str">
        <f t="shared" si="1491"/>
        <v>United States</v>
      </c>
      <c r="B4500" t="str">
        <f t="shared" si="1494"/>
        <v>San Bernardino</v>
      </c>
      <c r="C4500" t="str">
        <f t="shared" si="1495"/>
        <v>Standard Class</v>
      </c>
      <c r="D4500" t="s">
        <v>17</v>
      </c>
      <c r="E4500" t="s">
        <v>20</v>
      </c>
      <c r="F4500">
        <v>4</v>
      </c>
      <c r="G4500">
        <v>0.2</v>
      </c>
      <c r="H4500" s="2">
        <v>38.684799999999996</v>
      </c>
      <c r="I4500" s="2">
        <v>110.52800000000001</v>
      </c>
    </row>
    <row r="4501" spans="1:9" x14ac:dyDescent="0.3">
      <c r="A4501" t="str">
        <f t="shared" si="1491"/>
        <v>United States</v>
      </c>
      <c r="B4501" t="s">
        <v>466</v>
      </c>
      <c r="C4501" t="s">
        <v>22</v>
      </c>
      <c r="D4501" t="s">
        <v>8</v>
      </c>
      <c r="E4501" t="s">
        <v>20</v>
      </c>
      <c r="F4501">
        <v>7</v>
      </c>
      <c r="G4501">
        <v>0.2</v>
      </c>
      <c r="H4501" s="2">
        <v>6.5569000000000006</v>
      </c>
      <c r="I4501" s="2">
        <v>18.088000000000001</v>
      </c>
    </row>
    <row r="4502" spans="1:9" x14ac:dyDescent="0.3">
      <c r="A4502" t="str">
        <f t="shared" si="1491"/>
        <v>United States</v>
      </c>
      <c r="B4502" t="str">
        <f>B4501</f>
        <v>San Clemente</v>
      </c>
      <c r="C4502" t="str">
        <f>C4501</f>
        <v>Standard Class</v>
      </c>
      <c r="D4502" t="str">
        <f>D4501</f>
        <v>Consumer</v>
      </c>
      <c r="E4502" t="s">
        <v>38</v>
      </c>
      <c r="F4502">
        <v>3</v>
      </c>
      <c r="G4502">
        <v>0</v>
      </c>
      <c r="H4502" s="2">
        <v>35.984999999999999</v>
      </c>
      <c r="I4502" s="2">
        <v>71.97</v>
      </c>
    </row>
    <row r="4503" spans="1:9" x14ac:dyDescent="0.3">
      <c r="A4503" t="str">
        <f t="shared" si="1491"/>
        <v>United States</v>
      </c>
      <c r="B4503" t="s">
        <v>467</v>
      </c>
      <c r="C4503" t="s">
        <v>11</v>
      </c>
      <c r="D4503" t="s">
        <v>8</v>
      </c>
      <c r="E4503" t="s">
        <v>12</v>
      </c>
      <c r="F4503">
        <v>1</v>
      </c>
      <c r="G4503">
        <v>0</v>
      </c>
      <c r="H4503" s="2">
        <v>3.632200000000001</v>
      </c>
      <c r="I4503" s="2">
        <v>13.97</v>
      </c>
    </row>
    <row r="4504" spans="1:9" x14ac:dyDescent="0.3">
      <c r="A4504" t="str">
        <f t="shared" si="1491"/>
        <v>United States</v>
      </c>
      <c r="B4504" t="str">
        <f t="shared" ref="B4504:B4535" si="1497">B4503</f>
        <v>San Diego</v>
      </c>
      <c r="C4504" t="str">
        <f t="shared" ref="C4504:C4520" si="1498">C4503</f>
        <v>First Class</v>
      </c>
      <c r="D4504" t="str">
        <f t="shared" ref="D4504:D4508" si="1499">D4503</f>
        <v>Consumer</v>
      </c>
      <c r="E4504" t="s">
        <v>20</v>
      </c>
      <c r="F4504">
        <v>4</v>
      </c>
      <c r="G4504">
        <v>0.4</v>
      </c>
      <c r="H4504" s="2">
        <v>12.017599999999998</v>
      </c>
      <c r="I4504" s="2">
        <v>33.152000000000001</v>
      </c>
    </row>
    <row r="4505" spans="1:9" x14ac:dyDescent="0.3">
      <c r="A4505" t="str">
        <f t="shared" si="1491"/>
        <v>United States</v>
      </c>
      <c r="B4505" t="str">
        <f t="shared" si="1497"/>
        <v>San Diego</v>
      </c>
      <c r="C4505" t="str">
        <f t="shared" si="1498"/>
        <v>First Class</v>
      </c>
      <c r="D4505" t="str">
        <f t="shared" si="1499"/>
        <v>Consumer</v>
      </c>
      <c r="E4505" t="s">
        <v>18</v>
      </c>
      <c r="F4505">
        <v>2</v>
      </c>
      <c r="G4505">
        <v>0</v>
      </c>
      <c r="H4505" s="2">
        <v>3.6155999999999997</v>
      </c>
      <c r="I4505" s="2">
        <v>7.86</v>
      </c>
    </row>
    <row r="4506" spans="1:9" x14ac:dyDescent="0.3">
      <c r="A4506" t="str">
        <f t="shared" si="1491"/>
        <v>United States</v>
      </c>
      <c r="B4506" t="str">
        <f t="shared" si="1497"/>
        <v>San Diego</v>
      </c>
      <c r="C4506" t="str">
        <f t="shared" si="1498"/>
        <v>First Class</v>
      </c>
      <c r="D4506" t="str">
        <f t="shared" si="1499"/>
        <v>Consumer</v>
      </c>
      <c r="E4506" t="s">
        <v>21</v>
      </c>
      <c r="F4506">
        <v>7</v>
      </c>
      <c r="G4506">
        <v>0</v>
      </c>
      <c r="H4506" s="2">
        <v>42.79679999999999</v>
      </c>
      <c r="I4506" s="2">
        <v>194.74</v>
      </c>
    </row>
    <row r="4507" spans="1:9" x14ac:dyDescent="0.3">
      <c r="A4507" t="str">
        <f t="shared" si="1491"/>
        <v>United States</v>
      </c>
      <c r="B4507" t="str">
        <f t="shared" si="1497"/>
        <v>San Diego</v>
      </c>
      <c r="C4507" t="str">
        <f t="shared" si="1498"/>
        <v>First Class</v>
      </c>
      <c r="D4507" t="str">
        <f t="shared" si="1499"/>
        <v>Consumer</v>
      </c>
      <c r="E4507" t="s">
        <v>16</v>
      </c>
      <c r="F4507">
        <v>5</v>
      </c>
      <c r="G4507">
        <v>0</v>
      </c>
      <c r="H4507" s="2">
        <v>60.088799999999999</v>
      </c>
      <c r="I4507" s="2">
        <v>124.77</v>
      </c>
    </row>
    <row r="4508" spans="1:9" x14ac:dyDescent="0.3">
      <c r="A4508" t="str">
        <f t="shared" si="1491"/>
        <v>United States</v>
      </c>
      <c r="B4508" t="str">
        <f t="shared" si="1497"/>
        <v>San Diego</v>
      </c>
      <c r="C4508" t="str">
        <f t="shared" si="1498"/>
        <v>First Class</v>
      </c>
      <c r="D4508" t="str">
        <f t="shared" si="1499"/>
        <v>Consumer</v>
      </c>
      <c r="E4508" t="s">
        <v>14</v>
      </c>
      <c r="F4508">
        <v>4</v>
      </c>
      <c r="G4508">
        <v>0</v>
      </c>
      <c r="H4508" s="2">
        <v>8.8783999999999992</v>
      </c>
      <c r="I4508" s="2">
        <v>443.92</v>
      </c>
    </row>
    <row r="4509" spans="1:9" x14ac:dyDescent="0.3">
      <c r="A4509" t="str">
        <f t="shared" si="1491"/>
        <v>United States</v>
      </c>
      <c r="B4509" t="str">
        <f t="shared" si="1497"/>
        <v>San Diego</v>
      </c>
      <c r="C4509" t="str">
        <f t="shared" si="1498"/>
        <v>First Class</v>
      </c>
      <c r="D4509" t="s">
        <v>15</v>
      </c>
      <c r="E4509" t="s">
        <v>20</v>
      </c>
      <c r="F4509">
        <v>4</v>
      </c>
      <c r="G4509">
        <v>0.2</v>
      </c>
      <c r="H4509" s="2">
        <v>33.635999999999996</v>
      </c>
      <c r="I4509" s="2">
        <v>89.696000000000012</v>
      </c>
    </row>
    <row r="4510" spans="1:9" x14ac:dyDescent="0.3">
      <c r="A4510" t="str">
        <f t="shared" si="1491"/>
        <v>United States</v>
      </c>
      <c r="B4510" t="str">
        <f t="shared" si="1497"/>
        <v>San Diego</v>
      </c>
      <c r="C4510" t="str">
        <f t="shared" si="1498"/>
        <v>First Class</v>
      </c>
      <c r="D4510" t="str">
        <f t="shared" ref="D4510:D4515" si="1500">D4509</f>
        <v>Corporate</v>
      </c>
      <c r="E4510" t="s">
        <v>33</v>
      </c>
      <c r="F4510">
        <v>6</v>
      </c>
      <c r="G4510">
        <v>0.4</v>
      </c>
      <c r="H4510" s="2">
        <v>91.035799999999966</v>
      </c>
      <c r="I4510" s="2">
        <v>1684.5600000000002</v>
      </c>
    </row>
    <row r="4511" spans="1:9" x14ac:dyDescent="0.3">
      <c r="A4511" t="str">
        <f t="shared" si="1491"/>
        <v>United States</v>
      </c>
      <c r="B4511" t="str">
        <f t="shared" si="1497"/>
        <v>San Diego</v>
      </c>
      <c r="C4511" t="str">
        <f t="shared" si="1498"/>
        <v>First Class</v>
      </c>
      <c r="D4511" t="str">
        <f t="shared" si="1500"/>
        <v>Corporate</v>
      </c>
      <c r="E4511" t="s">
        <v>38</v>
      </c>
      <c r="F4511">
        <v>2</v>
      </c>
      <c r="G4511">
        <v>0</v>
      </c>
      <c r="H4511" s="2">
        <v>1.9175999999999997</v>
      </c>
      <c r="I4511" s="2">
        <v>4.08</v>
      </c>
    </row>
    <row r="4512" spans="1:9" x14ac:dyDescent="0.3">
      <c r="A4512" t="str">
        <f t="shared" si="1491"/>
        <v>United States</v>
      </c>
      <c r="B4512" t="str">
        <f t="shared" si="1497"/>
        <v>San Diego</v>
      </c>
      <c r="C4512" t="str">
        <f t="shared" si="1498"/>
        <v>First Class</v>
      </c>
      <c r="D4512" t="str">
        <f t="shared" si="1500"/>
        <v>Corporate</v>
      </c>
      <c r="E4512" t="s">
        <v>21</v>
      </c>
      <c r="F4512">
        <v>1</v>
      </c>
      <c r="G4512">
        <v>0</v>
      </c>
      <c r="H4512" s="2">
        <v>7.3358999999999988</v>
      </c>
      <c r="I4512" s="2">
        <v>22.23</v>
      </c>
    </row>
    <row r="4513" spans="1:9" x14ac:dyDescent="0.3">
      <c r="A4513" t="str">
        <f t="shared" si="1491"/>
        <v>United States</v>
      </c>
      <c r="B4513" t="str">
        <f t="shared" si="1497"/>
        <v>San Diego</v>
      </c>
      <c r="C4513" t="str">
        <f t="shared" si="1498"/>
        <v>First Class</v>
      </c>
      <c r="D4513" t="str">
        <f t="shared" si="1500"/>
        <v>Corporate</v>
      </c>
      <c r="E4513" t="s">
        <v>43</v>
      </c>
      <c r="F4513">
        <v>10</v>
      </c>
      <c r="G4513">
        <v>0</v>
      </c>
      <c r="H4513" s="2">
        <v>40.944399999999995</v>
      </c>
      <c r="I4513" s="2">
        <v>87.919999999999987</v>
      </c>
    </row>
    <row r="4514" spans="1:9" x14ac:dyDescent="0.3">
      <c r="A4514" t="str">
        <f t="shared" si="1491"/>
        <v>United States</v>
      </c>
      <c r="B4514" t="str">
        <f t="shared" si="1497"/>
        <v>San Diego</v>
      </c>
      <c r="C4514" t="str">
        <f t="shared" si="1498"/>
        <v>First Class</v>
      </c>
      <c r="D4514" t="str">
        <f t="shared" si="1500"/>
        <v>Corporate</v>
      </c>
      <c r="E4514" t="s">
        <v>24</v>
      </c>
      <c r="F4514">
        <v>2</v>
      </c>
      <c r="G4514">
        <v>0.2</v>
      </c>
      <c r="H4514" s="2">
        <v>18.897199999999991</v>
      </c>
      <c r="I4514" s="2">
        <v>215.96799999999999</v>
      </c>
    </row>
    <row r="4515" spans="1:9" x14ac:dyDescent="0.3">
      <c r="A4515" t="str">
        <f t="shared" si="1491"/>
        <v>United States</v>
      </c>
      <c r="B4515" t="str">
        <f t="shared" si="1497"/>
        <v>San Diego</v>
      </c>
      <c r="C4515" t="str">
        <f t="shared" si="1498"/>
        <v>First Class</v>
      </c>
      <c r="D4515" t="str">
        <f t="shared" si="1500"/>
        <v>Corporate</v>
      </c>
      <c r="E4515" t="s">
        <v>14</v>
      </c>
      <c r="F4515">
        <v>10</v>
      </c>
      <c r="G4515">
        <v>0</v>
      </c>
      <c r="H4515" s="2">
        <v>35.047999999999995</v>
      </c>
      <c r="I4515" s="2">
        <v>134.80000000000001</v>
      </c>
    </row>
    <row r="4516" spans="1:9" x14ac:dyDescent="0.3">
      <c r="A4516" t="str">
        <f t="shared" si="1491"/>
        <v>United States</v>
      </c>
      <c r="B4516" t="str">
        <f t="shared" si="1497"/>
        <v>San Diego</v>
      </c>
      <c r="C4516" t="str">
        <f t="shared" si="1498"/>
        <v>First Class</v>
      </c>
      <c r="D4516" t="s">
        <v>17</v>
      </c>
      <c r="E4516" t="s">
        <v>23</v>
      </c>
      <c r="F4516">
        <v>5</v>
      </c>
      <c r="G4516">
        <v>0</v>
      </c>
      <c r="H4516" s="2">
        <v>87.890000000000015</v>
      </c>
      <c r="I4516" s="2">
        <v>199.75</v>
      </c>
    </row>
    <row r="4517" spans="1:9" x14ac:dyDescent="0.3">
      <c r="A4517" t="str">
        <f t="shared" si="1491"/>
        <v>United States</v>
      </c>
      <c r="B4517" t="str">
        <f t="shared" si="1497"/>
        <v>San Diego</v>
      </c>
      <c r="C4517" t="str">
        <f t="shared" si="1498"/>
        <v>First Class</v>
      </c>
      <c r="D4517" t="str">
        <f t="shared" ref="D4517:D4520" si="1501">D4516</f>
        <v>Home Office</v>
      </c>
      <c r="E4517" t="s">
        <v>33</v>
      </c>
      <c r="F4517">
        <v>3</v>
      </c>
      <c r="G4517">
        <v>0.2</v>
      </c>
      <c r="H4517" s="2">
        <v>73.19399999999996</v>
      </c>
      <c r="I4517" s="2">
        <v>585.55200000000002</v>
      </c>
    </row>
    <row r="4518" spans="1:9" x14ac:dyDescent="0.3">
      <c r="A4518" t="str">
        <f t="shared" si="1491"/>
        <v>United States</v>
      </c>
      <c r="B4518" t="str">
        <f t="shared" si="1497"/>
        <v>San Diego</v>
      </c>
      <c r="C4518" t="str">
        <f t="shared" si="1498"/>
        <v>First Class</v>
      </c>
      <c r="D4518" t="str">
        <f t="shared" si="1501"/>
        <v>Home Office</v>
      </c>
      <c r="E4518" t="s">
        <v>16</v>
      </c>
      <c r="F4518">
        <v>3</v>
      </c>
      <c r="G4518">
        <v>0</v>
      </c>
      <c r="H4518" s="2">
        <v>9.3312000000000008</v>
      </c>
      <c r="I4518" s="2">
        <v>19.440000000000001</v>
      </c>
    </row>
    <row r="4519" spans="1:9" x14ac:dyDescent="0.3">
      <c r="A4519" t="str">
        <f t="shared" si="1491"/>
        <v>United States</v>
      </c>
      <c r="B4519" t="str">
        <f t="shared" si="1497"/>
        <v>San Diego</v>
      </c>
      <c r="C4519" t="str">
        <f t="shared" si="1498"/>
        <v>First Class</v>
      </c>
      <c r="D4519" t="str">
        <f t="shared" si="1501"/>
        <v>Home Office</v>
      </c>
      <c r="E4519" t="s">
        <v>24</v>
      </c>
      <c r="F4519">
        <v>3</v>
      </c>
      <c r="G4519">
        <v>0.2</v>
      </c>
      <c r="H4519" s="2">
        <v>25.496999999999986</v>
      </c>
      <c r="I4519" s="2">
        <v>203.976</v>
      </c>
    </row>
    <row r="4520" spans="1:9" x14ac:dyDescent="0.3">
      <c r="A4520" t="str">
        <f t="shared" si="1491"/>
        <v>United States</v>
      </c>
      <c r="B4520" t="str">
        <f t="shared" si="1497"/>
        <v>San Diego</v>
      </c>
      <c r="C4520" t="str">
        <f t="shared" si="1498"/>
        <v>First Class</v>
      </c>
      <c r="D4520" t="str">
        <f t="shared" si="1501"/>
        <v>Home Office</v>
      </c>
      <c r="E4520" t="s">
        <v>25</v>
      </c>
      <c r="F4520">
        <v>15</v>
      </c>
      <c r="G4520">
        <v>0.4</v>
      </c>
      <c r="H4520" s="2">
        <v>12.485399999999998</v>
      </c>
      <c r="I4520" s="2">
        <v>2347.5360000000001</v>
      </c>
    </row>
    <row r="4521" spans="1:9" x14ac:dyDescent="0.3">
      <c r="A4521" t="str">
        <f t="shared" si="1491"/>
        <v>United States</v>
      </c>
      <c r="B4521" t="str">
        <f t="shared" si="1497"/>
        <v>San Diego</v>
      </c>
      <c r="C4521" t="s">
        <v>27</v>
      </c>
      <c r="D4521" t="s">
        <v>8</v>
      </c>
      <c r="E4521" t="s">
        <v>16</v>
      </c>
      <c r="F4521">
        <v>3</v>
      </c>
      <c r="G4521">
        <v>0</v>
      </c>
      <c r="H4521" s="2">
        <v>79.891199999999998</v>
      </c>
      <c r="I4521" s="2">
        <v>166.44</v>
      </c>
    </row>
    <row r="4522" spans="1:9" x14ac:dyDescent="0.3">
      <c r="A4522" t="str">
        <f t="shared" si="1491"/>
        <v>United States</v>
      </c>
      <c r="B4522" t="str">
        <f t="shared" si="1497"/>
        <v>San Diego</v>
      </c>
      <c r="C4522" t="str">
        <f t="shared" ref="C4522:C4523" si="1502">C4521</f>
        <v>Same Day</v>
      </c>
      <c r="D4522" t="s">
        <v>15</v>
      </c>
      <c r="E4522" t="s">
        <v>14</v>
      </c>
      <c r="F4522">
        <v>4</v>
      </c>
      <c r="G4522">
        <v>0</v>
      </c>
      <c r="H4522" s="2">
        <v>7.1863999999999919</v>
      </c>
      <c r="I4522" s="2">
        <v>359.32</v>
      </c>
    </row>
    <row r="4523" spans="1:9" x14ac:dyDescent="0.3">
      <c r="A4523" t="str">
        <f t="shared" si="1491"/>
        <v>United States</v>
      </c>
      <c r="B4523" t="str">
        <f t="shared" si="1497"/>
        <v>San Diego</v>
      </c>
      <c r="C4523" t="str">
        <f t="shared" si="1502"/>
        <v>Same Day</v>
      </c>
      <c r="D4523" t="str">
        <f>D4522</f>
        <v>Corporate</v>
      </c>
      <c r="E4523" t="s">
        <v>25</v>
      </c>
      <c r="F4523">
        <v>10</v>
      </c>
      <c r="G4523">
        <v>0.2</v>
      </c>
      <c r="H4523" s="2">
        <v>-28.355999999999952</v>
      </c>
      <c r="I4523" s="2">
        <v>567.12</v>
      </c>
    </row>
    <row r="4524" spans="1:9" x14ac:dyDescent="0.3">
      <c r="A4524" t="str">
        <f t="shared" si="1491"/>
        <v>United States</v>
      </c>
      <c r="B4524" t="str">
        <f t="shared" si="1497"/>
        <v>San Diego</v>
      </c>
      <c r="C4524" t="s">
        <v>7</v>
      </c>
      <c r="D4524" t="s">
        <v>8</v>
      </c>
      <c r="E4524" t="s">
        <v>23</v>
      </c>
      <c r="F4524">
        <v>12</v>
      </c>
      <c r="G4524">
        <v>0</v>
      </c>
      <c r="H4524" s="2">
        <v>84.545100000000005</v>
      </c>
      <c r="I4524" s="2">
        <v>201.57</v>
      </c>
    </row>
    <row r="4525" spans="1:9" x14ac:dyDescent="0.3">
      <c r="A4525" t="str">
        <f t="shared" si="1491"/>
        <v>United States</v>
      </c>
      <c r="B4525" t="str">
        <f t="shared" si="1497"/>
        <v>San Diego</v>
      </c>
      <c r="C4525" t="str">
        <f t="shared" ref="C4525:C4537" si="1503">C4524</f>
        <v>Second Class</v>
      </c>
      <c r="D4525" t="str">
        <f t="shared" ref="D4525:D4533" si="1504">D4524</f>
        <v>Consumer</v>
      </c>
      <c r="E4525" t="s">
        <v>12</v>
      </c>
      <c r="F4525">
        <v>3</v>
      </c>
      <c r="G4525">
        <v>0</v>
      </c>
      <c r="H4525" s="2">
        <v>72.431999999999988</v>
      </c>
      <c r="I4525" s="2">
        <v>241.44</v>
      </c>
    </row>
    <row r="4526" spans="1:9" x14ac:dyDescent="0.3">
      <c r="A4526" t="str">
        <f t="shared" si="1491"/>
        <v>United States</v>
      </c>
      <c r="B4526" t="str">
        <f t="shared" si="1497"/>
        <v>San Diego</v>
      </c>
      <c r="C4526" t="str">
        <f t="shared" si="1503"/>
        <v>Second Class</v>
      </c>
      <c r="D4526" t="str">
        <f t="shared" si="1504"/>
        <v>Consumer</v>
      </c>
      <c r="E4526" t="s">
        <v>19</v>
      </c>
      <c r="F4526">
        <v>4</v>
      </c>
      <c r="G4526">
        <v>0</v>
      </c>
      <c r="H4526" s="2">
        <v>2.7664</v>
      </c>
      <c r="I4526" s="2">
        <v>10.64</v>
      </c>
    </row>
    <row r="4527" spans="1:9" x14ac:dyDescent="0.3">
      <c r="A4527" t="str">
        <f t="shared" si="1491"/>
        <v>United States</v>
      </c>
      <c r="B4527" t="str">
        <f t="shared" si="1497"/>
        <v>San Diego</v>
      </c>
      <c r="C4527" t="str">
        <f t="shared" si="1503"/>
        <v>Second Class</v>
      </c>
      <c r="D4527" t="str">
        <f t="shared" si="1504"/>
        <v>Consumer</v>
      </c>
      <c r="E4527" t="s">
        <v>33</v>
      </c>
      <c r="F4527">
        <v>20</v>
      </c>
      <c r="G4527">
        <v>1</v>
      </c>
      <c r="H4527" s="2">
        <v>156.25580000000002</v>
      </c>
      <c r="I4527" s="2">
        <v>2442.1600000000003</v>
      </c>
    </row>
    <row r="4528" spans="1:9" x14ac:dyDescent="0.3">
      <c r="A4528" t="str">
        <f t="shared" si="1491"/>
        <v>United States</v>
      </c>
      <c r="B4528" t="str">
        <f t="shared" si="1497"/>
        <v>San Diego</v>
      </c>
      <c r="C4528" t="str">
        <f t="shared" si="1503"/>
        <v>Second Class</v>
      </c>
      <c r="D4528" t="str">
        <f t="shared" si="1504"/>
        <v>Consumer</v>
      </c>
      <c r="E4528" t="s">
        <v>45</v>
      </c>
      <c r="F4528">
        <v>5</v>
      </c>
      <c r="G4528">
        <v>0.2</v>
      </c>
      <c r="H4528" s="2">
        <v>224.99249999999995</v>
      </c>
      <c r="I4528" s="2">
        <v>1199.96</v>
      </c>
    </row>
    <row r="4529" spans="1:9" x14ac:dyDescent="0.3">
      <c r="A4529" t="str">
        <f t="shared" si="1491"/>
        <v>United States</v>
      </c>
      <c r="B4529" t="str">
        <f t="shared" si="1497"/>
        <v>San Diego</v>
      </c>
      <c r="C4529" t="str">
        <f t="shared" si="1503"/>
        <v>Second Class</v>
      </c>
      <c r="D4529" t="str">
        <f t="shared" si="1504"/>
        <v>Consumer</v>
      </c>
      <c r="E4529" t="s">
        <v>38</v>
      </c>
      <c r="F4529">
        <v>4</v>
      </c>
      <c r="G4529">
        <v>0</v>
      </c>
      <c r="H4529" s="2">
        <v>5.6639999999999997</v>
      </c>
      <c r="I4529" s="2">
        <v>11.8</v>
      </c>
    </row>
    <row r="4530" spans="1:9" x14ac:dyDescent="0.3">
      <c r="A4530" t="str">
        <f t="shared" si="1491"/>
        <v>United States</v>
      </c>
      <c r="B4530" t="str">
        <f t="shared" si="1497"/>
        <v>San Diego</v>
      </c>
      <c r="C4530" t="str">
        <f t="shared" si="1503"/>
        <v>Second Class</v>
      </c>
      <c r="D4530" t="str">
        <f t="shared" si="1504"/>
        <v>Consumer</v>
      </c>
      <c r="E4530" t="s">
        <v>21</v>
      </c>
      <c r="F4530">
        <v>5</v>
      </c>
      <c r="G4530">
        <v>0</v>
      </c>
      <c r="H4530" s="2">
        <v>11.532799999999998</v>
      </c>
      <c r="I4530" s="2">
        <v>26.08</v>
      </c>
    </row>
    <row r="4531" spans="1:9" x14ac:dyDescent="0.3">
      <c r="A4531" t="str">
        <f t="shared" si="1491"/>
        <v>United States</v>
      </c>
      <c r="B4531" t="str">
        <f t="shared" si="1497"/>
        <v>San Diego</v>
      </c>
      <c r="C4531" t="str">
        <f t="shared" si="1503"/>
        <v>Second Class</v>
      </c>
      <c r="D4531" t="str">
        <f t="shared" si="1504"/>
        <v>Consumer</v>
      </c>
      <c r="E4531" t="s">
        <v>46</v>
      </c>
      <c r="F4531">
        <v>4</v>
      </c>
      <c r="G4531">
        <v>0.2</v>
      </c>
      <c r="H4531" s="2">
        <v>503.63999999999965</v>
      </c>
      <c r="I4531" s="2">
        <v>4476.8</v>
      </c>
    </row>
    <row r="4532" spans="1:9" x14ac:dyDescent="0.3">
      <c r="A4532" t="str">
        <f t="shared" si="1491"/>
        <v>United States</v>
      </c>
      <c r="B4532" t="str">
        <f t="shared" si="1497"/>
        <v>San Diego</v>
      </c>
      <c r="C4532" t="str">
        <f t="shared" si="1503"/>
        <v>Second Class</v>
      </c>
      <c r="D4532" t="str">
        <f t="shared" si="1504"/>
        <v>Consumer</v>
      </c>
      <c r="E4532" t="s">
        <v>16</v>
      </c>
      <c r="F4532">
        <v>21</v>
      </c>
      <c r="G4532">
        <v>0</v>
      </c>
      <c r="H4532" s="2">
        <v>216.54339999999999</v>
      </c>
      <c r="I4532" s="2">
        <v>462.4</v>
      </c>
    </row>
    <row r="4533" spans="1:9" x14ac:dyDescent="0.3">
      <c r="A4533" t="str">
        <f t="shared" si="1491"/>
        <v>United States</v>
      </c>
      <c r="B4533" t="str">
        <f t="shared" si="1497"/>
        <v>San Diego</v>
      </c>
      <c r="C4533" t="str">
        <f t="shared" si="1503"/>
        <v>Second Class</v>
      </c>
      <c r="D4533" t="str">
        <f t="shared" si="1504"/>
        <v>Consumer</v>
      </c>
      <c r="E4533" t="s">
        <v>14</v>
      </c>
      <c r="F4533">
        <v>3</v>
      </c>
      <c r="G4533">
        <v>0</v>
      </c>
      <c r="H4533" s="2">
        <v>22.9068</v>
      </c>
      <c r="I4533" s="2">
        <v>84.84</v>
      </c>
    </row>
    <row r="4534" spans="1:9" x14ac:dyDescent="0.3">
      <c r="A4534" t="str">
        <f t="shared" si="1491"/>
        <v>United States</v>
      </c>
      <c r="B4534" t="str">
        <f t="shared" si="1497"/>
        <v>San Diego</v>
      </c>
      <c r="C4534" t="str">
        <f t="shared" si="1503"/>
        <v>Second Class</v>
      </c>
      <c r="D4534" t="s">
        <v>17</v>
      </c>
      <c r="E4534" t="s">
        <v>23</v>
      </c>
      <c r="F4534">
        <v>3</v>
      </c>
      <c r="G4534">
        <v>0</v>
      </c>
      <c r="H4534" s="2">
        <v>66.954599999999971</v>
      </c>
      <c r="I4534" s="2">
        <v>371.96999999999997</v>
      </c>
    </row>
    <row r="4535" spans="1:9" x14ac:dyDescent="0.3">
      <c r="A4535" t="str">
        <f t="shared" si="1491"/>
        <v>United States</v>
      </c>
      <c r="B4535" t="str">
        <f t="shared" si="1497"/>
        <v>San Diego</v>
      </c>
      <c r="C4535" t="str">
        <f t="shared" si="1503"/>
        <v>Second Class</v>
      </c>
      <c r="D4535" t="str">
        <f t="shared" ref="D4535:D4537" si="1505">D4534</f>
        <v>Home Office</v>
      </c>
      <c r="E4535" t="s">
        <v>20</v>
      </c>
      <c r="F4535">
        <v>2</v>
      </c>
      <c r="G4535">
        <v>0.2</v>
      </c>
      <c r="H4535" s="2">
        <v>7.4255999999999993</v>
      </c>
      <c r="I4535" s="2">
        <v>22.847999999999999</v>
      </c>
    </row>
    <row r="4536" spans="1:9" x14ac:dyDescent="0.3">
      <c r="A4536" t="str">
        <f t="shared" si="1491"/>
        <v>United States</v>
      </c>
      <c r="B4536" t="str">
        <f t="shared" ref="B4536:B4567" si="1506">B4535</f>
        <v>San Diego</v>
      </c>
      <c r="C4536" t="str">
        <f t="shared" si="1503"/>
        <v>Second Class</v>
      </c>
      <c r="D4536" t="str">
        <f t="shared" si="1505"/>
        <v>Home Office</v>
      </c>
      <c r="E4536" t="s">
        <v>18</v>
      </c>
      <c r="F4536">
        <v>1</v>
      </c>
      <c r="G4536">
        <v>0</v>
      </c>
      <c r="H4536" s="2">
        <v>2.4</v>
      </c>
      <c r="I4536" s="2">
        <v>5</v>
      </c>
    </row>
    <row r="4537" spans="1:9" x14ac:dyDescent="0.3">
      <c r="A4537" t="str">
        <f t="shared" si="1491"/>
        <v>United States</v>
      </c>
      <c r="B4537" t="str">
        <f t="shared" si="1506"/>
        <v>San Diego</v>
      </c>
      <c r="C4537" t="str">
        <f t="shared" si="1503"/>
        <v>Second Class</v>
      </c>
      <c r="D4537" t="str">
        <f t="shared" si="1505"/>
        <v>Home Office</v>
      </c>
      <c r="E4537" t="s">
        <v>16</v>
      </c>
      <c r="F4537">
        <v>3</v>
      </c>
      <c r="G4537">
        <v>0</v>
      </c>
      <c r="H4537" s="2">
        <v>68.975999999999999</v>
      </c>
      <c r="I4537" s="2">
        <v>143.69999999999999</v>
      </c>
    </row>
    <row r="4538" spans="1:9" x14ac:dyDescent="0.3">
      <c r="A4538" t="str">
        <f t="shared" si="1491"/>
        <v>United States</v>
      </c>
      <c r="B4538" t="str">
        <f t="shared" si="1506"/>
        <v>San Diego</v>
      </c>
      <c r="C4538" t="s">
        <v>22</v>
      </c>
      <c r="D4538" t="s">
        <v>8</v>
      </c>
      <c r="E4538" t="s">
        <v>23</v>
      </c>
      <c r="F4538">
        <v>31</v>
      </c>
      <c r="G4538">
        <v>0</v>
      </c>
      <c r="H4538" s="2">
        <v>1082.7429999999997</v>
      </c>
      <c r="I4538" s="2">
        <v>5327.5199999999995</v>
      </c>
    </row>
    <row r="4539" spans="1:9" x14ac:dyDescent="0.3">
      <c r="A4539" t="str">
        <f t="shared" si="1491"/>
        <v>United States</v>
      </c>
      <c r="B4539" t="str">
        <f t="shared" si="1506"/>
        <v>San Diego</v>
      </c>
      <c r="C4539" t="str">
        <f t="shared" ref="C4539:C4573" si="1507">C4538</f>
        <v>Standard Class</v>
      </c>
      <c r="D4539" t="str">
        <f t="shared" ref="D4539:D4552" si="1508">D4538</f>
        <v>Consumer</v>
      </c>
      <c r="E4539" t="s">
        <v>12</v>
      </c>
      <c r="F4539">
        <v>2</v>
      </c>
      <c r="G4539">
        <v>0</v>
      </c>
      <c r="H4539" s="2">
        <v>22.074799999999996</v>
      </c>
      <c r="I4539" s="2">
        <v>76.12</v>
      </c>
    </row>
    <row r="4540" spans="1:9" x14ac:dyDescent="0.3">
      <c r="A4540" t="str">
        <f t="shared" si="1491"/>
        <v>United States</v>
      </c>
      <c r="B4540" t="str">
        <f t="shared" si="1506"/>
        <v>San Diego</v>
      </c>
      <c r="C4540" t="str">
        <f t="shared" si="1507"/>
        <v>Standard Class</v>
      </c>
      <c r="D4540" t="str">
        <f t="shared" si="1508"/>
        <v>Consumer</v>
      </c>
      <c r="E4540" t="s">
        <v>19</v>
      </c>
      <c r="F4540">
        <v>21</v>
      </c>
      <c r="G4540">
        <v>0</v>
      </c>
      <c r="H4540" s="2">
        <v>70.920399999999987</v>
      </c>
      <c r="I4540" s="2">
        <v>243.66999999999996</v>
      </c>
    </row>
    <row r="4541" spans="1:9" x14ac:dyDescent="0.3">
      <c r="A4541" t="str">
        <f t="shared" si="1491"/>
        <v>United States</v>
      </c>
      <c r="B4541" t="str">
        <f t="shared" si="1506"/>
        <v>San Diego</v>
      </c>
      <c r="C4541" t="str">
        <f t="shared" si="1507"/>
        <v>Standard Class</v>
      </c>
      <c r="D4541" t="str">
        <f t="shared" si="1508"/>
        <v>Consumer</v>
      </c>
      <c r="E4541" t="s">
        <v>20</v>
      </c>
      <c r="F4541">
        <v>23</v>
      </c>
      <c r="G4541">
        <v>1.2</v>
      </c>
      <c r="H4541" s="2">
        <v>80.00739999999999</v>
      </c>
      <c r="I4541" s="2">
        <v>230.40000000000003</v>
      </c>
    </row>
    <row r="4542" spans="1:9" x14ac:dyDescent="0.3">
      <c r="A4542" t="str">
        <f t="shared" si="1491"/>
        <v>United States</v>
      </c>
      <c r="B4542" t="str">
        <f t="shared" si="1506"/>
        <v>San Diego</v>
      </c>
      <c r="C4542" t="str">
        <f t="shared" si="1507"/>
        <v>Standard Class</v>
      </c>
      <c r="D4542" t="str">
        <f t="shared" si="1508"/>
        <v>Consumer</v>
      </c>
      <c r="E4542" t="s">
        <v>34</v>
      </c>
      <c r="F4542">
        <v>10</v>
      </c>
      <c r="G4542">
        <v>0.44999999999999996</v>
      </c>
      <c r="H4542" s="2">
        <v>-55.68260000000005</v>
      </c>
      <c r="I4542" s="2">
        <v>1217.03</v>
      </c>
    </row>
    <row r="4543" spans="1:9" x14ac:dyDescent="0.3">
      <c r="A4543" t="str">
        <f t="shared" si="1491"/>
        <v>United States</v>
      </c>
      <c r="B4543" t="str">
        <f t="shared" si="1506"/>
        <v>San Diego</v>
      </c>
      <c r="C4543" t="str">
        <f t="shared" si="1507"/>
        <v>Standard Class</v>
      </c>
      <c r="D4543" t="str">
        <f t="shared" si="1508"/>
        <v>Consumer</v>
      </c>
      <c r="E4543" t="s">
        <v>33</v>
      </c>
      <c r="F4543">
        <v>18</v>
      </c>
      <c r="G4543">
        <v>1</v>
      </c>
      <c r="H4543" s="2">
        <v>255.55119999999985</v>
      </c>
      <c r="I4543" s="2">
        <v>2952.7040000000002</v>
      </c>
    </row>
    <row r="4544" spans="1:9" x14ac:dyDescent="0.3">
      <c r="A4544" t="str">
        <f t="shared" si="1491"/>
        <v>United States</v>
      </c>
      <c r="B4544" t="str">
        <f t="shared" si="1506"/>
        <v>San Diego</v>
      </c>
      <c r="C4544" t="str">
        <f t="shared" si="1507"/>
        <v>Standard Class</v>
      </c>
      <c r="D4544" t="str">
        <f t="shared" si="1508"/>
        <v>Consumer</v>
      </c>
      <c r="E4544" t="s">
        <v>45</v>
      </c>
      <c r="F4544">
        <v>3</v>
      </c>
      <c r="G4544">
        <v>0.2</v>
      </c>
      <c r="H4544" s="2">
        <v>434.99130000000002</v>
      </c>
      <c r="I4544" s="2">
        <v>1199.9760000000001</v>
      </c>
    </row>
    <row r="4545" spans="1:9" x14ac:dyDescent="0.3">
      <c r="A4545" t="str">
        <f t="shared" si="1491"/>
        <v>United States</v>
      </c>
      <c r="B4545" t="str">
        <f t="shared" si="1506"/>
        <v>San Diego</v>
      </c>
      <c r="C4545" t="str">
        <f t="shared" si="1507"/>
        <v>Standard Class</v>
      </c>
      <c r="D4545" t="str">
        <f t="shared" si="1508"/>
        <v>Consumer</v>
      </c>
      <c r="E4545" t="s">
        <v>21</v>
      </c>
      <c r="F4545">
        <v>36</v>
      </c>
      <c r="G4545">
        <v>0</v>
      </c>
      <c r="H4545" s="2">
        <v>222.00920000000008</v>
      </c>
      <c r="I4545" s="2">
        <v>714.10000000000014</v>
      </c>
    </row>
    <row r="4546" spans="1:9" x14ac:dyDescent="0.3">
      <c r="A4546" t="str">
        <f t="shared" si="1491"/>
        <v>United States</v>
      </c>
      <c r="B4546" t="str">
        <f t="shared" si="1506"/>
        <v>San Diego</v>
      </c>
      <c r="C4546" t="str">
        <f t="shared" si="1507"/>
        <v>Standard Class</v>
      </c>
      <c r="D4546" t="str">
        <f t="shared" si="1508"/>
        <v>Consumer</v>
      </c>
      <c r="E4546" t="s">
        <v>43</v>
      </c>
      <c r="F4546">
        <v>25</v>
      </c>
      <c r="G4546">
        <v>0</v>
      </c>
      <c r="H4546" s="2">
        <v>88.167000000000002</v>
      </c>
      <c r="I4546" s="2">
        <v>185.35</v>
      </c>
    </row>
    <row r="4547" spans="1:9" x14ac:dyDescent="0.3">
      <c r="A4547" t="str">
        <f t="shared" si="1491"/>
        <v>United States</v>
      </c>
      <c r="B4547" t="str">
        <f t="shared" si="1506"/>
        <v>San Diego</v>
      </c>
      <c r="C4547" t="str">
        <f t="shared" si="1507"/>
        <v>Standard Class</v>
      </c>
      <c r="D4547" t="str">
        <f t="shared" si="1508"/>
        <v>Consumer</v>
      </c>
      <c r="E4547" t="s">
        <v>46</v>
      </c>
      <c r="F4547">
        <v>2</v>
      </c>
      <c r="G4547">
        <v>0.2</v>
      </c>
      <c r="H4547" s="2">
        <v>77.219999999999914</v>
      </c>
      <c r="I4547" s="2">
        <v>686.40000000000009</v>
      </c>
    </row>
    <row r="4548" spans="1:9" x14ac:dyDescent="0.3">
      <c r="A4548" t="str">
        <f t="shared" ref="A4548:A4611" si="1509">A4547</f>
        <v>United States</v>
      </c>
      <c r="B4548" t="str">
        <f t="shared" si="1506"/>
        <v>San Diego</v>
      </c>
      <c r="C4548" t="str">
        <f t="shared" si="1507"/>
        <v>Standard Class</v>
      </c>
      <c r="D4548" t="str">
        <f t="shared" si="1508"/>
        <v>Consumer</v>
      </c>
      <c r="E4548" t="s">
        <v>16</v>
      </c>
      <c r="F4548">
        <v>27</v>
      </c>
      <c r="G4548">
        <v>0</v>
      </c>
      <c r="H4548" s="2">
        <v>208.59989999999999</v>
      </c>
      <c r="I4548" s="2">
        <v>439.68999999999994</v>
      </c>
    </row>
    <row r="4549" spans="1:9" x14ac:dyDescent="0.3">
      <c r="A4549" t="str">
        <f t="shared" si="1509"/>
        <v>United States</v>
      </c>
      <c r="B4549" t="str">
        <f t="shared" si="1506"/>
        <v>San Diego</v>
      </c>
      <c r="C4549" t="str">
        <f t="shared" si="1507"/>
        <v>Standard Class</v>
      </c>
      <c r="D4549" t="str">
        <f t="shared" si="1508"/>
        <v>Consumer</v>
      </c>
      <c r="E4549" t="s">
        <v>24</v>
      </c>
      <c r="F4549">
        <v>32</v>
      </c>
      <c r="G4549">
        <v>1.4</v>
      </c>
      <c r="H4549" s="2">
        <v>163.5150999999999</v>
      </c>
      <c r="I4549" s="2">
        <v>2040.816</v>
      </c>
    </row>
    <row r="4550" spans="1:9" x14ac:dyDescent="0.3">
      <c r="A4550" t="str">
        <f t="shared" si="1509"/>
        <v>United States</v>
      </c>
      <c r="B4550" t="str">
        <f t="shared" si="1506"/>
        <v>San Diego</v>
      </c>
      <c r="C4550" t="str">
        <f t="shared" si="1507"/>
        <v>Standard Class</v>
      </c>
      <c r="D4550" t="str">
        <f t="shared" si="1508"/>
        <v>Consumer</v>
      </c>
      <c r="E4550" t="s">
        <v>14</v>
      </c>
      <c r="F4550">
        <v>39</v>
      </c>
      <c r="G4550">
        <v>0</v>
      </c>
      <c r="H4550" s="2">
        <v>152.73399999999995</v>
      </c>
      <c r="I4550" s="2">
        <v>2375.36</v>
      </c>
    </row>
    <row r="4551" spans="1:9" x14ac:dyDescent="0.3">
      <c r="A4551" t="str">
        <f t="shared" si="1509"/>
        <v>United States</v>
      </c>
      <c r="B4551" t="str">
        <f t="shared" si="1506"/>
        <v>San Diego</v>
      </c>
      <c r="C4551" t="str">
        <f t="shared" si="1507"/>
        <v>Standard Class</v>
      </c>
      <c r="D4551" t="str">
        <f t="shared" si="1508"/>
        <v>Consumer</v>
      </c>
      <c r="E4551" t="s">
        <v>9</v>
      </c>
      <c r="F4551">
        <v>6</v>
      </c>
      <c r="G4551">
        <v>0</v>
      </c>
      <c r="H4551" s="2">
        <v>9.3423000000000016</v>
      </c>
      <c r="I4551" s="2">
        <v>44.849999999999994</v>
      </c>
    </row>
    <row r="4552" spans="1:9" x14ac:dyDescent="0.3">
      <c r="A4552" t="str">
        <f t="shared" si="1509"/>
        <v>United States</v>
      </c>
      <c r="B4552" t="str">
        <f t="shared" si="1506"/>
        <v>San Diego</v>
      </c>
      <c r="C4552" t="str">
        <f t="shared" si="1507"/>
        <v>Standard Class</v>
      </c>
      <c r="D4552" t="str">
        <f t="shared" si="1508"/>
        <v>Consumer</v>
      </c>
      <c r="E4552" t="s">
        <v>25</v>
      </c>
      <c r="F4552">
        <v>10</v>
      </c>
      <c r="G4552">
        <v>0.60000000000000009</v>
      </c>
      <c r="H4552" s="2">
        <v>-33.166600000000088</v>
      </c>
      <c r="I4552" s="2">
        <v>1517.08</v>
      </c>
    </row>
    <row r="4553" spans="1:9" x14ac:dyDescent="0.3">
      <c r="A4553" t="str">
        <f t="shared" si="1509"/>
        <v>United States</v>
      </c>
      <c r="B4553" t="str">
        <f t="shared" si="1506"/>
        <v>San Diego</v>
      </c>
      <c r="C4553" t="str">
        <f t="shared" si="1507"/>
        <v>Standard Class</v>
      </c>
      <c r="D4553" t="s">
        <v>15</v>
      </c>
      <c r="E4553" t="s">
        <v>23</v>
      </c>
      <c r="F4553">
        <v>14</v>
      </c>
      <c r="G4553">
        <v>0</v>
      </c>
      <c r="H4553" s="2">
        <v>150.66079999999999</v>
      </c>
      <c r="I4553" s="2">
        <v>391.96000000000004</v>
      </c>
    </row>
    <row r="4554" spans="1:9" x14ac:dyDescent="0.3">
      <c r="A4554" t="str">
        <f t="shared" si="1509"/>
        <v>United States</v>
      </c>
      <c r="B4554" t="str">
        <f t="shared" si="1506"/>
        <v>San Diego</v>
      </c>
      <c r="C4554" t="str">
        <f t="shared" si="1507"/>
        <v>Standard Class</v>
      </c>
      <c r="D4554" t="str">
        <f t="shared" ref="D4554:D4562" si="1510">D4553</f>
        <v>Corporate</v>
      </c>
      <c r="E4554" t="s">
        <v>19</v>
      </c>
      <c r="F4554">
        <v>10</v>
      </c>
      <c r="G4554">
        <v>0</v>
      </c>
      <c r="H4554" s="2">
        <v>95.233199999999968</v>
      </c>
      <c r="I4554" s="2">
        <v>325.37999999999994</v>
      </c>
    </row>
    <row r="4555" spans="1:9" x14ac:dyDescent="0.3">
      <c r="A4555" t="str">
        <f t="shared" si="1509"/>
        <v>United States</v>
      </c>
      <c r="B4555" t="str">
        <f t="shared" si="1506"/>
        <v>San Diego</v>
      </c>
      <c r="C4555" t="str">
        <f t="shared" si="1507"/>
        <v>Standard Class</v>
      </c>
      <c r="D4555" t="str">
        <f t="shared" si="1510"/>
        <v>Corporate</v>
      </c>
      <c r="E4555" t="s">
        <v>20</v>
      </c>
      <c r="F4555">
        <v>28</v>
      </c>
      <c r="G4555">
        <v>1.5999999999999999</v>
      </c>
      <c r="H4555" s="2">
        <v>111.27899999999998</v>
      </c>
      <c r="I4555" s="2">
        <v>326.50400000000002</v>
      </c>
    </row>
    <row r="4556" spans="1:9" x14ac:dyDescent="0.3">
      <c r="A4556" t="str">
        <f t="shared" si="1509"/>
        <v>United States</v>
      </c>
      <c r="B4556" t="str">
        <f t="shared" si="1506"/>
        <v>San Diego</v>
      </c>
      <c r="C4556" t="str">
        <f t="shared" si="1507"/>
        <v>Standard Class</v>
      </c>
      <c r="D4556" t="str">
        <f t="shared" si="1510"/>
        <v>Corporate</v>
      </c>
      <c r="E4556" t="s">
        <v>34</v>
      </c>
      <c r="F4556">
        <v>3</v>
      </c>
      <c r="G4556">
        <v>0.15</v>
      </c>
      <c r="H4556" s="2">
        <v>20.517599999999987</v>
      </c>
      <c r="I4556" s="2">
        <v>435.99900000000002</v>
      </c>
    </row>
    <row r="4557" spans="1:9" x14ac:dyDescent="0.3">
      <c r="A4557" t="str">
        <f t="shared" si="1509"/>
        <v>United States</v>
      </c>
      <c r="B4557" t="str">
        <f t="shared" si="1506"/>
        <v>San Diego</v>
      </c>
      <c r="C4557" t="str">
        <f t="shared" si="1507"/>
        <v>Standard Class</v>
      </c>
      <c r="D4557" t="str">
        <f t="shared" si="1510"/>
        <v>Corporate</v>
      </c>
      <c r="E4557" t="s">
        <v>33</v>
      </c>
      <c r="F4557">
        <v>17</v>
      </c>
      <c r="G4557">
        <v>0.8</v>
      </c>
      <c r="H4557" s="2">
        <v>9.2088999999998897</v>
      </c>
      <c r="I4557" s="2">
        <v>2274.4240000000004</v>
      </c>
    </row>
    <row r="4558" spans="1:9" x14ac:dyDescent="0.3">
      <c r="A4558" t="str">
        <f t="shared" si="1509"/>
        <v>United States</v>
      </c>
      <c r="B4558" t="str">
        <f t="shared" si="1506"/>
        <v>San Diego</v>
      </c>
      <c r="C4558" t="str">
        <f t="shared" si="1507"/>
        <v>Standard Class</v>
      </c>
      <c r="D4558" t="str">
        <f t="shared" si="1510"/>
        <v>Corporate</v>
      </c>
      <c r="E4558" t="s">
        <v>21</v>
      </c>
      <c r="F4558">
        <v>6</v>
      </c>
      <c r="G4558">
        <v>0</v>
      </c>
      <c r="H4558" s="2">
        <v>42.93979999999997</v>
      </c>
      <c r="I4558" s="2">
        <v>347</v>
      </c>
    </row>
    <row r="4559" spans="1:9" x14ac:dyDescent="0.3">
      <c r="A4559" t="str">
        <f t="shared" si="1509"/>
        <v>United States</v>
      </c>
      <c r="B4559" t="str">
        <f t="shared" si="1506"/>
        <v>San Diego</v>
      </c>
      <c r="C4559" t="str">
        <f t="shared" si="1507"/>
        <v>Standard Class</v>
      </c>
      <c r="D4559" t="str">
        <f t="shared" si="1510"/>
        <v>Corporate</v>
      </c>
      <c r="E4559" t="s">
        <v>46</v>
      </c>
      <c r="F4559">
        <v>2</v>
      </c>
      <c r="G4559">
        <v>0.2</v>
      </c>
      <c r="H4559" s="2">
        <v>38.997399999999971</v>
      </c>
      <c r="I4559" s="2">
        <v>239.98400000000004</v>
      </c>
    </row>
    <row r="4560" spans="1:9" x14ac:dyDescent="0.3">
      <c r="A4560" t="str">
        <f t="shared" si="1509"/>
        <v>United States</v>
      </c>
      <c r="B4560" t="str">
        <f t="shared" si="1506"/>
        <v>San Diego</v>
      </c>
      <c r="C4560" t="str">
        <f t="shared" si="1507"/>
        <v>Standard Class</v>
      </c>
      <c r="D4560" t="str">
        <f t="shared" si="1510"/>
        <v>Corporate</v>
      </c>
      <c r="E4560" t="s">
        <v>16</v>
      </c>
      <c r="F4560">
        <v>15</v>
      </c>
      <c r="G4560">
        <v>0</v>
      </c>
      <c r="H4560" s="2">
        <v>233.15710000000001</v>
      </c>
      <c r="I4560" s="2">
        <v>482.99</v>
      </c>
    </row>
    <row r="4561" spans="1:9" x14ac:dyDescent="0.3">
      <c r="A4561" t="str">
        <f t="shared" si="1509"/>
        <v>United States</v>
      </c>
      <c r="B4561" t="str">
        <f t="shared" si="1506"/>
        <v>San Diego</v>
      </c>
      <c r="C4561" t="str">
        <f t="shared" si="1507"/>
        <v>Standard Class</v>
      </c>
      <c r="D4561" t="str">
        <f t="shared" si="1510"/>
        <v>Corporate</v>
      </c>
      <c r="E4561" t="s">
        <v>24</v>
      </c>
      <c r="F4561">
        <v>17</v>
      </c>
      <c r="G4561">
        <v>1.2</v>
      </c>
      <c r="H4561" s="2">
        <v>300.59669999999983</v>
      </c>
      <c r="I4561" s="2">
        <v>2420.4560000000001</v>
      </c>
    </row>
    <row r="4562" spans="1:9" x14ac:dyDescent="0.3">
      <c r="A4562" t="str">
        <f t="shared" si="1509"/>
        <v>United States</v>
      </c>
      <c r="B4562" t="str">
        <f t="shared" si="1506"/>
        <v>San Diego</v>
      </c>
      <c r="C4562" t="str">
        <f t="shared" si="1507"/>
        <v>Standard Class</v>
      </c>
      <c r="D4562" t="str">
        <f t="shared" si="1510"/>
        <v>Corporate</v>
      </c>
      <c r="E4562" t="s">
        <v>14</v>
      </c>
      <c r="F4562">
        <v>2</v>
      </c>
      <c r="G4562">
        <v>0</v>
      </c>
      <c r="H4562" s="2">
        <v>0.40679999999999694</v>
      </c>
      <c r="I4562" s="2">
        <v>40.68</v>
      </c>
    </row>
    <row r="4563" spans="1:9" x14ac:dyDescent="0.3">
      <c r="A4563" t="str">
        <f t="shared" si="1509"/>
        <v>United States</v>
      </c>
      <c r="B4563" t="str">
        <f t="shared" si="1506"/>
        <v>San Diego</v>
      </c>
      <c r="C4563" t="str">
        <f t="shared" si="1507"/>
        <v>Standard Class</v>
      </c>
      <c r="D4563" t="s">
        <v>17</v>
      </c>
      <c r="E4563" t="s">
        <v>23</v>
      </c>
      <c r="F4563">
        <v>7</v>
      </c>
      <c r="G4563">
        <v>0</v>
      </c>
      <c r="H4563" s="2">
        <v>4.4540999999999986</v>
      </c>
      <c r="I4563" s="2">
        <v>21.209999999999997</v>
      </c>
    </row>
    <row r="4564" spans="1:9" x14ac:dyDescent="0.3">
      <c r="A4564" t="str">
        <f t="shared" si="1509"/>
        <v>United States</v>
      </c>
      <c r="B4564" t="str">
        <f t="shared" si="1506"/>
        <v>San Diego</v>
      </c>
      <c r="C4564" t="str">
        <f t="shared" si="1507"/>
        <v>Standard Class</v>
      </c>
      <c r="D4564" t="str">
        <f t="shared" ref="D4564:D4573" si="1511">D4563</f>
        <v>Home Office</v>
      </c>
      <c r="E4564" t="s">
        <v>19</v>
      </c>
      <c r="F4564">
        <v>9</v>
      </c>
      <c r="G4564">
        <v>0</v>
      </c>
      <c r="H4564" s="2">
        <v>15.434299999999995</v>
      </c>
      <c r="I4564" s="2">
        <v>48.83</v>
      </c>
    </row>
    <row r="4565" spans="1:9" x14ac:dyDescent="0.3">
      <c r="A4565" t="str">
        <f t="shared" si="1509"/>
        <v>United States</v>
      </c>
      <c r="B4565" t="str">
        <f t="shared" si="1506"/>
        <v>San Diego</v>
      </c>
      <c r="C4565" t="str">
        <f t="shared" si="1507"/>
        <v>Standard Class</v>
      </c>
      <c r="D4565" t="str">
        <f t="shared" si="1511"/>
        <v>Home Office</v>
      </c>
      <c r="E4565" t="s">
        <v>20</v>
      </c>
      <c r="F4565">
        <v>17</v>
      </c>
      <c r="G4565">
        <v>0.4</v>
      </c>
      <c r="H4565" s="2">
        <v>51.749600000000001</v>
      </c>
      <c r="I4565" s="2">
        <v>147.85599999999999</v>
      </c>
    </row>
    <row r="4566" spans="1:9" x14ac:dyDescent="0.3">
      <c r="A4566" t="str">
        <f t="shared" si="1509"/>
        <v>United States</v>
      </c>
      <c r="B4566" t="str">
        <f t="shared" si="1506"/>
        <v>San Diego</v>
      </c>
      <c r="C4566" t="str">
        <f t="shared" si="1507"/>
        <v>Standard Class</v>
      </c>
      <c r="D4566" t="str">
        <f t="shared" si="1511"/>
        <v>Home Office</v>
      </c>
      <c r="E4566" t="s">
        <v>33</v>
      </c>
      <c r="F4566">
        <v>9</v>
      </c>
      <c r="G4566">
        <v>0.2</v>
      </c>
      <c r="H4566" s="2">
        <v>267.66720000000009</v>
      </c>
      <c r="I4566" s="2">
        <v>2676.672</v>
      </c>
    </row>
    <row r="4567" spans="1:9" x14ac:dyDescent="0.3">
      <c r="A4567" t="str">
        <f t="shared" si="1509"/>
        <v>United States</v>
      </c>
      <c r="B4567" t="str">
        <f t="shared" si="1506"/>
        <v>San Diego</v>
      </c>
      <c r="C4567" t="str">
        <f t="shared" si="1507"/>
        <v>Standard Class</v>
      </c>
      <c r="D4567" t="str">
        <f t="shared" si="1511"/>
        <v>Home Office</v>
      </c>
      <c r="E4567" t="s">
        <v>38</v>
      </c>
      <c r="F4567">
        <v>7</v>
      </c>
      <c r="G4567">
        <v>0</v>
      </c>
      <c r="H4567" s="2">
        <v>79.035199999999989</v>
      </c>
      <c r="I4567" s="2">
        <v>168.16</v>
      </c>
    </row>
    <row r="4568" spans="1:9" x14ac:dyDescent="0.3">
      <c r="A4568" t="str">
        <f t="shared" si="1509"/>
        <v>United States</v>
      </c>
      <c r="B4568" t="str">
        <f t="shared" ref="B4568:B4573" si="1512">B4567</f>
        <v>San Diego</v>
      </c>
      <c r="C4568" t="str">
        <f t="shared" si="1507"/>
        <v>Standard Class</v>
      </c>
      <c r="D4568" t="str">
        <f t="shared" si="1511"/>
        <v>Home Office</v>
      </c>
      <c r="E4568" t="s">
        <v>18</v>
      </c>
      <c r="F4568">
        <v>5</v>
      </c>
      <c r="G4568">
        <v>0</v>
      </c>
      <c r="H4568" s="2">
        <v>5.8045</v>
      </c>
      <c r="I4568" s="2">
        <v>12.350000000000001</v>
      </c>
    </row>
    <row r="4569" spans="1:9" x14ac:dyDescent="0.3">
      <c r="A4569" t="str">
        <f t="shared" si="1509"/>
        <v>United States</v>
      </c>
      <c r="B4569" t="str">
        <f t="shared" si="1512"/>
        <v>San Diego</v>
      </c>
      <c r="C4569" t="str">
        <f t="shared" si="1507"/>
        <v>Standard Class</v>
      </c>
      <c r="D4569" t="str">
        <f t="shared" si="1511"/>
        <v>Home Office</v>
      </c>
      <c r="E4569" t="s">
        <v>21</v>
      </c>
      <c r="F4569">
        <v>3</v>
      </c>
      <c r="G4569">
        <v>0</v>
      </c>
      <c r="H4569" s="2">
        <v>11.025000000000002</v>
      </c>
      <c r="I4569" s="2">
        <v>26.25</v>
      </c>
    </row>
    <row r="4570" spans="1:9" x14ac:dyDescent="0.3">
      <c r="A4570" t="str">
        <f t="shared" si="1509"/>
        <v>United States</v>
      </c>
      <c r="B4570" t="str">
        <f t="shared" si="1512"/>
        <v>San Diego</v>
      </c>
      <c r="C4570" t="str">
        <f t="shared" si="1507"/>
        <v>Standard Class</v>
      </c>
      <c r="D4570" t="str">
        <f t="shared" si="1511"/>
        <v>Home Office</v>
      </c>
      <c r="E4570" t="s">
        <v>43</v>
      </c>
      <c r="F4570">
        <v>8</v>
      </c>
      <c r="G4570">
        <v>0</v>
      </c>
      <c r="H4570" s="2">
        <v>9.6047999999999991</v>
      </c>
      <c r="I4570" s="2">
        <v>20.88</v>
      </c>
    </row>
    <row r="4571" spans="1:9" x14ac:dyDescent="0.3">
      <c r="A4571" t="str">
        <f t="shared" si="1509"/>
        <v>United States</v>
      </c>
      <c r="B4571" t="str">
        <f t="shared" si="1512"/>
        <v>San Diego</v>
      </c>
      <c r="C4571" t="str">
        <f t="shared" si="1507"/>
        <v>Standard Class</v>
      </c>
      <c r="D4571" t="str">
        <f t="shared" si="1511"/>
        <v>Home Office</v>
      </c>
      <c r="E4571" t="s">
        <v>16</v>
      </c>
      <c r="F4571">
        <v>4</v>
      </c>
      <c r="G4571">
        <v>0</v>
      </c>
      <c r="H4571" s="2">
        <v>16.0928</v>
      </c>
      <c r="I4571" s="2">
        <v>34.24</v>
      </c>
    </row>
    <row r="4572" spans="1:9" x14ac:dyDescent="0.3">
      <c r="A4572" t="str">
        <f t="shared" si="1509"/>
        <v>United States</v>
      </c>
      <c r="B4572" t="str">
        <f t="shared" si="1512"/>
        <v>San Diego</v>
      </c>
      <c r="C4572" t="str">
        <f t="shared" si="1507"/>
        <v>Standard Class</v>
      </c>
      <c r="D4572" t="str">
        <f t="shared" si="1511"/>
        <v>Home Office</v>
      </c>
      <c r="E4572" t="s">
        <v>24</v>
      </c>
      <c r="F4572">
        <v>5</v>
      </c>
      <c r="G4572">
        <v>0.2</v>
      </c>
      <c r="H4572" s="2">
        <v>41.697000000000003</v>
      </c>
      <c r="I4572" s="2">
        <v>555.96</v>
      </c>
    </row>
    <row r="4573" spans="1:9" x14ac:dyDescent="0.3">
      <c r="A4573" t="str">
        <f t="shared" si="1509"/>
        <v>United States</v>
      </c>
      <c r="B4573" t="str">
        <f t="shared" si="1512"/>
        <v>San Diego</v>
      </c>
      <c r="C4573" t="str">
        <f t="shared" si="1507"/>
        <v>Standard Class</v>
      </c>
      <c r="D4573" t="str">
        <f t="shared" si="1511"/>
        <v>Home Office</v>
      </c>
      <c r="E4573" t="s">
        <v>14</v>
      </c>
      <c r="F4573">
        <v>3</v>
      </c>
      <c r="G4573">
        <v>0</v>
      </c>
      <c r="H4573" s="2">
        <v>18.609299999999998</v>
      </c>
      <c r="I4573" s="2">
        <v>64.17</v>
      </c>
    </row>
    <row r="4574" spans="1:9" x14ac:dyDescent="0.3">
      <c r="A4574" t="str">
        <f t="shared" si="1509"/>
        <v>United States</v>
      </c>
      <c r="B4574" t="s">
        <v>468</v>
      </c>
      <c r="C4574" t="s">
        <v>11</v>
      </c>
      <c r="D4574" t="s">
        <v>8</v>
      </c>
      <c r="E4574" t="s">
        <v>23</v>
      </c>
      <c r="F4574">
        <v>24</v>
      </c>
      <c r="G4574">
        <v>0</v>
      </c>
      <c r="H4574" s="2">
        <v>346.66949999999997</v>
      </c>
      <c r="I4574" s="2">
        <v>989.31999999999994</v>
      </c>
    </row>
    <row r="4575" spans="1:9" x14ac:dyDescent="0.3">
      <c r="A4575" t="str">
        <f t="shared" si="1509"/>
        <v>United States</v>
      </c>
      <c r="B4575" t="str">
        <f t="shared" ref="B4575:B4606" si="1513">B4574</f>
        <v>San Francisco</v>
      </c>
      <c r="C4575" t="str">
        <f t="shared" ref="C4575:C4608" si="1514">C4574</f>
        <v>First Class</v>
      </c>
      <c r="D4575" t="str">
        <f t="shared" ref="D4575:D4586" si="1515">D4574</f>
        <v>Consumer</v>
      </c>
      <c r="E4575" t="s">
        <v>12</v>
      </c>
      <c r="F4575">
        <v>7</v>
      </c>
      <c r="G4575">
        <v>0</v>
      </c>
      <c r="H4575" s="2">
        <v>27.188800000000001</v>
      </c>
      <c r="I4575" s="2">
        <v>88.960000000000008</v>
      </c>
    </row>
    <row r="4576" spans="1:9" x14ac:dyDescent="0.3">
      <c r="A4576" t="str">
        <f t="shared" si="1509"/>
        <v>United States</v>
      </c>
      <c r="B4576" t="str">
        <f t="shared" si="1513"/>
        <v>San Francisco</v>
      </c>
      <c r="C4576" t="str">
        <f t="shared" si="1514"/>
        <v>First Class</v>
      </c>
      <c r="D4576" t="str">
        <f t="shared" si="1515"/>
        <v>Consumer</v>
      </c>
      <c r="E4576" t="s">
        <v>19</v>
      </c>
      <c r="F4576">
        <v>7</v>
      </c>
      <c r="G4576">
        <v>0</v>
      </c>
      <c r="H4576" s="2">
        <v>12.551400000000001</v>
      </c>
      <c r="I4576" s="2">
        <v>36.58</v>
      </c>
    </row>
    <row r="4577" spans="1:9" x14ac:dyDescent="0.3">
      <c r="A4577" t="str">
        <f t="shared" si="1509"/>
        <v>United States</v>
      </c>
      <c r="B4577" t="str">
        <f t="shared" si="1513"/>
        <v>San Francisco</v>
      </c>
      <c r="C4577" t="str">
        <f t="shared" si="1514"/>
        <v>First Class</v>
      </c>
      <c r="D4577" t="str">
        <f t="shared" si="1515"/>
        <v>Consumer</v>
      </c>
      <c r="E4577" t="s">
        <v>20</v>
      </c>
      <c r="F4577">
        <v>29</v>
      </c>
      <c r="G4577">
        <v>1.7999999999999998</v>
      </c>
      <c r="H4577" s="2">
        <v>142.9006</v>
      </c>
      <c r="I4577" s="2">
        <v>407.61599999999999</v>
      </c>
    </row>
    <row r="4578" spans="1:9" x14ac:dyDescent="0.3">
      <c r="A4578" t="str">
        <f t="shared" si="1509"/>
        <v>United States</v>
      </c>
      <c r="B4578" t="str">
        <f t="shared" si="1513"/>
        <v>San Francisco</v>
      </c>
      <c r="C4578" t="str">
        <f t="shared" si="1514"/>
        <v>First Class</v>
      </c>
      <c r="D4578" t="str">
        <f t="shared" si="1515"/>
        <v>Consumer</v>
      </c>
      <c r="E4578" t="s">
        <v>34</v>
      </c>
      <c r="F4578">
        <v>5</v>
      </c>
      <c r="G4578">
        <v>0.15</v>
      </c>
      <c r="H4578" s="2">
        <v>225.73499999999993</v>
      </c>
      <c r="I4578" s="2">
        <v>1279.165</v>
      </c>
    </row>
    <row r="4579" spans="1:9" x14ac:dyDescent="0.3">
      <c r="A4579" t="str">
        <f t="shared" si="1509"/>
        <v>United States</v>
      </c>
      <c r="B4579" t="str">
        <f t="shared" si="1513"/>
        <v>San Francisco</v>
      </c>
      <c r="C4579" t="str">
        <f t="shared" si="1514"/>
        <v>First Class</v>
      </c>
      <c r="D4579" t="str">
        <f t="shared" si="1515"/>
        <v>Consumer</v>
      </c>
      <c r="E4579" t="s">
        <v>33</v>
      </c>
      <c r="F4579">
        <v>11</v>
      </c>
      <c r="G4579">
        <v>0.4</v>
      </c>
      <c r="H4579" s="2">
        <v>103.14999999999996</v>
      </c>
      <c r="I4579" s="2">
        <v>1407.808</v>
      </c>
    </row>
    <row r="4580" spans="1:9" x14ac:dyDescent="0.3">
      <c r="A4580" t="str">
        <f t="shared" si="1509"/>
        <v>United States</v>
      </c>
      <c r="B4580" t="str">
        <f t="shared" si="1513"/>
        <v>San Francisco</v>
      </c>
      <c r="C4580" t="str">
        <f t="shared" si="1514"/>
        <v>First Class</v>
      </c>
      <c r="D4580" t="str">
        <f t="shared" si="1515"/>
        <v>Consumer</v>
      </c>
      <c r="E4580" t="s">
        <v>38</v>
      </c>
      <c r="F4580">
        <v>5</v>
      </c>
      <c r="G4580">
        <v>0</v>
      </c>
      <c r="H4580" s="2">
        <v>23.537600000000001</v>
      </c>
      <c r="I4580" s="2">
        <v>50.08</v>
      </c>
    </row>
    <row r="4581" spans="1:9" x14ac:dyDescent="0.3">
      <c r="A4581" t="str">
        <f t="shared" si="1509"/>
        <v>United States</v>
      </c>
      <c r="B4581" t="str">
        <f t="shared" si="1513"/>
        <v>San Francisco</v>
      </c>
      <c r="C4581" t="str">
        <f t="shared" si="1514"/>
        <v>First Class</v>
      </c>
      <c r="D4581" t="str">
        <f t="shared" si="1515"/>
        <v>Consumer</v>
      </c>
      <c r="E4581" t="s">
        <v>21</v>
      </c>
      <c r="F4581">
        <v>24</v>
      </c>
      <c r="G4581">
        <v>0</v>
      </c>
      <c r="H4581" s="2">
        <v>45.096699999999998</v>
      </c>
      <c r="I4581" s="2">
        <v>124.21000000000001</v>
      </c>
    </row>
    <row r="4582" spans="1:9" x14ac:dyDescent="0.3">
      <c r="A4582" t="str">
        <f t="shared" si="1509"/>
        <v>United States</v>
      </c>
      <c r="B4582" t="str">
        <f t="shared" si="1513"/>
        <v>San Francisco</v>
      </c>
      <c r="C4582" t="str">
        <f t="shared" si="1514"/>
        <v>First Class</v>
      </c>
      <c r="D4582" t="str">
        <f t="shared" si="1515"/>
        <v>Consumer</v>
      </c>
      <c r="E4582" t="s">
        <v>43</v>
      </c>
      <c r="F4582">
        <v>9</v>
      </c>
      <c r="G4582">
        <v>0</v>
      </c>
      <c r="H4582" s="2">
        <v>12.2247</v>
      </c>
      <c r="I4582" s="2">
        <v>26.01</v>
      </c>
    </row>
    <row r="4583" spans="1:9" x14ac:dyDescent="0.3">
      <c r="A4583" t="str">
        <f t="shared" si="1509"/>
        <v>United States</v>
      </c>
      <c r="B4583" t="str">
        <f t="shared" si="1513"/>
        <v>San Francisco</v>
      </c>
      <c r="C4583" t="str">
        <f t="shared" si="1514"/>
        <v>First Class</v>
      </c>
      <c r="D4583" t="str">
        <f t="shared" si="1515"/>
        <v>Consumer</v>
      </c>
      <c r="E4583" t="s">
        <v>16</v>
      </c>
      <c r="F4583">
        <v>5</v>
      </c>
      <c r="G4583">
        <v>0</v>
      </c>
      <c r="H4583" s="2">
        <v>19.443899999999999</v>
      </c>
      <c r="I4583" s="2">
        <v>41.370000000000005</v>
      </c>
    </row>
    <row r="4584" spans="1:9" x14ac:dyDescent="0.3">
      <c r="A4584" t="str">
        <f t="shared" si="1509"/>
        <v>United States</v>
      </c>
      <c r="B4584" t="str">
        <f t="shared" si="1513"/>
        <v>San Francisco</v>
      </c>
      <c r="C4584" t="str">
        <f t="shared" si="1514"/>
        <v>First Class</v>
      </c>
      <c r="D4584" t="str">
        <f t="shared" si="1515"/>
        <v>Consumer</v>
      </c>
      <c r="E4584" t="s">
        <v>24</v>
      </c>
      <c r="F4584">
        <v>11</v>
      </c>
      <c r="G4584">
        <v>0.4</v>
      </c>
      <c r="H4584" s="2">
        <v>-5.503799999999984</v>
      </c>
      <c r="I4584" s="2">
        <v>2337.4639999999999</v>
      </c>
    </row>
    <row r="4585" spans="1:9" x14ac:dyDescent="0.3">
      <c r="A4585" t="str">
        <f t="shared" si="1509"/>
        <v>United States</v>
      </c>
      <c r="B4585" t="str">
        <f t="shared" si="1513"/>
        <v>San Francisco</v>
      </c>
      <c r="C4585" t="str">
        <f t="shared" si="1514"/>
        <v>First Class</v>
      </c>
      <c r="D4585" t="str">
        <f t="shared" si="1515"/>
        <v>Consumer</v>
      </c>
      <c r="E4585" t="s">
        <v>14</v>
      </c>
      <c r="F4585">
        <v>18</v>
      </c>
      <c r="G4585">
        <v>0</v>
      </c>
      <c r="H4585" s="2">
        <v>103.5527</v>
      </c>
      <c r="I4585" s="2">
        <v>446.19</v>
      </c>
    </row>
    <row r="4586" spans="1:9" x14ac:dyDescent="0.3">
      <c r="A4586" t="str">
        <f t="shared" si="1509"/>
        <v>United States</v>
      </c>
      <c r="B4586" t="str">
        <f t="shared" si="1513"/>
        <v>San Francisco</v>
      </c>
      <c r="C4586" t="str">
        <f t="shared" si="1514"/>
        <v>First Class</v>
      </c>
      <c r="D4586" t="str">
        <f t="shared" si="1515"/>
        <v>Consumer</v>
      </c>
      <c r="E4586" t="s">
        <v>25</v>
      </c>
      <c r="F4586">
        <v>1</v>
      </c>
      <c r="G4586">
        <v>0.2</v>
      </c>
      <c r="H4586" s="2">
        <v>2.625099999999982</v>
      </c>
      <c r="I4586" s="2">
        <v>210.00800000000001</v>
      </c>
    </row>
    <row r="4587" spans="1:9" x14ac:dyDescent="0.3">
      <c r="A4587" t="str">
        <f t="shared" si="1509"/>
        <v>United States</v>
      </c>
      <c r="B4587" t="str">
        <f t="shared" si="1513"/>
        <v>San Francisco</v>
      </c>
      <c r="C4587" t="str">
        <f t="shared" si="1514"/>
        <v>First Class</v>
      </c>
      <c r="D4587" t="s">
        <v>15</v>
      </c>
      <c r="E4587" t="s">
        <v>23</v>
      </c>
      <c r="F4587">
        <v>3</v>
      </c>
      <c r="G4587">
        <v>0</v>
      </c>
      <c r="H4587" s="2">
        <v>23.69769999999999</v>
      </c>
      <c r="I4587" s="2">
        <v>136.49</v>
      </c>
    </row>
    <row r="4588" spans="1:9" x14ac:dyDescent="0.3">
      <c r="A4588" t="str">
        <f t="shared" si="1509"/>
        <v>United States</v>
      </c>
      <c r="B4588" t="str">
        <f t="shared" si="1513"/>
        <v>San Francisco</v>
      </c>
      <c r="C4588" t="str">
        <f t="shared" si="1514"/>
        <v>First Class</v>
      </c>
      <c r="D4588" t="str">
        <f t="shared" ref="D4588:D4599" si="1516">D4587</f>
        <v>Corporate</v>
      </c>
      <c r="E4588" t="s">
        <v>12</v>
      </c>
      <c r="F4588">
        <v>10</v>
      </c>
      <c r="G4588">
        <v>0</v>
      </c>
      <c r="H4588" s="2">
        <v>280.86379999999997</v>
      </c>
      <c r="I4588" s="2">
        <v>1043.9000000000001</v>
      </c>
    </row>
    <row r="4589" spans="1:9" x14ac:dyDescent="0.3">
      <c r="A4589" t="str">
        <f t="shared" si="1509"/>
        <v>United States</v>
      </c>
      <c r="B4589" t="str">
        <f t="shared" si="1513"/>
        <v>San Francisco</v>
      </c>
      <c r="C4589" t="str">
        <f t="shared" si="1514"/>
        <v>First Class</v>
      </c>
      <c r="D4589" t="str">
        <f t="shared" si="1516"/>
        <v>Corporate</v>
      </c>
      <c r="E4589" t="s">
        <v>20</v>
      </c>
      <c r="F4589">
        <v>17</v>
      </c>
      <c r="G4589">
        <v>1</v>
      </c>
      <c r="H4589" s="2">
        <v>108.33410000000001</v>
      </c>
      <c r="I4589" s="2">
        <v>310.73599999999999</v>
      </c>
    </row>
    <row r="4590" spans="1:9" x14ac:dyDescent="0.3">
      <c r="A4590" t="str">
        <f t="shared" si="1509"/>
        <v>United States</v>
      </c>
      <c r="B4590" t="str">
        <f t="shared" si="1513"/>
        <v>San Francisco</v>
      </c>
      <c r="C4590" t="str">
        <f t="shared" si="1514"/>
        <v>First Class</v>
      </c>
      <c r="D4590" t="str">
        <f t="shared" si="1516"/>
        <v>Corporate</v>
      </c>
      <c r="E4590" t="s">
        <v>34</v>
      </c>
      <c r="F4590">
        <v>22</v>
      </c>
      <c r="G4590">
        <v>0.6</v>
      </c>
      <c r="H4590" s="2">
        <v>376.97360000000009</v>
      </c>
      <c r="I4590" s="2">
        <v>3069.826</v>
      </c>
    </row>
    <row r="4591" spans="1:9" x14ac:dyDescent="0.3">
      <c r="A4591" t="str">
        <f t="shared" si="1509"/>
        <v>United States</v>
      </c>
      <c r="B4591" t="str">
        <f t="shared" si="1513"/>
        <v>San Francisco</v>
      </c>
      <c r="C4591" t="str">
        <f t="shared" si="1514"/>
        <v>First Class</v>
      </c>
      <c r="D4591" t="str">
        <f t="shared" si="1516"/>
        <v>Corporate</v>
      </c>
      <c r="E4591" t="s">
        <v>33</v>
      </c>
      <c r="F4591">
        <v>4</v>
      </c>
      <c r="G4591">
        <v>0.2</v>
      </c>
      <c r="H4591" s="2">
        <v>84.501999999999953</v>
      </c>
      <c r="I4591" s="2">
        <v>1352.0320000000002</v>
      </c>
    </row>
    <row r="4592" spans="1:9" x14ac:dyDescent="0.3">
      <c r="A4592" t="str">
        <f t="shared" si="1509"/>
        <v>United States</v>
      </c>
      <c r="B4592" t="str">
        <f t="shared" si="1513"/>
        <v>San Francisco</v>
      </c>
      <c r="C4592" t="str">
        <f t="shared" si="1514"/>
        <v>First Class</v>
      </c>
      <c r="D4592" t="str">
        <f t="shared" si="1516"/>
        <v>Corporate</v>
      </c>
      <c r="E4592" t="s">
        <v>45</v>
      </c>
      <c r="F4592">
        <v>3</v>
      </c>
      <c r="G4592">
        <v>0.2</v>
      </c>
      <c r="H4592" s="2">
        <v>374.99249999999995</v>
      </c>
      <c r="I4592" s="2">
        <v>1199.9760000000001</v>
      </c>
    </row>
    <row r="4593" spans="1:9" x14ac:dyDescent="0.3">
      <c r="A4593" t="str">
        <f t="shared" si="1509"/>
        <v>United States</v>
      </c>
      <c r="B4593" t="str">
        <f t="shared" si="1513"/>
        <v>San Francisco</v>
      </c>
      <c r="C4593" t="str">
        <f t="shared" si="1514"/>
        <v>First Class</v>
      </c>
      <c r="D4593" t="str">
        <f t="shared" si="1516"/>
        <v>Corporate</v>
      </c>
      <c r="E4593" t="s">
        <v>38</v>
      </c>
      <c r="F4593">
        <v>2</v>
      </c>
      <c r="G4593">
        <v>0</v>
      </c>
      <c r="H4593" s="2">
        <v>10.94</v>
      </c>
      <c r="I4593" s="2">
        <v>21.88</v>
      </c>
    </row>
    <row r="4594" spans="1:9" x14ac:dyDescent="0.3">
      <c r="A4594" t="str">
        <f t="shared" si="1509"/>
        <v>United States</v>
      </c>
      <c r="B4594" t="str">
        <f t="shared" si="1513"/>
        <v>San Francisco</v>
      </c>
      <c r="C4594" t="str">
        <f t="shared" si="1514"/>
        <v>First Class</v>
      </c>
      <c r="D4594" t="str">
        <f t="shared" si="1516"/>
        <v>Corporate</v>
      </c>
      <c r="E4594" t="s">
        <v>21</v>
      </c>
      <c r="F4594">
        <v>6</v>
      </c>
      <c r="G4594">
        <v>0</v>
      </c>
      <c r="H4594" s="2">
        <v>12.145199999999997</v>
      </c>
      <c r="I4594" s="2">
        <v>41.88</v>
      </c>
    </row>
    <row r="4595" spans="1:9" x14ac:dyDescent="0.3">
      <c r="A4595" t="str">
        <f t="shared" si="1509"/>
        <v>United States</v>
      </c>
      <c r="B4595" t="str">
        <f t="shared" si="1513"/>
        <v>San Francisco</v>
      </c>
      <c r="C4595" t="str">
        <f t="shared" si="1514"/>
        <v>First Class</v>
      </c>
      <c r="D4595" t="str">
        <f t="shared" si="1516"/>
        <v>Corporate</v>
      </c>
      <c r="E4595" t="s">
        <v>43</v>
      </c>
      <c r="F4595">
        <v>8</v>
      </c>
      <c r="G4595">
        <v>0</v>
      </c>
      <c r="H4595" s="2">
        <v>27.485599999999998</v>
      </c>
      <c r="I4595" s="2">
        <v>58.48</v>
      </c>
    </row>
    <row r="4596" spans="1:9" x14ac:dyDescent="0.3">
      <c r="A4596" t="str">
        <f t="shared" si="1509"/>
        <v>United States</v>
      </c>
      <c r="B4596" t="str">
        <f t="shared" si="1513"/>
        <v>San Francisco</v>
      </c>
      <c r="C4596" t="str">
        <f t="shared" si="1514"/>
        <v>First Class</v>
      </c>
      <c r="D4596" t="str">
        <f t="shared" si="1516"/>
        <v>Corporate</v>
      </c>
      <c r="E4596" t="s">
        <v>46</v>
      </c>
      <c r="F4596">
        <v>5</v>
      </c>
      <c r="G4596">
        <v>0.4</v>
      </c>
      <c r="H4596" s="2">
        <v>440.99069999999961</v>
      </c>
      <c r="I4596" s="2">
        <v>5039.9599999999991</v>
      </c>
    </row>
    <row r="4597" spans="1:9" x14ac:dyDescent="0.3">
      <c r="A4597" t="str">
        <f t="shared" si="1509"/>
        <v>United States</v>
      </c>
      <c r="B4597" t="str">
        <f t="shared" si="1513"/>
        <v>San Francisco</v>
      </c>
      <c r="C4597" t="str">
        <f t="shared" si="1514"/>
        <v>First Class</v>
      </c>
      <c r="D4597" t="str">
        <f t="shared" si="1516"/>
        <v>Corporate</v>
      </c>
      <c r="E4597" t="s">
        <v>16</v>
      </c>
      <c r="F4597">
        <v>27</v>
      </c>
      <c r="G4597">
        <v>0</v>
      </c>
      <c r="H4597" s="2">
        <v>465.30800000000005</v>
      </c>
      <c r="I4597" s="2">
        <v>965.87</v>
      </c>
    </row>
    <row r="4598" spans="1:9" x14ac:dyDescent="0.3">
      <c r="A4598" t="str">
        <f t="shared" si="1509"/>
        <v>United States</v>
      </c>
      <c r="B4598" t="str">
        <f t="shared" si="1513"/>
        <v>San Francisco</v>
      </c>
      <c r="C4598" t="str">
        <f t="shared" si="1514"/>
        <v>First Class</v>
      </c>
      <c r="D4598" t="str">
        <f t="shared" si="1516"/>
        <v>Corporate</v>
      </c>
      <c r="E4598" t="s">
        <v>24</v>
      </c>
      <c r="F4598">
        <v>11</v>
      </c>
      <c r="G4598">
        <v>0.4</v>
      </c>
      <c r="H4598" s="2">
        <v>41.439599999999999</v>
      </c>
      <c r="I4598" s="2">
        <v>162.81600000000003</v>
      </c>
    </row>
    <row r="4599" spans="1:9" x14ac:dyDescent="0.3">
      <c r="A4599" t="str">
        <f t="shared" si="1509"/>
        <v>United States</v>
      </c>
      <c r="B4599" t="str">
        <f t="shared" si="1513"/>
        <v>San Francisco</v>
      </c>
      <c r="C4599" t="str">
        <f t="shared" si="1514"/>
        <v>First Class</v>
      </c>
      <c r="D4599" t="str">
        <f t="shared" si="1516"/>
        <v>Corporate</v>
      </c>
      <c r="E4599" t="s">
        <v>14</v>
      </c>
      <c r="F4599">
        <v>16</v>
      </c>
      <c r="G4599">
        <v>0</v>
      </c>
      <c r="H4599" s="2">
        <v>193.16880000000003</v>
      </c>
      <c r="I4599" s="2">
        <v>715.44</v>
      </c>
    </row>
    <row r="4600" spans="1:9" x14ac:dyDescent="0.3">
      <c r="A4600" t="str">
        <f t="shared" si="1509"/>
        <v>United States</v>
      </c>
      <c r="B4600" t="str">
        <f t="shared" si="1513"/>
        <v>San Francisco</v>
      </c>
      <c r="C4600" t="str">
        <f t="shared" si="1514"/>
        <v>First Class</v>
      </c>
      <c r="D4600" t="s">
        <v>17</v>
      </c>
      <c r="E4600" t="s">
        <v>23</v>
      </c>
      <c r="F4600">
        <v>5</v>
      </c>
      <c r="G4600">
        <v>0</v>
      </c>
      <c r="H4600" s="2">
        <v>142.69110000000003</v>
      </c>
      <c r="I4600" s="2">
        <v>420.25</v>
      </c>
    </row>
    <row r="4601" spans="1:9" x14ac:dyDescent="0.3">
      <c r="A4601" t="str">
        <f t="shared" si="1509"/>
        <v>United States</v>
      </c>
      <c r="B4601" t="str">
        <f t="shared" si="1513"/>
        <v>San Francisco</v>
      </c>
      <c r="C4601" t="str">
        <f t="shared" si="1514"/>
        <v>First Class</v>
      </c>
      <c r="D4601" t="str">
        <f t="shared" ref="D4601:D4608" si="1517">D4600</f>
        <v>Home Office</v>
      </c>
      <c r="E4601" t="s">
        <v>19</v>
      </c>
      <c r="F4601">
        <v>7</v>
      </c>
      <c r="G4601">
        <v>0</v>
      </c>
      <c r="H4601" s="2">
        <v>4.5472000000000001</v>
      </c>
      <c r="I4601" s="2">
        <v>15.68</v>
      </c>
    </row>
    <row r="4602" spans="1:9" x14ac:dyDescent="0.3">
      <c r="A4602" t="str">
        <f t="shared" si="1509"/>
        <v>United States</v>
      </c>
      <c r="B4602" t="str">
        <f t="shared" si="1513"/>
        <v>San Francisco</v>
      </c>
      <c r="C4602" t="str">
        <f t="shared" si="1514"/>
        <v>First Class</v>
      </c>
      <c r="D4602" t="str">
        <f t="shared" si="1517"/>
        <v>Home Office</v>
      </c>
      <c r="E4602" t="s">
        <v>20</v>
      </c>
      <c r="F4602">
        <v>14</v>
      </c>
      <c r="G4602">
        <v>0.60000000000000009</v>
      </c>
      <c r="H4602" s="2">
        <v>47.960400000000007</v>
      </c>
      <c r="I4602" s="2">
        <v>133.21600000000001</v>
      </c>
    </row>
    <row r="4603" spans="1:9" x14ac:dyDescent="0.3">
      <c r="A4603" t="str">
        <f t="shared" si="1509"/>
        <v>United States</v>
      </c>
      <c r="B4603" t="str">
        <f t="shared" si="1513"/>
        <v>San Francisco</v>
      </c>
      <c r="C4603" t="str">
        <f t="shared" si="1514"/>
        <v>First Class</v>
      </c>
      <c r="D4603" t="str">
        <f t="shared" si="1517"/>
        <v>Home Office</v>
      </c>
      <c r="E4603" t="s">
        <v>33</v>
      </c>
      <c r="F4603">
        <v>3</v>
      </c>
      <c r="G4603">
        <v>0.2</v>
      </c>
      <c r="H4603" s="2">
        <v>40.800600000000003</v>
      </c>
      <c r="I4603" s="2">
        <v>544.00800000000004</v>
      </c>
    </row>
    <row r="4604" spans="1:9" x14ac:dyDescent="0.3">
      <c r="A4604" t="str">
        <f t="shared" si="1509"/>
        <v>United States</v>
      </c>
      <c r="B4604" t="str">
        <f t="shared" si="1513"/>
        <v>San Francisco</v>
      </c>
      <c r="C4604" t="str">
        <f t="shared" si="1514"/>
        <v>First Class</v>
      </c>
      <c r="D4604" t="str">
        <f t="shared" si="1517"/>
        <v>Home Office</v>
      </c>
      <c r="E4604" t="s">
        <v>21</v>
      </c>
      <c r="F4604">
        <v>14</v>
      </c>
      <c r="G4604">
        <v>0</v>
      </c>
      <c r="H4604" s="2">
        <v>89.922599999999989</v>
      </c>
      <c r="I4604" s="2">
        <v>246.39999999999998</v>
      </c>
    </row>
    <row r="4605" spans="1:9" x14ac:dyDescent="0.3">
      <c r="A4605" t="str">
        <f t="shared" si="1509"/>
        <v>United States</v>
      </c>
      <c r="B4605" t="str">
        <f t="shared" si="1513"/>
        <v>San Francisco</v>
      </c>
      <c r="C4605" t="str">
        <f t="shared" si="1514"/>
        <v>First Class</v>
      </c>
      <c r="D4605" t="str">
        <f t="shared" si="1517"/>
        <v>Home Office</v>
      </c>
      <c r="E4605" t="s">
        <v>16</v>
      </c>
      <c r="F4605">
        <v>16</v>
      </c>
      <c r="G4605">
        <v>0</v>
      </c>
      <c r="H4605" s="2">
        <v>138.1618</v>
      </c>
      <c r="I4605" s="2">
        <v>285.42</v>
      </c>
    </row>
    <row r="4606" spans="1:9" x14ac:dyDescent="0.3">
      <c r="A4606" t="str">
        <f t="shared" si="1509"/>
        <v>United States</v>
      </c>
      <c r="B4606" t="str">
        <f t="shared" si="1513"/>
        <v>San Francisco</v>
      </c>
      <c r="C4606" t="str">
        <f t="shared" si="1514"/>
        <v>First Class</v>
      </c>
      <c r="D4606" t="str">
        <f t="shared" si="1517"/>
        <v>Home Office</v>
      </c>
      <c r="E4606" t="s">
        <v>24</v>
      </c>
      <c r="F4606">
        <v>2</v>
      </c>
      <c r="G4606">
        <v>0.2</v>
      </c>
      <c r="H4606" s="2">
        <v>4.4979999999999958</v>
      </c>
      <c r="I4606" s="2">
        <v>35.984000000000002</v>
      </c>
    </row>
    <row r="4607" spans="1:9" x14ac:dyDescent="0.3">
      <c r="A4607" t="str">
        <f t="shared" si="1509"/>
        <v>United States</v>
      </c>
      <c r="B4607" t="str">
        <f t="shared" ref="B4607:B4638" si="1518">B4606</f>
        <v>San Francisco</v>
      </c>
      <c r="C4607" t="str">
        <f t="shared" si="1514"/>
        <v>First Class</v>
      </c>
      <c r="D4607" t="str">
        <f t="shared" si="1517"/>
        <v>Home Office</v>
      </c>
      <c r="E4607" t="s">
        <v>14</v>
      </c>
      <c r="F4607">
        <v>3</v>
      </c>
      <c r="G4607">
        <v>0</v>
      </c>
      <c r="H4607" s="2">
        <v>12.097800000000001</v>
      </c>
      <c r="I4607" s="2">
        <v>46.53</v>
      </c>
    </row>
    <row r="4608" spans="1:9" x14ac:dyDescent="0.3">
      <c r="A4608" t="str">
        <f t="shared" si="1509"/>
        <v>United States</v>
      </c>
      <c r="B4608" t="str">
        <f t="shared" si="1518"/>
        <v>San Francisco</v>
      </c>
      <c r="C4608" t="str">
        <f t="shared" si="1514"/>
        <v>First Class</v>
      </c>
      <c r="D4608" t="str">
        <f t="shared" si="1517"/>
        <v>Home Office</v>
      </c>
      <c r="E4608" t="s">
        <v>9</v>
      </c>
      <c r="F4608">
        <v>5</v>
      </c>
      <c r="G4608">
        <v>0</v>
      </c>
      <c r="H4608" s="2">
        <v>13.365</v>
      </c>
      <c r="I4608" s="2">
        <v>49.5</v>
      </c>
    </row>
    <row r="4609" spans="1:9" x14ac:dyDescent="0.3">
      <c r="A4609" t="str">
        <f t="shared" si="1509"/>
        <v>United States</v>
      </c>
      <c r="B4609" t="str">
        <f t="shared" si="1518"/>
        <v>San Francisco</v>
      </c>
      <c r="C4609" t="s">
        <v>27</v>
      </c>
      <c r="D4609" t="s">
        <v>8</v>
      </c>
      <c r="E4609" t="s">
        <v>23</v>
      </c>
      <c r="F4609">
        <v>4</v>
      </c>
      <c r="G4609">
        <v>0</v>
      </c>
      <c r="H4609" s="2">
        <v>172.38130000000001</v>
      </c>
      <c r="I4609" s="2">
        <v>379.96000000000004</v>
      </c>
    </row>
    <row r="4610" spans="1:9" x14ac:dyDescent="0.3">
      <c r="A4610" t="str">
        <f t="shared" si="1509"/>
        <v>United States</v>
      </c>
      <c r="B4610" t="str">
        <f t="shared" si="1518"/>
        <v>San Francisco</v>
      </c>
      <c r="C4610" t="str">
        <f t="shared" ref="C4610:C4633" si="1519">C4609</f>
        <v>Same Day</v>
      </c>
      <c r="D4610" t="str">
        <f t="shared" ref="D4610:D4618" si="1520">D4609</f>
        <v>Consumer</v>
      </c>
      <c r="E4610" t="s">
        <v>12</v>
      </c>
      <c r="F4610">
        <v>12</v>
      </c>
      <c r="G4610">
        <v>0</v>
      </c>
      <c r="H4610" s="2">
        <v>136.47129999999999</v>
      </c>
      <c r="I4610" s="2">
        <v>490.39</v>
      </c>
    </row>
    <row r="4611" spans="1:9" x14ac:dyDescent="0.3">
      <c r="A4611" t="str">
        <f t="shared" si="1509"/>
        <v>United States</v>
      </c>
      <c r="B4611" t="str">
        <f t="shared" si="1518"/>
        <v>San Francisco</v>
      </c>
      <c r="C4611" t="str">
        <f t="shared" si="1519"/>
        <v>Same Day</v>
      </c>
      <c r="D4611" t="str">
        <f t="shared" si="1520"/>
        <v>Consumer</v>
      </c>
      <c r="E4611" t="s">
        <v>19</v>
      </c>
      <c r="F4611">
        <v>7</v>
      </c>
      <c r="G4611">
        <v>0</v>
      </c>
      <c r="H4611" s="2">
        <v>21.406400000000001</v>
      </c>
      <c r="I4611" s="2">
        <v>73</v>
      </c>
    </row>
    <row r="4612" spans="1:9" x14ac:dyDescent="0.3">
      <c r="A4612" t="str">
        <f t="shared" ref="A4612:A4675" si="1521">A4611</f>
        <v>United States</v>
      </c>
      <c r="B4612" t="str">
        <f t="shared" si="1518"/>
        <v>San Francisco</v>
      </c>
      <c r="C4612" t="str">
        <f t="shared" si="1519"/>
        <v>Same Day</v>
      </c>
      <c r="D4612" t="str">
        <f t="shared" si="1520"/>
        <v>Consumer</v>
      </c>
      <c r="E4612" t="s">
        <v>20</v>
      </c>
      <c r="F4612">
        <v>7</v>
      </c>
      <c r="G4612">
        <v>0.60000000000000009</v>
      </c>
      <c r="H4612" s="2">
        <v>9.9833999999999996</v>
      </c>
      <c r="I4612" s="2">
        <v>28.240000000000002</v>
      </c>
    </row>
    <row r="4613" spans="1:9" x14ac:dyDescent="0.3">
      <c r="A4613" t="str">
        <f t="shared" si="1521"/>
        <v>United States</v>
      </c>
      <c r="B4613" t="str">
        <f t="shared" si="1518"/>
        <v>San Francisco</v>
      </c>
      <c r="C4613" t="str">
        <f t="shared" si="1519"/>
        <v>Same Day</v>
      </c>
      <c r="D4613" t="str">
        <f t="shared" si="1520"/>
        <v>Consumer</v>
      </c>
      <c r="E4613" t="s">
        <v>33</v>
      </c>
      <c r="F4613">
        <v>1</v>
      </c>
      <c r="G4613">
        <v>0.2</v>
      </c>
      <c r="H4613" s="2">
        <v>10.858800000000002</v>
      </c>
      <c r="I4613" s="2">
        <v>144.78399999999999</v>
      </c>
    </row>
    <row r="4614" spans="1:9" x14ac:dyDescent="0.3">
      <c r="A4614" t="str">
        <f t="shared" si="1521"/>
        <v>United States</v>
      </c>
      <c r="B4614" t="str">
        <f t="shared" si="1518"/>
        <v>San Francisco</v>
      </c>
      <c r="C4614" t="str">
        <f t="shared" si="1519"/>
        <v>Same Day</v>
      </c>
      <c r="D4614" t="str">
        <f t="shared" si="1520"/>
        <v>Consumer</v>
      </c>
      <c r="E4614" t="s">
        <v>45</v>
      </c>
      <c r="F4614">
        <v>5</v>
      </c>
      <c r="G4614">
        <v>0.2</v>
      </c>
      <c r="H4614" s="2">
        <v>944.98649999999986</v>
      </c>
      <c r="I4614" s="2">
        <v>2799.9600000000005</v>
      </c>
    </row>
    <row r="4615" spans="1:9" x14ac:dyDescent="0.3">
      <c r="A4615" t="str">
        <f t="shared" si="1521"/>
        <v>United States</v>
      </c>
      <c r="B4615" t="str">
        <f t="shared" si="1518"/>
        <v>San Francisco</v>
      </c>
      <c r="C4615" t="str">
        <f t="shared" si="1519"/>
        <v>Same Day</v>
      </c>
      <c r="D4615" t="str">
        <f t="shared" si="1520"/>
        <v>Consumer</v>
      </c>
      <c r="E4615" t="s">
        <v>21</v>
      </c>
      <c r="F4615">
        <v>7</v>
      </c>
      <c r="G4615">
        <v>0</v>
      </c>
      <c r="H4615" s="2">
        <v>20.386800000000001</v>
      </c>
      <c r="I4615" s="2">
        <v>56.629999999999995</v>
      </c>
    </row>
    <row r="4616" spans="1:9" x14ac:dyDescent="0.3">
      <c r="A4616" t="str">
        <f t="shared" si="1521"/>
        <v>United States</v>
      </c>
      <c r="B4616" t="str">
        <f t="shared" si="1518"/>
        <v>San Francisco</v>
      </c>
      <c r="C4616" t="str">
        <f t="shared" si="1519"/>
        <v>Same Day</v>
      </c>
      <c r="D4616" t="str">
        <f t="shared" si="1520"/>
        <v>Consumer</v>
      </c>
      <c r="E4616" t="s">
        <v>16</v>
      </c>
      <c r="F4616">
        <v>1</v>
      </c>
      <c r="G4616">
        <v>0</v>
      </c>
      <c r="H4616" s="2">
        <v>3.5009999999999994</v>
      </c>
      <c r="I4616" s="2">
        <v>7.78</v>
      </c>
    </row>
    <row r="4617" spans="1:9" x14ac:dyDescent="0.3">
      <c r="A4617" t="str">
        <f t="shared" si="1521"/>
        <v>United States</v>
      </c>
      <c r="B4617" t="str">
        <f t="shared" si="1518"/>
        <v>San Francisco</v>
      </c>
      <c r="C4617" t="str">
        <f t="shared" si="1519"/>
        <v>Same Day</v>
      </c>
      <c r="D4617" t="str">
        <f t="shared" si="1520"/>
        <v>Consumer</v>
      </c>
      <c r="E4617" t="s">
        <v>14</v>
      </c>
      <c r="F4617">
        <v>9</v>
      </c>
      <c r="G4617">
        <v>0</v>
      </c>
      <c r="H4617" s="2">
        <v>30.653799999999993</v>
      </c>
      <c r="I4617" s="2">
        <v>223.54000000000002</v>
      </c>
    </row>
    <row r="4618" spans="1:9" x14ac:dyDescent="0.3">
      <c r="A4618" t="str">
        <f t="shared" si="1521"/>
        <v>United States</v>
      </c>
      <c r="B4618" t="str">
        <f t="shared" si="1518"/>
        <v>San Francisco</v>
      </c>
      <c r="C4618" t="str">
        <f t="shared" si="1519"/>
        <v>Same Day</v>
      </c>
      <c r="D4618" t="str">
        <f t="shared" si="1520"/>
        <v>Consumer</v>
      </c>
      <c r="E4618" t="s">
        <v>9</v>
      </c>
      <c r="F4618">
        <v>4</v>
      </c>
      <c r="G4618">
        <v>0</v>
      </c>
      <c r="H4618" s="2">
        <v>9.2567999999999984</v>
      </c>
      <c r="I4618" s="2">
        <v>31.92</v>
      </c>
    </row>
    <row r="4619" spans="1:9" x14ac:dyDescent="0.3">
      <c r="A4619" t="str">
        <f t="shared" si="1521"/>
        <v>United States</v>
      </c>
      <c r="B4619" t="str">
        <f t="shared" si="1518"/>
        <v>San Francisco</v>
      </c>
      <c r="C4619" t="str">
        <f t="shared" si="1519"/>
        <v>Same Day</v>
      </c>
      <c r="D4619" t="s">
        <v>15</v>
      </c>
      <c r="E4619" t="s">
        <v>20</v>
      </c>
      <c r="F4619">
        <v>6</v>
      </c>
      <c r="G4619">
        <v>0.4</v>
      </c>
      <c r="H4619" s="2">
        <v>319.80990000000003</v>
      </c>
      <c r="I4619" s="2">
        <v>948.21600000000012</v>
      </c>
    </row>
    <row r="4620" spans="1:9" x14ac:dyDescent="0.3">
      <c r="A4620" t="str">
        <f t="shared" si="1521"/>
        <v>United States</v>
      </c>
      <c r="B4620" t="str">
        <f t="shared" si="1518"/>
        <v>San Francisco</v>
      </c>
      <c r="C4620" t="str">
        <f t="shared" si="1519"/>
        <v>Same Day</v>
      </c>
      <c r="D4620" t="str">
        <f t="shared" ref="D4620:D4625" si="1522">D4619</f>
        <v>Corporate</v>
      </c>
      <c r="E4620" t="s">
        <v>33</v>
      </c>
      <c r="F4620">
        <v>9</v>
      </c>
      <c r="G4620">
        <v>0.4</v>
      </c>
      <c r="H4620" s="2">
        <v>-140.39730000000026</v>
      </c>
      <c r="I4620" s="2">
        <v>2048.8560000000002</v>
      </c>
    </row>
    <row r="4621" spans="1:9" x14ac:dyDescent="0.3">
      <c r="A4621" t="str">
        <f t="shared" si="1521"/>
        <v>United States</v>
      </c>
      <c r="B4621" t="str">
        <f t="shared" si="1518"/>
        <v>San Francisco</v>
      </c>
      <c r="C4621" t="str">
        <f t="shared" si="1519"/>
        <v>Same Day</v>
      </c>
      <c r="D4621" t="str">
        <f t="shared" si="1522"/>
        <v>Corporate</v>
      </c>
      <c r="E4621" t="s">
        <v>38</v>
      </c>
      <c r="F4621">
        <v>6</v>
      </c>
      <c r="G4621">
        <v>0</v>
      </c>
      <c r="H4621" s="2">
        <v>33.064799999999998</v>
      </c>
      <c r="I4621" s="2">
        <v>71.88</v>
      </c>
    </row>
    <row r="4622" spans="1:9" x14ac:dyDescent="0.3">
      <c r="A4622" t="str">
        <f t="shared" si="1521"/>
        <v>United States</v>
      </c>
      <c r="B4622" t="str">
        <f t="shared" si="1518"/>
        <v>San Francisco</v>
      </c>
      <c r="C4622" t="str">
        <f t="shared" si="1519"/>
        <v>Same Day</v>
      </c>
      <c r="D4622" t="str">
        <f t="shared" si="1522"/>
        <v>Corporate</v>
      </c>
      <c r="E4622" t="s">
        <v>21</v>
      </c>
      <c r="F4622">
        <v>11</v>
      </c>
      <c r="G4622">
        <v>0</v>
      </c>
      <c r="H4622" s="2">
        <v>38.335999999999999</v>
      </c>
      <c r="I4622" s="2">
        <v>107.72</v>
      </c>
    </row>
    <row r="4623" spans="1:9" x14ac:dyDescent="0.3">
      <c r="A4623" t="str">
        <f t="shared" si="1521"/>
        <v>United States</v>
      </c>
      <c r="B4623" t="str">
        <f t="shared" si="1518"/>
        <v>San Francisco</v>
      </c>
      <c r="C4623" t="str">
        <f t="shared" si="1519"/>
        <v>Same Day</v>
      </c>
      <c r="D4623" t="str">
        <f t="shared" si="1522"/>
        <v>Corporate</v>
      </c>
      <c r="E4623" t="s">
        <v>46</v>
      </c>
      <c r="F4623">
        <v>3</v>
      </c>
      <c r="G4623">
        <v>0.2</v>
      </c>
      <c r="H4623" s="2">
        <v>215.99729999999977</v>
      </c>
      <c r="I4623" s="2">
        <v>1919.9760000000001</v>
      </c>
    </row>
    <row r="4624" spans="1:9" x14ac:dyDescent="0.3">
      <c r="A4624" t="str">
        <f t="shared" si="1521"/>
        <v>United States</v>
      </c>
      <c r="B4624" t="str">
        <f t="shared" si="1518"/>
        <v>San Francisco</v>
      </c>
      <c r="C4624" t="str">
        <f t="shared" si="1519"/>
        <v>Same Day</v>
      </c>
      <c r="D4624" t="str">
        <f t="shared" si="1522"/>
        <v>Corporate</v>
      </c>
      <c r="E4624" t="s">
        <v>16</v>
      </c>
      <c r="F4624">
        <v>10</v>
      </c>
      <c r="G4624">
        <v>0</v>
      </c>
      <c r="H4624" s="2">
        <v>76.419600000000003</v>
      </c>
      <c r="I4624" s="2">
        <v>159.16</v>
      </c>
    </row>
    <row r="4625" spans="1:9" x14ac:dyDescent="0.3">
      <c r="A4625" t="str">
        <f t="shared" si="1521"/>
        <v>United States</v>
      </c>
      <c r="B4625" t="str">
        <f t="shared" si="1518"/>
        <v>San Francisco</v>
      </c>
      <c r="C4625" t="str">
        <f t="shared" si="1519"/>
        <v>Same Day</v>
      </c>
      <c r="D4625" t="str">
        <f t="shared" si="1522"/>
        <v>Corporate</v>
      </c>
      <c r="E4625" t="s">
        <v>9</v>
      </c>
      <c r="F4625">
        <v>3</v>
      </c>
      <c r="G4625">
        <v>0</v>
      </c>
      <c r="H4625" s="2">
        <v>7.6049999999999978</v>
      </c>
      <c r="I4625" s="2">
        <v>25.349999999999998</v>
      </c>
    </row>
    <row r="4626" spans="1:9" x14ac:dyDescent="0.3">
      <c r="A4626" t="str">
        <f t="shared" si="1521"/>
        <v>United States</v>
      </c>
      <c r="B4626" t="str">
        <f t="shared" si="1518"/>
        <v>San Francisco</v>
      </c>
      <c r="C4626" t="str">
        <f t="shared" si="1519"/>
        <v>Same Day</v>
      </c>
      <c r="D4626" t="s">
        <v>17</v>
      </c>
      <c r="E4626" t="s">
        <v>23</v>
      </c>
      <c r="F4626">
        <v>1</v>
      </c>
      <c r="G4626">
        <v>0</v>
      </c>
      <c r="H4626" s="2">
        <v>1.0169999999999995</v>
      </c>
      <c r="I4626" s="2">
        <v>16.95</v>
      </c>
    </row>
    <row r="4627" spans="1:9" x14ac:dyDescent="0.3">
      <c r="A4627" t="str">
        <f t="shared" si="1521"/>
        <v>United States</v>
      </c>
      <c r="B4627" t="str">
        <f t="shared" si="1518"/>
        <v>San Francisco</v>
      </c>
      <c r="C4627" t="str">
        <f t="shared" si="1519"/>
        <v>Same Day</v>
      </c>
      <c r="D4627" t="str">
        <f t="shared" ref="D4627:D4633" si="1523">D4626</f>
        <v>Home Office</v>
      </c>
      <c r="E4627" t="s">
        <v>19</v>
      </c>
      <c r="F4627">
        <v>9</v>
      </c>
      <c r="G4627">
        <v>0</v>
      </c>
      <c r="H4627" s="2">
        <v>11.151</v>
      </c>
      <c r="I4627" s="2">
        <v>37.17</v>
      </c>
    </row>
    <row r="4628" spans="1:9" x14ac:dyDescent="0.3">
      <c r="A4628" t="str">
        <f t="shared" si="1521"/>
        <v>United States</v>
      </c>
      <c r="B4628" t="str">
        <f t="shared" si="1518"/>
        <v>San Francisco</v>
      </c>
      <c r="C4628" t="str">
        <f t="shared" si="1519"/>
        <v>Same Day</v>
      </c>
      <c r="D4628" t="str">
        <f t="shared" si="1523"/>
        <v>Home Office</v>
      </c>
      <c r="E4628" t="s">
        <v>20</v>
      </c>
      <c r="F4628">
        <v>1</v>
      </c>
      <c r="G4628">
        <v>0.2</v>
      </c>
      <c r="H4628" s="2">
        <v>1.5602</v>
      </c>
      <c r="I4628" s="2">
        <v>4.3040000000000003</v>
      </c>
    </row>
    <row r="4629" spans="1:9" x14ac:dyDescent="0.3">
      <c r="A4629" t="str">
        <f t="shared" si="1521"/>
        <v>United States</v>
      </c>
      <c r="B4629" t="str">
        <f t="shared" si="1518"/>
        <v>San Francisco</v>
      </c>
      <c r="C4629" t="str">
        <f t="shared" si="1519"/>
        <v>Same Day</v>
      </c>
      <c r="D4629" t="str">
        <f t="shared" si="1523"/>
        <v>Home Office</v>
      </c>
      <c r="E4629" t="s">
        <v>34</v>
      </c>
      <c r="F4629">
        <v>4</v>
      </c>
      <c r="G4629">
        <v>0.15</v>
      </c>
      <c r="H4629" s="2">
        <v>-4.8391999999999769</v>
      </c>
      <c r="I4629" s="2">
        <v>411.33199999999999</v>
      </c>
    </row>
    <row r="4630" spans="1:9" x14ac:dyDescent="0.3">
      <c r="A4630" t="str">
        <f t="shared" si="1521"/>
        <v>United States</v>
      </c>
      <c r="B4630" t="str">
        <f t="shared" si="1518"/>
        <v>San Francisco</v>
      </c>
      <c r="C4630" t="str">
        <f t="shared" si="1519"/>
        <v>Same Day</v>
      </c>
      <c r="D4630" t="str">
        <f t="shared" si="1523"/>
        <v>Home Office</v>
      </c>
      <c r="E4630" t="s">
        <v>18</v>
      </c>
      <c r="F4630">
        <v>3</v>
      </c>
      <c r="G4630">
        <v>0</v>
      </c>
      <c r="H4630" s="2">
        <v>0.11340000000000017</v>
      </c>
      <c r="I4630" s="2">
        <v>5.67</v>
      </c>
    </row>
    <row r="4631" spans="1:9" x14ac:dyDescent="0.3">
      <c r="A4631" t="str">
        <f t="shared" si="1521"/>
        <v>United States</v>
      </c>
      <c r="B4631" t="str">
        <f t="shared" si="1518"/>
        <v>San Francisco</v>
      </c>
      <c r="C4631" t="str">
        <f t="shared" si="1519"/>
        <v>Same Day</v>
      </c>
      <c r="D4631" t="str">
        <f t="shared" si="1523"/>
        <v>Home Office</v>
      </c>
      <c r="E4631" t="s">
        <v>43</v>
      </c>
      <c r="F4631">
        <v>8</v>
      </c>
      <c r="G4631">
        <v>0</v>
      </c>
      <c r="H4631" s="2">
        <v>39.744</v>
      </c>
      <c r="I4631" s="2">
        <v>82.8</v>
      </c>
    </row>
    <row r="4632" spans="1:9" x14ac:dyDescent="0.3">
      <c r="A4632" t="str">
        <f t="shared" si="1521"/>
        <v>United States</v>
      </c>
      <c r="B4632" t="str">
        <f t="shared" si="1518"/>
        <v>San Francisco</v>
      </c>
      <c r="C4632" t="str">
        <f t="shared" si="1519"/>
        <v>Same Day</v>
      </c>
      <c r="D4632" t="str">
        <f t="shared" si="1523"/>
        <v>Home Office</v>
      </c>
      <c r="E4632" t="s">
        <v>16</v>
      </c>
      <c r="F4632">
        <v>12</v>
      </c>
      <c r="G4632">
        <v>0</v>
      </c>
      <c r="H4632" s="2">
        <v>63.0702</v>
      </c>
      <c r="I4632" s="2">
        <v>131.69999999999999</v>
      </c>
    </row>
    <row r="4633" spans="1:9" x14ac:dyDescent="0.3">
      <c r="A4633" t="str">
        <f t="shared" si="1521"/>
        <v>United States</v>
      </c>
      <c r="B4633" t="str">
        <f t="shared" si="1518"/>
        <v>San Francisco</v>
      </c>
      <c r="C4633" t="str">
        <f t="shared" si="1519"/>
        <v>Same Day</v>
      </c>
      <c r="D4633" t="str">
        <f t="shared" si="1523"/>
        <v>Home Office</v>
      </c>
      <c r="E4633" t="s">
        <v>9</v>
      </c>
      <c r="F4633">
        <v>2</v>
      </c>
      <c r="G4633">
        <v>0</v>
      </c>
      <c r="H4633" s="2">
        <v>0.14719999999999978</v>
      </c>
      <c r="I4633" s="2">
        <v>7.36</v>
      </c>
    </row>
    <row r="4634" spans="1:9" x14ac:dyDescent="0.3">
      <c r="A4634" t="str">
        <f t="shared" si="1521"/>
        <v>United States</v>
      </c>
      <c r="B4634" t="str">
        <f t="shared" si="1518"/>
        <v>San Francisco</v>
      </c>
      <c r="C4634" t="s">
        <v>7</v>
      </c>
      <c r="D4634" t="s">
        <v>8</v>
      </c>
      <c r="E4634" t="s">
        <v>23</v>
      </c>
      <c r="F4634">
        <v>6</v>
      </c>
      <c r="G4634">
        <v>0</v>
      </c>
      <c r="H4634" s="2">
        <v>98.749900000000011</v>
      </c>
      <c r="I4634" s="2">
        <v>445.96000000000004</v>
      </c>
    </row>
    <row r="4635" spans="1:9" x14ac:dyDescent="0.3">
      <c r="A4635" t="str">
        <f t="shared" si="1521"/>
        <v>United States</v>
      </c>
      <c r="B4635" t="str">
        <f t="shared" si="1518"/>
        <v>San Francisco</v>
      </c>
      <c r="C4635" t="str">
        <f t="shared" ref="C4635:C4671" si="1524">C4634</f>
        <v>Second Class</v>
      </c>
      <c r="D4635" t="str">
        <f t="shared" ref="D4635:D4647" si="1525">D4634</f>
        <v>Consumer</v>
      </c>
      <c r="E4635" t="s">
        <v>12</v>
      </c>
      <c r="F4635">
        <v>4</v>
      </c>
      <c r="G4635">
        <v>0</v>
      </c>
      <c r="H4635" s="2">
        <v>22.702400000000004</v>
      </c>
      <c r="I4635" s="2">
        <v>81.08</v>
      </c>
    </row>
    <row r="4636" spans="1:9" x14ac:dyDescent="0.3">
      <c r="A4636" t="str">
        <f t="shared" si="1521"/>
        <v>United States</v>
      </c>
      <c r="B4636" t="str">
        <f t="shared" si="1518"/>
        <v>San Francisco</v>
      </c>
      <c r="C4636" t="str">
        <f t="shared" si="1524"/>
        <v>Second Class</v>
      </c>
      <c r="D4636" t="str">
        <f t="shared" si="1525"/>
        <v>Consumer</v>
      </c>
      <c r="E4636" t="s">
        <v>19</v>
      </c>
      <c r="F4636">
        <v>12</v>
      </c>
      <c r="G4636">
        <v>0</v>
      </c>
      <c r="H4636" s="2">
        <v>10.044799999999999</v>
      </c>
      <c r="I4636" s="2">
        <v>36.760000000000005</v>
      </c>
    </row>
    <row r="4637" spans="1:9" x14ac:dyDescent="0.3">
      <c r="A4637" t="str">
        <f t="shared" si="1521"/>
        <v>United States</v>
      </c>
      <c r="B4637" t="str">
        <f t="shared" si="1518"/>
        <v>San Francisco</v>
      </c>
      <c r="C4637" t="str">
        <f t="shared" si="1524"/>
        <v>Second Class</v>
      </c>
      <c r="D4637" t="str">
        <f t="shared" si="1525"/>
        <v>Consumer</v>
      </c>
      <c r="E4637" t="s">
        <v>20</v>
      </c>
      <c r="F4637">
        <v>19</v>
      </c>
      <c r="G4637">
        <v>0.8</v>
      </c>
      <c r="H4637" s="2">
        <v>50.498999999999981</v>
      </c>
      <c r="I4637" s="2">
        <v>156.792</v>
      </c>
    </row>
    <row r="4638" spans="1:9" x14ac:dyDescent="0.3">
      <c r="A4638" t="str">
        <f t="shared" si="1521"/>
        <v>United States</v>
      </c>
      <c r="B4638" t="str">
        <f t="shared" si="1518"/>
        <v>San Francisco</v>
      </c>
      <c r="C4638" t="str">
        <f t="shared" si="1524"/>
        <v>Second Class</v>
      </c>
      <c r="D4638" t="str">
        <f t="shared" si="1525"/>
        <v>Consumer</v>
      </c>
      <c r="E4638" t="s">
        <v>34</v>
      </c>
      <c r="F4638">
        <v>2</v>
      </c>
      <c r="G4638">
        <v>0.15</v>
      </c>
      <c r="H4638" s="2">
        <v>10.478399999999979</v>
      </c>
      <c r="I4638" s="2">
        <v>222.66599999999997</v>
      </c>
    </row>
    <row r="4639" spans="1:9" x14ac:dyDescent="0.3">
      <c r="A4639" t="str">
        <f t="shared" si="1521"/>
        <v>United States</v>
      </c>
      <c r="B4639" t="str">
        <f t="shared" ref="B4639:B4670" si="1526">B4638</f>
        <v>San Francisco</v>
      </c>
      <c r="C4639" t="str">
        <f t="shared" si="1524"/>
        <v>Second Class</v>
      </c>
      <c r="D4639" t="str">
        <f t="shared" si="1525"/>
        <v>Consumer</v>
      </c>
      <c r="E4639" t="s">
        <v>33</v>
      </c>
      <c r="F4639">
        <v>7</v>
      </c>
      <c r="G4639">
        <v>0.60000000000000009</v>
      </c>
      <c r="H4639" s="2">
        <v>99.909200000000027</v>
      </c>
      <c r="I4639" s="2">
        <v>2160.8559999999998</v>
      </c>
    </row>
    <row r="4640" spans="1:9" x14ac:dyDescent="0.3">
      <c r="A4640" t="str">
        <f t="shared" si="1521"/>
        <v>United States</v>
      </c>
      <c r="B4640" t="str">
        <f t="shared" si="1526"/>
        <v>San Francisco</v>
      </c>
      <c r="C4640" t="str">
        <f t="shared" si="1524"/>
        <v>Second Class</v>
      </c>
      <c r="D4640" t="str">
        <f t="shared" si="1525"/>
        <v>Consumer</v>
      </c>
      <c r="E4640" t="s">
        <v>18</v>
      </c>
      <c r="F4640">
        <v>1</v>
      </c>
      <c r="G4640">
        <v>0</v>
      </c>
      <c r="H4640" s="2">
        <v>1.3535999999999999</v>
      </c>
      <c r="I4640" s="2">
        <v>2.88</v>
      </c>
    </row>
    <row r="4641" spans="1:9" x14ac:dyDescent="0.3">
      <c r="A4641" t="str">
        <f t="shared" si="1521"/>
        <v>United States</v>
      </c>
      <c r="B4641" t="str">
        <f t="shared" si="1526"/>
        <v>San Francisco</v>
      </c>
      <c r="C4641" t="str">
        <f t="shared" si="1524"/>
        <v>Second Class</v>
      </c>
      <c r="D4641" t="str">
        <f t="shared" si="1525"/>
        <v>Consumer</v>
      </c>
      <c r="E4641" t="s">
        <v>21</v>
      </c>
      <c r="F4641">
        <v>21</v>
      </c>
      <c r="G4641">
        <v>0</v>
      </c>
      <c r="H4641" s="2">
        <v>74.697200000000009</v>
      </c>
      <c r="I4641" s="2">
        <v>283</v>
      </c>
    </row>
    <row r="4642" spans="1:9" x14ac:dyDescent="0.3">
      <c r="A4642" t="str">
        <f t="shared" si="1521"/>
        <v>United States</v>
      </c>
      <c r="B4642" t="str">
        <f t="shared" si="1526"/>
        <v>San Francisco</v>
      </c>
      <c r="C4642" t="str">
        <f t="shared" si="1524"/>
        <v>Second Class</v>
      </c>
      <c r="D4642" t="str">
        <f t="shared" si="1525"/>
        <v>Consumer</v>
      </c>
      <c r="E4642" t="s">
        <v>43</v>
      </c>
      <c r="F4642">
        <v>10</v>
      </c>
      <c r="G4642">
        <v>0</v>
      </c>
      <c r="H4642" s="2">
        <v>37.969499999999996</v>
      </c>
      <c r="I4642" s="2">
        <v>79.44</v>
      </c>
    </row>
    <row r="4643" spans="1:9" x14ac:dyDescent="0.3">
      <c r="A4643" t="str">
        <f t="shared" si="1521"/>
        <v>United States</v>
      </c>
      <c r="B4643" t="str">
        <f t="shared" si="1526"/>
        <v>San Francisco</v>
      </c>
      <c r="C4643" t="str">
        <f t="shared" si="1524"/>
        <v>Second Class</v>
      </c>
      <c r="D4643" t="str">
        <f t="shared" si="1525"/>
        <v>Consumer</v>
      </c>
      <c r="E4643" t="s">
        <v>16</v>
      </c>
      <c r="F4643">
        <v>15</v>
      </c>
      <c r="G4643">
        <v>0</v>
      </c>
      <c r="H4643" s="2">
        <v>117.05119999999998</v>
      </c>
      <c r="I4643" s="2">
        <v>248.35999999999999</v>
      </c>
    </row>
    <row r="4644" spans="1:9" x14ac:dyDescent="0.3">
      <c r="A4644" t="str">
        <f t="shared" si="1521"/>
        <v>United States</v>
      </c>
      <c r="B4644" t="str">
        <f t="shared" si="1526"/>
        <v>San Francisco</v>
      </c>
      <c r="C4644" t="str">
        <f t="shared" si="1524"/>
        <v>Second Class</v>
      </c>
      <c r="D4644" t="str">
        <f t="shared" si="1525"/>
        <v>Consumer</v>
      </c>
      <c r="E4644" t="s">
        <v>24</v>
      </c>
      <c r="F4644">
        <v>30</v>
      </c>
      <c r="G4644">
        <v>1.2</v>
      </c>
      <c r="H4644" s="2">
        <v>318.75269999999961</v>
      </c>
      <c r="I4644" s="2">
        <v>3179.6640000000002</v>
      </c>
    </row>
    <row r="4645" spans="1:9" x14ac:dyDescent="0.3">
      <c r="A4645" t="str">
        <f t="shared" si="1521"/>
        <v>United States</v>
      </c>
      <c r="B4645" t="str">
        <f t="shared" si="1526"/>
        <v>San Francisco</v>
      </c>
      <c r="C4645" t="str">
        <f t="shared" si="1524"/>
        <v>Second Class</v>
      </c>
      <c r="D4645" t="str">
        <f t="shared" si="1525"/>
        <v>Consumer</v>
      </c>
      <c r="E4645" t="s">
        <v>14</v>
      </c>
      <c r="F4645">
        <v>35</v>
      </c>
      <c r="G4645">
        <v>0</v>
      </c>
      <c r="H4645" s="2">
        <v>278.25699999999995</v>
      </c>
      <c r="I4645" s="2">
        <v>1390.31</v>
      </c>
    </row>
    <row r="4646" spans="1:9" x14ac:dyDescent="0.3">
      <c r="A4646" t="str">
        <f t="shared" si="1521"/>
        <v>United States</v>
      </c>
      <c r="B4646" t="str">
        <f t="shared" si="1526"/>
        <v>San Francisco</v>
      </c>
      <c r="C4646" t="str">
        <f t="shared" si="1524"/>
        <v>Second Class</v>
      </c>
      <c r="D4646" t="str">
        <f t="shared" si="1525"/>
        <v>Consumer</v>
      </c>
      <c r="E4646" t="s">
        <v>9</v>
      </c>
      <c r="F4646">
        <v>5</v>
      </c>
      <c r="G4646">
        <v>0</v>
      </c>
      <c r="H4646" s="2">
        <v>327.50599999999963</v>
      </c>
      <c r="I4646" s="2">
        <v>8187.65</v>
      </c>
    </row>
    <row r="4647" spans="1:9" x14ac:dyDescent="0.3">
      <c r="A4647" t="str">
        <f t="shared" si="1521"/>
        <v>United States</v>
      </c>
      <c r="B4647" t="str">
        <f t="shared" si="1526"/>
        <v>San Francisco</v>
      </c>
      <c r="C4647" t="str">
        <f t="shared" si="1524"/>
        <v>Second Class</v>
      </c>
      <c r="D4647" t="str">
        <f t="shared" si="1525"/>
        <v>Consumer</v>
      </c>
      <c r="E4647" t="s">
        <v>25</v>
      </c>
      <c r="F4647">
        <v>13</v>
      </c>
      <c r="G4647">
        <v>0.60000000000000009</v>
      </c>
      <c r="H4647" s="2">
        <v>109.77940000000002</v>
      </c>
      <c r="I4647" s="2">
        <v>1719.712</v>
      </c>
    </row>
    <row r="4648" spans="1:9" x14ac:dyDescent="0.3">
      <c r="A4648" t="str">
        <f t="shared" si="1521"/>
        <v>United States</v>
      </c>
      <c r="B4648" t="str">
        <f t="shared" si="1526"/>
        <v>San Francisco</v>
      </c>
      <c r="C4648" t="str">
        <f t="shared" si="1524"/>
        <v>Second Class</v>
      </c>
      <c r="D4648" t="s">
        <v>15</v>
      </c>
      <c r="E4648" t="s">
        <v>23</v>
      </c>
      <c r="F4648">
        <v>4</v>
      </c>
      <c r="G4648">
        <v>0</v>
      </c>
      <c r="H4648" s="2">
        <v>21.27239999999999</v>
      </c>
      <c r="I4648" s="2">
        <v>111.96</v>
      </c>
    </row>
    <row r="4649" spans="1:9" x14ac:dyDescent="0.3">
      <c r="A4649" t="str">
        <f t="shared" si="1521"/>
        <v>United States</v>
      </c>
      <c r="B4649" t="str">
        <f t="shared" si="1526"/>
        <v>San Francisco</v>
      </c>
      <c r="C4649" t="str">
        <f t="shared" si="1524"/>
        <v>Second Class</v>
      </c>
      <c r="D4649" t="str">
        <f t="shared" ref="D4649:D4660" si="1527">D4648</f>
        <v>Corporate</v>
      </c>
      <c r="E4649" t="s">
        <v>12</v>
      </c>
      <c r="F4649">
        <v>6</v>
      </c>
      <c r="G4649">
        <v>0</v>
      </c>
      <c r="H4649" s="2">
        <v>61.117999999999995</v>
      </c>
      <c r="I4649" s="2">
        <v>224.38</v>
      </c>
    </row>
    <row r="4650" spans="1:9" x14ac:dyDescent="0.3">
      <c r="A4650" t="str">
        <f t="shared" si="1521"/>
        <v>United States</v>
      </c>
      <c r="B4650" t="str">
        <f t="shared" si="1526"/>
        <v>San Francisco</v>
      </c>
      <c r="C4650" t="str">
        <f t="shared" si="1524"/>
        <v>Second Class</v>
      </c>
      <c r="D4650" t="str">
        <f t="shared" si="1527"/>
        <v>Corporate</v>
      </c>
      <c r="E4650" t="s">
        <v>19</v>
      </c>
      <c r="F4650">
        <v>2</v>
      </c>
      <c r="G4650">
        <v>0</v>
      </c>
      <c r="H4650" s="2">
        <v>0.83999999999999986</v>
      </c>
      <c r="I4650" s="2">
        <v>3.36</v>
      </c>
    </row>
    <row r="4651" spans="1:9" x14ac:dyDescent="0.3">
      <c r="A4651" t="str">
        <f t="shared" si="1521"/>
        <v>United States</v>
      </c>
      <c r="B4651" t="str">
        <f t="shared" si="1526"/>
        <v>San Francisco</v>
      </c>
      <c r="C4651" t="str">
        <f t="shared" si="1524"/>
        <v>Second Class</v>
      </c>
      <c r="D4651" t="str">
        <f t="shared" si="1527"/>
        <v>Corporate</v>
      </c>
      <c r="E4651" t="s">
        <v>20</v>
      </c>
      <c r="F4651">
        <v>18</v>
      </c>
      <c r="G4651">
        <v>0.8</v>
      </c>
      <c r="H4651" s="2">
        <v>25.307099999999998</v>
      </c>
      <c r="I4651" s="2">
        <v>72.328000000000003</v>
      </c>
    </row>
    <row r="4652" spans="1:9" x14ac:dyDescent="0.3">
      <c r="A4652" t="str">
        <f t="shared" si="1521"/>
        <v>United States</v>
      </c>
      <c r="B4652" t="str">
        <f t="shared" si="1526"/>
        <v>San Francisco</v>
      </c>
      <c r="C4652" t="str">
        <f t="shared" si="1524"/>
        <v>Second Class</v>
      </c>
      <c r="D4652" t="str">
        <f t="shared" si="1527"/>
        <v>Corporate</v>
      </c>
      <c r="E4652" t="s">
        <v>33</v>
      </c>
      <c r="F4652">
        <v>3</v>
      </c>
      <c r="G4652">
        <v>0.2</v>
      </c>
      <c r="H4652" s="2">
        <v>77.035199999999975</v>
      </c>
      <c r="I4652" s="2">
        <v>770.35200000000009</v>
      </c>
    </row>
    <row r="4653" spans="1:9" x14ac:dyDescent="0.3">
      <c r="A4653" t="str">
        <f t="shared" si="1521"/>
        <v>United States</v>
      </c>
      <c r="B4653" t="str">
        <f t="shared" si="1526"/>
        <v>San Francisco</v>
      </c>
      <c r="C4653" t="str">
        <f t="shared" si="1524"/>
        <v>Second Class</v>
      </c>
      <c r="D4653" t="str">
        <f t="shared" si="1527"/>
        <v>Corporate</v>
      </c>
      <c r="E4653" t="s">
        <v>38</v>
      </c>
      <c r="F4653">
        <v>6</v>
      </c>
      <c r="G4653">
        <v>0</v>
      </c>
      <c r="H4653" s="2">
        <v>19.275199999999998</v>
      </c>
      <c r="I4653" s="2">
        <v>39.519999999999996</v>
      </c>
    </row>
    <row r="4654" spans="1:9" x14ac:dyDescent="0.3">
      <c r="A4654" t="str">
        <f t="shared" si="1521"/>
        <v>United States</v>
      </c>
      <c r="B4654" t="str">
        <f t="shared" si="1526"/>
        <v>San Francisco</v>
      </c>
      <c r="C4654" t="str">
        <f t="shared" si="1524"/>
        <v>Second Class</v>
      </c>
      <c r="D4654" t="str">
        <f t="shared" si="1527"/>
        <v>Corporate</v>
      </c>
      <c r="E4654" t="s">
        <v>21</v>
      </c>
      <c r="F4654">
        <v>10</v>
      </c>
      <c r="G4654">
        <v>0</v>
      </c>
      <c r="H4654" s="2">
        <v>118.22280000000001</v>
      </c>
      <c r="I4654" s="2">
        <v>316.48</v>
      </c>
    </row>
    <row r="4655" spans="1:9" x14ac:dyDescent="0.3">
      <c r="A4655" t="str">
        <f t="shared" si="1521"/>
        <v>United States</v>
      </c>
      <c r="B4655" t="str">
        <f t="shared" si="1526"/>
        <v>San Francisco</v>
      </c>
      <c r="C4655" t="str">
        <f t="shared" si="1524"/>
        <v>Second Class</v>
      </c>
      <c r="D4655" t="str">
        <f t="shared" si="1527"/>
        <v>Corporate</v>
      </c>
      <c r="E4655" t="s">
        <v>43</v>
      </c>
      <c r="F4655">
        <v>17</v>
      </c>
      <c r="G4655">
        <v>0</v>
      </c>
      <c r="H4655" s="2">
        <v>27.144000000000002</v>
      </c>
      <c r="I4655" s="2">
        <v>56.55</v>
      </c>
    </row>
    <row r="4656" spans="1:9" x14ac:dyDescent="0.3">
      <c r="A4656" t="str">
        <f t="shared" si="1521"/>
        <v>United States</v>
      </c>
      <c r="B4656" t="str">
        <f t="shared" si="1526"/>
        <v>San Francisco</v>
      </c>
      <c r="C4656" t="str">
        <f t="shared" si="1524"/>
        <v>Second Class</v>
      </c>
      <c r="D4656" t="str">
        <f t="shared" si="1527"/>
        <v>Corporate</v>
      </c>
      <c r="E4656" t="s">
        <v>16</v>
      </c>
      <c r="F4656">
        <v>3</v>
      </c>
      <c r="G4656">
        <v>0</v>
      </c>
      <c r="H4656" s="2">
        <v>68.963099999999997</v>
      </c>
      <c r="I4656" s="2">
        <v>146.72999999999999</v>
      </c>
    </row>
    <row r="4657" spans="1:9" x14ac:dyDescent="0.3">
      <c r="A4657" t="str">
        <f t="shared" si="1521"/>
        <v>United States</v>
      </c>
      <c r="B4657" t="str">
        <f t="shared" si="1526"/>
        <v>San Francisco</v>
      </c>
      <c r="C4657" t="str">
        <f t="shared" si="1524"/>
        <v>Second Class</v>
      </c>
      <c r="D4657" t="str">
        <f t="shared" si="1527"/>
        <v>Corporate</v>
      </c>
      <c r="E4657" t="s">
        <v>24</v>
      </c>
      <c r="F4657">
        <v>8</v>
      </c>
      <c r="G4657">
        <v>0.60000000000000009</v>
      </c>
      <c r="H4657" s="2">
        <v>61.87700000000001</v>
      </c>
      <c r="I4657" s="2">
        <v>272.33600000000001</v>
      </c>
    </row>
    <row r="4658" spans="1:9" x14ac:dyDescent="0.3">
      <c r="A4658" t="str">
        <f t="shared" si="1521"/>
        <v>United States</v>
      </c>
      <c r="B4658" t="str">
        <f t="shared" si="1526"/>
        <v>San Francisco</v>
      </c>
      <c r="C4658" t="str">
        <f t="shared" si="1524"/>
        <v>Second Class</v>
      </c>
      <c r="D4658" t="str">
        <f t="shared" si="1527"/>
        <v>Corporate</v>
      </c>
      <c r="E4658" t="s">
        <v>14</v>
      </c>
      <c r="F4658">
        <v>11</v>
      </c>
      <c r="G4658">
        <v>0</v>
      </c>
      <c r="H4658" s="2">
        <v>234.20409999999995</v>
      </c>
      <c r="I4658" s="2">
        <v>1470.17</v>
      </c>
    </row>
    <row r="4659" spans="1:9" x14ac:dyDescent="0.3">
      <c r="A4659" t="str">
        <f t="shared" si="1521"/>
        <v>United States</v>
      </c>
      <c r="B4659" t="str">
        <f t="shared" si="1526"/>
        <v>San Francisco</v>
      </c>
      <c r="C4659" t="str">
        <f t="shared" si="1524"/>
        <v>Second Class</v>
      </c>
      <c r="D4659" t="str">
        <f t="shared" si="1527"/>
        <v>Corporate</v>
      </c>
      <c r="E4659" t="s">
        <v>9</v>
      </c>
      <c r="F4659">
        <v>6</v>
      </c>
      <c r="G4659">
        <v>0</v>
      </c>
      <c r="H4659" s="2">
        <v>199.78859999999978</v>
      </c>
      <c r="I4659" s="2">
        <v>4923.54</v>
      </c>
    </row>
    <row r="4660" spans="1:9" x14ac:dyDescent="0.3">
      <c r="A4660" t="str">
        <f t="shared" si="1521"/>
        <v>United States</v>
      </c>
      <c r="B4660" t="str">
        <f t="shared" si="1526"/>
        <v>San Francisco</v>
      </c>
      <c r="C4660" t="str">
        <f t="shared" si="1524"/>
        <v>Second Class</v>
      </c>
      <c r="D4660" t="str">
        <f t="shared" si="1527"/>
        <v>Corporate</v>
      </c>
      <c r="E4660" t="s">
        <v>25</v>
      </c>
      <c r="F4660">
        <v>2</v>
      </c>
      <c r="G4660">
        <v>0.2</v>
      </c>
      <c r="H4660" s="2">
        <v>-3.3506000000000018</v>
      </c>
      <c r="I4660" s="2">
        <v>24.368000000000002</v>
      </c>
    </row>
    <row r="4661" spans="1:9" x14ac:dyDescent="0.3">
      <c r="A4661" t="str">
        <f t="shared" si="1521"/>
        <v>United States</v>
      </c>
      <c r="B4661" t="str">
        <f t="shared" si="1526"/>
        <v>San Francisco</v>
      </c>
      <c r="C4661" t="str">
        <f t="shared" si="1524"/>
        <v>Second Class</v>
      </c>
      <c r="D4661" t="s">
        <v>17</v>
      </c>
      <c r="E4661" t="s">
        <v>23</v>
      </c>
      <c r="F4661">
        <v>1</v>
      </c>
      <c r="G4661">
        <v>0</v>
      </c>
      <c r="H4661" s="2">
        <v>10.895999999999997</v>
      </c>
      <c r="I4661" s="2">
        <v>36.32</v>
      </c>
    </row>
    <row r="4662" spans="1:9" x14ac:dyDescent="0.3">
      <c r="A4662" t="str">
        <f t="shared" si="1521"/>
        <v>United States</v>
      </c>
      <c r="B4662" t="str">
        <f t="shared" si="1526"/>
        <v>San Francisco</v>
      </c>
      <c r="C4662" t="str">
        <f t="shared" si="1524"/>
        <v>Second Class</v>
      </c>
      <c r="D4662" t="str">
        <f t="shared" ref="D4662:D4671" si="1528">D4661</f>
        <v>Home Office</v>
      </c>
      <c r="E4662" t="s">
        <v>19</v>
      </c>
      <c r="F4662">
        <v>7</v>
      </c>
      <c r="G4662">
        <v>0</v>
      </c>
      <c r="H4662" s="2">
        <v>28.791799999999999</v>
      </c>
      <c r="I4662" s="2">
        <v>97.02</v>
      </c>
    </row>
    <row r="4663" spans="1:9" x14ac:dyDescent="0.3">
      <c r="A4663" t="str">
        <f t="shared" si="1521"/>
        <v>United States</v>
      </c>
      <c r="B4663" t="str">
        <f t="shared" si="1526"/>
        <v>San Francisco</v>
      </c>
      <c r="C4663" t="str">
        <f t="shared" si="1524"/>
        <v>Second Class</v>
      </c>
      <c r="D4663" t="str">
        <f t="shared" si="1528"/>
        <v>Home Office</v>
      </c>
      <c r="E4663" t="s">
        <v>20</v>
      </c>
      <c r="F4663">
        <v>3</v>
      </c>
      <c r="G4663">
        <v>0.2</v>
      </c>
      <c r="H4663" s="2">
        <v>4.1832000000000003</v>
      </c>
      <c r="I4663" s="2">
        <v>11.952000000000002</v>
      </c>
    </row>
    <row r="4664" spans="1:9" x14ac:dyDescent="0.3">
      <c r="A4664" t="str">
        <f t="shared" si="1521"/>
        <v>United States</v>
      </c>
      <c r="B4664" t="str">
        <f t="shared" si="1526"/>
        <v>San Francisco</v>
      </c>
      <c r="C4664" t="str">
        <f t="shared" si="1524"/>
        <v>Second Class</v>
      </c>
      <c r="D4664" t="str">
        <f t="shared" si="1528"/>
        <v>Home Office</v>
      </c>
      <c r="E4664" t="s">
        <v>34</v>
      </c>
      <c r="F4664">
        <v>10</v>
      </c>
      <c r="G4664">
        <v>0.15</v>
      </c>
      <c r="H4664" s="2">
        <v>70.490000000000009</v>
      </c>
      <c r="I4664" s="2">
        <v>1198.33</v>
      </c>
    </row>
    <row r="4665" spans="1:9" x14ac:dyDescent="0.3">
      <c r="A4665" t="str">
        <f t="shared" si="1521"/>
        <v>United States</v>
      </c>
      <c r="B4665" t="str">
        <f t="shared" si="1526"/>
        <v>San Francisco</v>
      </c>
      <c r="C4665" t="str">
        <f t="shared" si="1524"/>
        <v>Second Class</v>
      </c>
      <c r="D4665" t="str">
        <f t="shared" si="1528"/>
        <v>Home Office</v>
      </c>
      <c r="E4665" t="s">
        <v>33</v>
      </c>
      <c r="F4665">
        <v>12</v>
      </c>
      <c r="G4665">
        <v>0.2</v>
      </c>
      <c r="H4665" s="2">
        <v>42.588000000000022</v>
      </c>
      <c r="I4665" s="2">
        <v>681.40800000000013</v>
      </c>
    </row>
    <row r="4666" spans="1:9" x14ac:dyDescent="0.3">
      <c r="A4666" t="str">
        <f t="shared" si="1521"/>
        <v>United States</v>
      </c>
      <c r="B4666" t="str">
        <f t="shared" si="1526"/>
        <v>San Francisco</v>
      </c>
      <c r="C4666" t="str">
        <f t="shared" si="1524"/>
        <v>Second Class</v>
      </c>
      <c r="D4666" t="str">
        <f t="shared" si="1528"/>
        <v>Home Office</v>
      </c>
      <c r="E4666" t="s">
        <v>21</v>
      </c>
      <c r="F4666">
        <v>3</v>
      </c>
      <c r="G4666">
        <v>0</v>
      </c>
      <c r="H4666" s="2">
        <v>4.8608999999999991</v>
      </c>
      <c r="I4666" s="2">
        <v>14.73</v>
      </c>
    </row>
    <row r="4667" spans="1:9" x14ac:dyDescent="0.3">
      <c r="A4667" t="str">
        <f t="shared" si="1521"/>
        <v>United States</v>
      </c>
      <c r="B4667" t="str">
        <f t="shared" si="1526"/>
        <v>San Francisco</v>
      </c>
      <c r="C4667" t="str">
        <f t="shared" si="1524"/>
        <v>Second Class</v>
      </c>
      <c r="D4667" t="str">
        <f t="shared" si="1528"/>
        <v>Home Office</v>
      </c>
      <c r="E4667" t="s">
        <v>16</v>
      </c>
      <c r="F4667">
        <v>12</v>
      </c>
      <c r="G4667">
        <v>0</v>
      </c>
      <c r="H4667" s="2">
        <v>117.84769999999997</v>
      </c>
      <c r="I4667" s="2">
        <v>239.76999999999998</v>
      </c>
    </row>
    <row r="4668" spans="1:9" x14ac:dyDescent="0.3">
      <c r="A4668" t="str">
        <f t="shared" si="1521"/>
        <v>United States</v>
      </c>
      <c r="B4668" t="str">
        <f t="shared" si="1526"/>
        <v>San Francisco</v>
      </c>
      <c r="C4668" t="str">
        <f t="shared" si="1524"/>
        <v>Second Class</v>
      </c>
      <c r="D4668" t="str">
        <f t="shared" si="1528"/>
        <v>Home Office</v>
      </c>
      <c r="E4668" t="s">
        <v>24</v>
      </c>
      <c r="F4668">
        <v>2</v>
      </c>
      <c r="G4668">
        <v>0.2</v>
      </c>
      <c r="H4668" s="2">
        <v>8.2781999999999982</v>
      </c>
      <c r="I4668" s="2">
        <v>73.584000000000003</v>
      </c>
    </row>
    <row r="4669" spans="1:9" x14ac:dyDescent="0.3">
      <c r="A4669" t="str">
        <f t="shared" si="1521"/>
        <v>United States</v>
      </c>
      <c r="B4669" t="str">
        <f t="shared" si="1526"/>
        <v>San Francisco</v>
      </c>
      <c r="C4669" t="str">
        <f t="shared" si="1524"/>
        <v>Second Class</v>
      </c>
      <c r="D4669" t="str">
        <f t="shared" si="1528"/>
        <v>Home Office</v>
      </c>
      <c r="E4669" t="s">
        <v>14</v>
      </c>
      <c r="F4669">
        <v>1</v>
      </c>
      <c r="G4669">
        <v>0</v>
      </c>
      <c r="H4669" s="2">
        <v>4.3428000000000004</v>
      </c>
      <c r="I4669" s="2">
        <v>15.51</v>
      </c>
    </row>
    <row r="4670" spans="1:9" x14ac:dyDescent="0.3">
      <c r="A4670" t="str">
        <f t="shared" si="1521"/>
        <v>United States</v>
      </c>
      <c r="B4670" t="str">
        <f t="shared" si="1526"/>
        <v>San Francisco</v>
      </c>
      <c r="C4670" t="str">
        <f t="shared" si="1524"/>
        <v>Second Class</v>
      </c>
      <c r="D4670" t="str">
        <f t="shared" si="1528"/>
        <v>Home Office</v>
      </c>
      <c r="E4670" t="s">
        <v>9</v>
      </c>
      <c r="F4670">
        <v>5</v>
      </c>
      <c r="G4670">
        <v>0</v>
      </c>
      <c r="H4670" s="2">
        <v>4.0619999999999994</v>
      </c>
      <c r="I4670" s="2">
        <v>13.54</v>
      </c>
    </row>
    <row r="4671" spans="1:9" x14ac:dyDescent="0.3">
      <c r="A4671" t="str">
        <f t="shared" si="1521"/>
        <v>United States</v>
      </c>
      <c r="B4671" t="str">
        <f t="shared" ref="B4671:B4702" si="1529">B4670</f>
        <v>San Francisco</v>
      </c>
      <c r="C4671" t="str">
        <f t="shared" si="1524"/>
        <v>Second Class</v>
      </c>
      <c r="D4671" t="str">
        <f t="shared" si="1528"/>
        <v>Home Office</v>
      </c>
      <c r="E4671" t="s">
        <v>25</v>
      </c>
      <c r="F4671">
        <v>1</v>
      </c>
      <c r="G4671">
        <v>0.2</v>
      </c>
      <c r="H4671" s="2">
        <v>11.283900000000017</v>
      </c>
      <c r="I4671" s="2">
        <v>300.904</v>
      </c>
    </row>
    <row r="4672" spans="1:9" x14ac:dyDescent="0.3">
      <c r="A4672" t="str">
        <f t="shared" si="1521"/>
        <v>United States</v>
      </c>
      <c r="B4672" t="str">
        <f t="shared" si="1529"/>
        <v>San Francisco</v>
      </c>
      <c r="C4672" t="s">
        <v>22</v>
      </c>
      <c r="D4672" t="s">
        <v>8</v>
      </c>
      <c r="E4672" t="s">
        <v>23</v>
      </c>
      <c r="F4672">
        <v>49</v>
      </c>
      <c r="G4672">
        <v>0</v>
      </c>
      <c r="H4672" s="2">
        <v>531.74590000000001</v>
      </c>
      <c r="I4672" s="2">
        <v>1736.95</v>
      </c>
    </row>
    <row r="4673" spans="1:9" x14ac:dyDescent="0.3">
      <c r="A4673" t="str">
        <f t="shared" si="1521"/>
        <v>United States</v>
      </c>
      <c r="B4673" t="str">
        <f t="shared" si="1529"/>
        <v>San Francisco</v>
      </c>
      <c r="C4673" t="str">
        <f t="shared" ref="C4673:C4716" si="1530">C4672</f>
        <v>Standard Class</v>
      </c>
      <c r="D4673" t="str">
        <f t="shared" ref="D4673:D4688" si="1531">D4672</f>
        <v>Consumer</v>
      </c>
      <c r="E4673" t="s">
        <v>12</v>
      </c>
      <c r="F4673">
        <v>40</v>
      </c>
      <c r="G4673">
        <v>0</v>
      </c>
      <c r="H4673" s="2">
        <v>1163.3242999999998</v>
      </c>
      <c r="I4673" s="2">
        <v>3898.7400000000002</v>
      </c>
    </row>
    <row r="4674" spans="1:9" x14ac:dyDescent="0.3">
      <c r="A4674" t="str">
        <f t="shared" si="1521"/>
        <v>United States</v>
      </c>
      <c r="B4674" t="str">
        <f t="shared" si="1529"/>
        <v>San Francisco</v>
      </c>
      <c r="C4674" t="str">
        <f t="shared" si="1530"/>
        <v>Standard Class</v>
      </c>
      <c r="D4674" t="str">
        <f t="shared" si="1531"/>
        <v>Consumer</v>
      </c>
      <c r="E4674" t="s">
        <v>19</v>
      </c>
      <c r="F4674">
        <v>77</v>
      </c>
      <c r="G4674">
        <v>0</v>
      </c>
      <c r="H4674" s="2">
        <v>203.99540000000002</v>
      </c>
      <c r="I4674" s="2">
        <v>633.00000000000011</v>
      </c>
    </row>
    <row r="4675" spans="1:9" x14ac:dyDescent="0.3">
      <c r="A4675" t="str">
        <f t="shared" si="1521"/>
        <v>United States</v>
      </c>
      <c r="B4675" t="str">
        <f t="shared" si="1529"/>
        <v>San Francisco</v>
      </c>
      <c r="C4675" t="str">
        <f t="shared" si="1530"/>
        <v>Standard Class</v>
      </c>
      <c r="D4675" t="str">
        <f t="shared" si="1531"/>
        <v>Consumer</v>
      </c>
      <c r="E4675" t="s">
        <v>20</v>
      </c>
      <c r="F4675">
        <v>94</v>
      </c>
      <c r="G4675">
        <v>4.0000000000000009</v>
      </c>
      <c r="H4675" s="2">
        <v>1200.6141000000002</v>
      </c>
      <c r="I4675" s="2">
        <v>3470.7200000000003</v>
      </c>
    </row>
    <row r="4676" spans="1:9" x14ac:dyDescent="0.3">
      <c r="A4676" t="str">
        <f t="shared" ref="A4676:A4739" si="1532">A4675</f>
        <v>United States</v>
      </c>
      <c r="B4676" t="str">
        <f t="shared" si="1529"/>
        <v>San Francisco</v>
      </c>
      <c r="C4676" t="str">
        <f t="shared" si="1530"/>
        <v>Standard Class</v>
      </c>
      <c r="D4676" t="str">
        <f t="shared" si="1531"/>
        <v>Consumer</v>
      </c>
      <c r="E4676" t="s">
        <v>34</v>
      </c>
      <c r="F4676">
        <v>26</v>
      </c>
      <c r="G4676">
        <v>0.9</v>
      </c>
      <c r="H4676" s="2">
        <v>-50.403799999999983</v>
      </c>
      <c r="I4676" s="2">
        <v>2903.1579999999999</v>
      </c>
    </row>
    <row r="4677" spans="1:9" x14ac:dyDescent="0.3">
      <c r="A4677" t="str">
        <f t="shared" si="1532"/>
        <v>United States</v>
      </c>
      <c r="B4677" t="str">
        <f t="shared" si="1529"/>
        <v>San Francisco</v>
      </c>
      <c r="C4677" t="str">
        <f t="shared" si="1530"/>
        <v>Standard Class</v>
      </c>
      <c r="D4677" t="str">
        <f t="shared" si="1531"/>
        <v>Consumer</v>
      </c>
      <c r="E4677" t="s">
        <v>33</v>
      </c>
      <c r="F4677">
        <v>19</v>
      </c>
      <c r="G4677">
        <v>1.4</v>
      </c>
      <c r="H4677" s="2">
        <v>5.2418999999999549</v>
      </c>
      <c r="I4677" s="2">
        <v>1402.8319999999999</v>
      </c>
    </row>
    <row r="4678" spans="1:9" x14ac:dyDescent="0.3">
      <c r="A4678" t="str">
        <f t="shared" si="1532"/>
        <v>United States</v>
      </c>
      <c r="B4678" t="str">
        <f t="shared" si="1529"/>
        <v>San Francisco</v>
      </c>
      <c r="C4678" t="str">
        <f t="shared" si="1530"/>
        <v>Standard Class</v>
      </c>
      <c r="D4678" t="str">
        <f t="shared" si="1531"/>
        <v>Consumer</v>
      </c>
      <c r="E4678" t="s">
        <v>45</v>
      </c>
      <c r="F4678">
        <v>5</v>
      </c>
      <c r="G4678">
        <v>0.4</v>
      </c>
      <c r="H4678" s="2">
        <v>812.9858999999999</v>
      </c>
      <c r="I4678" s="2">
        <v>2319.96</v>
      </c>
    </row>
    <row r="4679" spans="1:9" x14ac:dyDescent="0.3">
      <c r="A4679" t="str">
        <f t="shared" si="1532"/>
        <v>United States</v>
      </c>
      <c r="B4679" t="str">
        <f t="shared" si="1529"/>
        <v>San Francisco</v>
      </c>
      <c r="C4679" t="str">
        <f t="shared" si="1530"/>
        <v>Standard Class</v>
      </c>
      <c r="D4679" t="str">
        <f t="shared" si="1531"/>
        <v>Consumer</v>
      </c>
      <c r="E4679" t="s">
        <v>38</v>
      </c>
      <c r="F4679">
        <v>14</v>
      </c>
      <c r="G4679">
        <v>0</v>
      </c>
      <c r="H4679" s="2">
        <v>139.71610000000001</v>
      </c>
      <c r="I4679" s="2">
        <v>295.79000000000002</v>
      </c>
    </row>
    <row r="4680" spans="1:9" x14ac:dyDescent="0.3">
      <c r="A4680" t="str">
        <f t="shared" si="1532"/>
        <v>United States</v>
      </c>
      <c r="B4680" t="str">
        <f t="shared" si="1529"/>
        <v>San Francisco</v>
      </c>
      <c r="C4680" t="str">
        <f t="shared" si="1530"/>
        <v>Standard Class</v>
      </c>
      <c r="D4680" t="str">
        <f t="shared" si="1531"/>
        <v>Consumer</v>
      </c>
      <c r="E4680" t="s">
        <v>18</v>
      </c>
      <c r="F4680">
        <v>13</v>
      </c>
      <c r="G4680">
        <v>0</v>
      </c>
      <c r="H4680" s="2">
        <v>20.883199999999999</v>
      </c>
      <c r="I4680" s="2">
        <v>42.239999999999995</v>
      </c>
    </row>
    <row r="4681" spans="1:9" x14ac:dyDescent="0.3">
      <c r="A4681" t="str">
        <f t="shared" si="1532"/>
        <v>United States</v>
      </c>
      <c r="B4681" t="str">
        <f t="shared" si="1529"/>
        <v>San Francisco</v>
      </c>
      <c r="C4681" t="str">
        <f t="shared" si="1530"/>
        <v>Standard Class</v>
      </c>
      <c r="D4681" t="str">
        <f t="shared" si="1531"/>
        <v>Consumer</v>
      </c>
      <c r="E4681" t="s">
        <v>21</v>
      </c>
      <c r="F4681">
        <v>59</v>
      </c>
      <c r="G4681">
        <v>0</v>
      </c>
      <c r="H4681" s="2">
        <v>519.47320000000002</v>
      </c>
      <c r="I4681" s="2">
        <v>1909.1</v>
      </c>
    </row>
    <row r="4682" spans="1:9" x14ac:dyDescent="0.3">
      <c r="A4682" t="str">
        <f t="shared" si="1532"/>
        <v>United States</v>
      </c>
      <c r="B4682" t="str">
        <f t="shared" si="1529"/>
        <v>San Francisco</v>
      </c>
      <c r="C4682" t="str">
        <f t="shared" si="1530"/>
        <v>Standard Class</v>
      </c>
      <c r="D4682" t="str">
        <f t="shared" si="1531"/>
        <v>Consumer</v>
      </c>
      <c r="E4682" t="s">
        <v>43</v>
      </c>
      <c r="F4682">
        <v>26</v>
      </c>
      <c r="G4682">
        <v>0</v>
      </c>
      <c r="H4682" s="2">
        <v>52.045000000000002</v>
      </c>
      <c r="I4682" s="2">
        <v>109.73</v>
      </c>
    </row>
    <row r="4683" spans="1:9" x14ac:dyDescent="0.3">
      <c r="A4683" t="str">
        <f t="shared" si="1532"/>
        <v>United States</v>
      </c>
      <c r="B4683" t="str">
        <f t="shared" si="1529"/>
        <v>San Francisco</v>
      </c>
      <c r="C4683" t="str">
        <f t="shared" si="1530"/>
        <v>Standard Class</v>
      </c>
      <c r="D4683" t="str">
        <f t="shared" si="1531"/>
        <v>Consumer</v>
      </c>
      <c r="E4683" t="s">
        <v>46</v>
      </c>
      <c r="F4683">
        <v>11</v>
      </c>
      <c r="G4683">
        <v>0.2</v>
      </c>
      <c r="H4683" s="2">
        <v>32.301500000000019</v>
      </c>
      <c r="I4683" s="2">
        <v>369.16</v>
      </c>
    </row>
    <row r="4684" spans="1:9" x14ac:dyDescent="0.3">
      <c r="A4684" t="str">
        <f t="shared" si="1532"/>
        <v>United States</v>
      </c>
      <c r="B4684" t="str">
        <f t="shared" si="1529"/>
        <v>San Francisco</v>
      </c>
      <c r="C4684" t="str">
        <f t="shared" si="1530"/>
        <v>Standard Class</v>
      </c>
      <c r="D4684" t="str">
        <f t="shared" si="1531"/>
        <v>Consumer</v>
      </c>
      <c r="E4684" t="s">
        <v>16</v>
      </c>
      <c r="F4684">
        <v>87</v>
      </c>
      <c r="G4684">
        <v>0</v>
      </c>
      <c r="H4684" s="2">
        <v>349.32399999999996</v>
      </c>
      <c r="I4684" s="2">
        <v>732.54</v>
      </c>
    </row>
    <row r="4685" spans="1:9" x14ac:dyDescent="0.3">
      <c r="A4685" t="str">
        <f t="shared" si="1532"/>
        <v>United States</v>
      </c>
      <c r="B4685" t="str">
        <f t="shared" si="1529"/>
        <v>San Francisco</v>
      </c>
      <c r="C4685" t="str">
        <f t="shared" si="1530"/>
        <v>Standard Class</v>
      </c>
      <c r="D4685" t="str">
        <f t="shared" si="1531"/>
        <v>Consumer</v>
      </c>
      <c r="E4685" t="s">
        <v>24</v>
      </c>
      <c r="F4685">
        <v>31</v>
      </c>
      <c r="G4685">
        <v>1.9999999999999998</v>
      </c>
      <c r="H4685" s="2">
        <v>381.61080000000004</v>
      </c>
      <c r="I4685" s="2">
        <v>3135.3840000000009</v>
      </c>
    </row>
    <row r="4686" spans="1:9" x14ac:dyDescent="0.3">
      <c r="A4686" t="str">
        <f t="shared" si="1532"/>
        <v>United States</v>
      </c>
      <c r="B4686" t="str">
        <f t="shared" si="1529"/>
        <v>San Francisco</v>
      </c>
      <c r="C4686" t="str">
        <f t="shared" si="1530"/>
        <v>Standard Class</v>
      </c>
      <c r="D4686" t="str">
        <f t="shared" si="1531"/>
        <v>Consumer</v>
      </c>
      <c r="E4686" t="s">
        <v>14</v>
      </c>
      <c r="F4686">
        <v>39</v>
      </c>
      <c r="G4686">
        <v>0</v>
      </c>
      <c r="H4686" s="2">
        <v>504.22319999999974</v>
      </c>
      <c r="I4686" s="2">
        <v>3047.97</v>
      </c>
    </row>
    <row r="4687" spans="1:9" x14ac:dyDescent="0.3">
      <c r="A4687" t="str">
        <f t="shared" si="1532"/>
        <v>United States</v>
      </c>
      <c r="B4687" t="str">
        <f t="shared" si="1529"/>
        <v>San Francisco</v>
      </c>
      <c r="C4687" t="str">
        <f t="shared" si="1530"/>
        <v>Standard Class</v>
      </c>
      <c r="D4687" t="str">
        <f t="shared" si="1531"/>
        <v>Consumer</v>
      </c>
      <c r="E4687" t="s">
        <v>9</v>
      </c>
      <c r="F4687">
        <v>5</v>
      </c>
      <c r="G4687">
        <v>0</v>
      </c>
      <c r="H4687" s="2">
        <v>12.893399999999996</v>
      </c>
      <c r="I4687" s="2">
        <v>50.99</v>
      </c>
    </row>
    <row r="4688" spans="1:9" x14ac:dyDescent="0.3">
      <c r="A4688" t="str">
        <f t="shared" si="1532"/>
        <v>United States</v>
      </c>
      <c r="B4688" t="str">
        <f t="shared" si="1529"/>
        <v>San Francisco</v>
      </c>
      <c r="C4688" t="str">
        <f t="shared" si="1530"/>
        <v>Standard Class</v>
      </c>
      <c r="D4688" t="str">
        <f t="shared" si="1531"/>
        <v>Consumer</v>
      </c>
      <c r="E4688" t="s">
        <v>25</v>
      </c>
      <c r="F4688">
        <v>16</v>
      </c>
      <c r="G4688">
        <v>0.60000000000000009</v>
      </c>
      <c r="H4688" s="2">
        <v>-470.17170000000021</v>
      </c>
      <c r="I4688" s="2">
        <v>3260.72</v>
      </c>
    </row>
    <row r="4689" spans="1:9" x14ac:dyDescent="0.3">
      <c r="A4689" t="str">
        <f t="shared" si="1532"/>
        <v>United States</v>
      </c>
      <c r="B4689" t="str">
        <f t="shared" si="1529"/>
        <v>San Francisco</v>
      </c>
      <c r="C4689" t="str">
        <f t="shared" si="1530"/>
        <v>Standard Class</v>
      </c>
      <c r="D4689" t="s">
        <v>15</v>
      </c>
      <c r="E4689" t="s">
        <v>23</v>
      </c>
      <c r="F4689">
        <v>31</v>
      </c>
      <c r="G4689">
        <v>0</v>
      </c>
      <c r="H4689" s="2">
        <v>485.08039999999994</v>
      </c>
      <c r="I4689" s="2">
        <v>1400.2600000000002</v>
      </c>
    </row>
    <row r="4690" spans="1:9" x14ac:dyDescent="0.3">
      <c r="A4690" t="str">
        <f t="shared" si="1532"/>
        <v>United States</v>
      </c>
      <c r="B4690" t="str">
        <f t="shared" si="1529"/>
        <v>San Francisco</v>
      </c>
      <c r="C4690" t="str">
        <f t="shared" si="1530"/>
        <v>Standard Class</v>
      </c>
      <c r="D4690" t="str">
        <f t="shared" ref="D4690:D4704" si="1533">D4689</f>
        <v>Corporate</v>
      </c>
      <c r="E4690" t="s">
        <v>12</v>
      </c>
      <c r="F4690">
        <v>5</v>
      </c>
      <c r="G4690">
        <v>0</v>
      </c>
      <c r="H4690" s="2">
        <v>13.956300000000002</v>
      </c>
      <c r="I4690" s="2">
        <v>51.69</v>
      </c>
    </row>
    <row r="4691" spans="1:9" x14ac:dyDescent="0.3">
      <c r="A4691" t="str">
        <f t="shared" si="1532"/>
        <v>United States</v>
      </c>
      <c r="B4691" t="str">
        <f t="shared" si="1529"/>
        <v>San Francisco</v>
      </c>
      <c r="C4691" t="str">
        <f t="shared" si="1530"/>
        <v>Standard Class</v>
      </c>
      <c r="D4691" t="str">
        <f t="shared" si="1533"/>
        <v>Corporate</v>
      </c>
      <c r="E4691" t="s">
        <v>19</v>
      </c>
      <c r="F4691">
        <v>23</v>
      </c>
      <c r="G4691">
        <v>0</v>
      </c>
      <c r="H4691" s="2">
        <v>48.376999999999995</v>
      </c>
      <c r="I4691" s="2">
        <v>180.71</v>
      </c>
    </row>
    <row r="4692" spans="1:9" x14ac:dyDescent="0.3">
      <c r="A4692" t="str">
        <f t="shared" si="1532"/>
        <v>United States</v>
      </c>
      <c r="B4692" t="str">
        <f t="shared" si="1529"/>
        <v>San Francisco</v>
      </c>
      <c r="C4692" t="str">
        <f t="shared" si="1530"/>
        <v>Standard Class</v>
      </c>
      <c r="D4692" t="str">
        <f t="shared" si="1533"/>
        <v>Corporate</v>
      </c>
      <c r="E4692" t="s">
        <v>20</v>
      </c>
      <c r="F4692">
        <v>35</v>
      </c>
      <c r="G4692">
        <v>2.6</v>
      </c>
      <c r="H4692" s="2">
        <v>262.00509999999991</v>
      </c>
      <c r="I4692" s="2">
        <v>765.72799999999995</v>
      </c>
    </row>
    <row r="4693" spans="1:9" x14ac:dyDescent="0.3">
      <c r="A4693" t="str">
        <f t="shared" si="1532"/>
        <v>United States</v>
      </c>
      <c r="B4693" t="str">
        <f t="shared" si="1529"/>
        <v>San Francisco</v>
      </c>
      <c r="C4693" t="str">
        <f t="shared" si="1530"/>
        <v>Standard Class</v>
      </c>
      <c r="D4693" t="str">
        <f t="shared" si="1533"/>
        <v>Corporate</v>
      </c>
      <c r="E4693" t="s">
        <v>34</v>
      </c>
      <c r="F4693">
        <v>6</v>
      </c>
      <c r="G4693">
        <v>0.15</v>
      </c>
      <c r="H4693" s="2">
        <v>34.493999999999971</v>
      </c>
      <c r="I4693" s="2">
        <v>586.39800000000002</v>
      </c>
    </row>
    <row r="4694" spans="1:9" x14ac:dyDescent="0.3">
      <c r="A4694" t="str">
        <f t="shared" si="1532"/>
        <v>United States</v>
      </c>
      <c r="B4694" t="str">
        <f t="shared" si="1529"/>
        <v>San Francisco</v>
      </c>
      <c r="C4694" t="str">
        <f t="shared" si="1530"/>
        <v>Standard Class</v>
      </c>
      <c r="D4694" t="str">
        <f t="shared" si="1533"/>
        <v>Corporate</v>
      </c>
      <c r="E4694" t="s">
        <v>33</v>
      </c>
      <c r="F4694">
        <v>9</v>
      </c>
      <c r="G4694">
        <v>0.60000000000000009</v>
      </c>
      <c r="H4694" s="2">
        <v>148.43120000000002</v>
      </c>
      <c r="I4694" s="2">
        <v>2527.0560000000005</v>
      </c>
    </row>
    <row r="4695" spans="1:9" x14ac:dyDescent="0.3">
      <c r="A4695" t="str">
        <f t="shared" si="1532"/>
        <v>United States</v>
      </c>
      <c r="B4695" t="str">
        <f t="shared" si="1529"/>
        <v>San Francisco</v>
      </c>
      <c r="C4695" t="str">
        <f t="shared" si="1530"/>
        <v>Standard Class</v>
      </c>
      <c r="D4695" t="str">
        <f t="shared" si="1533"/>
        <v>Corporate</v>
      </c>
      <c r="E4695" t="s">
        <v>38</v>
      </c>
      <c r="F4695">
        <v>12</v>
      </c>
      <c r="G4695">
        <v>0</v>
      </c>
      <c r="H4695" s="2">
        <v>128.28020000000001</v>
      </c>
      <c r="I4695" s="2">
        <v>262.04000000000002</v>
      </c>
    </row>
    <row r="4696" spans="1:9" x14ac:dyDescent="0.3">
      <c r="A4696" t="str">
        <f t="shared" si="1532"/>
        <v>United States</v>
      </c>
      <c r="B4696" t="str">
        <f t="shared" si="1529"/>
        <v>San Francisco</v>
      </c>
      <c r="C4696" t="str">
        <f t="shared" si="1530"/>
        <v>Standard Class</v>
      </c>
      <c r="D4696" t="str">
        <f t="shared" si="1533"/>
        <v>Corporate</v>
      </c>
      <c r="E4696" t="s">
        <v>18</v>
      </c>
      <c r="F4696">
        <v>5</v>
      </c>
      <c r="G4696">
        <v>0</v>
      </c>
      <c r="H4696" s="2">
        <v>8.7710000000000008</v>
      </c>
      <c r="I4696" s="2">
        <v>17.899999999999999</v>
      </c>
    </row>
    <row r="4697" spans="1:9" x14ac:dyDescent="0.3">
      <c r="A4697" t="str">
        <f t="shared" si="1532"/>
        <v>United States</v>
      </c>
      <c r="B4697" t="str">
        <f t="shared" si="1529"/>
        <v>San Francisco</v>
      </c>
      <c r="C4697" t="str">
        <f t="shared" si="1530"/>
        <v>Standard Class</v>
      </c>
      <c r="D4697" t="str">
        <f t="shared" si="1533"/>
        <v>Corporate</v>
      </c>
      <c r="E4697" t="s">
        <v>21</v>
      </c>
      <c r="F4697">
        <v>27</v>
      </c>
      <c r="G4697">
        <v>0</v>
      </c>
      <c r="H4697" s="2">
        <v>105.721</v>
      </c>
      <c r="I4697" s="2">
        <v>310.58000000000004</v>
      </c>
    </row>
    <row r="4698" spans="1:9" x14ac:dyDescent="0.3">
      <c r="A4698" t="str">
        <f t="shared" si="1532"/>
        <v>United States</v>
      </c>
      <c r="B4698" t="str">
        <f t="shared" si="1529"/>
        <v>San Francisco</v>
      </c>
      <c r="C4698" t="str">
        <f t="shared" si="1530"/>
        <v>Standard Class</v>
      </c>
      <c r="D4698" t="str">
        <f t="shared" si="1533"/>
        <v>Corporate</v>
      </c>
      <c r="E4698" t="s">
        <v>43</v>
      </c>
      <c r="F4698">
        <v>9</v>
      </c>
      <c r="G4698">
        <v>0</v>
      </c>
      <c r="H4698" s="2">
        <v>126.39420000000001</v>
      </c>
      <c r="I4698" s="2">
        <v>274.77</v>
      </c>
    </row>
    <row r="4699" spans="1:9" x14ac:dyDescent="0.3">
      <c r="A4699" t="str">
        <f t="shared" si="1532"/>
        <v>United States</v>
      </c>
      <c r="B4699" t="str">
        <f t="shared" si="1529"/>
        <v>San Francisco</v>
      </c>
      <c r="C4699" t="str">
        <f t="shared" si="1530"/>
        <v>Standard Class</v>
      </c>
      <c r="D4699" t="str">
        <f t="shared" si="1533"/>
        <v>Corporate</v>
      </c>
      <c r="E4699" t="s">
        <v>46</v>
      </c>
      <c r="F4699">
        <v>6</v>
      </c>
      <c r="G4699">
        <v>0.2</v>
      </c>
      <c r="H4699" s="2">
        <v>287.98199999999997</v>
      </c>
      <c r="I4699" s="2">
        <v>767.95200000000011</v>
      </c>
    </row>
    <row r="4700" spans="1:9" x14ac:dyDescent="0.3">
      <c r="A4700" t="str">
        <f t="shared" si="1532"/>
        <v>United States</v>
      </c>
      <c r="B4700" t="str">
        <f t="shared" si="1529"/>
        <v>San Francisco</v>
      </c>
      <c r="C4700" t="str">
        <f t="shared" si="1530"/>
        <v>Standard Class</v>
      </c>
      <c r="D4700" t="str">
        <f t="shared" si="1533"/>
        <v>Corporate</v>
      </c>
      <c r="E4700" t="s">
        <v>16</v>
      </c>
      <c r="F4700">
        <v>52</v>
      </c>
      <c r="G4700">
        <v>0</v>
      </c>
      <c r="H4700" s="2">
        <v>377.80229999999995</v>
      </c>
      <c r="I4700" s="2">
        <v>797.56999999999994</v>
      </c>
    </row>
    <row r="4701" spans="1:9" x14ac:dyDescent="0.3">
      <c r="A4701" t="str">
        <f t="shared" si="1532"/>
        <v>United States</v>
      </c>
      <c r="B4701" t="str">
        <f t="shared" si="1529"/>
        <v>San Francisco</v>
      </c>
      <c r="C4701" t="str">
        <f t="shared" si="1530"/>
        <v>Standard Class</v>
      </c>
      <c r="D4701" t="str">
        <f t="shared" si="1533"/>
        <v>Corporate</v>
      </c>
      <c r="E4701" t="s">
        <v>24</v>
      </c>
      <c r="F4701">
        <v>38</v>
      </c>
      <c r="G4701">
        <v>1.5999999999999999</v>
      </c>
      <c r="H4701" s="2">
        <v>326.09379999999999</v>
      </c>
      <c r="I4701" s="2">
        <v>3224.5039999999999</v>
      </c>
    </row>
    <row r="4702" spans="1:9" x14ac:dyDescent="0.3">
      <c r="A4702" t="str">
        <f t="shared" si="1532"/>
        <v>United States</v>
      </c>
      <c r="B4702" t="str">
        <f t="shared" si="1529"/>
        <v>San Francisco</v>
      </c>
      <c r="C4702" t="str">
        <f t="shared" si="1530"/>
        <v>Standard Class</v>
      </c>
      <c r="D4702" t="str">
        <f t="shared" si="1533"/>
        <v>Corporate</v>
      </c>
      <c r="E4702" t="s">
        <v>14</v>
      </c>
      <c r="F4702">
        <v>17</v>
      </c>
      <c r="G4702">
        <v>0</v>
      </c>
      <c r="H4702" s="2">
        <v>161.58339999999998</v>
      </c>
      <c r="I4702" s="2">
        <v>962.7600000000001</v>
      </c>
    </row>
    <row r="4703" spans="1:9" x14ac:dyDescent="0.3">
      <c r="A4703" t="str">
        <f t="shared" si="1532"/>
        <v>United States</v>
      </c>
      <c r="B4703" t="str">
        <f t="shared" ref="B4703:B4716" si="1534">B4702</f>
        <v>San Francisco</v>
      </c>
      <c r="C4703" t="str">
        <f t="shared" si="1530"/>
        <v>Standard Class</v>
      </c>
      <c r="D4703" t="str">
        <f t="shared" si="1533"/>
        <v>Corporate</v>
      </c>
      <c r="E4703" t="s">
        <v>9</v>
      </c>
      <c r="F4703">
        <v>10</v>
      </c>
      <c r="G4703">
        <v>0</v>
      </c>
      <c r="H4703" s="2">
        <v>21.741400000000002</v>
      </c>
      <c r="I4703" s="2">
        <v>296.54000000000002</v>
      </c>
    </row>
    <row r="4704" spans="1:9" x14ac:dyDescent="0.3">
      <c r="A4704" t="str">
        <f t="shared" si="1532"/>
        <v>United States</v>
      </c>
      <c r="B4704" t="str">
        <f t="shared" si="1534"/>
        <v>San Francisco</v>
      </c>
      <c r="C4704" t="str">
        <f t="shared" si="1530"/>
        <v>Standard Class</v>
      </c>
      <c r="D4704" t="str">
        <f t="shared" si="1533"/>
        <v>Corporate</v>
      </c>
      <c r="E4704" t="s">
        <v>25</v>
      </c>
      <c r="F4704">
        <v>26</v>
      </c>
      <c r="G4704">
        <v>1.4</v>
      </c>
      <c r="H4704" s="2">
        <v>-305.37710000000015</v>
      </c>
      <c r="I4704" s="2">
        <v>4344.8639999999996</v>
      </c>
    </row>
    <row r="4705" spans="1:9" x14ac:dyDescent="0.3">
      <c r="A4705" t="str">
        <f t="shared" si="1532"/>
        <v>United States</v>
      </c>
      <c r="B4705" t="str">
        <f t="shared" si="1534"/>
        <v>San Francisco</v>
      </c>
      <c r="C4705" t="str">
        <f t="shared" si="1530"/>
        <v>Standard Class</v>
      </c>
      <c r="D4705" t="s">
        <v>17</v>
      </c>
      <c r="E4705" t="s">
        <v>23</v>
      </c>
      <c r="F4705">
        <v>11</v>
      </c>
      <c r="G4705">
        <v>0</v>
      </c>
      <c r="H4705" s="2">
        <v>212.49449999999999</v>
      </c>
      <c r="I4705" s="2">
        <v>649.74</v>
      </c>
    </row>
    <row r="4706" spans="1:9" x14ac:dyDescent="0.3">
      <c r="A4706" t="str">
        <f t="shared" si="1532"/>
        <v>United States</v>
      </c>
      <c r="B4706" t="str">
        <f t="shared" si="1534"/>
        <v>San Francisco</v>
      </c>
      <c r="C4706" t="str">
        <f t="shared" si="1530"/>
        <v>Standard Class</v>
      </c>
      <c r="D4706" t="str">
        <f t="shared" ref="D4706:D4716" si="1535">D4705</f>
        <v>Home Office</v>
      </c>
      <c r="E4706" t="s">
        <v>12</v>
      </c>
      <c r="F4706">
        <v>14</v>
      </c>
      <c r="G4706">
        <v>0</v>
      </c>
      <c r="H4706" s="2">
        <v>60.168700000000008</v>
      </c>
      <c r="I4706" s="2">
        <v>184.75</v>
      </c>
    </row>
    <row r="4707" spans="1:9" x14ac:dyDescent="0.3">
      <c r="A4707" t="str">
        <f t="shared" si="1532"/>
        <v>United States</v>
      </c>
      <c r="B4707" t="str">
        <f t="shared" si="1534"/>
        <v>San Francisco</v>
      </c>
      <c r="C4707" t="str">
        <f t="shared" si="1530"/>
        <v>Standard Class</v>
      </c>
      <c r="D4707" t="str">
        <f t="shared" si="1535"/>
        <v>Home Office</v>
      </c>
      <c r="E4707" t="s">
        <v>19</v>
      </c>
      <c r="F4707">
        <v>24</v>
      </c>
      <c r="G4707">
        <v>0</v>
      </c>
      <c r="H4707" s="2">
        <v>23.7044</v>
      </c>
      <c r="I4707" s="2">
        <v>69.38</v>
      </c>
    </row>
    <row r="4708" spans="1:9" x14ac:dyDescent="0.3">
      <c r="A4708" t="str">
        <f t="shared" si="1532"/>
        <v>United States</v>
      </c>
      <c r="B4708" t="str">
        <f t="shared" si="1534"/>
        <v>San Francisco</v>
      </c>
      <c r="C4708" t="str">
        <f t="shared" si="1530"/>
        <v>Standard Class</v>
      </c>
      <c r="D4708" t="str">
        <f t="shared" si="1535"/>
        <v>Home Office</v>
      </c>
      <c r="E4708" t="s">
        <v>20</v>
      </c>
      <c r="F4708">
        <v>48</v>
      </c>
      <c r="G4708">
        <v>1.7999999999999998</v>
      </c>
      <c r="H4708" s="2">
        <v>85.380999999999986</v>
      </c>
      <c r="I4708" s="2">
        <v>249.66400000000002</v>
      </c>
    </row>
    <row r="4709" spans="1:9" x14ac:dyDescent="0.3">
      <c r="A4709" t="str">
        <f t="shared" si="1532"/>
        <v>United States</v>
      </c>
      <c r="B4709" t="str">
        <f t="shared" si="1534"/>
        <v>San Francisco</v>
      </c>
      <c r="C4709" t="str">
        <f t="shared" si="1530"/>
        <v>Standard Class</v>
      </c>
      <c r="D4709" t="str">
        <f t="shared" si="1535"/>
        <v>Home Office</v>
      </c>
      <c r="E4709" t="s">
        <v>34</v>
      </c>
      <c r="F4709">
        <v>1</v>
      </c>
      <c r="G4709">
        <v>0.15</v>
      </c>
      <c r="H4709" s="2">
        <v>7.0489999999999995</v>
      </c>
      <c r="I4709" s="2">
        <v>119.83299999999998</v>
      </c>
    </row>
    <row r="4710" spans="1:9" x14ac:dyDescent="0.3">
      <c r="A4710" t="str">
        <f t="shared" si="1532"/>
        <v>United States</v>
      </c>
      <c r="B4710" t="str">
        <f t="shared" si="1534"/>
        <v>San Francisco</v>
      </c>
      <c r="C4710" t="str">
        <f t="shared" si="1530"/>
        <v>Standard Class</v>
      </c>
      <c r="D4710" t="str">
        <f t="shared" si="1535"/>
        <v>Home Office</v>
      </c>
      <c r="E4710" t="s">
        <v>33</v>
      </c>
      <c r="F4710">
        <v>3</v>
      </c>
      <c r="G4710">
        <v>0.4</v>
      </c>
      <c r="H4710" s="2">
        <v>-26.544999999999995</v>
      </c>
      <c r="I4710" s="2">
        <v>250.352</v>
      </c>
    </row>
    <row r="4711" spans="1:9" x14ac:dyDescent="0.3">
      <c r="A4711" t="str">
        <f t="shared" si="1532"/>
        <v>United States</v>
      </c>
      <c r="B4711" t="str">
        <f t="shared" si="1534"/>
        <v>San Francisco</v>
      </c>
      <c r="C4711" t="str">
        <f t="shared" si="1530"/>
        <v>Standard Class</v>
      </c>
      <c r="D4711" t="str">
        <f t="shared" si="1535"/>
        <v>Home Office</v>
      </c>
      <c r="E4711" t="s">
        <v>18</v>
      </c>
      <c r="F4711">
        <v>2</v>
      </c>
      <c r="G4711">
        <v>0</v>
      </c>
      <c r="H4711" s="2">
        <v>1.9697999999999998</v>
      </c>
      <c r="I4711" s="2">
        <v>4.0199999999999996</v>
      </c>
    </row>
    <row r="4712" spans="1:9" x14ac:dyDescent="0.3">
      <c r="A4712" t="str">
        <f t="shared" si="1532"/>
        <v>United States</v>
      </c>
      <c r="B4712" t="str">
        <f t="shared" si="1534"/>
        <v>San Francisco</v>
      </c>
      <c r="C4712" t="str">
        <f t="shared" si="1530"/>
        <v>Standard Class</v>
      </c>
      <c r="D4712" t="str">
        <f t="shared" si="1535"/>
        <v>Home Office</v>
      </c>
      <c r="E4712" t="s">
        <v>21</v>
      </c>
      <c r="F4712">
        <v>1</v>
      </c>
      <c r="G4712">
        <v>0</v>
      </c>
      <c r="H4712" s="2">
        <v>2.1780000000000004</v>
      </c>
      <c r="I4712" s="2">
        <v>4.95</v>
      </c>
    </row>
    <row r="4713" spans="1:9" x14ac:dyDescent="0.3">
      <c r="A4713" t="str">
        <f t="shared" si="1532"/>
        <v>United States</v>
      </c>
      <c r="B4713" t="str">
        <f t="shared" si="1534"/>
        <v>San Francisco</v>
      </c>
      <c r="C4713" t="str">
        <f t="shared" si="1530"/>
        <v>Standard Class</v>
      </c>
      <c r="D4713" t="str">
        <f t="shared" si="1535"/>
        <v>Home Office</v>
      </c>
      <c r="E4713" t="s">
        <v>43</v>
      </c>
      <c r="F4713">
        <v>18</v>
      </c>
      <c r="G4713">
        <v>0</v>
      </c>
      <c r="H4713" s="2">
        <v>42.202399999999997</v>
      </c>
      <c r="I4713" s="2">
        <v>88.899999999999991</v>
      </c>
    </row>
    <row r="4714" spans="1:9" x14ac:dyDescent="0.3">
      <c r="A4714" t="str">
        <f t="shared" si="1532"/>
        <v>United States</v>
      </c>
      <c r="B4714" t="str">
        <f t="shared" si="1534"/>
        <v>San Francisco</v>
      </c>
      <c r="C4714" t="str">
        <f t="shared" si="1530"/>
        <v>Standard Class</v>
      </c>
      <c r="D4714" t="str">
        <f t="shared" si="1535"/>
        <v>Home Office</v>
      </c>
      <c r="E4714" t="s">
        <v>16</v>
      </c>
      <c r="F4714">
        <v>42</v>
      </c>
      <c r="G4714">
        <v>0</v>
      </c>
      <c r="H4714" s="2">
        <v>558.86059999999998</v>
      </c>
      <c r="I4714" s="2">
        <v>1154.06</v>
      </c>
    </row>
    <row r="4715" spans="1:9" x14ac:dyDescent="0.3">
      <c r="A4715" t="str">
        <f t="shared" si="1532"/>
        <v>United States</v>
      </c>
      <c r="B4715" t="str">
        <f t="shared" si="1534"/>
        <v>San Francisco</v>
      </c>
      <c r="C4715" t="str">
        <f t="shared" si="1530"/>
        <v>Standard Class</v>
      </c>
      <c r="D4715" t="str">
        <f t="shared" si="1535"/>
        <v>Home Office</v>
      </c>
      <c r="E4715" t="s">
        <v>24</v>
      </c>
      <c r="F4715">
        <v>6</v>
      </c>
      <c r="G4715">
        <v>0.4</v>
      </c>
      <c r="H4715" s="2">
        <v>100.77659999999997</v>
      </c>
      <c r="I4715" s="2">
        <v>895.79200000000003</v>
      </c>
    </row>
    <row r="4716" spans="1:9" x14ac:dyDescent="0.3">
      <c r="A4716" t="str">
        <f t="shared" si="1532"/>
        <v>United States</v>
      </c>
      <c r="B4716" t="str">
        <f t="shared" si="1534"/>
        <v>San Francisco</v>
      </c>
      <c r="C4716" t="str">
        <f t="shared" si="1530"/>
        <v>Standard Class</v>
      </c>
      <c r="D4716" t="str">
        <f t="shared" si="1535"/>
        <v>Home Office</v>
      </c>
      <c r="E4716" t="s">
        <v>14</v>
      </c>
      <c r="F4716">
        <v>6</v>
      </c>
      <c r="G4716">
        <v>0</v>
      </c>
      <c r="H4716" s="2">
        <v>4.1916000000000011</v>
      </c>
      <c r="I4716" s="2">
        <v>41.370000000000005</v>
      </c>
    </row>
    <row r="4717" spans="1:9" x14ac:dyDescent="0.3">
      <c r="A4717" t="str">
        <f t="shared" si="1532"/>
        <v>United States</v>
      </c>
      <c r="B4717" t="s">
        <v>469</v>
      </c>
      <c r="C4717" t="s">
        <v>22</v>
      </c>
      <c r="D4717" t="s">
        <v>17</v>
      </c>
      <c r="E4717" t="s">
        <v>12</v>
      </c>
      <c r="F4717">
        <v>3</v>
      </c>
      <c r="G4717">
        <v>0</v>
      </c>
      <c r="H4717" s="2">
        <v>78.508799999999965</v>
      </c>
      <c r="I4717" s="2">
        <v>270.71999999999997</v>
      </c>
    </row>
    <row r="4718" spans="1:9" x14ac:dyDescent="0.3">
      <c r="A4718" t="str">
        <f t="shared" si="1532"/>
        <v>United States</v>
      </c>
      <c r="B4718" t="str">
        <f t="shared" ref="B4718:B4719" si="1536">B4717</f>
        <v>San Gabriel</v>
      </c>
      <c r="C4718" t="str">
        <f t="shared" ref="C4718:C4719" si="1537">C4717</f>
        <v>Standard Class</v>
      </c>
      <c r="D4718" t="str">
        <f t="shared" ref="D4718:D4719" si="1538">D4717</f>
        <v>Home Office</v>
      </c>
      <c r="E4718" t="s">
        <v>33</v>
      </c>
      <c r="F4718">
        <v>5</v>
      </c>
      <c r="G4718">
        <v>0.2</v>
      </c>
      <c r="H4718" s="2">
        <v>148.70400000000006</v>
      </c>
      <c r="I4718" s="2">
        <v>1487.04</v>
      </c>
    </row>
    <row r="4719" spans="1:9" x14ac:dyDescent="0.3">
      <c r="A4719" t="str">
        <f t="shared" si="1532"/>
        <v>United States</v>
      </c>
      <c r="B4719" t="str">
        <f t="shared" si="1536"/>
        <v>San Gabriel</v>
      </c>
      <c r="C4719" t="str">
        <f t="shared" si="1537"/>
        <v>Standard Class</v>
      </c>
      <c r="D4719" t="str">
        <f t="shared" si="1538"/>
        <v>Home Office</v>
      </c>
      <c r="E4719" t="s">
        <v>21</v>
      </c>
      <c r="F4719">
        <v>5</v>
      </c>
      <c r="G4719">
        <v>0</v>
      </c>
      <c r="H4719" s="2">
        <v>63.682499999999997</v>
      </c>
      <c r="I4719" s="2">
        <v>303.25</v>
      </c>
    </row>
    <row r="4720" spans="1:9" x14ac:dyDescent="0.3">
      <c r="A4720" t="str">
        <f t="shared" si="1532"/>
        <v>United States</v>
      </c>
      <c r="B4720" t="s">
        <v>470</v>
      </c>
      <c r="C4720" t="s">
        <v>11</v>
      </c>
      <c r="D4720" t="s">
        <v>8</v>
      </c>
      <c r="E4720" t="s">
        <v>12</v>
      </c>
      <c r="F4720">
        <v>2</v>
      </c>
      <c r="G4720">
        <v>0</v>
      </c>
      <c r="H4720" s="2">
        <v>60.490000000000009</v>
      </c>
      <c r="I4720" s="2">
        <v>241.96</v>
      </c>
    </row>
    <row r="4721" spans="1:9" x14ac:dyDescent="0.3">
      <c r="A4721" t="str">
        <f t="shared" si="1532"/>
        <v>United States</v>
      </c>
      <c r="B4721" t="str">
        <f t="shared" ref="B4721:B4747" si="1539">B4720</f>
        <v>San Jose</v>
      </c>
      <c r="C4721" t="str">
        <f t="shared" ref="C4721:C4727" si="1540">C4720</f>
        <v>First Class</v>
      </c>
      <c r="D4721" t="str">
        <f t="shared" ref="D4721:D4724" si="1541">D4720</f>
        <v>Consumer</v>
      </c>
      <c r="E4721" t="s">
        <v>20</v>
      </c>
      <c r="F4721">
        <v>14</v>
      </c>
      <c r="G4721">
        <v>0.4</v>
      </c>
      <c r="H4721" s="2">
        <v>21.353399999999997</v>
      </c>
      <c r="I4721" s="2">
        <v>63.216000000000008</v>
      </c>
    </row>
    <row r="4722" spans="1:9" x14ac:dyDescent="0.3">
      <c r="A4722" t="str">
        <f t="shared" si="1532"/>
        <v>United States</v>
      </c>
      <c r="B4722" t="str">
        <f t="shared" si="1539"/>
        <v>San Jose</v>
      </c>
      <c r="C4722" t="str">
        <f t="shared" si="1540"/>
        <v>First Class</v>
      </c>
      <c r="D4722" t="str">
        <f t="shared" si="1541"/>
        <v>Consumer</v>
      </c>
      <c r="E4722" t="s">
        <v>33</v>
      </c>
      <c r="F4722">
        <v>4</v>
      </c>
      <c r="G4722">
        <v>0.2</v>
      </c>
      <c r="H4722" s="2">
        <v>9.5031999999999925</v>
      </c>
      <c r="I4722" s="2">
        <v>108.608</v>
      </c>
    </row>
    <row r="4723" spans="1:9" x14ac:dyDescent="0.3">
      <c r="A4723" t="str">
        <f t="shared" si="1532"/>
        <v>United States</v>
      </c>
      <c r="B4723" t="str">
        <f t="shared" si="1539"/>
        <v>San Jose</v>
      </c>
      <c r="C4723" t="str">
        <f t="shared" si="1540"/>
        <v>First Class</v>
      </c>
      <c r="D4723" t="str">
        <f t="shared" si="1541"/>
        <v>Consumer</v>
      </c>
      <c r="E4723" t="s">
        <v>18</v>
      </c>
      <c r="F4723">
        <v>3</v>
      </c>
      <c r="G4723">
        <v>0</v>
      </c>
      <c r="H4723" s="2">
        <v>4.9104000000000001</v>
      </c>
      <c r="I4723" s="2">
        <v>10.23</v>
      </c>
    </row>
    <row r="4724" spans="1:9" x14ac:dyDescent="0.3">
      <c r="A4724" t="str">
        <f t="shared" si="1532"/>
        <v>United States</v>
      </c>
      <c r="B4724" t="str">
        <f t="shared" si="1539"/>
        <v>San Jose</v>
      </c>
      <c r="C4724" t="str">
        <f t="shared" si="1540"/>
        <v>First Class</v>
      </c>
      <c r="D4724" t="str">
        <f t="shared" si="1541"/>
        <v>Consumer</v>
      </c>
      <c r="E4724" t="s">
        <v>16</v>
      </c>
      <c r="F4724">
        <v>5</v>
      </c>
      <c r="G4724">
        <v>0</v>
      </c>
      <c r="H4724" s="2">
        <v>69.704999999999998</v>
      </c>
      <c r="I4724" s="2">
        <v>154.9</v>
      </c>
    </row>
    <row r="4725" spans="1:9" x14ac:dyDescent="0.3">
      <c r="A4725" t="str">
        <f t="shared" si="1532"/>
        <v>United States</v>
      </c>
      <c r="B4725" t="str">
        <f t="shared" si="1539"/>
        <v>San Jose</v>
      </c>
      <c r="C4725" t="str">
        <f t="shared" si="1540"/>
        <v>First Class</v>
      </c>
      <c r="D4725" t="s">
        <v>15</v>
      </c>
      <c r="E4725" t="s">
        <v>16</v>
      </c>
      <c r="F4725">
        <v>11</v>
      </c>
      <c r="G4725">
        <v>0</v>
      </c>
      <c r="H4725" s="2">
        <v>74.81019999999998</v>
      </c>
      <c r="I4725" s="2">
        <v>163.89999999999998</v>
      </c>
    </row>
    <row r="4726" spans="1:9" x14ac:dyDescent="0.3">
      <c r="A4726" t="str">
        <f t="shared" si="1532"/>
        <v>United States</v>
      </c>
      <c r="B4726" t="str">
        <f t="shared" si="1539"/>
        <v>San Jose</v>
      </c>
      <c r="C4726" t="str">
        <f t="shared" si="1540"/>
        <v>First Class</v>
      </c>
      <c r="D4726" t="str">
        <f>D4725</f>
        <v>Corporate</v>
      </c>
      <c r="E4726" t="s">
        <v>14</v>
      </c>
      <c r="F4726">
        <v>6</v>
      </c>
      <c r="G4726">
        <v>0</v>
      </c>
      <c r="H4726" s="2">
        <v>21.028799999999997</v>
      </c>
      <c r="I4726" s="2">
        <v>80.88</v>
      </c>
    </row>
    <row r="4727" spans="1:9" x14ac:dyDescent="0.3">
      <c r="A4727" t="str">
        <f t="shared" si="1532"/>
        <v>United States</v>
      </c>
      <c r="B4727" t="str">
        <f t="shared" si="1539"/>
        <v>San Jose</v>
      </c>
      <c r="C4727" t="str">
        <f t="shared" si="1540"/>
        <v>First Class</v>
      </c>
      <c r="D4727" t="s">
        <v>17</v>
      </c>
      <c r="E4727" t="s">
        <v>20</v>
      </c>
      <c r="F4727">
        <v>3</v>
      </c>
      <c r="G4727">
        <v>0.2</v>
      </c>
      <c r="H4727" s="2">
        <v>5.1929999999999996</v>
      </c>
      <c r="I4727" s="2">
        <v>13.847999999999999</v>
      </c>
    </row>
    <row r="4728" spans="1:9" x14ac:dyDescent="0.3">
      <c r="A4728" t="str">
        <f t="shared" si="1532"/>
        <v>United States</v>
      </c>
      <c r="B4728" t="str">
        <f t="shared" si="1539"/>
        <v>San Jose</v>
      </c>
      <c r="C4728" t="s">
        <v>7</v>
      </c>
      <c r="D4728" t="s">
        <v>8</v>
      </c>
      <c r="E4728" t="s">
        <v>23</v>
      </c>
      <c r="F4728">
        <v>4</v>
      </c>
      <c r="G4728">
        <v>0</v>
      </c>
      <c r="H4728" s="2">
        <v>12.959999999999994</v>
      </c>
      <c r="I4728" s="2">
        <v>72</v>
      </c>
    </row>
    <row r="4729" spans="1:9" x14ac:dyDescent="0.3">
      <c r="A4729" t="str">
        <f t="shared" si="1532"/>
        <v>United States</v>
      </c>
      <c r="B4729" t="str">
        <f t="shared" si="1539"/>
        <v>San Jose</v>
      </c>
      <c r="C4729" t="str">
        <f t="shared" ref="C4729:C4731" si="1542">C4728</f>
        <v>Second Class</v>
      </c>
      <c r="D4729" t="str">
        <f t="shared" ref="D4729:D4730" si="1543">D4728</f>
        <v>Consumer</v>
      </c>
      <c r="E4729" t="s">
        <v>33</v>
      </c>
      <c r="F4729">
        <v>2</v>
      </c>
      <c r="G4729">
        <v>0.2</v>
      </c>
      <c r="H4729" s="2">
        <v>9.9651999999999994</v>
      </c>
      <c r="I4729" s="2">
        <v>113.88800000000002</v>
      </c>
    </row>
    <row r="4730" spans="1:9" x14ac:dyDescent="0.3">
      <c r="A4730" t="str">
        <f t="shared" si="1532"/>
        <v>United States</v>
      </c>
      <c r="B4730" t="str">
        <f t="shared" si="1539"/>
        <v>San Jose</v>
      </c>
      <c r="C4730" t="str">
        <f t="shared" si="1542"/>
        <v>Second Class</v>
      </c>
      <c r="D4730" t="str">
        <f t="shared" si="1543"/>
        <v>Consumer</v>
      </c>
      <c r="E4730" t="s">
        <v>38</v>
      </c>
      <c r="F4730">
        <v>3</v>
      </c>
      <c r="G4730">
        <v>0</v>
      </c>
      <c r="H4730" s="2">
        <v>77.483699999999999</v>
      </c>
      <c r="I4730" s="2">
        <v>158.13</v>
      </c>
    </row>
    <row r="4731" spans="1:9" x14ac:dyDescent="0.3">
      <c r="A4731" t="str">
        <f t="shared" si="1532"/>
        <v>United States</v>
      </c>
      <c r="B4731" t="str">
        <f t="shared" si="1539"/>
        <v>San Jose</v>
      </c>
      <c r="C4731" t="str">
        <f t="shared" si="1542"/>
        <v>Second Class</v>
      </c>
      <c r="D4731" t="s">
        <v>17</v>
      </c>
      <c r="E4731" t="s">
        <v>21</v>
      </c>
      <c r="F4731">
        <v>3</v>
      </c>
      <c r="G4731">
        <v>0</v>
      </c>
      <c r="H4731" s="2">
        <v>26.648999999999997</v>
      </c>
      <c r="I4731" s="2">
        <v>76.14</v>
      </c>
    </row>
    <row r="4732" spans="1:9" x14ac:dyDescent="0.3">
      <c r="A4732" t="str">
        <f t="shared" si="1532"/>
        <v>United States</v>
      </c>
      <c r="B4732" t="str">
        <f t="shared" si="1539"/>
        <v>San Jose</v>
      </c>
      <c r="C4732" t="s">
        <v>22</v>
      </c>
      <c r="D4732" t="s">
        <v>8</v>
      </c>
      <c r="E4732" t="s">
        <v>19</v>
      </c>
      <c r="F4732">
        <v>4</v>
      </c>
      <c r="G4732">
        <v>0</v>
      </c>
      <c r="H4732" s="2">
        <v>3.1752000000000002</v>
      </c>
      <c r="I4732" s="2">
        <v>11.76</v>
      </c>
    </row>
    <row r="4733" spans="1:9" x14ac:dyDescent="0.3">
      <c r="A4733" t="str">
        <f t="shared" si="1532"/>
        <v>United States</v>
      </c>
      <c r="B4733" t="str">
        <f t="shared" si="1539"/>
        <v>San Jose</v>
      </c>
      <c r="C4733" t="str">
        <f t="shared" ref="C4733:C4747" si="1544">C4732</f>
        <v>Standard Class</v>
      </c>
      <c r="D4733" t="str">
        <f t="shared" ref="D4733:D4741" si="1545">D4732</f>
        <v>Consumer</v>
      </c>
      <c r="E4733" t="s">
        <v>20</v>
      </c>
      <c r="F4733">
        <v>7</v>
      </c>
      <c r="G4733">
        <v>0.4</v>
      </c>
      <c r="H4733" s="2">
        <v>62.878399999999999</v>
      </c>
      <c r="I4733" s="2">
        <v>172.99200000000002</v>
      </c>
    </row>
    <row r="4734" spans="1:9" x14ac:dyDescent="0.3">
      <c r="A4734" t="str">
        <f t="shared" si="1532"/>
        <v>United States</v>
      </c>
      <c r="B4734" t="str">
        <f t="shared" si="1539"/>
        <v>San Jose</v>
      </c>
      <c r="C4734" t="str">
        <f t="shared" si="1544"/>
        <v>Standard Class</v>
      </c>
      <c r="D4734" t="str">
        <f t="shared" si="1545"/>
        <v>Consumer</v>
      </c>
      <c r="E4734" t="s">
        <v>34</v>
      </c>
      <c r="F4734">
        <v>1</v>
      </c>
      <c r="G4734">
        <v>0.15</v>
      </c>
      <c r="H4734" s="2">
        <v>-6.0489999999999995</v>
      </c>
      <c r="I4734" s="2">
        <v>102.833</v>
      </c>
    </row>
    <row r="4735" spans="1:9" x14ac:dyDescent="0.3">
      <c r="A4735" t="str">
        <f t="shared" si="1532"/>
        <v>United States</v>
      </c>
      <c r="B4735" t="str">
        <f t="shared" si="1539"/>
        <v>San Jose</v>
      </c>
      <c r="C4735" t="str">
        <f t="shared" si="1544"/>
        <v>Standard Class</v>
      </c>
      <c r="D4735" t="str">
        <f t="shared" si="1545"/>
        <v>Consumer</v>
      </c>
      <c r="E4735" t="s">
        <v>33</v>
      </c>
      <c r="F4735">
        <v>1</v>
      </c>
      <c r="G4735">
        <v>0.2</v>
      </c>
      <c r="H4735" s="2">
        <v>32.097999999999971</v>
      </c>
      <c r="I4735" s="2">
        <v>256.78400000000005</v>
      </c>
    </row>
    <row r="4736" spans="1:9" x14ac:dyDescent="0.3">
      <c r="A4736" t="str">
        <f t="shared" si="1532"/>
        <v>United States</v>
      </c>
      <c r="B4736" t="str">
        <f t="shared" si="1539"/>
        <v>San Jose</v>
      </c>
      <c r="C4736" t="str">
        <f t="shared" si="1544"/>
        <v>Standard Class</v>
      </c>
      <c r="D4736" t="str">
        <f t="shared" si="1545"/>
        <v>Consumer</v>
      </c>
      <c r="E4736" t="s">
        <v>38</v>
      </c>
      <c r="F4736">
        <v>7</v>
      </c>
      <c r="G4736">
        <v>0</v>
      </c>
      <c r="H4736" s="2">
        <v>18.687199999999997</v>
      </c>
      <c r="I4736" s="2">
        <v>39.76</v>
      </c>
    </row>
    <row r="4737" spans="1:9" x14ac:dyDescent="0.3">
      <c r="A4737" t="str">
        <f t="shared" si="1532"/>
        <v>United States</v>
      </c>
      <c r="B4737" t="str">
        <f t="shared" si="1539"/>
        <v>San Jose</v>
      </c>
      <c r="C4737" t="str">
        <f t="shared" si="1544"/>
        <v>Standard Class</v>
      </c>
      <c r="D4737" t="str">
        <f t="shared" si="1545"/>
        <v>Consumer</v>
      </c>
      <c r="E4737" t="s">
        <v>21</v>
      </c>
      <c r="F4737">
        <v>15</v>
      </c>
      <c r="G4737">
        <v>0</v>
      </c>
      <c r="H4737" s="2">
        <v>113.42920000000001</v>
      </c>
      <c r="I4737" s="2">
        <v>426.10999999999996</v>
      </c>
    </row>
    <row r="4738" spans="1:9" x14ac:dyDescent="0.3">
      <c r="A4738" t="str">
        <f t="shared" si="1532"/>
        <v>United States</v>
      </c>
      <c r="B4738" t="str">
        <f t="shared" si="1539"/>
        <v>San Jose</v>
      </c>
      <c r="C4738" t="str">
        <f t="shared" si="1544"/>
        <v>Standard Class</v>
      </c>
      <c r="D4738" t="str">
        <f t="shared" si="1545"/>
        <v>Consumer</v>
      </c>
      <c r="E4738" t="s">
        <v>16</v>
      </c>
      <c r="F4738">
        <v>7</v>
      </c>
      <c r="G4738">
        <v>0</v>
      </c>
      <c r="H4738" s="2">
        <v>134.11929999999998</v>
      </c>
      <c r="I4738" s="2">
        <v>284.51</v>
      </c>
    </row>
    <row r="4739" spans="1:9" x14ac:dyDescent="0.3">
      <c r="A4739" t="str">
        <f t="shared" si="1532"/>
        <v>United States</v>
      </c>
      <c r="B4739" t="str">
        <f t="shared" si="1539"/>
        <v>San Jose</v>
      </c>
      <c r="C4739" t="str">
        <f t="shared" si="1544"/>
        <v>Standard Class</v>
      </c>
      <c r="D4739" t="str">
        <f t="shared" si="1545"/>
        <v>Consumer</v>
      </c>
      <c r="E4739" t="s">
        <v>24</v>
      </c>
      <c r="F4739">
        <v>5</v>
      </c>
      <c r="G4739">
        <v>0.2</v>
      </c>
      <c r="H4739" s="2">
        <v>125.30000000000007</v>
      </c>
      <c r="I4739" s="2">
        <v>1432.0000000000002</v>
      </c>
    </row>
    <row r="4740" spans="1:9" x14ac:dyDescent="0.3">
      <c r="A4740" t="str">
        <f t="shared" ref="A4740:A4803" si="1546">A4739</f>
        <v>United States</v>
      </c>
      <c r="B4740" t="str">
        <f t="shared" si="1539"/>
        <v>San Jose</v>
      </c>
      <c r="C4740" t="str">
        <f t="shared" si="1544"/>
        <v>Standard Class</v>
      </c>
      <c r="D4740" t="str">
        <f t="shared" si="1545"/>
        <v>Consumer</v>
      </c>
      <c r="E4740" t="s">
        <v>14</v>
      </c>
      <c r="F4740">
        <v>16</v>
      </c>
      <c r="G4740">
        <v>0</v>
      </c>
      <c r="H4740" s="2">
        <v>145.18610000000001</v>
      </c>
      <c r="I4740" s="2">
        <v>1109.3700000000001</v>
      </c>
    </row>
    <row r="4741" spans="1:9" x14ac:dyDescent="0.3">
      <c r="A4741" t="str">
        <f t="shared" si="1546"/>
        <v>United States</v>
      </c>
      <c r="B4741" t="str">
        <f t="shared" si="1539"/>
        <v>San Jose</v>
      </c>
      <c r="C4741" t="str">
        <f t="shared" si="1544"/>
        <v>Standard Class</v>
      </c>
      <c r="D4741" t="str">
        <f t="shared" si="1545"/>
        <v>Consumer</v>
      </c>
      <c r="E4741" t="s">
        <v>9</v>
      </c>
      <c r="F4741">
        <v>6</v>
      </c>
      <c r="G4741">
        <v>0</v>
      </c>
      <c r="H4741" s="2">
        <v>11.0808</v>
      </c>
      <c r="I4741" s="2">
        <v>41.04</v>
      </c>
    </row>
    <row r="4742" spans="1:9" x14ac:dyDescent="0.3">
      <c r="A4742" t="str">
        <f t="shared" si="1546"/>
        <v>United States</v>
      </c>
      <c r="B4742" t="str">
        <f t="shared" si="1539"/>
        <v>San Jose</v>
      </c>
      <c r="C4742" t="str">
        <f t="shared" si="1544"/>
        <v>Standard Class</v>
      </c>
      <c r="D4742" t="s">
        <v>15</v>
      </c>
      <c r="E4742" t="s">
        <v>12</v>
      </c>
      <c r="F4742">
        <v>10</v>
      </c>
      <c r="G4742">
        <v>0</v>
      </c>
      <c r="H4742" s="2">
        <v>38.133399999999995</v>
      </c>
      <c r="I4742" s="2">
        <v>103.03999999999999</v>
      </c>
    </row>
    <row r="4743" spans="1:9" x14ac:dyDescent="0.3">
      <c r="A4743" t="str">
        <f t="shared" si="1546"/>
        <v>United States</v>
      </c>
      <c r="B4743" t="str">
        <f t="shared" si="1539"/>
        <v>San Jose</v>
      </c>
      <c r="C4743" t="str">
        <f t="shared" si="1544"/>
        <v>Standard Class</v>
      </c>
      <c r="D4743" t="str">
        <f t="shared" ref="D4743:D4746" si="1547">D4742</f>
        <v>Corporate</v>
      </c>
      <c r="E4743" t="s">
        <v>20</v>
      </c>
      <c r="F4743">
        <v>7</v>
      </c>
      <c r="G4743">
        <v>0.60000000000000009</v>
      </c>
      <c r="H4743" s="2">
        <v>133.07859999999999</v>
      </c>
      <c r="I4743" s="2">
        <v>405.67200000000003</v>
      </c>
    </row>
    <row r="4744" spans="1:9" x14ac:dyDescent="0.3">
      <c r="A4744" t="str">
        <f t="shared" si="1546"/>
        <v>United States</v>
      </c>
      <c r="B4744" t="str">
        <f t="shared" si="1539"/>
        <v>San Jose</v>
      </c>
      <c r="C4744" t="str">
        <f t="shared" si="1544"/>
        <v>Standard Class</v>
      </c>
      <c r="D4744" t="str">
        <f t="shared" si="1547"/>
        <v>Corporate</v>
      </c>
      <c r="E4744" t="s">
        <v>34</v>
      </c>
      <c r="F4744">
        <v>2</v>
      </c>
      <c r="G4744">
        <v>0.15</v>
      </c>
      <c r="H4744" s="2">
        <v>-12.878400000000013</v>
      </c>
      <c r="I4744" s="2">
        <v>273.666</v>
      </c>
    </row>
    <row r="4745" spans="1:9" x14ac:dyDescent="0.3">
      <c r="A4745" t="str">
        <f t="shared" si="1546"/>
        <v>United States</v>
      </c>
      <c r="B4745" t="str">
        <f t="shared" si="1539"/>
        <v>San Jose</v>
      </c>
      <c r="C4745" t="str">
        <f t="shared" si="1544"/>
        <v>Standard Class</v>
      </c>
      <c r="D4745" t="str">
        <f t="shared" si="1547"/>
        <v>Corporate</v>
      </c>
      <c r="E4745" t="s">
        <v>21</v>
      </c>
      <c r="F4745">
        <v>3</v>
      </c>
      <c r="G4745">
        <v>0</v>
      </c>
      <c r="H4745" s="2">
        <v>5.6627999999999998</v>
      </c>
      <c r="I4745" s="2">
        <v>14.52</v>
      </c>
    </row>
    <row r="4746" spans="1:9" x14ac:dyDescent="0.3">
      <c r="A4746" t="str">
        <f t="shared" si="1546"/>
        <v>United States</v>
      </c>
      <c r="B4746" t="str">
        <f t="shared" si="1539"/>
        <v>San Jose</v>
      </c>
      <c r="C4746" t="str">
        <f t="shared" si="1544"/>
        <v>Standard Class</v>
      </c>
      <c r="D4746" t="str">
        <f t="shared" si="1547"/>
        <v>Corporate</v>
      </c>
      <c r="E4746" t="s">
        <v>24</v>
      </c>
      <c r="F4746">
        <v>3</v>
      </c>
      <c r="G4746">
        <v>0.2</v>
      </c>
      <c r="H4746" s="2">
        <v>8.2763999999999953</v>
      </c>
      <c r="I4746" s="2">
        <v>110.352</v>
      </c>
    </row>
    <row r="4747" spans="1:9" x14ac:dyDescent="0.3">
      <c r="A4747" t="str">
        <f t="shared" si="1546"/>
        <v>United States</v>
      </c>
      <c r="B4747" t="str">
        <f t="shared" si="1539"/>
        <v>San Jose</v>
      </c>
      <c r="C4747" t="str">
        <f t="shared" si="1544"/>
        <v>Standard Class</v>
      </c>
      <c r="D4747" t="s">
        <v>17</v>
      </c>
      <c r="E4747" t="s">
        <v>20</v>
      </c>
      <c r="F4747">
        <v>5</v>
      </c>
      <c r="G4747">
        <v>0.2</v>
      </c>
      <c r="H4747" s="2">
        <v>9.8279999999999959</v>
      </c>
      <c r="I4747" s="2">
        <v>29.120000000000005</v>
      </c>
    </row>
    <row r="4748" spans="1:9" x14ac:dyDescent="0.3">
      <c r="A4748" t="str">
        <f t="shared" si="1546"/>
        <v>United States</v>
      </c>
      <c r="B4748" t="s">
        <v>471</v>
      </c>
      <c r="C4748" t="s">
        <v>22</v>
      </c>
      <c r="D4748" t="s">
        <v>8</v>
      </c>
      <c r="E4748" t="s">
        <v>18</v>
      </c>
      <c r="F4748">
        <v>2</v>
      </c>
      <c r="G4748">
        <v>0</v>
      </c>
      <c r="H4748" s="2">
        <v>1.1945999999999999</v>
      </c>
      <c r="I4748" s="2">
        <v>3.62</v>
      </c>
    </row>
    <row r="4749" spans="1:9" x14ac:dyDescent="0.3">
      <c r="A4749" t="str">
        <f t="shared" si="1546"/>
        <v>United States</v>
      </c>
      <c r="B4749" t="s">
        <v>472</v>
      </c>
      <c r="C4749" t="s">
        <v>7</v>
      </c>
      <c r="D4749" t="s">
        <v>15</v>
      </c>
      <c r="E4749" t="s">
        <v>23</v>
      </c>
      <c r="F4749">
        <v>2</v>
      </c>
      <c r="G4749">
        <v>0.2</v>
      </c>
      <c r="H4749" s="2">
        <v>-3.6372000000000027</v>
      </c>
      <c r="I4749" s="2">
        <v>20.784000000000002</v>
      </c>
    </row>
    <row r="4750" spans="1:9" x14ac:dyDescent="0.3">
      <c r="A4750" t="str">
        <f t="shared" si="1546"/>
        <v>United States</v>
      </c>
      <c r="B4750" t="str">
        <f t="shared" ref="B4750:B4752" si="1548">B4749</f>
        <v>San Marcos</v>
      </c>
      <c r="C4750" t="str">
        <f t="shared" ref="C4750:C4752" si="1549">C4749</f>
        <v>Second Class</v>
      </c>
      <c r="D4750" t="str">
        <f t="shared" ref="D4750:D4752" si="1550">D4749</f>
        <v>Corporate</v>
      </c>
      <c r="E4750" t="s">
        <v>21</v>
      </c>
      <c r="F4750">
        <v>3</v>
      </c>
      <c r="G4750">
        <v>0.6</v>
      </c>
      <c r="H4750" s="2">
        <v>-5.9408999999999992</v>
      </c>
      <c r="I4750" s="2">
        <v>10.332000000000001</v>
      </c>
    </row>
    <row r="4751" spans="1:9" x14ac:dyDescent="0.3">
      <c r="A4751" t="str">
        <f t="shared" si="1546"/>
        <v>United States</v>
      </c>
      <c r="B4751" t="str">
        <f t="shared" si="1548"/>
        <v>San Marcos</v>
      </c>
      <c r="C4751" t="str">
        <f t="shared" si="1549"/>
        <v>Second Class</v>
      </c>
      <c r="D4751" t="str">
        <f t="shared" si="1550"/>
        <v>Corporate</v>
      </c>
      <c r="E4751" t="s">
        <v>16</v>
      </c>
      <c r="F4751">
        <v>2</v>
      </c>
      <c r="G4751">
        <v>0.2</v>
      </c>
      <c r="H4751" s="2">
        <v>3.6288</v>
      </c>
      <c r="I4751" s="2">
        <v>10.368000000000002</v>
      </c>
    </row>
    <row r="4752" spans="1:9" x14ac:dyDescent="0.3">
      <c r="A4752" t="str">
        <f t="shared" si="1546"/>
        <v>United States</v>
      </c>
      <c r="B4752" t="str">
        <f t="shared" si="1548"/>
        <v>San Marcos</v>
      </c>
      <c r="C4752" t="str">
        <f t="shared" si="1549"/>
        <v>Second Class</v>
      </c>
      <c r="D4752" t="str">
        <f t="shared" si="1550"/>
        <v>Corporate</v>
      </c>
      <c r="E4752" t="s">
        <v>14</v>
      </c>
      <c r="F4752">
        <v>5</v>
      </c>
      <c r="G4752">
        <v>0.2</v>
      </c>
      <c r="H4752" s="2">
        <v>-13.392000000000003</v>
      </c>
      <c r="I4752" s="2">
        <v>66.959999999999994</v>
      </c>
    </row>
    <row r="4753" spans="1:9" x14ac:dyDescent="0.3">
      <c r="A4753" t="str">
        <f t="shared" si="1546"/>
        <v>United States</v>
      </c>
      <c r="B4753" t="s">
        <v>473</v>
      </c>
      <c r="C4753" t="s">
        <v>11</v>
      </c>
      <c r="D4753" t="s">
        <v>8</v>
      </c>
      <c r="E4753" t="s">
        <v>43</v>
      </c>
      <c r="F4753">
        <v>6</v>
      </c>
      <c r="G4753">
        <v>0</v>
      </c>
      <c r="H4753" s="2">
        <v>35.334599999999995</v>
      </c>
      <c r="I4753" s="2">
        <v>75.179999999999993</v>
      </c>
    </row>
    <row r="4754" spans="1:9" x14ac:dyDescent="0.3">
      <c r="A4754" t="str">
        <f t="shared" si="1546"/>
        <v>United States</v>
      </c>
      <c r="B4754" t="s">
        <v>474</v>
      </c>
      <c r="C4754" t="s">
        <v>11</v>
      </c>
      <c r="D4754" t="s">
        <v>15</v>
      </c>
      <c r="E4754" t="s">
        <v>12</v>
      </c>
      <c r="F4754">
        <v>2</v>
      </c>
      <c r="G4754">
        <v>0</v>
      </c>
      <c r="H4754" s="2">
        <v>4.4824000000000002</v>
      </c>
      <c r="I4754" s="2">
        <v>17.239999999999998</v>
      </c>
    </row>
    <row r="4755" spans="1:9" x14ac:dyDescent="0.3">
      <c r="A4755" t="str">
        <f t="shared" si="1546"/>
        <v>United States</v>
      </c>
      <c r="B4755" t="str">
        <f t="shared" ref="B4755:B4765" si="1551">B4754</f>
        <v>Sandy Springs</v>
      </c>
      <c r="C4755" t="str">
        <f t="shared" ref="C4755:C4757" si="1552">C4754</f>
        <v>First Class</v>
      </c>
      <c r="D4755" t="str">
        <f t="shared" ref="D4755:D4757" si="1553">D4754</f>
        <v>Corporate</v>
      </c>
      <c r="E4755" t="s">
        <v>20</v>
      </c>
      <c r="F4755">
        <v>6</v>
      </c>
      <c r="G4755">
        <v>0</v>
      </c>
      <c r="H4755" s="2">
        <v>54.691199999999995</v>
      </c>
      <c r="I4755" s="2">
        <v>113.94</v>
      </c>
    </row>
    <row r="4756" spans="1:9" x14ac:dyDescent="0.3">
      <c r="A4756" t="str">
        <f t="shared" si="1546"/>
        <v>United States</v>
      </c>
      <c r="B4756" t="str">
        <f t="shared" si="1551"/>
        <v>Sandy Springs</v>
      </c>
      <c r="C4756" t="str">
        <f t="shared" si="1552"/>
        <v>First Class</v>
      </c>
      <c r="D4756" t="str">
        <f t="shared" si="1553"/>
        <v>Corporate</v>
      </c>
      <c r="E4756" t="s">
        <v>34</v>
      </c>
      <c r="F4756">
        <v>3</v>
      </c>
      <c r="G4756">
        <v>0</v>
      </c>
      <c r="H4756" s="2">
        <v>75.735000000000014</v>
      </c>
      <c r="I4756" s="2">
        <v>302.94</v>
      </c>
    </row>
    <row r="4757" spans="1:9" x14ac:dyDescent="0.3">
      <c r="A4757" t="str">
        <f t="shared" si="1546"/>
        <v>United States</v>
      </c>
      <c r="B4757" t="str">
        <f t="shared" si="1551"/>
        <v>Sandy Springs</v>
      </c>
      <c r="C4757" t="str">
        <f t="shared" si="1552"/>
        <v>First Class</v>
      </c>
      <c r="D4757" t="str">
        <f t="shared" si="1553"/>
        <v>Corporate</v>
      </c>
      <c r="E4757" t="s">
        <v>24</v>
      </c>
      <c r="F4757">
        <v>7</v>
      </c>
      <c r="G4757">
        <v>0</v>
      </c>
      <c r="H4757" s="2">
        <v>31.311899999999998</v>
      </c>
      <c r="I4757" s="2">
        <v>90.72999999999999</v>
      </c>
    </row>
    <row r="4758" spans="1:9" x14ac:dyDescent="0.3">
      <c r="A4758" t="str">
        <f t="shared" si="1546"/>
        <v>United States</v>
      </c>
      <c r="B4758" t="str">
        <f t="shared" si="1551"/>
        <v>Sandy Springs</v>
      </c>
      <c r="C4758" t="s">
        <v>7</v>
      </c>
      <c r="D4758" t="s">
        <v>8</v>
      </c>
      <c r="E4758" t="s">
        <v>19</v>
      </c>
      <c r="F4758">
        <v>3</v>
      </c>
      <c r="G4758">
        <v>0</v>
      </c>
      <c r="H4758" s="2">
        <v>9.7118999999999982</v>
      </c>
      <c r="I4758" s="2">
        <v>35.97</v>
      </c>
    </row>
    <row r="4759" spans="1:9" x14ac:dyDescent="0.3">
      <c r="A4759" t="str">
        <f t="shared" si="1546"/>
        <v>United States</v>
      </c>
      <c r="B4759" t="str">
        <f t="shared" si="1551"/>
        <v>Sandy Springs</v>
      </c>
      <c r="C4759" t="str">
        <f>C4758</f>
        <v>Second Class</v>
      </c>
      <c r="D4759" t="str">
        <f>D4758</f>
        <v>Consumer</v>
      </c>
      <c r="E4759" t="s">
        <v>34</v>
      </c>
      <c r="F4759">
        <v>7</v>
      </c>
      <c r="G4759">
        <v>0</v>
      </c>
      <c r="H4759" s="2">
        <v>291.37779999999987</v>
      </c>
      <c r="I4759" s="2">
        <v>1266.8599999999999</v>
      </c>
    </row>
    <row r="4760" spans="1:9" x14ac:dyDescent="0.3">
      <c r="A4760" t="str">
        <f t="shared" si="1546"/>
        <v>United States</v>
      </c>
      <c r="B4760" t="str">
        <f t="shared" si="1551"/>
        <v>Sandy Springs</v>
      </c>
      <c r="C4760" t="s">
        <v>22</v>
      </c>
      <c r="D4760" t="s">
        <v>15</v>
      </c>
      <c r="E4760" t="s">
        <v>23</v>
      </c>
      <c r="F4760">
        <v>1</v>
      </c>
      <c r="G4760">
        <v>0</v>
      </c>
      <c r="H4760" s="2">
        <v>0.83300000000000018</v>
      </c>
      <c r="I4760" s="2">
        <v>5.95</v>
      </c>
    </row>
    <row r="4761" spans="1:9" x14ac:dyDescent="0.3">
      <c r="A4761" t="str">
        <f t="shared" si="1546"/>
        <v>United States</v>
      </c>
      <c r="B4761" t="str">
        <f t="shared" si="1551"/>
        <v>Sandy Springs</v>
      </c>
      <c r="C4761" t="str">
        <f t="shared" ref="C4761:C4765" si="1554">C4760</f>
        <v>Standard Class</v>
      </c>
      <c r="D4761" t="str">
        <f>D4760</f>
        <v>Corporate</v>
      </c>
      <c r="E4761" t="s">
        <v>16</v>
      </c>
      <c r="F4761">
        <v>3</v>
      </c>
      <c r="G4761">
        <v>0</v>
      </c>
      <c r="H4761" s="2">
        <v>7.1627999999999998</v>
      </c>
      <c r="I4761" s="2">
        <v>15.24</v>
      </c>
    </row>
    <row r="4762" spans="1:9" x14ac:dyDescent="0.3">
      <c r="A4762" t="str">
        <f t="shared" si="1546"/>
        <v>United States</v>
      </c>
      <c r="B4762" t="str">
        <f t="shared" si="1551"/>
        <v>Sandy Springs</v>
      </c>
      <c r="C4762" t="str">
        <f t="shared" si="1554"/>
        <v>Standard Class</v>
      </c>
      <c r="D4762" t="s">
        <v>17</v>
      </c>
      <c r="E4762" t="s">
        <v>19</v>
      </c>
      <c r="F4762">
        <v>7</v>
      </c>
      <c r="G4762">
        <v>0</v>
      </c>
      <c r="H4762" s="2">
        <v>8.6736000000000004</v>
      </c>
      <c r="I4762" s="2">
        <v>27</v>
      </c>
    </row>
    <row r="4763" spans="1:9" x14ac:dyDescent="0.3">
      <c r="A4763" t="str">
        <f t="shared" si="1546"/>
        <v>United States</v>
      </c>
      <c r="B4763" t="str">
        <f t="shared" si="1551"/>
        <v>Sandy Springs</v>
      </c>
      <c r="C4763" t="str">
        <f t="shared" si="1554"/>
        <v>Standard Class</v>
      </c>
      <c r="D4763" t="str">
        <f t="shared" ref="D4763:D4765" si="1555">D4762</f>
        <v>Home Office</v>
      </c>
      <c r="E4763" t="s">
        <v>43</v>
      </c>
      <c r="F4763">
        <v>5</v>
      </c>
      <c r="G4763">
        <v>0</v>
      </c>
      <c r="H4763" s="2">
        <v>7.5600000000000005</v>
      </c>
      <c r="I4763" s="2">
        <v>15.75</v>
      </c>
    </row>
    <row r="4764" spans="1:9" x14ac:dyDescent="0.3">
      <c r="A4764" t="str">
        <f t="shared" si="1546"/>
        <v>United States</v>
      </c>
      <c r="B4764" t="str">
        <f t="shared" si="1551"/>
        <v>Sandy Springs</v>
      </c>
      <c r="C4764" t="str">
        <f t="shared" si="1554"/>
        <v>Standard Class</v>
      </c>
      <c r="D4764" t="str">
        <f t="shared" si="1555"/>
        <v>Home Office</v>
      </c>
      <c r="E4764" t="s">
        <v>24</v>
      </c>
      <c r="F4764">
        <v>2</v>
      </c>
      <c r="G4764">
        <v>0</v>
      </c>
      <c r="H4764" s="2">
        <v>25.171999999999997</v>
      </c>
      <c r="I4764" s="2">
        <v>89.9</v>
      </c>
    </row>
    <row r="4765" spans="1:9" x14ac:dyDescent="0.3">
      <c r="A4765" t="str">
        <f t="shared" si="1546"/>
        <v>United States</v>
      </c>
      <c r="B4765" t="str">
        <f t="shared" si="1551"/>
        <v>Sandy Springs</v>
      </c>
      <c r="C4765" t="str">
        <f t="shared" si="1554"/>
        <v>Standard Class</v>
      </c>
      <c r="D4765" t="str">
        <f t="shared" si="1555"/>
        <v>Home Office</v>
      </c>
      <c r="E4765" t="s">
        <v>14</v>
      </c>
      <c r="F4765">
        <v>1</v>
      </c>
      <c r="G4765">
        <v>0</v>
      </c>
      <c r="H4765" s="2">
        <v>3.8774999999999995</v>
      </c>
      <c r="I4765" s="2">
        <v>15.51</v>
      </c>
    </row>
    <row r="4766" spans="1:9" x14ac:dyDescent="0.3">
      <c r="A4766" t="str">
        <f t="shared" si="1546"/>
        <v>United States</v>
      </c>
      <c r="B4766" t="s">
        <v>475</v>
      </c>
      <c r="C4766" t="s">
        <v>22</v>
      </c>
      <c r="D4766" t="s">
        <v>17</v>
      </c>
      <c r="E4766" t="s">
        <v>20</v>
      </c>
      <c r="F4766">
        <v>3</v>
      </c>
      <c r="G4766">
        <v>0.7</v>
      </c>
      <c r="H4766" s="2">
        <v>-3.5507999999999988</v>
      </c>
      <c r="I4766" s="2">
        <v>4.8420000000000005</v>
      </c>
    </row>
    <row r="4767" spans="1:9" x14ac:dyDescent="0.3">
      <c r="A4767" t="str">
        <f t="shared" si="1546"/>
        <v>United States</v>
      </c>
      <c r="B4767" t="str">
        <f>B4766</f>
        <v>Sanford</v>
      </c>
      <c r="C4767" t="str">
        <f>C4766</f>
        <v>Standard Class</v>
      </c>
      <c r="D4767" t="str">
        <f>D4766</f>
        <v>Home Office</v>
      </c>
      <c r="E4767" t="s">
        <v>21</v>
      </c>
      <c r="F4767">
        <v>6</v>
      </c>
      <c r="G4767">
        <v>0.2</v>
      </c>
      <c r="H4767" s="2">
        <v>-8.2764000000000379</v>
      </c>
      <c r="I4767" s="2">
        <v>220.70400000000001</v>
      </c>
    </row>
    <row r="4768" spans="1:9" x14ac:dyDescent="0.3">
      <c r="A4768" t="str">
        <f t="shared" si="1546"/>
        <v>United States</v>
      </c>
      <c r="B4768" t="s">
        <v>476</v>
      </c>
      <c r="C4768" t="s">
        <v>11</v>
      </c>
      <c r="D4768" t="s">
        <v>17</v>
      </c>
      <c r="E4768" t="s">
        <v>19</v>
      </c>
      <c r="F4768">
        <v>2</v>
      </c>
      <c r="G4768">
        <v>0</v>
      </c>
      <c r="H4768" s="2">
        <v>15.764000000000003</v>
      </c>
      <c r="I4768" s="2">
        <v>56.3</v>
      </c>
    </row>
    <row r="4769" spans="1:9" x14ac:dyDescent="0.3">
      <c r="A4769" t="str">
        <f t="shared" si="1546"/>
        <v>United States</v>
      </c>
      <c r="B4769" t="str">
        <f t="shared" ref="B4769:B4781" si="1556">B4768</f>
        <v>Santa Ana</v>
      </c>
      <c r="C4769" t="s">
        <v>27</v>
      </c>
      <c r="D4769" t="s">
        <v>8</v>
      </c>
      <c r="E4769" t="s">
        <v>23</v>
      </c>
      <c r="F4769">
        <v>7</v>
      </c>
      <c r="G4769">
        <v>0</v>
      </c>
      <c r="H4769" s="2">
        <v>601.96990000000005</v>
      </c>
      <c r="I4769" s="2">
        <v>1399.93</v>
      </c>
    </row>
    <row r="4770" spans="1:9" x14ac:dyDescent="0.3">
      <c r="A4770" t="str">
        <f t="shared" si="1546"/>
        <v>United States</v>
      </c>
      <c r="B4770" t="str">
        <f t="shared" si="1556"/>
        <v>Santa Ana</v>
      </c>
      <c r="C4770" t="str">
        <f t="shared" ref="C4770:C4771" si="1557">C4769</f>
        <v>Same Day</v>
      </c>
      <c r="D4770" t="str">
        <f t="shared" ref="D4770:D4771" si="1558">D4769</f>
        <v>Consumer</v>
      </c>
      <c r="E4770" t="s">
        <v>21</v>
      </c>
      <c r="F4770">
        <v>2</v>
      </c>
      <c r="G4770">
        <v>0</v>
      </c>
      <c r="H4770" s="2">
        <v>6.2151999999999994</v>
      </c>
      <c r="I4770" s="2">
        <v>18.28</v>
      </c>
    </row>
    <row r="4771" spans="1:9" x14ac:dyDescent="0.3">
      <c r="A4771" t="str">
        <f t="shared" si="1546"/>
        <v>United States</v>
      </c>
      <c r="B4771" t="str">
        <f t="shared" si="1556"/>
        <v>Santa Ana</v>
      </c>
      <c r="C4771" t="str">
        <f t="shared" si="1557"/>
        <v>Same Day</v>
      </c>
      <c r="D4771" t="str">
        <f t="shared" si="1558"/>
        <v>Consumer</v>
      </c>
      <c r="E4771" t="s">
        <v>25</v>
      </c>
      <c r="F4771">
        <v>1</v>
      </c>
      <c r="G4771">
        <v>0.2</v>
      </c>
      <c r="H4771" s="2">
        <v>-12.778499999999994</v>
      </c>
      <c r="I4771" s="2">
        <v>146.04000000000002</v>
      </c>
    </row>
    <row r="4772" spans="1:9" x14ac:dyDescent="0.3">
      <c r="A4772" t="str">
        <f t="shared" si="1546"/>
        <v>United States</v>
      </c>
      <c r="B4772" t="str">
        <f t="shared" si="1556"/>
        <v>Santa Ana</v>
      </c>
      <c r="C4772" t="s">
        <v>7</v>
      </c>
      <c r="D4772" t="s">
        <v>15</v>
      </c>
      <c r="E4772" t="s">
        <v>16</v>
      </c>
      <c r="F4772">
        <v>3</v>
      </c>
      <c r="G4772">
        <v>0</v>
      </c>
      <c r="H4772" s="2">
        <v>9.3312000000000008</v>
      </c>
      <c r="I4772" s="2">
        <v>19.440000000000001</v>
      </c>
    </row>
    <row r="4773" spans="1:9" x14ac:dyDescent="0.3">
      <c r="A4773" t="str">
        <f t="shared" si="1546"/>
        <v>United States</v>
      </c>
      <c r="B4773" t="str">
        <f t="shared" si="1556"/>
        <v>Santa Ana</v>
      </c>
      <c r="C4773" t="str">
        <f>C4772</f>
        <v>Second Class</v>
      </c>
      <c r="D4773" t="str">
        <f>D4772</f>
        <v>Corporate</v>
      </c>
      <c r="E4773" t="s">
        <v>24</v>
      </c>
      <c r="F4773">
        <v>6</v>
      </c>
      <c r="G4773">
        <v>0.2</v>
      </c>
      <c r="H4773" s="2">
        <v>17.993999999999978</v>
      </c>
      <c r="I4773" s="2">
        <v>143.952</v>
      </c>
    </row>
    <row r="4774" spans="1:9" x14ac:dyDescent="0.3">
      <c r="A4774" t="str">
        <f t="shared" si="1546"/>
        <v>United States</v>
      </c>
      <c r="B4774" t="str">
        <f t="shared" si="1556"/>
        <v>Santa Ana</v>
      </c>
      <c r="C4774" t="s">
        <v>22</v>
      </c>
      <c r="D4774" t="s">
        <v>8</v>
      </c>
      <c r="E4774" t="s">
        <v>33</v>
      </c>
      <c r="F4774">
        <v>6</v>
      </c>
      <c r="G4774">
        <v>0.2</v>
      </c>
      <c r="H4774" s="2">
        <v>-84.823200000000071</v>
      </c>
      <c r="I4774" s="2">
        <v>484.70400000000006</v>
      </c>
    </row>
    <row r="4775" spans="1:9" x14ac:dyDescent="0.3">
      <c r="A4775" t="str">
        <f t="shared" si="1546"/>
        <v>United States</v>
      </c>
      <c r="B4775" t="str">
        <f t="shared" si="1556"/>
        <v>Santa Ana</v>
      </c>
      <c r="C4775" t="str">
        <f t="shared" ref="C4775:C4781" si="1559">C4774</f>
        <v>Standard Class</v>
      </c>
      <c r="D4775" t="str">
        <f t="shared" ref="D4775:D4780" si="1560">D4774</f>
        <v>Consumer</v>
      </c>
      <c r="E4775" t="s">
        <v>18</v>
      </c>
      <c r="F4775">
        <v>3</v>
      </c>
      <c r="G4775">
        <v>0</v>
      </c>
      <c r="H4775" s="2">
        <v>0</v>
      </c>
      <c r="I4775" s="2">
        <v>5.9399999999999995</v>
      </c>
    </row>
    <row r="4776" spans="1:9" x14ac:dyDescent="0.3">
      <c r="A4776" t="str">
        <f t="shared" si="1546"/>
        <v>United States</v>
      </c>
      <c r="B4776" t="str">
        <f t="shared" si="1556"/>
        <v>Santa Ana</v>
      </c>
      <c r="C4776" t="str">
        <f t="shared" si="1559"/>
        <v>Standard Class</v>
      </c>
      <c r="D4776" t="str">
        <f t="shared" si="1560"/>
        <v>Consumer</v>
      </c>
      <c r="E4776" t="s">
        <v>46</v>
      </c>
      <c r="F4776">
        <v>3</v>
      </c>
      <c r="G4776">
        <v>0.2</v>
      </c>
      <c r="H4776" s="2">
        <v>116.24249999999996</v>
      </c>
      <c r="I4776" s="2">
        <v>371.97600000000006</v>
      </c>
    </row>
    <row r="4777" spans="1:9" x14ac:dyDescent="0.3">
      <c r="A4777" t="str">
        <f t="shared" si="1546"/>
        <v>United States</v>
      </c>
      <c r="B4777" t="str">
        <f t="shared" si="1556"/>
        <v>Santa Ana</v>
      </c>
      <c r="C4777" t="str">
        <f t="shared" si="1559"/>
        <v>Standard Class</v>
      </c>
      <c r="D4777" t="str">
        <f t="shared" si="1560"/>
        <v>Consumer</v>
      </c>
      <c r="E4777" t="s">
        <v>16</v>
      </c>
      <c r="F4777">
        <v>7</v>
      </c>
      <c r="G4777">
        <v>0</v>
      </c>
      <c r="H4777" s="2">
        <v>21.772800000000004</v>
      </c>
      <c r="I4777" s="2">
        <v>45.36</v>
      </c>
    </row>
    <row r="4778" spans="1:9" x14ac:dyDescent="0.3">
      <c r="A4778" t="str">
        <f t="shared" si="1546"/>
        <v>United States</v>
      </c>
      <c r="B4778" t="str">
        <f t="shared" si="1556"/>
        <v>Santa Ana</v>
      </c>
      <c r="C4778" t="str">
        <f t="shared" si="1559"/>
        <v>Standard Class</v>
      </c>
      <c r="D4778" t="str">
        <f t="shared" si="1560"/>
        <v>Consumer</v>
      </c>
      <c r="E4778" t="s">
        <v>24</v>
      </c>
      <c r="F4778">
        <v>4</v>
      </c>
      <c r="G4778">
        <v>0.2</v>
      </c>
      <c r="H4778" s="2">
        <v>23.756399999999985</v>
      </c>
      <c r="I4778" s="2">
        <v>211.16800000000001</v>
      </c>
    </row>
    <row r="4779" spans="1:9" x14ac:dyDescent="0.3">
      <c r="A4779" t="str">
        <f t="shared" si="1546"/>
        <v>United States</v>
      </c>
      <c r="B4779" t="str">
        <f t="shared" si="1556"/>
        <v>Santa Ana</v>
      </c>
      <c r="C4779" t="str">
        <f t="shared" si="1559"/>
        <v>Standard Class</v>
      </c>
      <c r="D4779" t="str">
        <f t="shared" si="1560"/>
        <v>Consumer</v>
      </c>
      <c r="E4779" t="s">
        <v>14</v>
      </c>
      <c r="F4779">
        <v>2</v>
      </c>
      <c r="G4779">
        <v>0</v>
      </c>
      <c r="H4779" s="2">
        <v>105.27499999999998</v>
      </c>
      <c r="I4779" s="2">
        <v>421.1</v>
      </c>
    </row>
    <row r="4780" spans="1:9" x14ac:dyDescent="0.3">
      <c r="A4780" t="str">
        <f t="shared" si="1546"/>
        <v>United States</v>
      </c>
      <c r="B4780" t="str">
        <f t="shared" si="1556"/>
        <v>Santa Ana</v>
      </c>
      <c r="C4780" t="str">
        <f t="shared" si="1559"/>
        <v>Standard Class</v>
      </c>
      <c r="D4780" t="str">
        <f t="shared" si="1560"/>
        <v>Consumer</v>
      </c>
      <c r="E4780" t="s">
        <v>9</v>
      </c>
      <c r="F4780">
        <v>2</v>
      </c>
      <c r="G4780">
        <v>0</v>
      </c>
      <c r="H4780" s="2">
        <v>6.1488000000000014</v>
      </c>
      <c r="I4780" s="2">
        <v>21.96</v>
      </c>
    </row>
    <row r="4781" spans="1:9" x14ac:dyDescent="0.3">
      <c r="A4781" t="str">
        <f t="shared" si="1546"/>
        <v>United States</v>
      </c>
      <c r="B4781" t="str">
        <f t="shared" si="1556"/>
        <v>Santa Ana</v>
      </c>
      <c r="C4781" t="str">
        <f t="shared" si="1559"/>
        <v>Standard Class</v>
      </c>
      <c r="D4781" t="s">
        <v>17</v>
      </c>
      <c r="E4781" t="s">
        <v>43</v>
      </c>
      <c r="F4781">
        <v>7</v>
      </c>
      <c r="G4781">
        <v>0</v>
      </c>
      <c r="H4781" s="2">
        <v>9.8783999999999992</v>
      </c>
      <c r="I4781" s="2">
        <v>20.16</v>
      </c>
    </row>
    <row r="4782" spans="1:9" x14ac:dyDescent="0.3">
      <c r="A4782" t="str">
        <f t="shared" si="1546"/>
        <v>United States</v>
      </c>
      <c r="B4782" t="s">
        <v>477</v>
      </c>
      <c r="C4782" t="s">
        <v>11</v>
      </c>
      <c r="D4782" t="s">
        <v>15</v>
      </c>
      <c r="E4782" t="s">
        <v>33</v>
      </c>
      <c r="F4782">
        <v>3</v>
      </c>
      <c r="G4782">
        <v>0.2</v>
      </c>
      <c r="H4782" s="2">
        <v>-54.320399999999978</v>
      </c>
      <c r="I4782" s="2">
        <v>362.13599999999997</v>
      </c>
    </row>
    <row r="4783" spans="1:9" x14ac:dyDescent="0.3">
      <c r="A4783" t="str">
        <f t="shared" si="1546"/>
        <v>United States</v>
      </c>
      <c r="B4783" t="str">
        <f t="shared" ref="B4783:B4788" si="1561">B4782</f>
        <v>Santa Barbara</v>
      </c>
      <c r="C4783" t="str">
        <f>C4782</f>
        <v>First Class</v>
      </c>
      <c r="D4783" t="str">
        <f>D4782</f>
        <v>Corporate</v>
      </c>
      <c r="E4783" t="s">
        <v>43</v>
      </c>
      <c r="F4783">
        <v>3</v>
      </c>
      <c r="G4783">
        <v>0</v>
      </c>
      <c r="H4783" s="2">
        <v>14.904</v>
      </c>
      <c r="I4783" s="2">
        <v>31.049999999999997</v>
      </c>
    </row>
    <row r="4784" spans="1:9" x14ac:dyDescent="0.3">
      <c r="A4784" t="str">
        <f t="shared" si="1546"/>
        <v>United States</v>
      </c>
      <c r="B4784" t="str">
        <f t="shared" si="1561"/>
        <v>Santa Barbara</v>
      </c>
      <c r="C4784" t="s">
        <v>7</v>
      </c>
      <c r="D4784" t="s">
        <v>15</v>
      </c>
      <c r="E4784" t="s">
        <v>16</v>
      </c>
      <c r="F4784">
        <v>2</v>
      </c>
      <c r="G4784">
        <v>0</v>
      </c>
      <c r="H4784" s="2">
        <v>4.3904000000000005</v>
      </c>
      <c r="I4784" s="2">
        <v>8.9600000000000009</v>
      </c>
    </row>
    <row r="4785" spans="1:9" x14ac:dyDescent="0.3">
      <c r="A4785" t="str">
        <f t="shared" si="1546"/>
        <v>United States</v>
      </c>
      <c r="B4785" t="str">
        <f t="shared" si="1561"/>
        <v>Santa Barbara</v>
      </c>
      <c r="C4785" t="s">
        <v>22</v>
      </c>
      <c r="D4785" t="s">
        <v>8</v>
      </c>
      <c r="E4785" t="s">
        <v>12</v>
      </c>
      <c r="F4785">
        <v>7</v>
      </c>
      <c r="G4785">
        <v>0</v>
      </c>
      <c r="H4785" s="2">
        <v>99.901199999999989</v>
      </c>
      <c r="I4785" s="2">
        <v>356.78999999999996</v>
      </c>
    </row>
    <row r="4786" spans="1:9" x14ac:dyDescent="0.3">
      <c r="A4786" t="str">
        <f t="shared" si="1546"/>
        <v>United States</v>
      </c>
      <c r="B4786" t="str">
        <f t="shared" si="1561"/>
        <v>Santa Barbara</v>
      </c>
      <c r="C4786" t="str">
        <f t="shared" ref="C4786:C4788" si="1562">C4785</f>
        <v>Standard Class</v>
      </c>
      <c r="D4786" t="s">
        <v>17</v>
      </c>
      <c r="E4786" t="s">
        <v>23</v>
      </c>
      <c r="F4786">
        <v>2</v>
      </c>
      <c r="G4786">
        <v>0</v>
      </c>
      <c r="H4786" s="2">
        <v>3.7744</v>
      </c>
      <c r="I4786" s="2">
        <v>26.96</v>
      </c>
    </row>
    <row r="4787" spans="1:9" x14ac:dyDescent="0.3">
      <c r="A4787" t="str">
        <f t="shared" si="1546"/>
        <v>United States</v>
      </c>
      <c r="B4787" t="str">
        <f t="shared" si="1561"/>
        <v>Santa Barbara</v>
      </c>
      <c r="C4787" t="str">
        <f t="shared" si="1562"/>
        <v>Standard Class</v>
      </c>
      <c r="D4787" t="str">
        <f t="shared" ref="D4787:D4788" si="1563">D4786</f>
        <v>Home Office</v>
      </c>
      <c r="E4787" t="s">
        <v>18</v>
      </c>
      <c r="F4787">
        <v>1</v>
      </c>
      <c r="G4787">
        <v>0</v>
      </c>
      <c r="H4787" s="2">
        <v>0.65159999999999996</v>
      </c>
      <c r="I4787" s="2">
        <v>1.81</v>
      </c>
    </row>
    <row r="4788" spans="1:9" x14ac:dyDescent="0.3">
      <c r="A4788" t="str">
        <f t="shared" si="1546"/>
        <v>United States</v>
      </c>
      <c r="B4788" t="str">
        <f t="shared" si="1561"/>
        <v>Santa Barbara</v>
      </c>
      <c r="C4788" t="str">
        <f t="shared" si="1562"/>
        <v>Standard Class</v>
      </c>
      <c r="D4788" t="str">
        <f t="shared" si="1563"/>
        <v>Home Office</v>
      </c>
      <c r="E4788" t="s">
        <v>24</v>
      </c>
      <c r="F4788">
        <v>12</v>
      </c>
      <c r="G4788">
        <v>0.4</v>
      </c>
      <c r="H4788" s="2">
        <v>387.98460000000011</v>
      </c>
      <c r="I4788" s="2">
        <v>3501.5280000000002</v>
      </c>
    </row>
    <row r="4789" spans="1:9" x14ac:dyDescent="0.3">
      <c r="A4789" t="str">
        <f t="shared" si="1546"/>
        <v>United States</v>
      </c>
      <c r="B4789" t="s">
        <v>478</v>
      </c>
      <c r="C4789" t="s">
        <v>11</v>
      </c>
      <c r="D4789" t="s">
        <v>8</v>
      </c>
      <c r="E4789" t="s">
        <v>12</v>
      </c>
      <c r="F4789">
        <v>4</v>
      </c>
      <c r="G4789">
        <v>0</v>
      </c>
      <c r="H4789" s="2">
        <v>15.724800000000002</v>
      </c>
      <c r="I4789" s="2">
        <v>58.24</v>
      </c>
    </row>
    <row r="4790" spans="1:9" x14ac:dyDescent="0.3">
      <c r="A4790" t="str">
        <f t="shared" si="1546"/>
        <v>United States</v>
      </c>
      <c r="B4790" t="str">
        <f t="shared" ref="B4790:B4794" si="1564">B4789</f>
        <v>Santa Clara</v>
      </c>
      <c r="C4790" t="str">
        <f>C4789</f>
        <v>First Class</v>
      </c>
      <c r="D4790" t="str">
        <f>D4789</f>
        <v>Consumer</v>
      </c>
      <c r="E4790" t="s">
        <v>20</v>
      </c>
      <c r="F4790">
        <v>6</v>
      </c>
      <c r="G4790">
        <v>0.2</v>
      </c>
      <c r="H4790" s="2">
        <v>7.0043999999999977</v>
      </c>
      <c r="I4790" s="2">
        <v>21.552000000000003</v>
      </c>
    </row>
    <row r="4791" spans="1:9" x14ac:dyDescent="0.3">
      <c r="A4791" t="str">
        <f t="shared" si="1546"/>
        <v>United States</v>
      </c>
      <c r="B4791" t="str">
        <f t="shared" si="1564"/>
        <v>Santa Clara</v>
      </c>
      <c r="C4791" t="s">
        <v>7</v>
      </c>
      <c r="D4791" t="s">
        <v>15</v>
      </c>
      <c r="E4791" t="s">
        <v>20</v>
      </c>
      <c r="F4791">
        <v>5</v>
      </c>
      <c r="G4791">
        <v>0.2</v>
      </c>
      <c r="H4791" s="2">
        <v>31.47</v>
      </c>
      <c r="I4791" s="2">
        <v>83.920000000000016</v>
      </c>
    </row>
    <row r="4792" spans="1:9" x14ac:dyDescent="0.3">
      <c r="A4792" t="str">
        <f t="shared" si="1546"/>
        <v>United States</v>
      </c>
      <c r="B4792" t="str">
        <f t="shared" si="1564"/>
        <v>Santa Clara</v>
      </c>
      <c r="C4792" t="str">
        <f t="shared" ref="C4792:C4793" si="1565">C4791</f>
        <v>Second Class</v>
      </c>
      <c r="D4792" t="str">
        <f t="shared" ref="D4792:D4793" si="1566">D4791</f>
        <v>Corporate</v>
      </c>
      <c r="E4792" t="s">
        <v>16</v>
      </c>
      <c r="F4792">
        <v>2</v>
      </c>
      <c r="G4792">
        <v>0</v>
      </c>
      <c r="H4792" s="2">
        <v>9.663199999999998</v>
      </c>
      <c r="I4792" s="2">
        <v>20.56</v>
      </c>
    </row>
    <row r="4793" spans="1:9" x14ac:dyDescent="0.3">
      <c r="A4793" t="str">
        <f t="shared" si="1546"/>
        <v>United States</v>
      </c>
      <c r="B4793" t="str">
        <f t="shared" si="1564"/>
        <v>Santa Clara</v>
      </c>
      <c r="C4793" t="str">
        <f t="shared" si="1565"/>
        <v>Second Class</v>
      </c>
      <c r="D4793" t="str">
        <f t="shared" si="1566"/>
        <v>Corporate</v>
      </c>
      <c r="E4793" t="s">
        <v>9</v>
      </c>
      <c r="F4793">
        <v>4</v>
      </c>
      <c r="G4793">
        <v>0</v>
      </c>
      <c r="H4793" s="2">
        <v>7.3872</v>
      </c>
      <c r="I4793" s="2">
        <v>27.36</v>
      </c>
    </row>
    <row r="4794" spans="1:9" x14ac:dyDescent="0.3">
      <c r="A4794" t="str">
        <f t="shared" si="1546"/>
        <v>United States</v>
      </c>
      <c r="B4794" t="str">
        <f t="shared" si="1564"/>
        <v>Santa Clara</v>
      </c>
      <c r="C4794" t="s">
        <v>22</v>
      </c>
      <c r="D4794" t="s">
        <v>15</v>
      </c>
      <c r="E4794" t="s">
        <v>16</v>
      </c>
      <c r="F4794">
        <v>2</v>
      </c>
      <c r="G4794">
        <v>0</v>
      </c>
      <c r="H4794" s="2">
        <v>4.7519999999999998</v>
      </c>
      <c r="I4794" s="2">
        <v>10.56</v>
      </c>
    </row>
    <row r="4795" spans="1:9" x14ac:dyDescent="0.3">
      <c r="A4795" t="str">
        <f t="shared" si="1546"/>
        <v>United States</v>
      </c>
      <c r="B4795" t="s">
        <v>479</v>
      </c>
      <c r="C4795" t="s">
        <v>22</v>
      </c>
      <c r="D4795" t="s">
        <v>8</v>
      </c>
      <c r="E4795" t="s">
        <v>23</v>
      </c>
      <c r="F4795">
        <v>9</v>
      </c>
      <c r="G4795">
        <v>0</v>
      </c>
      <c r="H4795" s="2">
        <v>18.503999999999991</v>
      </c>
      <c r="I4795" s="2">
        <v>92.52</v>
      </c>
    </row>
    <row r="4796" spans="1:9" x14ac:dyDescent="0.3">
      <c r="A4796" t="str">
        <f t="shared" si="1546"/>
        <v>United States</v>
      </c>
      <c r="B4796" t="str">
        <f>B4795</f>
        <v>Santa Fe</v>
      </c>
      <c r="C4796" t="str">
        <f>C4795</f>
        <v>Standard Class</v>
      </c>
      <c r="D4796" t="s">
        <v>17</v>
      </c>
      <c r="E4796" t="s">
        <v>19</v>
      </c>
      <c r="F4796">
        <v>5</v>
      </c>
      <c r="G4796">
        <v>0</v>
      </c>
      <c r="H4796" s="2">
        <v>2.1840000000000002</v>
      </c>
      <c r="I4796" s="2">
        <v>8.4</v>
      </c>
    </row>
    <row r="4797" spans="1:9" x14ac:dyDescent="0.3">
      <c r="A4797" t="str">
        <f t="shared" si="1546"/>
        <v>United States</v>
      </c>
      <c r="B4797" t="s">
        <v>480</v>
      </c>
      <c r="C4797" t="s">
        <v>11</v>
      </c>
      <c r="D4797" t="s">
        <v>8</v>
      </c>
      <c r="E4797" t="s">
        <v>14</v>
      </c>
      <c r="F4797">
        <v>3</v>
      </c>
      <c r="G4797">
        <v>0</v>
      </c>
      <c r="H4797" s="2">
        <v>30.014399999999998</v>
      </c>
      <c r="I4797" s="2">
        <v>115.44</v>
      </c>
    </row>
    <row r="4798" spans="1:9" x14ac:dyDescent="0.3">
      <c r="A4798" t="str">
        <f t="shared" si="1546"/>
        <v>United States</v>
      </c>
      <c r="B4798" t="s">
        <v>481</v>
      </c>
      <c r="C4798" t="s">
        <v>11</v>
      </c>
      <c r="D4798" t="s">
        <v>8</v>
      </c>
      <c r="E4798" t="s">
        <v>20</v>
      </c>
      <c r="F4798">
        <v>13</v>
      </c>
      <c r="G4798">
        <v>1.4</v>
      </c>
      <c r="H4798" s="2">
        <v>-27.236800000000002</v>
      </c>
      <c r="I4798" s="2">
        <v>36.741</v>
      </c>
    </row>
    <row r="4799" spans="1:9" x14ac:dyDescent="0.3">
      <c r="A4799" t="str">
        <f t="shared" si="1546"/>
        <v>United States</v>
      </c>
      <c r="B4799" t="str">
        <f t="shared" ref="B4799:B4807" si="1567">B4798</f>
        <v>Scottsdale</v>
      </c>
      <c r="C4799" t="str">
        <f t="shared" ref="C4799:C4803" si="1568">C4798</f>
        <v>First Class</v>
      </c>
      <c r="D4799" t="str">
        <f t="shared" ref="D4799:D4801" si="1569">D4798</f>
        <v>Consumer</v>
      </c>
      <c r="E4799" t="s">
        <v>34</v>
      </c>
      <c r="F4799">
        <v>5</v>
      </c>
      <c r="G4799">
        <v>0.7</v>
      </c>
      <c r="H4799" s="2">
        <v>-320.59699999999998</v>
      </c>
      <c r="I4799" s="2">
        <v>181.47000000000003</v>
      </c>
    </row>
    <row r="4800" spans="1:9" x14ac:dyDescent="0.3">
      <c r="A4800" t="str">
        <f t="shared" si="1546"/>
        <v>United States</v>
      </c>
      <c r="B4800" t="str">
        <f t="shared" si="1567"/>
        <v>Scottsdale</v>
      </c>
      <c r="C4800" t="str">
        <f t="shared" si="1568"/>
        <v>First Class</v>
      </c>
      <c r="D4800" t="str">
        <f t="shared" si="1569"/>
        <v>Consumer</v>
      </c>
      <c r="E4800" t="s">
        <v>38</v>
      </c>
      <c r="F4800">
        <v>8</v>
      </c>
      <c r="G4800">
        <v>0.4</v>
      </c>
      <c r="H4800" s="2">
        <v>39.170999999999999</v>
      </c>
      <c r="I4800" s="2">
        <v>115.8</v>
      </c>
    </row>
    <row r="4801" spans="1:9" x14ac:dyDescent="0.3">
      <c r="A4801" t="str">
        <f t="shared" si="1546"/>
        <v>United States</v>
      </c>
      <c r="B4801" t="str">
        <f t="shared" si="1567"/>
        <v>Scottsdale</v>
      </c>
      <c r="C4801" t="str">
        <f t="shared" si="1568"/>
        <v>First Class</v>
      </c>
      <c r="D4801" t="str">
        <f t="shared" si="1569"/>
        <v>Consumer</v>
      </c>
      <c r="E4801" t="s">
        <v>16</v>
      </c>
      <c r="F4801">
        <v>4</v>
      </c>
      <c r="G4801">
        <v>0.2</v>
      </c>
      <c r="H4801" s="2">
        <v>19.622399999999999</v>
      </c>
      <c r="I4801" s="2">
        <v>56.064</v>
      </c>
    </row>
    <row r="4802" spans="1:9" x14ac:dyDescent="0.3">
      <c r="A4802" t="str">
        <f t="shared" si="1546"/>
        <v>United States</v>
      </c>
      <c r="B4802" t="str">
        <f t="shared" si="1567"/>
        <v>Scottsdale</v>
      </c>
      <c r="C4802" t="str">
        <f t="shared" si="1568"/>
        <v>First Class</v>
      </c>
      <c r="D4802" t="s">
        <v>17</v>
      </c>
      <c r="E4802" t="s">
        <v>12</v>
      </c>
      <c r="F4802">
        <v>5</v>
      </c>
      <c r="G4802">
        <v>0.2</v>
      </c>
      <c r="H4802" s="2">
        <v>17.765999999999991</v>
      </c>
      <c r="I4802" s="2">
        <v>157.91999999999999</v>
      </c>
    </row>
    <row r="4803" spans="1:9" x14ac:dyDescent="0.3">
      <c r="A4803" t="str">
        <f t="shared" si="1546"/>
        <v>United States</v>
      </c>
      <c r="B4803" t="str">
        <f t="shared" si="1567"/>
        <v>Scottsdale</v>
      </c>
      <c r="C4803" t="str">
        <f t="shared" si="1568"/>
        <v>First Class</v>
      </c>
      <c r="D4803" t="str">
        <f>D4802</f>
        <v>Home Office</v>
      </c>
      <c r="E4803" t="s">
        <v>24</v>
      </c>
      <c r="F4803">
        <v>2</v>
      </c>
      <c r="G4803">
        <v>0.2</v>
      </c>
      <c r="H4803" s="2">
        <v>15.238799999999991</v>
      </c>
      <c r="I4803" s="2">
        <v>203.184</v>
      </c>
    </row>
    <row r="4804" spans="1:9" x14ac:dyDescent="0.3">
      <c r="A4804" t="str">
        <f t="shared" ref="A4804:A4867" si="1570">A4803</f>
        <v>United States</v>
      </c>
      <c r="B4804" t="str">
        <f t="shared" si="1567"/>
        <v>Scottsdale</v>
      </c>
      <c r="C4804" t="s">
        <v>7</v>
      </c>
      <c r="D4804" t="s">
        <v>8</v>
      </c>
      <c r="E4804" t="s">
        <v>24</v>
      </c>
      <c r="F4804">
        <v>1</v>
      </c>
      <c r="G4804">
        <v>0.2</v>
      </c>
      <c r="H4804" s="2">
        <v>23.799300000000002</v>
      </c>
      <c r="I4804" s="2">
        <v>271.99200000000002</v>
      </c>
    </row>
    <row r="4805" spans="1:9" x14ac:dyDescent="0.3">
      <c r="A4805" t="str">
        <f t="shared" si="1570"/>
        <v>United States</v>
      </c>
      <c r="B4805" t="str">
        <f t="shared" si="1567"/>
        <v>Scottsdale</v>
      </c>
      <c r="C4805" t="s">
        <v>22</v>
      </c>
      <c r="D4805" t="s">
        <v>8</v>
      </c>
      <c r="E4805" t="s">
        <v>38</v>
      </c>
      <c r="F4805">
        <v>3</v>
      </c>
      <c r="G4805">
        <v>0.2</v>
      </c>
      <c r="H4805" s="2">
        <v>8.8019999999999978</v>
      </c>
      <c r="I4805" s="2">
        <v>23.472000000000001</v>
      </c>
    </row>
    <row r="4806" spans="1:9" x14ac:dyDescent="0.3">
      <c r="A4806" t="str">
        <f t="shared" si="1570"/>
        <v>United States</v>
      </c>
      <c r="B4806" t="str">
        <f t="shared" si="1567"/>
        <v>Scottsdale</v>
      </c>
      <c r="C4806" t="str">
        <f t="shared" ref="C4806:C4807" si="1571">C4805</f>
        <v>Standard Class</v>
      </c>
      <c r="D4806" t="s">
        <v>15</v>
      </c>
      <c r="E4806" t="s">
        <v>21</v>
      </c>
      <c r="F4806">
        <v>7</v>
      </c>
      <c r="G4806">
        <v>0.2</v>
      </c>
      <c r="H4806" s="2">
        <v>22.377600000000001</v>
      </c>
      <c r="I4806" s="2">
        <v>111.88800000000001</v>
      </c>
    </row>
    <row r="4807" spans="1:9" x14ac:dyDescent="0.3">
      <c r="A4807" t="str">
        <f t="shared" si="1570"/>
        <v>United States</v>
      </c>
      <c r="B4807" t="str">
        <f t="shared" si="1567"/>
        <v>Scottsdale</v>
      </c>
      <c r="C4807" t="str">
        <f t="shared" si="1571"/>
        <v>Standard Class</v>
      </c>
      <c r="D4807" t="str">
        <f>D4806</f>
        <v>Corporate</v>
      </c>
      <c r="E4807" t="s">
        <v>16</v>
      </c>
      <c r="F4807">
        <v>7</v>
      </c>
      <c r="G4807">
        <v>0.2</v>
      </c>
      <c r="H4807" s="2">
        <v>111.5688</v>
      </c>
      <c r="I4807" s="2">
        <v>307.77600000000001</v>
      </c>
    </row>
    <row r="4808" spans="1:9" x14ac:dyDescent="0.3">
      <c r="A4808" t="str">
        <f t="shared" si="1570"/>
        <v>United States</v>
      </c>
      <c r="B4808" t="s">
        <v>482</v>
      </c>
      <c r="C4808" t="s">
        <v>11</v>
      </c>
      <c r="D4808" t="s">
        <v>8</v>
      </c>
      <c r="E4808" t="s">
        <v>23</v>
      </c>
      <c r="F4808">
        <v>9</v>
      </c>
      <c r="G4808">
        <v>0</v>
      </c>
      <c r="H4808" s="2">
        <v>99.304400000000001</v>
      </c>
      <c r="I4808" s="2">
        <v>296.02000000000004</v>
      </c>
    </row>
    <row r="4809" spans="1:9" x14ac:dyDescent="0.3">
      <c r="A4809" t="str">
        <f t="shared" si="1570"/>
        <v>United States</v>
      </c>
      <c r="B4809" t="str">
        <f t="shared" ref="B4809:B4840" si="1572">B4808</f>
        <v>Seattle</v>
      </c>
      <c r="C4809" t="str">
        <f t="shared" ref="C4809:C4835" si="1573">C4808</f>
        <v>First Class</v>
      </c>
      <c r="D4809" t="str">
        <f t="shared" ref="D4809:D4819" si="1574">D4808</f>
        <v>Consumer</v>
      </c>
      <c r="E4809" t="s">
        <v>19</v>
      </c>
      <c r="F4809">
        <v>3</v>
      </c>
      <c r="G4809">
        <v>0</v>
      </c>
      <c r="H4809" s="2">
        <v>4.6644000000000005</v>
      </c>
      <c r="I4809" s="2">
        <v>17.940000000000001</v>
      </c>
    </row>
    <row r="4810" spans="1:9" x14ac:dyDescent="0.3">
      <c r="A4810" t="str">
        <f t="shared" si="1570"/>
        <v>United States</v>
      </c>
      <c r="B4810" t="str">
        <f t="shared" si="1572"/>
        <v>Seattle</v>
      </c>
      <c r="C4810" t="str">
        <f t="shared" si="1573"/>
        <v>First Class</v>
      </c>
      <c r="D4810" t="str">
        <f t="shared" si="1574"/>
        <v>Consumer</v>
      </c>
      <c r="E4810" t="s">
        <v>20</v>
      </c>
      <c r="F4810">
        <v>12</v>
      </c>
      <c r="G4810">
        <v>0.60000000000000009</v>
      </c>
      <c r="H4810" s="2">
        <v>387.00229999999993</v>
      </c>
      <c r="I4810" s="2">
        <v>1236.7280000000001</v>
      </c>
    </row>
    <row r="4811" spans="1:9" x14ac:dyDescent="0.3">
      <c r="A4811" t="str">
        <f t="shared" si="1570"/>
        <v>United States</v>
      </c>
      <c r="B4811" t="str">
        <f t="shared" si="1572"/>
        <v>Seattle</v>
      </c>
      <c r="C4811" t="str">
        <f t="shared" si="1573"/>
        <v>First Class</v>
      </c>
      <c r="D4811" t="str">
        <f t="shared" si="1574"/>
        <v>Consumer</v>
      </c>
      <c r="E4811" t="s">
        <v>34</v>
      </c>
      <c r="F4811">
        <v>4</v>
      </c>
      <c r="G4811">
        <v>0</v>
      </c>
      <c r="H4811" s="2">
        <v>77.74499999999999</v>
      </c>
      <c r="I4811" s="2">
        <v>341.94</v>
      </c>
    </row>
    <row r="4812" spans="1:9" x14ac:dyDescent="0.3">
      <c r="A4812" t="str">
        <f t="shared" si="1570"/>
        <v>United States</v>
      </c>
      <c r="B4812" t="str">
        <f t="shared" si="1572"/>
        <v>Seattle</v>
      </c>
      <c r="C4812" t="str">
        <f t="shared" si="1573"/>
        <v>First Class</v>
      </c>
      <c r="D4812" t="str">
        <f t="shared" si="1574"/>
        <v>Consumer</v>
      </c>
      <c r="E4812" t="s">
        <v>33</v>
      </c>
      <c r="F4812">
        <v>11</v>
      </c>
      <c r="G4812">
        <v>0.60000000000000009</v>
      </c>
      <c r="H4812" s="2">
        <v>-23.653100000000066</v>
      </c>
      <c r="I4812" s="2">
        <v>760.55200000000002</v>
      </c>
    </row>
    <row r="4813" spans="1:9" x14ac:dyDescent="0.3">
      <c r="A4813" t="str">
        <f t="shared" si="1570"/>
        <v>United States</v>
      </c>
      <c r="B4813" t="str">
        <f t="shared" si="1572"/>
        <v>Seattle</v>
      </c>
      <c r="C4813" t="str">
        <f t="shared" si="1573"/>
        <v>First Class</v>
      </c>
      <c r="D4813" t="str">
        <f t="shared" si="1574"/>
        <v>Consumer</v>
      </c>
      <c r="E4813" t="s">
        <v>45</v>
      </c>
      <c r="F4813">
        <v>4</v>
      </c>
      <c r="G4813">
        <v>0</v>
      </c>
      <c r="H4813" s="2">
        <v>6719.9807999999994</v>
      </c>
      <c r="I4813" s="2">
        <v>13999.96</v>
      </c>
    </row>
    <row r="4814" spans="1:9" x14ac:dyDescent="0.3">
      <c r="A4814" t="str">
        <f t="shared" si="1570"/>
        <v>United States</v>
      </c>
      <c r="B4814" t="str">
        <f t="shared" si="1572"/>
        <v>Seattle</v>
      </c>
      <c r="C4814" t="str">
        <f t="shared" si="1573"/>
        <v>First Class</v>
      </c>
      <c r="D4814" t="str">
        <f t="shared" si="1574"/>
        <v>Consumer</v>
      </c>
      <c r="E4814" t="s">
        <v>18</v>
      </c>
      <c r="F4814">
        <v>4</v>
      </c>
      <c r="G4814">
        <v>0</v>
      </c>
      <c r="H4814" s="2">
        <v>1.4207999999999998</v>
      </c>
      <c r="I4814" s="2">
        <v>6.92</v>
      </c>
    </row>
    <row r="4815" spans="1:9" x14ac:dyDescent="0.3">
      <c r="A4815" t="str">
        <f t="shared" si="1570"/>
        <v>United States</v>
      </c>
      <c r="B4815" t="str">
        <f t="shared" si="1572"/>
        <v>Seattle</v>
      </c>
      <c r="C4815" t="str">
        <f t="shared" si="1573"/>
        <v>First Class</v>
      </c>
      <c r="D4815" t="str">
        <f t="shared" si="1574"/>
        <v>Consumer</v>
      </c>
      <c r="E4815" t="s">
        <v>21</v>
      </c>
      <c r="F4815">
        <v>5</v>
      </c>
      <c r="G4815">
        <v>0</v>
      </c>
      <c r="H4815" s="2">
        <v>57.93239999999998</v>
      </c>
      <c r="I4815" s="2">
        <v>302.52</v>
      </c>
    </row>
    <row r="4816" spans="1:9" x14ac:dyDescent="0.3">
      <c r="A4816" t="str">
        <f t="shared" si="1570"/>
        <v>United States</v>
      </c>
      <c r="B4816" t="str">
        <f t="shared" si="1572"/>
        <v>Seattle</v>
      </c>
      <c r="C4816" t="str">
        <f t="shared" si="1573"/>
        <v>First Class</v>
      </c>
      <c r="D4816" t="str">
        <f t="shared" si="1574"/>
        <v>Consumer</v>
      </c>
      <c r="E4816" t="s">
        <v>43</v>
      </c>
      <c r="F4816">
        <v>1</v>
      </c>
      <c r="G4816">
        <v>0</v>
      </c>
      <c r="H4816" s="2">
        <v>1.2005999999999999</v>
      </c>
      <c r="I4816" s="2">
        <v>2.61</v>
      </c>
    </row>
    <row r="4817" spans="1:9" x14ac:dyDescent="0.3">
      <c r="A4817" t="str">
        <f t="shared" si="1570"/>
        <v>United States</v>
      </c>
      <c r="B4817" t="str">
        <f t="shared" si="1572"/>
        <v>Seattle</v>
      </c>
      <c r="C4817" t="str">
        <f t="shared" si="1573"/>
        <v>First Class</v>
      </c>
      <c r="D4817" t="str">
        <f t="shared" si="1574"/>
        <v>Consumer</v>
      </c>
      <c r="E4817" t="s">
        <v>16</v>
      </c>
      <c r="F4817">
        <v>10</v>
      </c>
      <c r="G4817">
        <v>0</v>
      </c>
      <c r="H4817" s="2">
        <v>46.589399999999998</v>
      </c>
      <c r="I4817" s="2">
        <v>98.699999999999989</v>
      </c>
    </row>
    <row r="4818" spans="1:9" x14ac:dyDescent="0.3">
      <c r="A4818" t="str">
        <f t="shared" si="1570"/>
        <v>United States</v>
      </c>
      <c r="B4818" t="str">
        <f t="shared" si="1572"/>
        <v>Seattle</v>
      </c>
      <c r="C4818" t="str">
        <f t="shared" si="1573"/>
        <v>First Class</v>
      </c>
      <c r="D4818" t="str">
        <f t="shared" si="1574"/>
        <v>Consumer</v>
      </c>
      <c r="E4818" t="s">
        <v>24</v>
      </c>
      <c r="F4818">
        <v>3</v>
      </c>
      <c r="G4818">
        <v>0.2</v>
      </c>
      <c r="H4818" s="2">
        <v>10.787999999999997</v>
      </c>
      <c r="I4818" s="2">
        <v>107.88</v>
      </c>
    </row>
    <row r="4819" spans="1:9" x14ac:dyDescent="0.3">
      <c r="A4819" t="str">
        <f t="shared" si="1570"/>
        <v>United States</v>
      </c>
      <c r="B4819" t="str">
        <f t="shared" si="1572"/>
        <v>Seattle</v>
      </c>
      <c r="C4819" t="str">
        <f t="shared" si="1573"/>
        <v>First Class</v>
      </c>
      <c r="D4819" t="str">
        <f t="shared" si="1574"/>
        <v>Consumer</v>
      </c>
      <c r="E4819" t="s">
        <v>14</v>
      </c>
      <c r="F4819">
        <v>15</v>
      </c>
      <c r="G4819">
        <v>0</v>
      </c>
      <c r="H4819" s="2">
        <v>73.128000000000014</v>
      </c>
      <c r="I4819" s="2">
        <v>574.33000000000004</v>
      </c>
    </row>
    <row r="4820" spans="1:9" x14ac:dyDescent="0.3">
      <c r="A4820" t="str">
        <f t="shared" si="1570"/>
        <v>United States</v>
      </c>
      <c r="B4820" t="str">
        <f t="shared" si="1572"/>
        <v>Seattle</v>
      </c>
      <c r="C4820" t="str">
        <f t="shared" si="1573"/>
        <v>First Class</v>
      </c>
      <c r="D4820" t="s">
        <v>15</v>
      </c>
      <c r="E4820" t="s">
        <v>23</v>
      </c>
      <c r="F4820">
        <v>7</v>
      </c>
      <c r="G4820">
        <v>0</v>
      </c>
      <c r="H4820" s="2">
        <v>15.319499999999996</v>
      </c>
      <c r="I4820" s="2">
        <v>102.13</v>
      </c>
    </row>
    <row r="4821" spans="1:9" x14ac:dyDescent="0.3">
      <c r="A4821" t="str">
        <f t="shared" si="1570"/>
        <v>United States</v>
      </c>
      <c r="B4821" t="str">
        <f t="shared" si="1572"/>
        <v>Seattle</v>
      </c>
      <c r="C4821" t="str">
        <f t="shared" si="1573"/>
        <v>First Class</v>
      </c>
      <c r="D4821" t="str">
        <f t="shared" ref="D4821:D4828" si="1575">D4820</f>
        <v>Corporate</v>
      </c>
      <c r="E4821" t="s">
        <v>12</v>
      </c>
      <c r="F4821">
        <v>6</v>
      </c>
      <c r="G4821">
        <v>0</v>
      </c>
      <c r="H4821" s="2">
        <v>26.939799999999998</v>
      </c>
      <c r="I4821" s="2">
        <v>84.55</v>
      </c>
    </row>
    <row r="4822" spans="1:9" x14ac:dyDescent="0.3">
      <c r="A4822" t="str">
        <f t="shared" si="1570"/>
        <v>United States</v>
      </c>
      <c r="B4822" t="str">
        <f t="shared" si="1572"/>
        <v>Seattle</v>
      </c>
      <c r="C4822" t="str">
        <f t="shared" si="1573"/>
        <v>First Class</v>
      </c>
      <c r="D4822" t="str">
        <f t="shared" si="1575"/>
        <v>Corporate</v>
      </c>
      <c r="E4822" t="s">
        <v>20</v>
      </c>
      <c r="F4822">
        <v>10</v>
      </c>
      <c r="G4822">
        <v>0.60000000000000009</v>
      </c>
      <c r="H4822" s="2">
        <v>1072.7894999999999</v>
      </c>
      <c r="I4822" s="2">
        <v>2954.5360000000001</v>
      </c>
    </row>
    <row r="4823" spans="1:9" x14ac:dyDescent="0.3">
      <c r="A4823" t="str">
        <f t="shared" si="1570"/>
        <v>United States</v>
      </c>
      <c r="B4823" t="str">
        <f t="shared" si="1572"/>
        <v>Seattle</v>
      </c>
      <c r="C4823" t="str">
        <f t="shared" si="1573"/>
        <v>First Class</v>
      </c>
      <c r="D4823" t="str">
        <f t="shared" si="1575"/>
        <v>Corporate</v>
      </c>
      <c r="E4823" t="s">
        <v>33</v>
      </c>
      <c r="F4823">
        <v>2</v>
      </c>
      <c r="G4823">
        <v>0.2</v>
      </c>
      <c r="H4823" s="2">
        <v>-22.138200000000012</v>
      </c>
      <c r="I4823" s="2">
        <v>196.78399999999999</v>
      </c>
    </row>
    <row r="4824" spans="1:9" x14ac:dyDescent="0.3">
      <c r="A4824" t="str">
        <f t="shared" si="1570"/>
        <v>United States</v>
      </c>
      <c r="B4824" t="str">
        <f t="shared" si="1572"/>
        <v>Seattle</v>
      </c>
      <c r="C4824" t="str">
        <f t="shared" si="1573"/>
        <v>First Class</v>
      </c>
      <c r="D4824" t="str">
        <f t="shared" si="1575"/>
        <v>Corporate</v>
      </c>
      <c r="E4824" t="s">
        <v>45</v>
      </c>
      <c r="F4824">
        <v>7</v>
      </c>
      <c r="G4824">
        <v>0</v>
      </c>
      <c r="H4824" s="2">
        <v>1480.4670999999998</v>
      </c>
      <c r="I4824" s="2">
        <v>3149.9300000000003</v>
      </c>
    </row>
    <row r="4825" spans="1:9" x14ac:dyDescent="0.3">
      <c r="A4825" t="str">
        <f t="shared" si="1570"/>
        <v>United States</v>
      </c>
      <c r="B4825" t="str">
        <f t="shared" si="1572"/>
        <v>Seattle</v>
      </c>
      <c r="C4825" t="str">
        <f t="shared" si="1573"/>
        <v>First Class</v>
      </c>
      <c r="D4825" t="str">
        <f t="shared" si="1575"/>
        <v>Corporate</v>
      </c>
      <c r="E4825" t="s">
        <v>21</v>
      </c>
      <c r="F4825">
        <v>7</v>
      </c>
      <c r="G4825">
        <v>0</v>
      </c>
      <c r="H4825" s="2">
        <v>3.8975999999999997</v>
      </c>
      <c r="I4825" s="2">
        <v>12.18</v>
      </c>
    </row>
    <row r="4826" spans="1:9" x14ac:dyDescent="0.3">
      <c r="A4826" t="str">
        <f t="shared" si="1570"/>
        <v>United States</v>
      </c>
      <c r="B4826" t="str">
        <f t="shared" si="1572"/>
        <v>Seattle</v>
      </c>
      <c r="C4826" t="str">
        <f t="shared" si="1573"/>
        <v>First Class</v>
      </c>
      <c r="D4826" t="str">
        <f t="shared" si="1575"/>
        <v>Corporate</v>
      </c>
      <c r="E4826" t="s">
        <v>16</v>
      </c>
      <c r="F4826">
        <v>13</v>
      </c>
      <c r="G4826">
        <v>0</v>
      </c>
      <c r="H4826" s="2">
        <v>207.11699999999999</v>
      </c>
      <c r="I4826" s="2">
        <v>428.08</v>
      </c>
    </row>
    <row r="4827" spans="1:9" x14ac:dyDescent="0.3">
      <c r="A4827" t="str">
        <f t="shared" si="1570"/>
        <v>United States</v>
      </c>
      <c r="B4827" t="str">
        <f t="shared" si="1572"/>
        <v>Seattle</v>
      </c>
      <c r="C4827" t="str">
        <f t="shared" si="1573"/>
        <v>First Class</v>
      </c>
      <c r="D4827" t="str">
        <f t="shared" si="1575"/>
        <v>Corporate</v>
      </c>
      <c r="E4827" t="s">
        <v>14</v>
      </c>
      <c r="F4827">
        <v>3</v>
      </c>
      <c r="G4827">
        <v>0</v>
      </c>
      <c r="H4827" s="2">
        <v>349.33919999999995</v>
      </c>
      <c r="I4827" s="2">
        <v>1247.6399999999999</v>
      </c>
    </row>
    <row r="4828" spans="1:9" x14ac:dyDescent="0.3">
      <c r="A4828" t="str">
        <f t="shared" si="1570"/>
        <v>United States</v>
      </c>
      <c r="B4828" t="str">
        <f t="shared" si="1572"/>
        <v>Seattle</v>
      </c>
      <c r="C4828" t="str">
        <f t="shared" si="1573"/>
        <v>First Class</v>
      </c>
      <c r="D4828" t="str">
        <f t="shared" si="1575"/>
        <v>Corporate</v>
      </c>
      <c r="E4828" t="s">
        <v>25</v>
      </c>
      <c r="F4828">
        <v>2</v>
      </c>
      <c r="G4828">
        <v>0</v>
      </c>
      <c r="H4828" s="2">
        <v>80.368200000000002</v>
      </c>
      <c r="I4828" s="2">
        <v>892.98</v>
      </c>
    </row>
    <row r="4829" spans="1:9" x14ac:dyDescent="0.3">
      <c r="A4829" t="str">
        <f t="shared" si="1570"/>
        <v>United States</v>
      </c>
      <c r="B4829" t="str">
        <f t="shared" si="1572"/>
        <v>Seattle</v>
      </c>
      <c r="C4829" t="str">
        <f t="shared" si="1573"/>
        <v>First Class</v>
      </c>
      <c r="D4829" t="s">
        <v>17</v>
      </c>
      <c r="E4829" t="s">
        <v>23</v>
      </c>
      <c r="F4829">
        <v>2</v>
      </c>
      <c r="G4829">
        <v>0</v>
      </c>
      <c r="H4829" s="2">
        <v>87.991200000000006</v>
      </c>
      <c r="I4829" s="2">
        <v>199.98</v>
      </c>
    </row>
    <row r="4830" spans="1:9" x14ac:dyDescent="0.3">
      <c r="A4830" t="str">
        <f t="shared" si="1570"/>
        <v>United States</v>
      </c>
      <c r="B4830" t="str">
        <f t="shared" si="1572"/>
        <v>Seattle</v>
      </c>
      <c r="C4830" t="str">
        <f t="shared" si="1573"/>
        <v>First Class</v>
      </c>
      <c r="D4830" t="str">
        <f t="shared" ref="D4830:D4835" si="1576">D4829</f>
        <v>Home Office</v>
      </c>
      <c r="E4830" t="s">
        <v>19</v>
      </c>
      <c r="F4830">
        <v>2</v>
      </c>
      <c r="G4830">
        <v>0</v>
      </c>
      <c r="H4830" s="2">
        <v>6.6717999999999975</v>
      </c>
      <c r="I4830" s="2">
        <v>22.61</v>
      </c>
    </row>
    <row r="4831" spans="1:9" x14ac:dyDescent="0.3">
      <c r="A4831" t="str">
        <f t="shared" si="1570"/>
        <v>United States</v>
      </c>
      <c r="B4831" t="str">
        <f t="shared" si="1572"/>
        <v>Seattle</v>
      </c>
      <c r="C4831" t="str">
        <f t="shared" si="1573"/>
        <v>First Class</v>
      </c>
      <c r="D4831" t="str">
        <f t="shared" si="1576"/>
        <v>Home Office</v>
      </c>
      <c r="E4831" t="s">
        <v>20</v>
      </c>
      <c r="F4831">
        <v>24</v>
      </c>
      <c r="G4831">
        <v>1.2</v>
      </c>
      <c r="H4831" s="2">
        <v>151.28319999999997</v>
      </c>
      <c r="I4831" s="2">
        <v>451.14400000000001</v>
      </c>
    </row>
    <row r="4832" spans="1:9" x14ac:dyDescent="0.3">
      <c r="A4832" t="str">
        <f t="shared" si="1570"/>
        <v>United States</v>
      </c>
      <c r="B4832" t="str">
        <f t="shared" si="1572"/>
        <v>Seattle</v>
      </c>
      <c r="C4832" t="str">
        <f t="shared" si="1573"/>
        <v>First Class</v>
      </c>
      <c r="D4832" t="str">
        <f t="shared" si="1576"/>
        <v>Home Office</v>
      </c>
      <c r="E4832" t="s">
        <v>21</v>
      </c>
      <c r="F4832">
        <v>5</v>
      </c>
      <c r="G4832">
        <v>0</v>
      </c>
      <c r="H4832" s="2">
        <v>39.97999999999999</v>
      </c>
      <c r="I4832" s="2">
        <v>199.89999999999998</v>
      </c>
    </row>
    <row r="4833" spans="1:9" x14ac:dyDescent="0.3">
      <c r="A4833" t="str">
        <f t="shared" si="1570"/>
        <v>United States</v>
      </c>
      <c r="B4833" t="str">
        <f t="shared" si="1572"/>
        <v>Seattle</v>
      </c>
      <c r="C4833" t="str">
        <f t="shared" si="1573"/>
        <v>First Class</v>
      </c>
      <c r="D4833" t="str">
        <f t="shared" si="1576"/>
        <v>Home Office</v>
      </c>
      <c r="E4833" t="s">
        <v>24</v>
      </c>
      <c r="F4833">
        <v>7</v>
      </c>
      <c r="G4833">
        <v>0.4</v>
      </c>
      <c r="H4833" s="2">
        <v>53.462200000000024</v>
      </c>
      <c r="I4833" s="2">
        <v>635.94400000000007</v>
      </c>
    </row>
    <row r="4834" spans="1:9" x14ac:dyDescent="0.3">
      <c r="A4834" t="str">
        <f t="shared" si="1570"/>
        <v>United States</v>
      </c>
      <c r="B4834" t="str">
        <f t="shared" si="1572"/>
        <v>Seattle</v>
      </c>
      <c r="C4834" t="str">
        <f t="shared" si="1573"/>
        <v>First Class</v>
      </c>
      <c r="D4834" t="str">
        <f t="shared" si="1576"/>
        <v>Home Office</v>
      </c>
      <c r="E4834" t="s">
        <v>14</v>
      </c>
      <c r="F4834">
        <v>7</v>
      </c>
      <c r="G4834">
        <v>0</v>
      </c>
      <c r="H4834" s="2">
        <v>28.74839999999999</v>
      </c>
      <c r="I4834" s="2">
        <v>171.24</v>
      </c>
    </row>
    <row r="4835" spans="1:9" x14ac:dyDescent="0.3">
      <c r="A4835" t="str">
        <f t="shared" si="1570"/>
        <v>United States</v>
      </c>
      <c r="B4835" t="str">
        <f t="shared" si="1572"/>
        <v>Seattle</v>
      </c>
      <c r="C4835" t="str">
        <f t="shared" si="1573"/>
        <v>First Class</v>
      </c>
      <c r="D4835" t="str">
        <f t="shared" si="1576"/>
        <v>Home Office</v>
      </c>
      <c r="E4835" t="s">
        <v>25</v>
      </c>
      <c r="F4835">
        <v>1</v>
      </c>
      <c r="G4835">
        <v>0</v>
      </c>
      <c r="H4835" s="2">
        <v>63.106999999999999</v>
      </c>
      <c r="I4835" s="2">
        <v>286.85000000000002</v>
      </c>
    </row>
    <row r="4836" spans="1:9" x14ac:dyDescent="0.3">
      <c r="A4836" t="str">
        <f t="shared" si="1570"/>
        <v>United States</v>
      </c>
      <c r="B4836" t="str">
        <f t="shared" si="1572"/>
        <v>Seattle</v>
      </c>
      <c r="C4836" t="s">
        <v>27</v>
      </c>
      <c r="D4836" t="s">
        <v>8</v>
      </c>
      <c r="E4836" t="s">
        <v>23</v>
      </c>
      <c r="F4836">
        <v>17</v>
      </c>
      <c r="G4836">
        <v>0</v>
      </c>
      <c r="H4836" s="2">
        <v>206.2079</v>
      </c>
      <c r="I4836" s="2">
        <v>910.87</v>
      </c>
    </row>
    <row r="4837" spans="1:9" x14ac:dyDescent="0.3">
      <c r="A4837" t="str">
        <f t="shared" si="1570"/>
        <v>United States</v>
      </c>
      <c r="B4837" t="str">
        <f t="shared" si="1572"/>
        <v>Seattle</v>
      </c>
      <c r="C4837" t="str">
        <f t="shared" ref="C4837:C4854" si="1577">C4836</f>
        <v>Same Day</v>
      </c>
      <c r="D4837" t="str">
        <f t="shared" ref="D4837:D4847" si="1578">D4836</f>
        <v>Consumer</v>
      </c>
      <c r="E4837" t="s">
        <v>12</v>
      </c>
      <c r="F4837">
        <v>2</v>
      </c>
      <c r="G4837">
        <v>0</v>
      </c>
      <c r="H4837" s="2">
        <v>9.743800000000002</v>
      </c>
      <c r="I4837" s="2">
        <v>22.66</v>
      </c>
    </row>
    <row r="4838" spans="1:9" x14ac:dyDescent="0.3">
      <c r="A4838" t="str">
        <f t="shared" si="1570"/>
        <v>United States</v>
      </c>
      <c r="B4838" t="str">
        <f t="shared" si="1572"/>
        <v>Seattle</v>
      </c>
      <c r="C4838" t="str">
        <f t="shared" si="1577"/>
        <v>Same Day</v>
      </c>
      <c r="D4838" t="str">
        <f t="shared" si="1578"/>
        <v>Consumer</v>
      </c>
      <c r="E4838" t="s">
        <v>19</v>
      </c>
      <c r="F4838">
        <v>5</v>
      </c>
      <c r="G4838">
        <v>0</v>
      </c>
      <c r="H4838" s="2">
        <v>5.307599999999999</v>
      </c>
      <c r="I4838" s="2">
        <v>17.600000000000001</v>
      </c>
    </row>
    <row r="4839" spans="1:9" x14ac:dyDescent="0.3">
      <c r="A4839" t="str">
        <f t="shared" si="1570"/>
        <v>United States</v>
      </c>
      <c r="B4839" t="str">
        <f t="shared" si="1572"/>
        <v>Seattle</v>
      </c>
      <c r="C4839" t="str">
        <f t="shared" si="1577"/>
        <v>Same Day</v>
      </c>
      <c r="D4839" t="str">
        <f t="shared" si="1578"/>
        <v>Consumer</v>
      </c>
      <c r="E4839" t="s">
        <v>20</v>
      </c>
      <c r="F4839">
        <v>10</v>
      </c>
      <c r="G4839">
        <v>0.60000000000000009</v>
      </c>
      <c r="H4839" s="2">
        <v>505.07669999999996</v>
      </c>
      <c r="I4839" s="2">
        <v>1596.3440000000001</v>
      </c>
    </row>
    <row r="4840" spans="1:9" x14ac:dyDescent="0.3">
      <c r="A4840" t="str">
        <f t="shared" si="1570"/>
        <v>United States</v>
      </c>
      <c r="B4840" t="str">
        <f t="shared" si="1572"/>
        <v>Seattle</v>
      </c>
      <c r="C4840" t="str">
        <f t="shared" si="1577"/>
        <v>Same Day</v>
      </c>
      <c r="D4840" t="str">
        <f t="shared" si="1578"/>
        <v>Consumer</v>
      </c>
      <c r="E4840" t="s">
        <v>33</v>
      </c>
      <c r="F4840">
        <v>9</v>
      </c>
      <c r="G4840">
        <v>0.4</v>
      </c>
      <c r="H4840" s="2">
        <v>23.568599999999989</v>
      </c>
      <c r="I4840" s="2">
        <v>345.45600000000002</v>
      </c>
    </row>
    <row r="4841" spans="1:9" x14ac:dyDescent="0.3">
      <c r="A4841" t="str">
        <f t="shared" si="1570"/>
        <v>United States</v>
      </c>
      <c r="B4841" t="str">
        <f t="shared" ref="B4841:B4872" si="1579">B4840</f>
        <v>Seattle</v>
      </c>
      <c r="C4841" t="str">
        <f t="shared" si="1577"/>
        <v>Same Day</v>
      </c>
      <c r="D4841" t="str">
        <f t="shared" si="1578"/>
        <v>Consumer</v>
      </c>
      <c r="E4841" t="s">
        <v>18</v>
      </c>
      <c r="F4841">
        <v>5</v>
      </c>
      <c r="G4841">
        <v>0</v>
      </c>
      <c r="H4841" s="2">
        <v>2.6789999999999998</v>
      </c>
      <c r="I4841" s="2">
        <v>5.6999999999999993</v>
      </c>
    </row>
    <row r="4842" spans="1:9" x14ac:dyDescent="0.3">
      <c r="A4842" t="str">
        <f t="shared" si="1570"/>
        <v>United States</v>
      </c>
      <c r="B4842" t="str">
        <f t="shared" si="1579"/>
        <v>Seattle</v>
      </c>
      <c r="C4842" t="str">
        <f t="shared" si="1577"/>
        <v>Same Day</v>
      </c>
      <c r="D4842" t="str">
        <f t="shared" si="1578"/>
        <v>Consumer</v>
      </c>
      <c r="E4842" t="s">
        <v>21</v>
      </c>
      <c r="F4842">
        <v>16</v>
      </c>
      <c r="G4842">
        <v>0</v>
      </c>
      <c r="H4842" s="2">
        <v>108.04409999999999</v>
      </c>
      <c r="I4842" s="2">
        <v>315.93</v>
      </c>
    </row>
    <row r="4843" spans="1:9" x14ac:dyDescent="0.3">
      <c r="A4843" t="str">
        <f t="shared" si="1570"/>
        <v>United States</v>
      </c>
      <c r="B4843" t="str">
        <f t="shared" si="1579"/>
        <v>Seattle</v>
      </c>
      <c r="C4843" t="str">
        <f t="shared" si="1577"/>
        <v>Same Day</v>
      </c>
      <c r="D4843" t="str">
        <f t="shared" si="1578"/>
        <v>Consumer</v>
      </c>
      <c r="E4843" t="s">
        <v>43</v>
      </c>
      <c r="F4843">
        <v>5</v>
      </c>
      <c r="G4843">
        <v>0</v>
      </c>
      <c r="H4843" s="2">
        <v>21.135899999999996</v>
      </c>
      <c r="I4843" s="2">
        <v>44.97</v>
      </c>
    </row>
    <row r="4844" spans="1:9" x14ac:dyDescent="0.3">
      <c r="A4844" t="str">
        <f t="shared" si="1570"/>
        <v>United States</v>
      </c>
      <c r="B4844" t="str">
        <f t="shared" si="1579"/>
        <v>Seattle</v>
      </c>
      <c r="C4844" t="str">
        <f t="shared" si="1577"/>
        <v>Same Day</v>
      </c>
      <c r="D4844" t="str">
        <f t="shared" si="1578"/>
        <v>Consumer</v>
      </c>
      <c r="E4844" t="s">
        <v>16</v>
      </c>
      <c r="F4844">
        <v>24</v>
      </c>
      <c r="G4844">
        <v>0</v>
      </c>
      <c r="H4844" s="2">
        <v>94.420400000000001</v>
      </c>
      <c r="I4844" s="2">
        <v>196.74</v>
      </c>
    </row>
    <row r="4845" spans="1:9" x14ac:dyDescent="0.3">
      <c r="A4845" t="str">
        <f t="shared" si="1570"/>
        <v>United States</v>
      </c>
      <c r="B4845" t="str">
        <f t="shared" si="1579"/>
        <v>Seattle</v>
      </c>
      <c r="C4845" t="str">
        <f t="shared" si="1577"/>
        <v>Same Day</v>
      </c>
      <c r="D4845" t="str">
        <f t="shared" si="1578"/>
        <v>Consumer</v>
      </c>
      <c r="E4845" t="s">
        <v>24</v>
      </c>
      <c r="F4845">
        <v>5</v>
      </c>
      <c r="G4845">
        <v>0.2</v>
      </c>
      <c r="H4845" s="2">
        <v>-17.991000000000003</v>
      </c>
      <c r="I4845" s="2">
        <v>79.959999999999994</v>
      </c>
    </row>
    <row r="4846" spans="1:9" x14ac:dyDescent="0.3">
      <c r="A4846" t="str">
        <f t="shared" si="1570"/>
        <v>United States</v>
      </c>
      <c r="B4846" t="str">
        <f t="shared" si="1579"/>
        <v>Seattle</v>
      </c>
      <c r="C4846" t="str">
        <f t="shared" si="1577"/>
        <v>Same Day</v>
      </c>
      <c r="D4846" t="str">
        <f t="shared" si="1578"/>
        <v>Consumer</v>
      </c>
      <c r="E4846" t="s">
        <v>14</v>
      </c>
      <c r="F4846">
        <v>3</v>
      </c>
      <c r="G4846">
        <v>0</v>
      </c>
      <c r="H4846" s="2">
        <v>8.4888000000000012</v>
      </c>
      <c r="I4846" s="2">
        <v>31.44</v>
      </c>
    </row>
    <row r="4847" spans="1:9" x14ac:dyDescent="0.3">
      <c r="A4847" t="str">
        <f t="shared" si="1570"/>
        <v>United States</v>
      </c>
      <c r="B4847" t="str">
        <f t="shared" si="1579"/>
        <v>Seattle</v>
      </c>
      <c r="C4847" t="str">
        <f t="shared" si="1577"/>
        <v>Same Day</v>
      </c>
      <c r="D4847" t="str">
        <f t="shared" si="1578"/>
        <v>Consumer</v>
      </c>
      <c r="E4847" t="s">
        <v>9</v>
      </c>
      <c r="F4847">
        <v>2</v>
      </c>
      <c r="G4847">
        <v>0</v>
      </c>
      <c r="H4847" s="2">
        <v>2.1899999999999995</v>
      </c>
      <c r="I4847" s="2">
        <v>7.3</v>
      </c>
    </row>
    <row r="4848" spans="1:9" x14ac:dyDescent="0.3">
      <c r="A4848" t="str">
        <f t="shared" si="1570"/>
        <v>United States</v>
      </c>
      <c r="B4848" t="str">
        <f t="shared" si="1579"/>
        <v>Seattle</v>
      </c>
      <c r="C4848" t="str">
        <f t="shared" si="1577"/>
        <v>Same Day</v>
      </c>
      <c r="D4848" t="s">
        <v>15</v>
      </c>
      <c r="E4848" t="s">
        <v>12</v>
      </c>
      <c r="F4848">
        <v>4</v>
      </c>
      <c r="G4848">
        <v>0</v>
      </c>
      <c r="H4848" s="2">
        <v>103.81799999999998</v>
      </c>
      <c r="I4848" s="2">
        <v>314.60000000000002</v>
      </c>
    </row>
    <row r="4849" spans="1:9" x14ac:dyDescent="0.3">
      <c r="A4849" t="str">
        <f t="shared" si="1570"/>
        <v>United States</v>
      </c>
      <c r="B4849" t="str">
        <f t="shared" si="1579"/>
        <v>Seattle</v>
      </c>
      <c r="C4849" t="str">
        <f t="shared" si="1577"/>
        <v>Same Day</v>
      </c>
      <c r="D4849" t="str">
        <f>D4848</f>
        <v>Corporate</v>
      </c>
      <c r="E4849" t="s">
        <v>25</v>
      </c>
      <c r="F4849">
        <v>4</v>
      </c>
      <c r="G4849">
        <v>0</v>
      </c>
      <c r="H4849" s="2">
        <v>45.36960000000002</v>
      </c>
      <c r="I4849" s="2">
        <v>283.56</v>
      </c>
    </row>
    <row r="4850" spans="1:9" x14ac:dyDescent="0.3">
      <c r="A4850" t="str">
        <f t="shared" si="1570"/>
        <v>United States</v>
      </c>
      <c r="B4850" t="str">
        <f t="shared" si="1579"/>
        <v>Seattle</v>
      </c>
      <c r="C4850" t="str">
        <f t="shared" si="1577"/>
        <v>Same Day</v>
      </c>
      <c r="D4850" t="s">
        <v>17</v>
      </c>
      <c r="E4850" t="s">
        <v>23</v>
      </c>
      <c r="F4850">
        <v>6</v>
      </c>
      <c r="G4850">
        <v>0</v>
      </c>
      <c r="H4850" s="2">
        <v>769.02320000000009</v>
      </c>
      <c r="I4850" s="2">
        <v>1747.78</v>
      </c>
    </row>
    <row r="4851" spans="1:9" x14ac:dyDescent="0.3">
      <c r="A4851" t="str">
        <f t="shared" si="1570"/>
        <v>United States</v>
      </c>
      <c r="B4851" t="str">
        <f t="shared" si="1579"/>
        <v>Seattle</v>
      </c>
      <c r="C4851" t="str">
        <f t="shared" si="1577"/>
        <v>Same Day</v>
      </c>
      <c r="D4851" t="str">
        <f t="shared" ref="D4851:D4854" si="1580">D4850</f>
        <v>Home Office</v>
      </c>
      <c r="E4851" t="s">
        <v>33</v>
      </c>
      <c r="F4851">
        <v>3</v>
      </c>
      <c r="G4851">
        <v>0.2</v>
      </c>
      <c r="H4851" s="2">
        <v>-2.6997000000000355</v>
      </c>
      <c r="I4851" s="2">
        <v>215.976</v>
      </c>
    </row>
    <row r="4852" spans="1:9" x14ac:dyDescent="0.3">
      <c r="A4852" t="str">
        <f t="shared" si="1570"/>
        <v>United States</v>
      </c>
      <c r="B4852" t="str">
        <f t="shared" si="1579"/>
        <v>Seattle</v>
      </c>
      <c r="C4852" t="str">
        <f t="shared" si="1577"/>
        <v>Same Day</v>
      </c>
      <c r="D4852" t="str">
        <f t="shared" si="1580"/>
        <v>Home Office</v>
      </c>
      <c r="E4852" t="s">
        <v>21</v>
      </c>
      <c r="F4852">
        <v>5</v>
      </c>
      <c r="G4852">
        <v>0</v>
      </c>
      <c r="H4852" s="2">
        <v>8.6359999999999992</v>
      </c>
      <c r="I4852" s="2">
        <v>25.4</v>
      </c>
    </row>
    <row r="4853" spans="1:9" x14ac:dyDescent="0.3">
      <c r="A4853" t="str">
        <f t="shared" si="1570"/>
        <v>United States</v>
      </c>
      <c r="B4853" t="str">
        <f t="shared" si="1579"/>
        <v>Seattle</v>
      </c>
      <c r="C4853" t="str">
        <f t="shared" si="1577"/>
        <v>Same Day</v>
      </c>
      <c r="D4853" t="str">
        <f t="shared" si="1580"/>
        <v>Home Office</v>
      </c>
      <c r="E4853" t="s">
        <v>46</v>
      </c>
      <c r="F4853">
        <v>6</v>
      </c>
      <c r="G4853">
        <v>0.2</v>
      </c>
      <c r="H4853" s="2">
        <v>209.58000000000004</v>
      </c>
      <c r="I4853" s="2">
        <v>2395.2000000000003</v>
      </c>
    </row>
    <row r="4854" spans="1:9" x14ac:dyDescent="0.3">
      <c r="A4854" t="str">
        <f t="shared" si="1570"/>
        <v>United States</v>
      </c>
      <c r="B4854" t="str">
        <f t="shared" si="1579"/>
        <v>Seattle</v>
      </c>
      <c r="C4854" t="str">
        <f t="shared" si="1577"/>
        <v>Same Day</v>
      </c>
      <c r="D4854" t="str">
        <f t="shared" si="1580"/>
        <v>Home Office</v>
      </c>
      <c r="E4854" t="s">
        <v>24</v>
      </c>
      <c r="F4854">
        <v>7</v>
      </c>
      <c r="G4854">
        <v>0.60000000000000009</v>
      </c>
      <c r="H4854" s="2">
        <v>31.66079999999997</v>
      </c>
      <c r="I4854" s="2">
        <v>257.44799999999998</v>
      </c>
    </row>
    <row r="4855" spans="1:9" x14ac:dyDescent="0.3">
      <c r="A4855" t="str">
        <f t="shared" si="1570"/>
        <v>United States</v>
      </c>
      <c r="B4855" t="str">
        <f t="shared" si="1579"/>
        <v>Seattle</v>
      </c>
      <c r="C4855" t="s">
        <v>7</v>
      </c>
      <c r="D4855" t="s">
        <v>8</v>
      </c>
      <c r="E4855" t="s">
        <v>23</v>
      </c>
      <c r="F4855">
        <v>23</v>
      </c>
      <c r="G4855">
        <v>0</v>
      </c>
      <c r="H4855" s="2">
        <v>259.99419999999998</v>
      </c>
      <c r="I4855" s="2">
        <v>1367.3500000000001</v>
      </c>
    </row>
    <row r="4856" spans="1:9" x14ac:dyDescent="0.3">
      <c r="A4856" t="str">
        <f t="shared" si="1570"/>
        <v>United States</v>
      </c>
      <c r="B4856" t="str">
        <f t="shared" si="1579"/>
        <v>Seattle</v>
      </c>
      <c r="C4856" t="str">
        <f t="shared" ref="C4856:C4886" si="1581">C4855</f>
        <v>Second Class</v>
      </c>
      <c r="D4856" t="str">
        <f t="shared" ref="D4856:D4869" si="1582">D4855</f>
        <v>Consumer</v>
      </c>
      <c r="E4856" t="s">
        <v>12</v>
      </c>
      <c r="F4856">
        <v>2</v>
      </c>
      <c r="G4856">
        <v>0</v>
      </c>
      <c r="H4856" s="2">
        <v>33.588800000000006</v>
      </c>
      <c r="I4856" s="2">
        <v>119.96</v>
      </c>
    </row>
    <row r="4857" spans="1:9" x14ac:dyDescent="0.3">
      <c r="A4857" t="str">
        <f t="shared" si="1570"/>
        <v>United States</v>
      </c>
      <c r="B4857" t="str">
        <f t="shared" si="1579"/>
        <v>Seattle</v>
      </c>
      <c r="C4857" t="str">
        <f t="shared" si="1581"/>
        <v>Second Class</v>
      </c>
      <c r="D4857" t="str">
        <f t="shared" si="1582"/>
        <v>Consumer</v>
      </c>
      <c r="E4857" t="s">
        <v>19</v>
      </c>
      <c r="F4857">
        <v>2</v>
      </c>
      <c r="G4857">
        <v>0</v>
      </c>
      <c r="H4857" s="2">
        <v>10.428399999999996</v>
      </c>
      <c r="I4857" s="2">
        <v>35.96</v>
      </c>
    </row>
    <row r="4858" spans="1:9" x14ac:dyDescent="0.3">
      <c r="A4858" t="str">
        <f t="shared" si="1570"/>
        <v>United States</v>
      </c>
      <c r="B4858" t="str">
        <f t="shared" si="1579"/>
        <v>Seattle</v>
      </c>
      <c r="C4858" t="str">
        <f t="shared" si="1581"/>
        <v>Second Class</v>
      </c>
      <c r="D4858" t="str">
        <f t="shared" si="1582"/>
        <v>Consumer</v>
      </c>
      <c r="E4858" t="s">
        <v>20</v>
      </c>
      <c r="F4858">
        <v>22</v>
      </c>
      <c r="G4858">
        <v>1.5999999999999999</v>
      </c>
      <c r="H4858" s="2">
        <v>84.99169999999998</v>
      </c>
      <c r="I4858" s="2">
        <v>249.744</v>
      </c>
    </row>
    <row r="4859" spans="1:9" x14ac:dyDescent="0.3">
      <c r="A4859" t="str">
        <f t="shared" si="1570"/>
        <v>United States</v>
      </c>
      <c r="B4859" t="str">
        <f t="shared" si="1579"/>
        <v>Seattle</v>
      </c>
      <c r="C4859" t="str">
        <f t="shared" si="1581"/>
        <v>Second Class</v>
      </c>
      <c r="D4859" t="str">
        <f t="shared" si="1582"/>
        <v>Consumer</v>
      </c>
      <c r="E4859" t="s">
        <v>34</v>
      </c>
      <c r="F4859">
        <v>9</v>
      </c>
      <c r="G4859">
        <v>0</v>
      </c>
      <c r="H4859" s="2">
        <v>106.02560000000004</v>
      </c>
      <c r="I4859" s="2">
        <v>927.9</v>
      </c>
    </row>
    <row r="4860" spans="1:9" x14ac:dyDescent="0.3">
      <c r="A4860" t="str">
        <f t="shared" si="1570"/>
        <v>United States</v>
      </c>
      <c r="B4860" t="str">
        <f t="shared" si="1579"/>
        <v>Seattle</v>
      </c>
      <c r="C4860" t="str">
        <f t="shared" si="1581"/>
        <v>Second Class</v>
      </c>
      <c r="D4860" t="str">
        <f t="shared" si="1582"/>
        <v>Consumer</v>
      </c>
      <c r="E4860" t="s">
        <v>33</v>
      </c>
      <c r="F4860">
        <v>8</v>
      </c>
      <c r="G4860">
        <v>0.60000000000000009</v>
      </c>
      <c r="H4860" s="2">
        <v>19.719199999999915</v>
      </c>
      <c r="I4860" s="2">
        <v>1454.3040000000003</v>
      </c>
    </row>
    <row r="4861" spans="1:9" x14ac:dyDescent="0.3">
      <c r="A4861" t="str">
        <f t="shared" si="1570"/>
        <v>United States</v>
      </c>
      <c r="B4861" t="str">
        <f t="shared" si="1579"/>
        <v>Seattle</v>
      </c>
      <c r="C4861" t="str">
        <f t="shared" si="1581"/>
        <v>Second Class</v>
      </c>
      <c r="D4861" t="str">
        <f t="shared" si="1582"/>
        <v>Consumer</v>
      </c>
      <c r="E4861" t="s">
        <v>18</v>
      </c>
      <c r="F4861">
        <v>2</v>
      </c>
      <c r="G4861">
        <v>0</v>
      </c>
      <c r="H4861" s="2">
        <v>0.47100000000000009</v>
      </c>
      <c r="I4861" s="2">
        <v>9.42</v>
      </c>
    </row>
    <row r="4862" spans="1:9" x14ac:dyDescent="0.3">
      <c r="A4862" t="str">
        <f t="shared" si="1570"/>
        <v>United States</v>
      </c>
      <c r="B4862" t="str">
        <f t="shared" si="1579"/>
        <v>Seattle</v>
      </c>
      <c r="C4862" t="str">
        <f t="shared" si="1581"/>
        <v>Second Class</v>
      </c>
      <c r="D4862" t="str">
        <f t="shared" si="1582"/>
        <v>Consumer</v>
      </c>
      <c r="E4862" t="s">
        <v>21</v>
      </c>
      <c r="F4862">
        <v>15</v>
      </c>
      <c r="G4862">
        <v>0</v>
      </c>
      <c r="H4862" s="2">
        <v>29.064400000000003</v>
      </c>
      <c r="I4862" s="2">
        <v>124.97</v>
      </c>
    </row>
    <row r="4863" spans="1:9" x14ac:dyDescent="0.3">
      <c r="A4863" t="str">
        <f t="shared" si="1570"/>
        <v>United States</v>
      </c>
      <c r="B4863" t="str">
        <f t="shared" si="1579"/>
        <v>Seattle</v>
      </c>
      <c r="C4863" t="str">
        <f t="shared" si="1581"/>
        <v>Second Class</v>
      </c>
      <c r="D4863" t="str">
        <f t="shared" si="1582"/>
        <v>Consumer</v>
      </c>
      <c r="E4863" t="s">
        <v>43</v>
      </c>
      <c r="F4863">
        <v>7</v>
      </c>
      <c r="G4863">
        <v>0</v>
      </c>
      <c r="H4863" s="2">
        <v>41.223699999999994</v>
      </c>
      <c r="I4863" s="2">
        <v>87.71</v>
      </c>
    </row>
    <row r="4864" spans="1:9" x14ac:dyDescent="0.3">
      <c r="A4864" t="str">
        <f t="shared" si="1570"/>
        <v>United States</v>
      </c>
      <c r="B4864" t="str">
        <f t="shared" si="1579"/>
        <v>Seattle</v>
      </c>
      <c r="C4864" t="str">
        <f t="shared" si="1581"/>
        <v>Second Class</v>
      </c>
      <c r="D4864" t="str">
        <f t="shared" si="1582"/>
        <v>Consumer</v>
      </c>
      <c r="E4864" t="s">
        <v>46</v>
      </c>
      <c r="F4864">
        <v>5</v>
      </c>
      <c r="G4864">
        <v>0.2</v>
      </c>
      <c r="H4864" s="2">
        <v>130.20749999999998</v>
      </c>
      <c r="I4864" s="2">
        <v>385.80000000000007</v>
      </c>
    </row>
    <row r="4865" spans="1:9" x14ac:dyDescent="0.3">
      <c r="A4865" t="str">
        <f t="shared" si="1570"/>
        <v>United States</v>
      </c>
      <c r="B4865" t="str">
        <f t="shared" si="1579"/>
        <v>Seattle</v>
      </c>
      <c r="C4865" t="str">
        <f t="shared" si="1581"/>
        <v>Second Class</v>
      </c>
      <c r="D4865" t="str">
        <f t="shared" si="1582"/>
        <v>Consumer</v>
      </c>
      <c r="E4865" t="s">
        <v>16</v>
      </c>
      <c r="F4865">
        <v>16</v>
      </c>
      <c r="G4865">
        <v>0</v>
      </c>
      <c r="H4865" s="2">
        <v>87.183699999999988</v>
      </c>
      <c r="I4865" s="2">
        <v>188.47</v>
      </c>
    </row>
    <row r="4866" spans="1:9" x14ac:dyDescent="0.3">
      <c r="A4866" t="str">
        <f t="shared" si="1570"/>
        <v>United States</v>
      </c>
      <c r="B4866" t="str">
        <f t="shared" si="1579"/>
        <v>Seattle</v>
      </c>
      <c r="C4866" t="str">
        <f t="shared" si="1581"/>
        <v>Second Class</v>
      </c>
      <c r="D4866" t="str">
        <f t="shared" si="1582"/>
        <v>Consumer</v>
      </c>
      <c r="E4866" t="s">
        <v>24</v>
      </c>
      <c r="F4866">
        <v>7</v>
      </c>
      <c r="G4866">
        <v>0.4</v>
      </c>
      <c r="H4866" s="2">
        <v>33.719600000000014</v>
      </c>
      <c r="I4866" s="2">
        <v>404.74400000000003</v>
      </c>
    </row>
    <row r="4867" spans="1:9" x14ac:dyDescent="0.3">
      <c r="A4867" t="str">
        <f t="shared" si="1570"/>
        <v>United States</v>
      </c>
      <c r="B4867" t="str">
        <f t="shared" si="1579"/>
        <v>Seattle</v>
      </c>
      <c r="C4867" t="str">
        <f t="shared" si="1581"/>
        <v>Second Class</v>
      </c>
      <c r="D4867" t="str">
        <f t="shared" si="1582"/>
        <v>Consumer</v>
      </c>
      <c r="E4867" t="s">
        <v>14</v>
      </c>
      <c r="F4867">
        <v>13</v>
      </c>
      <c r="G4867">
        <v>0</v>
      </c>
      <c r="H4867" s="2">
        <v>44.592399999999984</v>
      </c>
      <c r="I4867" s="2">
        <v>557.79999999999995</v>
      </c>
    </row>
    <row r="4868" spans="1:9" x14ac:dyDescent="0.3">
      <c r="A4868" t="str">
        <f t="shared" ref="A4868:A4931" si="1583">A4867</f>
        <v>United States</v>
      </c>
      <c r="B4868" t="str">
        <f t="shared" si="1579"/>
        <v>Seattle</v>
      </c>
      <c r="C4868" t="str">
        <f t="shared" si="1581"/>
        <v>Second Class</v>
      </c>
      <c r="D4868" t="str">
        <f t="shared" si="1582"/>
        <v>Consumer</v>
      </c>
      <c r="E4868" t="s">
        <v>9</v>
      </c>
      <c r="F4868">
        <v>3</v>
      </c>
      <c r="G4868">
        <v>0</v>
      </c>
      <c r="H4868" s="2">
        <v>0.86400000000000077</v>
      </c>
      <c r="I4868" s="2">
        <v>28.799999999999997</v>
      </c>
    </row>
    <row r="4869" spans="1:9" x14ac:dyDescent="0.3">
      <c r="A4869" t="str">
        <f t="shared" si="1583"/>
        <v>United States</v>
      </c>
      <c r="B4869" t="str">
        <f t="shared" si="1579"/>
        <v>Seattle</v>
      </c>
      <c r="C4869" t="str">
        <f t="shared" si="1581"/>
        <v>Second Class</v>
      </c>
      <c r="D4869" t="str">
        <f t="shared" si="1582"/>
        <v>Consumer</v>
      </c>
      <c r="E4869" t="s">
        <v>25</v>
      </c>
      <c r="F4869">
        <v>25</v>
      </c>
      <c r="G4869">
        <v>0</v>
      </c>
      <c r="H4869" s="2">
        <v>662.38259999999991</v>
      </c>
      <c r="I4869" s="2">
        <v>3177.61</v>
      </c>
    </row>
    <row r="4870" spans="1:9" x14ac:dyDescent="0.3">
      <c r="A4870" t="str">
        <f t="shared" si="1583"/>
        <v>United States</v>
      </c>
      <c r="B4870" t="str">
        <f t="shared" si="1579"/>
        <v>Seattle</v>
      </c>
      <c r="C4870" t="str">
        <f t="shared" si="1581"/>
        <v>Second Class</v>
      </c>
      <c r="D4870" t="s">
        <v>15</v>
      </c>
      <c r="E4870" t="s">
        <v>23</v>
      </c>
      <c r="F4870">
        <v>12</v>
      </c>
      <c r="G4870">
        <v>0</v>
      </c>
      <c r="H4870" s="2">
        <v>276.23489999999987</v>
      </c>
      <c r="I4870" s="2">
        <v>1411.65</v>
      </c>
    </row>
    <row r="4871" spans="1:9" x14ac:dyDescent="0.3">
      <c r="A4871" t="str">
        <f t="shared" si="1583"/>
        <v>United States</v>
      </c>
      <c r="B4871" t="str">
        <f t="shared" si="1579"/>
        <v>Seattle</v>
      </c>
      <c r="C4871" t="str">
        <f t="shared" si="1581"/>
        <v>Second Class</v>
      </c>
      <c r="D4871" t="str">
        <f t="shared" ref="D4871:D4878" si="1584">D4870</f>
        <v>Corporate</v>
      </c>
      <c r="E4871" t="s">
        <v>19</v>
      </c>
      <c r="F4871">
        <v>8</v>
      </c>
      <c r="G4871">
        <v>0</v>
      </c>
      <c r="H4871" s="2">
        <v>31.081600000000002</v>
      </c>
      <c r="I4871" s="2">
        <v>117.44</v>
      </c>
    </row>
    <row r="4872" spans="1:9" x14ac:dyDescent="0.3">
      <c r="A4872" t="str">
        <f t="shared" si="1583"/>
        <v>United States</v>
      </c>
      <c r="B4872" t="str">
        <f t="shared" si="1579"/>
        <v>Seattle</v>
      </c>
      <c r="C4872" t="str">
        <f t="shared" si="1581"/>
        <v>Second Class</v>
      </c>
      <c r="D4872" t="str">
        <f t="shared" si="1584"/>
        <v>Corporate</v>
      </c>
      <c r="E4872" t="s">
        <v>20</v>
      </c>
      <c r="F4872">
        <v>18</v>
      </c>
      <c r="G4872">
        <v>0.60000000000000009</v>
      </c>
      <c r="H4872" s="2">
        <v>28.228599999999997</v>
      </c>
      <c r="I4872" s="2">
        <v>79.712000000000003</v>
      </c>
    </row>
    <row r="4873" spans="1:9" x14ac:dyDescent="0.3">
      <c r="A4873" t="str">
        <f t="shared" si="1583"/>
        <v>United States</v>
      </c>
      <c r="B4873" t="str">
        <f t="shared" ref="B4873:B4904" si="1585">B4872</f>
        <v>Seattle</v>
      </c>
      <c r="C4873" t="str">
        <f t="shared" si="1581"/>
        <v>Second Class</v>
      </c>
      <c r="D4873" t="str">
        <f t="shared" si="1584"/>
        <v>Corporate</v>
      </c>
      <c r="E4873" t="s">
        <v>33</v>
      </c>
      <c r="F4873">
        <v>10</v>
      </c>
      <c r="G4873">
        <v>0.4</v>
      </c>
      <c r="H4873" s="2">
        <v>147.22319999999988</v>
      </c>
      <c r="I4873" s="2">
        <v>1351.8400000000001</v>
      </c>
    </row>
    <row r="4874" spans="1:9" x14ac:dyDescent="0.3">
      <c r="A4874" t="str">
        <f t="shared" si="1583"/>
        <v>United States</v>
      </c>
      <c r="B4874" t="str">
        <f t="shared" si="1585"/>
        <v>Seattle</v>
      </c>
      <c r="C4874" t="str">
        <f t="shared" si="1581"/>
        <v>Second Class</v>
      </c>
      <c r="D4874" t="str">
        <f t="shared" si="1584"/>
        <v>Corporate</v>
      </c>
      <c r="E4874" t="s">
        <v>21</v>
      </c>
      <c r="F4874">
        <v>6</v>
      </c>
      <c r="G4874">
        <v>0</v>
      </c>
      <c r="H4874" s="2">
        <v>76.095599999999976</v>
      </c>
      <c r="I4874" s="2">
        <v>336.18</v>
      </c>
    </row>
    <row r="4875" spans="1:9" x14ac:dyDescent="0.3">
      <c r="A4875" t="str">
        <f t="shared" si="1583"/>
        <v>United States</v>
      </c>
      <c r="B4875" t="str">
        <f t="shared" si="1585"/>
        <v>Seattle</v>
      </c>
      <c r="C4875" t="str">
        <f t="shared" si="1581"/>
        <v>Second Class</v>
      </c>
      <c r="D4875" t="str">
        <f t="shared" si="1584"/>
        <v>Corporate</v>
      </c>
      <c r="E4875" t="s">
        <v>16</v>
      </c>
      <c r="F4875">
        <v>3</v>
      </c>
      <c r="G4875">
        <v>0</v>
      </c>
      <c r="H4875" s="2">
        <v>9.3312000000000008</v>
      </c>
      <c r="I4875" s="2">
        <v>19.440000000000001</v>
      </c>
    </row>
    <row r="4876" spans="1:9" x14ac:dyDescent="0.3">
      <c r="A4876" t="str">
        <f t="shared" si="1583"/>
        <v>United States</v>
      </c>
      <c r="B4876" t="str">
        <f t="shared" si="1585"/>
        <v>Seattle</v>
      </c>
      <c r="C4876" t="str">
        <f t="shared" si="1581"/>
        <v>Second Class</v>
      </c>
      <c r="D4876" t="str">
        <f t="shared" si="1584"/>
        <v>Corporate</v>
      </c>
      <c r="E4876" t="s">
        <v>24</v>
      </c>
      <c r="F4876">
        <v>4</v>
      </c>
      <c r="G4876">
        <v>0.4</v>
      </c>
      <c r="H4876" s="2">
        <v>12.387200000000004</v>
      </c>
      <c r="I4876" s="2">
        <v>141.56800000000001</v>
      </c>
    </row>
    <row r="4877" spans="1:9" x14ac:dyDescent="0.3">
      <c r="A4877" t="str">
        <f t="shared" si="1583"/>
        <v>United States</v>
      </c>
      <c r="B4877" t="str">
        <f t="shared" si="1585"/>
        <v>Seattle</v>
      </c>
      <c r="C4877" t="str">
        <f t="shared" si="1581"/>
        <v>Second Class</v>
      </c>
      <c r="D4877" t="str">
        <f t="shared" si="1584"/>
        <v>Corporate</v>
      </c>
      <c r="E4877" t="s">
        <v>14</v>
      </c>
      <c r="F4877">
        <v>12</v>
      </c>
      <c r="G4877">
        <v>0</v>
      </c>
      <c r="H4877" s="2">
        <v>77.518399999999971</v>
      </c>
      <c r="I4877" s="2">
        <v>913.54</v>
      </c>
    </row>
    <row r="4878" spans="1:9" x14ac:dyDescent="0.3">
      <c r="A4878" t="str">
        <f t="shared" si="1583"/>
        <v>United States</v>
      </c>
      <c r="B4878" t="str">
        <f t="shared" si="1585"/>
        <v>Seattle</v>
      </c>
      <c r="C4878" t="str">
        <f t="shared" si="1581"/>
        <v>Second Class</v>
      </c>
      <c r="D4878" t="str">
        <f t="shared" si="1584"/>
        <v>Corporate</v>
      </c>
      <c r="E4878" t="s">
        <v>9</v>
      </c>
      <c r="F4878">
        <v>2</v>
      </c>
      <c r="G4878">
        <v>0</v>
      </c>
      <c r="H4878" s="2">
        <v>3.6936</v>
      </c>
      <c r="I4878" s="2">
        <v>13.68</v>
      </c>
    </row>
    <row r="4879" spans="1:9" x14ac:dyDescent="0.3">
      <c r="A4879" t="str">
        <f t="shared" si="1583"/>
        <v>United States</v>
      </c>
      <c r="B4879" t="str">
        <f t="shared" si="1585"/>
        <v>Seattle</v>
      </c>
      <c r="C4879" t="str">
        <f t="shared" si="1581"/>
        <v>Second Class</v>
      </c>
      <c r="D4879" t="s">
        <v>17</v>
      </c>
      <c r="E4879" t="s">
        <v>20</v>
      </c>
      <c r="F4879">
        <v>4</v>
      </c>
      <c r="G4879">
        <v>0.2</v>
      </c>
      <c r="H4879" s="2">
        <v>19.375999999999998</v>
      </c>
      <c r="I4879" s="2">
        <v>55.360000000000007</v>
      </c>
    </row>
    <row r="4880" spans="1:9" x14ac:dyDescent="0.3">
      <c r="A4880" t="str">
        <f t="shared" si="1583"/>
        <v>United States</v>
      </c>
      <c r="B4880" t="str">
        <f t="shared" si="1585"/>
        <v>Seattle</v>
      </c>
      <c r="C4880" t="str">
        <f t="shared" si="1581"/>
        <v>Second Class</v>
      </c>
      <c r="D4880" t="str">
        <f t="shared" ref="D4880:D4886" si="1586">D4879</f>
        <v>Home Office</v>
      </c>
      <c r="E4880" t="s">
        <v>33</v>
      </c>
      <c r="F4880">
        <v>5</v>
      </c>
      <c r="G4880">
        <v>0.2</v>
      </c>
      <c r="H4880" s="2">
        <v>125.24499999999995</v>
      </c>
      <c r="I4880" s="2">
        <v>2003.9200000000003</v>
      </c>
    </row>
    <row r="4881" spans="1:9" x14ac:dyDescent="0.3">
      <c r="A4881" t="str">
        <f t="shared" si="1583"/>
        <v>United States</v>
      </c>
      <c r="B4881" t="str">
        <f t="shared" si="1585"/>
        <v>Seattle</v>
      </c>
      <c r="C4881" t="str">
        <f t="shared" si="1581"/>
        <v>Second Class</v>
      </c>
      <c r="D4881" t="str">
        <f t="shared" si="1586"/>
        <v>Home Office</v>
      </c>
      <c r="E4881" t="s">
        <v>21</v>
      </c>
      <c r="F4881">
        <v>4</v>
      </c>
      <c r="G4881">
        <v>0</v>
      </c>
      <c r="H4881" s="2">
        <v>25.670400000000001</v>
      </c>
      <c r="I4881" s="2">
        <v>148.12</v>
      </c>
    </row>
    <row r="4882" spans="1:9" x14ac:dyDescent="0.3">
      <c r="A4882" t="str">
        <f t="shared" si="1583"/>
        <v>United States</v>
      </c>
      <c r="B4882" t="str">
        <f t="shared" si="1585"/>
        <v>Seattle</v>
      </c>
      <c r="C4882" t="str">
        <f t="shared" si="1581"/>
        <v>Second Class</v>
      </c>
      <c r="D4882" t="str">
        <f t="shared" si="1586"/>
        <v>Home Office</v>
      </c>
      <c r="E4882" t="s">
        <v>46</v>
      </c>
      <c r="F4882">
        <v>1</v>
      </c>
      <c r="G4882">
        <v>0.2</v>
      </c>
      <c r="H4882" s="2">
        <v>3.7569999999999992</v>
      </c>
      <c r="I4882" s="2">
        <v>11.56</v>
      </c>
    </row>
    <row r="4883" spans="1:9" x14ac:dyDescent="0.3">
      <c r="A4883" t="str">
        <f t="shared" si="1583"/>
        <v>United States</v>
      </c>
      <c r="B4883" t="str">
        <f t="shared" si="1585"/>
        <v>Seattle</v>
      </c>
      <c r="C4883" t="str">
        <f t="shared" si="1581"/>
        <v>Second Class</v>
      </c>
      <c r="D4883" t="str">
        <f t="shared" si="1586"/>
        <v>Home Office</v>
      </c>
      <c r="E4883" t="s">
        <v>16</v>
      </c>
      <c r="F4883">
        <v>11</v>
      </c>
      <c r="G4883">
        <v>0</v>
      </c>
      <c r="H4883" s="2">
        <v>71.194400000000002</v>
      </c>
      <c r="I4883" s="2">
        <v>153.08000000000001</v>
      </c>
    </row>
    <row r="4884" spans="1:9" x14ac:dyDescent="0.3">
      <c r="A4884" t="str">
        <f t="shared" si="1583"/>
        <v>United States</v>
      </c>
      <c r="B4884" t="str">
        <f t="shared" si="1585"/>
        <v>Seattle</v>
      </c>
      <c r="C4884" t="str">
        <f t="shared" si="1581"/>
        <v>Second Class</v>
      </c>
      <c r="D4884" t="str">
        <f t="shared" si="1586"/>
        <v>Home Office</v>
      </c>
      <c r="E4884" t="s">
        <v>24</v>
      </c>
      <c r="F4884">
        <v>3</v>
      </c>
      <c r="G4884">
        <v>0.2</v>
      </c>
      <c r="H4884" s="2">
        <v>49.498199999999969</v>
      </c>
      <c r="I4884" s="2">
        <v>659.97600000000011</v>
      </c>
    </row>
    <row r="4885" spans="1:9" x14ac:dyDescent="0.3">
      <c r="A4885" t="str">
        <f t="shared" si="1583"/>
        <v>United States</v>
      </c>
      <c r="B4885" t="str">
        <f t="shared" si="1585"/>
        <v>Seattle</v>
      </c>
      <c r="C4885" t="str">
        <f t="shared" si="1581"/>
        <v>Second Class</v>
      </c>
      <c r="D4885" t="str">
        <f t="shared" si="1586"/>
        <v>Home Office</v>
      </c>
      <c r="E4885" t="s">
        <v>14</v>
      </c>
      <c r="F4885">
        <v>7</v>
      </c>
      <c r="G4885">
        <v>0</v>
      </c>
      <c r="H4885" s="2">
        <v>5.2024000000000008</v>
      </c>
      <c r="I4885" s="2">
        <v>233.98</v>
      </c>
    </row>
    <row r="4886" spans="1:9" x14ac:dyDescent="0.3">
      <c r="A4886" t="str">
        <f t="shared" si="1583"/>
        <v>United States</v>
      </c>
      <c r="B4886" t="str">
        <f t="shared" si="1585"/>
        <v>Seattle</v>
      </c>
      <c r="C4886" t="str">
        <f t="shared" si="1581"/>
        <v>Second Class</v>
      </c>
      <c r="D4886" t="str">
        <f t="shared" si="1586"/>
        <v>Home Office</v>
      </c>
      <c r="E4886" t="s">
        <v>25</v>
      </c>
      <c r="F4886">
        <v>20</v>
      </c>
      <c r="G4886">
        <v>0</v>
      </c>
      <c r="H4886" s="2">
        <v>889.84659999999963</v>
      </c>
      <c r="I4886" s="2">
        <v>4784.18</v>
      </c>
    </row>
    <row r="4887" spans="1:9" x14ac:dyDescent="0.3">
      <c r="A4887" t="str">
        <f t="shared" si="1583"/>
        <v>United States</v>
      </c>
      <c r="B4887" t="str">
        <f t="shared" si="1585"/>
        <v>Seattle</v>
      </c>
      <c r="C4887" t="s">
        <v>22</v>
      </c>
      <c r="D4887" t="s">
        <v>8</v>
      </c>
      <c r="E4887" t="s">
        <v>23</v>
      </c>
      <c r="F4887">
        <v>37</v>
      </c>
      <c r="G4887">
        <v>0</v>
      </c>
      <c r="H4887" s="2">
        <v>956.38530000000003</v>
      </c>
      <c r="I4887" s="2">
        <v>2991.7100000000005</v>
      </c>
    </row>
    <row r="4888" spans="1:9" x14ac:dyDescent="0.3">
      <c r="A4888" t="str">
        <f t="shared" si="1583"/>
        <v>United States</v>
      </c>
      <c r="B4888" t="str">
        <f t="shared" si="1585"/>
        <v>Seattle</v>
      </c>
      <c r="C4888" t="str">
        <f t="shared" ref="C4888:C4930" si="1587">C4887</f>
        <v>Standard Class</v>
      </c>
      <c r="D4888" t="str">
        <f t="shared" ref="D4888:D4903" si="1588">D4887</f>
        <v>Consumer</v>
      </c>
      <c r="E4888" t="s">
        <v>12</v>
      </c>
      <c r="F4888">
        <v>21</v>
      </c>
      <c r="G4888">
        <v>0</v>
      </c>
      <c r="H4888" s="2">
        <v>132.15959999999998</v>
      </c>
      <c r="I4888" s="2">
        <v>417.9</v>
      </c>
    </row>
    <row r="4889" spans="1:9" x14ac:dyDescent="0.3">
      <c r="A4889" t="str">
        <f t="shared" si="1583"/>
        <v>United States</v>
      </c>
      <c r="B4889" t="str">
        <f t="shared" si="1585"/>
        <v>Seattle</v>
      </c>
      <c r="C4889" t="str">
        <f t="shared" si="1587"/>
        <v>Standard Class</v>
      </c>
      <c r="D4889" t="str">
        <f t="shared" si="1588"/>
        <v>Consumer</v>
      </c>
      <c r="E4889" t="s">
        <v>19</v>
      </c>
      <c r="F4889">
        <v>19</v>
      </c>
      <c r="G4889">
        <v>0</v>
      </c>
      <c r="H4889" s="2">
        <v>54.665199999999999</v>
      </c>
      <c r="I4889" s="2">
        <v>150.83000000000001</v>
      </c>
    </row>
    <row r="4890" spans="1:9" x14ac:dyDescent="0.3">
      <c r="A4890" t="str">
        <f t="shared" si="1583"/>
        <v>United States</v>
      </c>
      <c r="B4890" t="str">
        <f t="shared" si="1585"/>
        <v>Seattle</v>
      </c>
      <c r="C4890" t="str">
        <f t="shared" si="1587"/>
        <v>Standard Class</v>
      </c>
      <c r="D4890" t="str">
        <f t="shared" si="1588"/>
        <v>Consumer</v>
      </c>
      <c r="E4890" t="s">
        <v>20</v>
      </c>
      <c r="F4890">
        <v>119</v>
      </c>
      <c r="G4890">
        <v>5.200000000000002</v>
      </c>
      <c r="H4890" s="2">
        <v>2474.1183000000001</v>
      </c>
      <c r="I4890" s="2">
        <v>7582.232</v>
      </c>
    </row>
    <row r="4891" spans="1:9" x14ac:dyDescent="0.3">
      <c r="A4891" t="str">
        <f t="shared" si="1583"/>
        <v>United States</v>
      </c>
      <c r="B4891" t="str">
        <f t="shared" si="1585"/>
        <v>Seattle</v>
      </c>
      <c r="C4891" t="str">
        <f t="shared" si="1587"/>
        <v>Standard Class</v>
      </c>
      <c r="D4891" t="str">
        <f t="shared" si="1588"/>
        <v>Consumer</v>
      </c>
      <c r="E4891" t="s">
        <v>34</v>
      </c>
      <c r="F4891">
        <v>4</v>
      </c>
      <c r="G4891">
        <v>0</v>
      </c>
      <c r="H4891" s="2">
        <v>66.679599999999994</v>
      </c>
      <c r="I4891" s="2">
        <v>257.92</v>
      </c>
    </row>
    <row r="4892" spans="1:9" x14ac:dyDescent="0.3">
      <c r="A4892" t="str">
        <f t="shared" si="1583"/>
        <v>United States</v>
      </c>
      <c r="B4892" t="str">
        <f t="shared" si="1585"/>
        <v>Seattle</v>
      </c>
      <c r="C4892" t="str">
        <f t="shared" si="1587"/>
        <v>Standard Class</v>
      </c>
      <c r="D4892" t="str">
        <f t="shared" si="1588"/>
        <v>Consumer</v>
      </c>
      <c r="E4892" t="s">
        <v>33</v>
      </c>
      <c r="F4892">
        <v>25</v>
      </c>
      <c r="G4892">
        <v>1.4</v>
      </c>
      <c r="H4892" s="2">
        <v>278.88479999999981</v>
      </c>
      <c r="I4892" s="2">
        <v>4608.0320000000002</v>
      </c>
    </row>
    <row r="4893" spans="1:9" x14ac:dyDescent="0.3">
      <c r="A4893" t="str">
        <f t="shared" si="1583"/>
        <v>United States</v>
      </c>
      <c r="B4893" t="str">
        <f t="shared" si="1585"/>
        <v>Seattle</v>
      </c>
      <c r="C4893" t="str">
        <f t="shared" si="1587"/>
        <v>Standard Class</v>
      </c>
      <c r="D4893" t="str">
        <f t="shared" si="1588"/>
        <v>Consumer</v>
      </c>
      <c r="E4893" t="s">
        <v>45</v>
      </c>
      <c r="F4893">
        <v>1</v>
      </c>
      <c r="G4893">
        <v>0</v>
      </c>
      <c r="H4893" s="2">
        <v>89.996999999999986</v>
      </c>
      <c r="I4893" s="2">
        <v>299.99</v>
      </c>
    </row>
    <row r="4894" spans="1:9" x14ac:dyDescent="0.3">
      <c r="A4894" t="str">
        <f t="shared" si="1583"/>
        <v>United States</v>
      </c>
      <c r="B4894" t="str">
        <f t="shared" si="1585"/>
        <v>Seattle</v>
      </c>
      <c r="C4894" t="str">
        <f t="shared" si="1587"/>
        <v>Standard Class</v>
      </c>
      <c r="D4894" t="str">
        <f t="shared" si="1588"/>
        <v>Consumer</v>
      </c>
      <c r="E4894" t="s">
        <v>38</v>
      </c>
      <c r="F4894">
        <v>11</v>
      </c>
      <c r="G4894">
        <v>0</v>
      </c>
      <c r="H4894" s="2">
        <v>106.92449999999999</v>
      </c>
      <c r="I4894" s="2">
        <v>226.69000000000003</v>
      </c>
    </row>
    <row r="4895" spans="1:9" x14ac:dyDescent="0.3">
      <c r="A4895" t="str">
        <f t="shared" si="1583"/>
        <v>United States</v>
      </c>
      <c r="B4895" t="str">
        <f t="shared" si="1585"/>
        <v>Seattle</v>
      </c>
      <c r="C4895" t="str">
        <f t="shared" si="1587"/>
        <v>Standard Class</v>
      </c>
      <c r="D4895" t="str">
        <f t="shared" si="1588"/>
        <v>Consumer</v>
      </c>
      <c r="E4895" t="s">
        <v>18</v>
      </c>
      <c r="F4895">
        <v>13</v>
      </c>
      <c r="G4895">
        <v>0</v>
      </c>
      <c r="H4895" s="2">
        <v>24.7818</v>
      </c>
      <c r="I4895" s="2">
        <v>62.55</v>
      </c>
    </row>
    <row r="4896" spans="1:9" x14ac:dyDescent="0.3">
      <c r="A4896" t="str">
        <f t="shared" si="1583"/>
        <v>United States</v>
      </c>
      <c r="B4896" t="str">
        <f t="shared" si="1585"/>
        <v>Seattle</v>
      </c>
      <c r="C4896" t="str">
        <f t="shared" si="1587"/>
        <v>Standard Class</v>
      </c>
      <c r="D4896" t="str">
        <f t="shared" si="1588"/>
        <v>Consumer</v>
      </c>
      <c r="E4896" t="s">
        <v>21</v>
      </c>
      <c r="F4896">
        <v>20</v>
      </c>
      <c r="G4896">
        <v>0</v>
      </c>
      <c r="H4896" s="2">
        <v>117.15460000000003</v>
      </c>
      <c r="I4896" s="2">
        <v>394.24</v>
      </c>
    </row>
    <row r="4897" spans="1:9" x14ac:dyDescent="0.3">
      <c r="A4897" t="str">
        <f t="shared" si="1583"/>
        <v>United States</v>
      </c>
      <c r="B4897" t="str">
        <f t="shared" si="1585"/>
        <v>Seattle</v>
      </c>
      <c r="C4897" t="str">
        <f t="shared" si="1587"/>
        <v>Standard Class</v>
      </c>
      <c r="D4897" t="str">
        <f t="shared" si="1588"/>
        <v>Consumer</v>
      </c>
      <c r="E4897" t="s">
        <v>43</v>
      </c>
      <c r="F4897">
        <v>21</v>
      </c>
      <c r="G4897">
        <v>0</v>
      </c>
      <c r="H4897" s="2">
        <v>54.969499999999996</v>
      </c>
      <c r="I4897" s="2">
        <v>116.14000000000001</v>
      </c>
    </row>
    <row r="4898" spans="1:9" x14ac:dyDescent="0.3">
      <c r="A4898" t="str">
        <f t="shared" si="1583"/>
        <v>United States</v>
      </c>
      <c r="B4898" t="str">
        <f t="shared" si="1585"/>
        <v>Seattle</v>
      </c>
      <c r="C4898" t="str">
        <f t="shared" si="1587"/>
        <v>Standard Class</v>
      </c>
      <c r="D4898" t="str">
        <f t="shared" si="1588"/>
        <v>Consumer</v>
      </c>
      <c r="E4898" t="s">
        <v>46</v>
      </c>
      <c r="F4898">
        <v>5</v>
      </c>
      <c r="G4898">
        <v>0.4</v>
      </c>
      <c r="H4898" s="2">
        <v>104.70000000000007</v>
      </c>
      <c r="I4898" s="2">
        <v>1396</v>
      </c>
    </row>
    <row r="4899" spans="1:9" x14ac:dyDescent="0.3">
      <c r="A4899" t="str">
        <f t="shared" si="1583"/>
        <v>United States</v>
      </c>
      <c r="B4899" t="str">
        <f t="shared" si="1585"/>
        <v>Seattle</v>
      </c>
      <c r="C4899" t="str">
        <f t="shared" si="1587"/>
        <v>Standard Class</v>
      </c>
      <c r="D4899" t="str">
        <f t="shared" si="1588"/>
        <v>Consumer</v>
      </c>
      <c r="E4899" t="s">
        <v>16</v>
      </c>
      <c r="F4899">
        <v>62</v>
      </c>
      <c r="G4899">
        <v>0</v>
      </c>
      <c r="H4899" s="2">
        <v>465.86359999999996</v>
      </c>
      <c r="I4899" s="2">
        <v>991.83</v>
      </c>
    </row>
    <row r="4900" spans="1:9" x14ac:dyDescent="0.3">
      <c r="A4900" t="str">
        <f t="shared" si="1583"/>
        <v>United States</v>
      </c>
      <c r="B4900" t="str">
        <f t="shared" si="1585"/>
        <v>Seattle</v>
      </c>
      <c r="C4900" t="str">
        <f t="shared" si="1587"/>
        <v>Standard Class</v>
      </c>
      <c r="D4900" t="str">
        <f t="shared" si="1588"/>
        <v>Consumer</v>
      </c>
      <c r="E4900" t="s">
        <v>24</v>
      </c>
      <c r="F4900">
        <v>27</v>
      </c>
      <c r="G4900">
        <v>1.5999999999999999</v>
      </c>
      <c r="H4900" s="2">
        <v>301.62229999999988</v>
      </c>
      <c r="I4900" s="2">
        <v>3287.2640000000001</v>
      </c>
    </row>
    <row r="4901" spans="1:9" x14ac:dyDescent="0.3">
      <c r="A4901" t="str">
        <f t="shared" si="1583"/>
        <v>United States</v>
      </c>
      <c r="B4901" t="str">
        <f t="shared" si="1585"/>
        <v>Seattle</v>
      </c>
      <c r="C4901" t="str">
        <f t="shared" si="1587"/>
        <v>Standard Class</v>
      </c>
      <c r="D4901" t="str">
        <f t="shared" si="1588"/>
        <v>Consumer</v>
      </c>
      <c r="E4901" t="s">
        <v>14</v>
      </c>
      <c r="F4901">
        <v>39</v>
      </c>
      <c r="G4901">
        <v>0</v>
      </c>
      <c r="H4901" s="2">
        <v>388.66520000000003</v>
      </c>
      <c r="I4901" s="2">
        <v>3212.7799999999997</v>
      </c>
    </row>
    <row r="4902" spans="1:9" x14ac:dyDescent="0.3">
      <c r="A4902" t="str">
        <f t="shared" si="1583"/>
        <v>United States</v>
      </c>
      <c r="B4902" t="str">
        <f t="shared" si="1585"/>
        <v>Seattle</v>
      </c>
      <c r="C4902" t="str">
        <f t="shared" si="1587"/>
        <v>Standard Class</v>
      </c>
      <c r="D4902" t="str">
        <f t="shared" si="1588"/>
        <v>Consumer</v>
      </c>
      <c r="E4902" t="s">
        <v>9</v>
      </c>
      <c r="F4902">
        <v>7</v>
      </c>
      <c r="G4902">
        <v>0</v>
      </c>
      <c r="H4902" s="2">
        <v>8.258499999999998</v>
      </c>
      <c r="I4902" s="2">
        <v>43.81</v>
      </c>
    </row>
    <row r="4903" spans="1:9" x14ac:dyDescent="0.3">
      <c r="A4903" t="str">
        <f t="shared" si="1583"/>
        <v>United States</v>
      </c>
      <c r="B4903" t="str">
        <f t="shared" si="1585"/>
        <v>Seattle</v>
      </c>
      <c r="C4903" t="str">
        <f t="shared" si="1587"/>
        <v>Standard Class</v>
      </c>
      <c r="D4903" t="str">
        <f t="shared" si="1588"/>
        <v>Consumer</v>
      </c>
      <c r="E4903" t="s">
        <v>25</v>
      </c>
      <c r="F4903">
        <v>8</v>
      </c>
      <c r="G4903">
        <v>0</v>
      </c>
      <c r="H4903" s="2">
        <v>794.3913</v>
      </c>
      <c r="I4903" s="2">
        <v>2534.7799999999997</v>
      </c>
    </row>
    <row r="4904" spans="1:9" x14ac:dyDescent="0.3">
      <c r="A4904" t="str">
        <f t="shared" si="1583"/>
        <v>United States</v>
      </c>
      <c r="B4904" t="str">
        <f t="shared" si="1585"/>
        <v>Seattle</v>
      </c>
      <c r="C4904" t="str">
        <f t="shared" si="1587"/>
        <v>Standard Class</v>
      </c>
      <c r="D4904" t="s">
        <v>15</v>
      </c>
      <c r="E4904" t="s">
        <v>23</v>
      </c>
      <c r="F4904">
        <v>40</v>
      </c>
      <c r="G4904">
        <v>0</v>
      </c>
      <c r="H4904" s="2">
        <v>860.98940000000005</v>
      </c>
      <c r="I4904" s="2">
        <v>3412.5799999999995</v>
      </c>
    </row>
    <row r="4905" spans="1:9" x14ac:dyDescent="0.3">
      <c r="A4905" t="str">
        <f t="shared" si="1583"/>
        <v>United States</v>
      </c>
      <c r="B4905" t="str">
        <f t="shared" ref="B4905:B4930" si="1589">B4904</f>
        <v>Seattle</v>
      </c>
      <c r="C4905" t="str">
        <f t="shared" si="1587"/>
        <v>Standard Class</v>
      </c>
      <c r="D4905" t="str">
        <f t="shared" ref="D4905:D4918" si="1590">D4904</f>
        <v>Corporate</v>
      </c>
      <c r="E4905" t="s">
        <v>12</v>
      </c>
      <c r="F4905">
        <v>2</v>
      </c>
      <c r="G4905">
        <v>0</v>
      </c>
      <c r="H4905" s="2">
        <v>22.948799999999999</v>
      </c>
      <c r="I4905" s="2">
        <v>81.96</v>
      </c>
    </row>
    <row r="4906" spans="1:9" x14ac:dyDescent="0.3">
      <c r="A4906" t="str">
        <f t="shared" si="1583"/>
        <v>United States</v>
      </c>
      <c r="B4906" t="str">
        <f t="shared" si="1589"/>
        <v>Seattle</v>
      </c>
      <c r="C4906" t="str">
        <f t="shared" si="1587"/>
        <v>Standard Class</v>
      </c>
      <c r="D4906" t="str">
        <f t="shared" si="1590"/>
        <v>Corporate</v>
      </c>
      <c r="E4906" t="s">
        <v>19</v>
      </c>
      <c r="F4906">
        <v>15</v>
      </c>
      <c r="G4906">
        <v>0</v>
      </c>
      <c r="H4906" s="2">
        <v>28.022799999999997</v>
      </c>
      <c r="I4906" s="2">
        <v>88.210000000000008</v>
      </c>
    </row>
    <row r="4907" spans="1:9" x14ac:dyDescent="0.3">
      <c r="A4907" t="str">
        <f t="shared" si="1583"/>
        <v>United States</v>
      </c>
      <c r="B4907" t="str">
        <f t="shared" si="1589"/>
        <v>Seattle</v>
      </c>
      <c r="C4907" t="str">
        <f t="shared" si="1587"/>
        <v>Standard Class</v>
      </c>
      <c r="D4907" t="str">
        <f t="shared" si="1590"/>
        <v>Corporate</v>
      </c>
      <c r="E4907" t="s">
        <v>20</v>
      </c>
      <c r="F4907">
        <v>79</v>
      </c>
      <c r="G4907">
        <v>3.0000000000000004</v>
      </c>
      <c r="H4907" s="2">
        <v>1056.7529</v>
      </c>
      <c r="I4907" s="2">
        <v>3125.2720000000004</v>
      </c>
    </row>
    <row r="4908" spans="1:9" x14ac:dyDescent="0.3">
      <c r="A4908" t="str">
        <f t="shared" si="1583"/>
        <v>United States</v>
      </c>
      <c r="B4908" t="str">
        <f t="shared" si="1589"/>
        <v>Seattle</v>
      </c>
      <c r="C4908" t="str">
        <f t="shared" si="1587"/>
        <v>Standard Class</v>
      </c>
      <c r="D4908" t="str">
        <f t="shared" si="1590"/>
        <v>Corporate</v>
      </c>
      <c r="E4908" t="s">
        <v>34</v>
      </c>
      <c r="F4908">
        <v>8</v>
      </c>
      <c r="G4908">
        <v>0</v>
      </c>
      <c r="H4908" s="2">
        <v>259.88959999999997</v>
      </c>
      <c r="I4908" s="2">
        <v>1367.84</v>
      </c>
    </row>
    <row r="4909" spans="1:9" x14ac:dyDescent="0.3">
      <c r="A4909" t="str">
        <f t="shared" si="1583"/>
        <v>United States</v>
      </c>
      <c r="B4909" t="str">
        <f t="shared" si="1589"/>
        <v>Seattle</v>
      </c>
      <c r="C4909" t="str">
        <f t="shared" si="1587"/>
        <v>Standard Class</v>
      </c>
      <c r="D4909" t="str">
        <f t="shared" si="1590"/>
        <v>Corporate</v>
      </c>
      <c r="E4909" t="s">
        <v>33</v>
      </c>
      <c r="F4909">
        <v>22</v>
      </c>
      <c r="G4909">
        <v>1.2</v>
      </c>
      <c r="H4909" s="2">
        <v>70.583799999999897</v>
      </c>
      <c r="I4909" s="2">
        <v>2168.4480000000003</v>
      </c>
    </row>
    <row r="4910" spans="1:9" x14ac:dyDescent="0.3">
      <c r="A4910" t="str">
        <f t="shared" si="1583"/>
        <v>United States</v>
      </c>
      <c r="B4910" t="str">
        <f t="shared" si="1589"/>
        <v>Seattle</v>
      </c>
      <c r="C4910" t="str">
        <f t="shared" si="1587"/>
        <v>Standard Class</v>
      </c>
      <c r="D4910" t="str">
        <f t="shared" si="1590"/>
        <v>Corporate</v>
      </c>
      <c r="E4910" t="s">
        <v>38</v>
      </c>
      <c r="F4910">
        <v>2</v>
      </c>
      <c r="G4910">
        <v>0</v>
      </c>
      <c r="H4910" s="2">
        <v>30.360399999999998</v>
      </c>
      <c r="I4910" s="2">
        <v>61.96</v>
      </c>
    </row>
    <row r="4911" spans="1:9" x14ac:dyDescent="0.3">
      <c r="A4911" t="str">
        <f t="shared" si="1583"/>
        <v>United States</v>
      </c>
      <c r="B4911" t="str">
        <f t="shared" si="1589"/>
        <v>Seattle</v>
      </c>
      <c r="C4911" t="str">
        <f t="shared" si="1587"/>
        <v>Standard Class</v>
      </c>
      <c r="D4911" t="str">
        <f t="shared" si="1590"/>
        <v>Corporate</v>
      </c>
      <c r="E4911" t="s">
        <v>18</v>
      </c>
      <c r="F4911">
        <v>5</v>
      </c>
      <c r="G4911">
        <v>0</v>
      </c>
      <c r="H4911" s="2">
        <v>0.33599999999999963</v>
      </c>
      <c r="I4911" s="2">
        <v>8.4</v>
      </c>
    </row>
    <row r="4912" spans="1:9" x14ac:dyDescent="0.3">
      <c r="A4912" t="str">
        <f t="shared" si="1583"/>
        <v>United States</v>
      </c>
      <c r="B4912" t="str">
        <f t="shared" si="1589"/>
        <v>Seattle</v>
      </c>
      <c r="C4912" t="str">
        <f t="shared" si="1587"/>
        <v>Standard Class</v>
      </c>
      <c r="D4912" t="str">
        <f t="shared" si="1590"/>
        <v>Corporate</v>
      </c>
      <c r="E4912" t="s">
        <v>21</v>
      </c>
      <c r="F4912">
        <v>30</v>
      </c>
      <c r="G4912">
        <v>0</v>
      </c>
      <c r="H4912" s="2">
        <v>184.89840000000004</v>
      </c>
      <c r="I4912" s="2">
        <v>503.34000000000003</v>
      </c>
    </row>
    <row r="4913" spans="1:9" x14ac:dyDescent="0.3">
      <c r="A4913" t="str">
        <f t="shared" si="1583"/>
        <v>United States</v>
      </c>
      <c r="B4913" t="str">
        <f t="shared" si="1589"/>
        <v>Seattle</v>
      </c>
      <c r="C4913" t="str">
        <f t="shared" si="1587"/>
        <v>Standard Class</v>
      </c>
      <c r="D4913" t="str">
        <f t="shared" si="1590"/>
        <v>Corporate</v>
      </c>
      <c r="E4913" t="s">
        <v>43</v>
      </c>
      <c r="F4913">
        <v>5</v>
      </c>
      <c r="G4913">
        <v>0</v>
      </c>
      <c r="H4913" s="2">
        <v>27.996000000000002</v>
      </c>
      <c r="I4913" s="2">
        <v>57.000000000000007</v>
      </c>
    </row>
    <row r="4914" spans="1:9" x14ac:dyDescent="0.3">
      <c r="A4914" t="str">
        <f t="shared" si="1583"/>
        <v>United States</v>
      </c>
      <c r="B4914" t="str">
        <f t="shared" si="1589"/>
        <v>Seattle</v>
      </c>
      <c r="C4914" t="str">
        <f t="shared" si="1587"/>
        <v>Standard Class</v>
      </c>
      <c r="D4914" t="str">
        <f t="shared" si="1590"/>
        <v>Corporate</v>
      </c>
      <c r="E4914" t="s">
        <v>16</v>
      </c>
      <c r="F4914">
        <v>50</v>
      </c>
      <c r="G4914">
        <v>0</v>
      </c>
      <c r="H4914" s="2">
        <v>430.09959999999995</v>
      </c>
      <c r="I4914" s="2">
        <v>908.95999999999992</v>
      </c>
    </row>
    <row r="4915" spans="1:9" x14ac:dyDescent="0.3">
      <c r="A4915" t="str">
        <f t="shared" si="1583"/>
        <v>United States</v>
      </c>
      <c r="B4915" t="str">
        <f t="shared" si="1589"/>
        <v>Seattle</v>
      </c>
      <c r="C4915" t="str">
        <f t="shared" si="1587"/>
        <v>Standard Class</v>
      </c>
      <c r="D4915" t="str">
        <f t="shared" si="1590"/>
        <v>Corporate</v>
      </c>
      <c r="E4915" t="s">
        <v>24</v>
      </c>
      <c r="F4915">
        <v>17</v>
      </c>
      <c r="G4915">
        <v>0.60000000000000009</v>
      </c>
      <c r="H4915" s="2">
        <v>39.561999999999998</v>
      </c>
      <c r="I4915" s="2">
        <v>215.72</v>
      </c>
    </row>
    <row r="4916" spans="1:9" x14ac:dyDescent="0.3">
      <c r="A4916" t="str">
        <f t="shared" si="1583"/>
        <v>United States</v>
      </c>
      <c r="B4916" t="str">
        <f t="shared" si="1589"/>
        <v>Seattle</v>
      </c>
      <c r="C4916" t="str">
        <f t="shared" si="1587"/>
        <v>Standard Class</v>
      </c>
      <c r="D4916" t="str">
        <f t="shared" si="1590"/>
        <v>Corporate</v>
      </c>
      <c r="E4916" t="s">
        <v>14</v>
      </c>
      <c r="F4916">
        <v>39</v>
      </c>
      <c r="G4916">
        <v>0</v>
      </c>
      <c r="H4916" s="2">
        <v>441.63159999999993</v>
      </c>
      <c r="I4916" s="2">
        <v>3883.18</v>
      </c>
    </row>
    <row r="4917" spans="1:9" x14ac:dyDescent="0.3">
      <c r="A4917" t="str">
        <f t="shared" si="1583"/>
        <v>United States</v>
      </c>
      <c r="B4917" t="str">
        <f t="shared" si="1589"/>
        <v>Seattle</v>
      </c>
      <c r="C4917" t="str">
        <f t="shared" si="1587"/>
        <v>Standard Class</v>
      </c>
      <c r="D4917" t="str">
        <f t="shared" si="1590"/>
        <v>Corporate</v>
      </c>
      <c r="E4917" t="s">
        <v>9</v>
      </c>
      <c r="F4917">
        <v>13</v>
      </c>
      <c r="G4917">
        <v>0</v>
      </c>
      <c r="H4917" s="2">
        <v>22.66320000000001</v>
      </c>
      <c r="I4917" s="2">
        <v>364.4</v>
      </c>
    </row>
    <row r="4918" spans="1:9" x14ac:dyDescent="0.3">
      <c r="A4918" t="str">
        <f t="shared" si="1583"/>
        <v>United States</v>
      </c>
      <c r="B4918" t="str">
        <f t="shared" si="1589"/>
        <v>Seattle</v>
      </c>
      <c r="C4918" t="str">
        <f t="shared" si="1587"/>
        <v>Standard Class</v>
      </c>
      <c r="D4918" t="str">
        <f t="shared" si="1590"/>
        <v>Corporate</v>
      </c>
      <c r="E4918" t="s">
        <v>25</v>
      </c>
      <c r="F4918">
        <v>22</v>
      </c>
      <c r="G4918">
        <v>0</v>
      </c>
      <c r="H4918" s="2">
        <v>1151.4429</v>
      </c>
      <c r="I4918" s="2">
        <v>5892.6</v>
      </c>
    </row>
    <row r="4919" spans="1:9" x14ac:dyDescent="0.3">
      <c r="A4919" t="str">
        <f t="shared" si="1583"/>
        <v>United States</v>
      </c>
      <c r="B4919" t="str">
        <f t="shared" si="1589"/>
        <v>Seattle</v>
      </c>
      <c r="C4919" t="str">
        <f t="shared" si="1587"/>
        <v>Standard Class</v>
      </c>
      <c r="D4919" t="s">
        <v>17</v>
      </c>
      <c r="E4919" t="s">
        <v>23</v>
      </c>
      <c r="F4919">
        <v>13</v>
      </c>
      <c r="G4919">
        <v>0</v>
      </c>
      <c r="H4919" s="2">
        <v>183.73499999999999</v>
      </c>
      <c r="I4919" s="2">
        <v>647.91000000000008</v>
      </c>
    </row>
    <row r="4920" spans="1:9" x14ac:dyDescent="0.3">
      <c r="A4920" t="str">
        <f t="shared" si="1583"/>
        <v>United States</v>
      </c>
      <c r="B4920" t="str">
        <f t="shared" si="1589"/>
        <v>Seattle</v>
      </c>
      <c r="C4920" t="str">
        <f t="shared" si="1587"/>
        <v>Standard Class</v>
      </c>
      <c r="D4920" t="str">
        <f t="shared" ref="D4920:D4930" si="1591">D4919</f>
        <v>Home Office</v>
      </c>
      <c r="E4920" t="s">
        <v>19</v>
      </c>
      <c r="F4920">
        <v>24</v>
      </c>
      <c r="G4920">
        <v>0</v>
      </c>
      <c r="H4920" s="2">
        <v>53.233499999999999</v>
      </c>
      <c r="I4920" s="2">
        <v>184.07</v>
      </c>
    </row>
    <row r="4921" spans="1:9" x14ac:dyDescent="0.3">
      <c r="A4921" t="str">
        <f t="shared" si="1583"/>
        <v>United States</v>
      </c>
      <c r="B4921" t="str">
        <f t="shared" si="1589"/>
        <v>Seattle</v>
      </c>
      <c r="C4921" t="str">
        <f t="shared" si="1587"/>
        <v>Standard Class</v>
      </c>
      <c r="D4921" t="str">
        <f t="shared" si="1591"/>
        <v>Home Office</v>
      </c>
      <c r="E4921" t="s">
        <v>20</v>
      </c>
      <c r="F4921">
        <v>31</v>
      </c>
      <c r="G4921">
        <v>1.4</v>
      </c>
      <c r="H4921" s="2">
        <v>124.70840000000001</v>
      </c>
      <c r="I4921" s="2">
        <v>369.08000000000004</v>
      </c>
    </row>
    <row r="4922" spans="1:9" x14ac:dyDescent="0.3">
      <c r="A4922" t="str">
        <f t="shared" si="1583"/>
        <v>United States</v>
      </c>
      <c r="B4922" t="str">
        <f t="shared" si="1589"/>
        <v>Seattle</v>
      </c>
      <c r="C4922" t="str">
        <f t="shared" si="1587"/>
        <v>Standard Class</v>
      </c>
      <c r="D4922" t="str">
        <f t="shared" si="1591"/>
        <v>Home Office</v>
      </c>
      <c r="E4922" t="s">
        <v>34</v>
      </c>
      <c r="F4922">
        <v>3</v>
      </c>
      <c r="G4922">
        <v>0</v>
      </c>
      <c r="H4922" s="2">
        <v>59.665599999999998</v>
      </c>
      <c r="I4922" s="2">
        <v>248.86</v>
      </c>
    </row>
    <row r="4923" spans="1:9" x14ac:dyDescent="0.3">
      <c r="A4923" t="str">
        <f t="shared" si="1583"/>
        <v>United States</v>
      </c>
      <c r="B4923" t="str">
        <f t="shared" si="1589"/>
        <v>Seattle</v>
      </c>
      <c r="C4923" t="str">
        <f t="shared" si="1587"/>
        <v>Standard Class</v>
      </c>
      <c r="D4923" t="str">
        <f t="shared" si="1591"/>
        <v>Home Office</v>
      </c>
      <c r="E4923" t="s">
        <v>33</v>
      </c>
      <c r="F4923">
        <v>9</v>
      </c>
      <c r="G4923">
        <v>0.8</v>
      </c>
      <c r="H4923" s="2">
        <v>-95.492200000000096</v>
      </c>
      <c r="I4923" s="2">
        <v>916.17600000000016</v>
      </c>
    </row>
    <row r="4924" spans="1:9" x14ac:dyDescent="0.3">
      <c r="A4924" t="str">
        <f t="shared" si="1583"/>
        <v>United States</v>
      </c>
      <c r="B4924" t="str">
        <f t="shared" si="1589"/>
        <v>Seattle</v>
      </c>
      <c r="C4924" t="str">
        <f t="shared" si="1587"/>
        <v>Standard Class</v>
      </c>
      <c r="D4924" t="str">
        <f t="shared" si="1591"/>
        <v>Home Office</v>
      </c>
      <c r="E4924" t="s">
        <v>18</v>
      </c>
      <c r="F4924">
        <v>15</v>
      </c>
      <c r="G4924">
        <v>0</v>
      </c>
      <c r="H4924" s="2">
        <v>12.687000000000001</v>
      </c>
      <c r="I4924" s="2">
        <v>39.010000000000005</v>
      </c>
    </row>
    <row r="4925" spans="1:9" x14ac:dyDescent="0.3">
      <c r="A4925" t="str">
        <f t="shared" si="1583"/>
        <v>United States</v>
      </c>
      <c r="B4925" t="str">
        <f t="shared" si="1589"/>
        <v>Seattle</v>
      </c>
      <c r="C4925" t="str">
        <f t="shared" si="1587"/>
        <v>Standard Class</v>
      </c>
      <c r="D4925" t="str">
        <f t="shared" si="1591"/>
        <v>Home Office</v>
      </c>
      <c r="E4925" t="s">
        <v>21</v>
      </c>
      <c r="F4925">
        <v>31</v>
      </c>
      <c r="G4925">
        <v>0</v>
      </c>
      <c r="H4925" s="2">
        <v>162.34989999999999</v>
      </c>
      <c r="I4925" s="2">
        <v>439.97999999999996</v>
      </c>
    </row>
    <row r="4926" spans="1:9" x14ac:dyDescent="0.3">
      <c r="A4926" t="str">
        <f t="shared" si="1583"/>
        <v>United States</v>
      </c>
      <c r="B4926" t="str">
        <f t="shared" si="1589"/>
        <v>Seattle</v>
      </c>
      <c r="C4926" t="str">
        <f t="shared" si="1587"/>
        <v>Standard Class</v>
      </c>
      <c r="D4926" t="str">
        <f t="shared" si="1591"/>
        <v>Home Office</v>
      </c>
      <c r="E4926" t="s">
        <v>43</v>
      </c>
      <c r="F4926">
        <v>8</v>
      </c>
      <c r="G4926">
        <v>0</v>
      </c>
      <c r="H4926" s="2">
        <v>19.247199999999999</v>
      </c>
      <c r="I4926" s="2">
        <v>39.28</v>
      </c>
    </row>
    <row r="4927" spans="1:9" x14ac:dyDescent="0.3">
      <c r="A4927" t="str">
        <f t="shared" si="1583"/>
        <v>United States</v>
      </c>
      <c r="B4927" t="str">
        <f t="shared" si="1589"/>
        <v>Seattle</v>
      </c>
      <c r="C4927" t="str">
        <f t="shared" si="1587"/>
        <v>Standard Class</v>
      </c>
      <c r="D4927" t="str">
        <f t="shared" si="1591"/>
        <v>Home Office</v>
      </c>
      <c r="E4927" t="s">
        <v>16</v>
      </c>
      <c r="F4927">
        <v>5</v>
      </c>
      <c r="G4927">
        <v>0</v>
      </c>
      <c r="H4927" s="2">
        <v>33.625999999999998</v>
      </c>
      <c r="I4927" s="2">
        <v>73.099999999999994</v>
      </c>
    </row>
    <row r="4928" spans="1:9" x14ac:dyDescent="0.3">
      <c r="A4928" t="str">
        <f t="shared" si="1583"/>
        <v>United States</v>
      </c>
      <c r="B4928" t="str">
        <f t="shared" si="1589"/>
        <v>Seattle</v>
      </c>
      <c r="C4928" t="str">
        <f t="shared" si="1587"/>
        <v>Standard Class</v>
      </c>
      <c r="D4928" t="str">
        <f t="shared" si="1591"/>
        <v>Home Office</v>
      </c>
      <c r="E4928" t="s">
        <v>24</v>
      </c>
      <c r="F4928">
        <v>17</v>
      </c>
      <c r="G4928">
        <v>1.2</v>
      </c>
      <c r="H4928" s="2">
        <v>63.264499999999941</v>
      </c>
      <c r="I4928" s="2">
        <v>1989.4480000000003</v>
      </c>
    </row>
    <row r="4929" spans="1:9" x14ac:dyDescent="0.3">
      <c r="A4929" t="str">
        <f t="shared" si="1583"/>
        <v>United States</v>
      </c>
      <c r="B4929" t="str">
        <f t="shared" si="1589"/>
        <v>Seattle</v>
      </c>
      <c r="C4929" t="str">
        <f t="shared" si="1587"/>
        <v>Standard Class</v>
      </c>
      <c r="D4929" t="str">
        <f t="shared" si="1591"/>
        <v>Home Office</v>
      </c>
      <c r="E4929" t="s">
        <v>14</v>
      </c>
      <c r="F4929">
        <v>21</v>
      </c>
      <c r="G4929">
        <v>0</v>
      </c>
      <c r="H4929" s="2">
        <v>241.9862</v>
      </c>
      <c r="I4929" s="2">
        <v>1551.37</v>
      </c>
    </row>
    <row r="4930" spans="1:9" x14ac:dyDescent="0.3">
      <c r="A4930" t="str">
        <f t="shared" si="1583"/>
        <v>United States</v>
      </c>
      <c r="B4930" t="str">
        <f t="shared" si="1589"/>
        <v>Seattle</v>
      </c>
      <c r="C4930" t="str">
        <f t="shared" si="1587"/>
        <v>Standard Class</v>
      </c>
      <c r="D4930" t="str">
        <f t="shared" si="1591"/>
        <v>Home Office</v>
      </c>
      <c r="E4930" t="s">
        <v>25</v>
      </c>
      <c r="F4930">
        <v>12</v>
      </c>
      <c r="G4930">
        <v>0</v>
      </c>
      <c r="H4930" s="2">
        <v>616.93979999999999</v>
      </c>
      <c r="I4930" s="2">
        <v>3174.61</v>
      </c>
    </row>
    <row r="4931" spans="1:9" x14ac:dyDescent="0.3">
      <c r="A4931" t="str">
        <f t="shared" si="1583"/>
        <v>United States</v>
      </c>
      <c r="B4931" t="s">
        <v>483</v>
      </c>
      <c r="C4931" t="s">
        <v>22</v>
      </c>
      <c r="D4931" t="s">
        <v>17</v>
      </c>
      <c r="E4931" t="s">
        <v>23</v>
      </c>
      <c r="F4931">
        <v>2</v>
      </c>
      <c r="G4931">
        <v>0</v>
      </c>
      <c r="H4931" s="2">
        <v>0.89100000000000001</v>
      </c>
      <c r="I4931" s="2">
        <v>1.98</v>
      </c>
    </row>
    <row r="4932" spans="1:9" x14ac:dyDescent="0.3">
      <c r="A4932" t="str">
        <f t="shared" ref="A4932:A4995" si="1592">A4931</f>
        <v>United States</v>
      </c>
      <c r="B4932" t="str">
        <f t="shared" ref="B4932:B4933" si="1593">B4931</f>
        <v>Sheboygan</v>
      </c>
      <c r="C4932" t="str">
        <f t="shared" ref="C4932:C4933" si="1594">C4931</f>
        <v>Standard Class</v>
      </c>
      <c r="D4932" t="str">
        <f t="shared" ref="D4932:D4933" si="1595">D4931</f>
        <v>Home Office</v>
      </c>
      <c r="E4932" t="s">
        <v>43</v>
      </c>
      <c r="F4932">
        <v>7</v>
      </c>
      <c r="G4932">
        <v>0</v>
      </c>
      <c r="H4932" s="2">
        <v>29.259299999999996</v>
      </c>
      <c r="I4932" s="2">
        <v>62.789999999999992</v>
      </c>
    </row>
    <row r="4933" spans="1:9" x14ac:dyDescent="0.3">
      <c r="A4933" t="str">
        <f t="shared" si="1592"/>
        <v>United States</v>
      </c>
      <c r="B4933" t="str">
        <f t="shared" si="1593"/>
        <v>Sheboygan</v>
      </c>
      <c r="C4933" t="str">
        <f t="shared" si="1594"/>
        <v>Standard Class</v>
      </c>
      <c r="D4933" t="str">
        <f t="shared" si="1595"/>
        <v>Home Office</v>
      </c>
      <c r="E4933" t="s">
        <v>14</v>
      </c>
      <c r="F4933">
        <v>1</v>
      </c>
      <c r="G4933">
        <v>0</v>
      </c>
      <c r="H4933" s="2">
        <v>4.1916000000000011</v>
      </c>
      <c r="I4933" s="2">
        <v>14.97</v>
      </c>
    </row>
    <row r="4934" spans="1:9" x14ac:dyDescent="0.3">
      <c r="A4934" t="str">
        <f t="shared" si="1592"/>
        <v>United States</v>
      </c>
      <c r="B4934" t="s">
        <v>484</v>
      </c>
      <c r="C4934" t="s">
        <v>11</v>
      </c>
      <c r="D4934" t="s">
        <v>17</v>
      </c>
      <c r="E4934" t="s">
        <v>23</v>
      </c>
      <c r="F4934">
        <v>3</v>
      </c>
      <c r="G4934">
        <v>0</v>
      </c>
      <c r="H4934" s="2">
        <v>14.992499999999996</v>
      </c>
      <c r="I4934" s="2">
        <v>59.97</v>
      </c>
    </row>
    <row r="4935" spans="1:9" x14ac:dyDescent="0.3">
      <c r="A4935" t="str">
        <f t="shared" si="1592"/>
        <v>United States</v>
      </c>
      <c r="B4935" t="str">
        <f>B4934</f>
        <v>Shelton</v>
      </c>
      <c r="C4935" t="str">
        <f>C4934</f>
        <v>First Class</v>
      </c>
      <c r="D4935" t="str">
        <f>D4934</f>
        <v>Home Office</v>
      </c>
      <c r="E4935" t="s">
        <v>16</v>
      </c>
      <c r="F4935">
        <v>2</v>
      </c>
      <c r="G4935">
        <v>0</v>
      </c>
      <c r="H4935" s="2">
        <v>6.4127999999999998</v>
      </c>
      <c r="I4935" s="2">
        <v>13.36</v>
      </c>
    </row>
    <row r="4936" spans="1:9" x14ac:dyDescent="0.3">
      <c r="A4936" t="str">
        <f t="shared" si="1592"/>
        <v>United States</v>
      </c>
      <c r="B4936" t="s">
        <v>485</v>
      </c>
      <c r="C4936" t="s">
        <v>22</v>
      </c>
      <c r="D4936" t="s">
        <v>8</v>
      </c>
      <c r="E4936" t="s">
        <v>21</v>
      </c>
      <c r="F4936">
        <v>2</v>
      </c>
      <c r="G4936">
        <v>0.2</v>
      </c>
      <c r="H4936" s="2">
        <v>3.9512</v>
      </c>
      <c r="I4936" s="2">
        <v>14.368000000000002</v>
      </c>
    </row>
    <row r="4937" spans="1:9" x14ac:dyDescent="0.3">
      <c r="A4937" t="str">
        <f t="shared" si="1592"/>
        <v>United States</v>
      </c>
      <c r="B4937" t="str">
        <f t="shared" ref="B4937:B4938" si="1596">B4936</f>
        <v>Sierra Vista</v>
      </c>
      <c r="C4937" t="str">
        <f t="shared" ref="C4937:C4938" si="1597">C4936</f>
        <v>Standard Class</v>
      </c>
      <c r="D4937" t="s">
        <v>15</v>
      </c>
      <c r="E4937" t="s">
        <v>12</v>
      </c>
      <c r="F4937">
        <v>2</v>
      </c>
      <c r="G4937">
        <v>0.2</v>
      </c>
      <c r="H4937" s="2">
        <v>3.0143999999999993</v>
      </c>
      <c r="I4937" s="2">
        <v>30.144000000000002</v>
      </c>
    </row>
    <row r="4938" spans="1:9" x14ac:dyDescent="0.3">
      <c r="A4938" t="str">
        <f t="shared" si="1592"/>
        <v>United States</v>
      </c>
      <c r="B4938" t="str">
        <f t="shared" si="1596"/>
        <v>Sierra Vista</v>
      </c>
      <c r="C4938" t="str">
        <f t="shared" si="1597"/>
        <v>Standard Class</v>
      </c>
      <c r="D4938" t="str">
        <f>D4937</f>
        <v>Corporate</v>
      </c>
      <c r="E4938" t="s">
        <v>18</v>
      </c>
      <c r="F4938">
        <v>5</v>
      </c>
      <c r="G4938">
        <v>0.2</v>
      </c>
      <c r="H4938" s="2">
        <v>9.8624999999999972</v>
      </c>
      <c r="I4938" s="2">
        <v>31.560000000000002</v>
      </c>
    </row>
    <row r="4939" spans="1:9" x14ac:dyDescent="0.3">
      <c r="A4939" t="str">
        <f t="shared" si="1592"/>
        <v>United States</v>
      </c>
      <c r="B4939" t="s">
        <v>486</v>
      </c>
      <c r="C4939" t="s">
        <v>22</v>
      </c>
      <c r="D4939" t="s">
        <v>8</v>
      </c>
      <c r="E4939" t="s">
        <v>43</v>
      </c>
      <c r="F4939">
        <v>7</v>
      </c>
      <c r="G4939">
        <v>0</v>
      </c>
      <c r="H4939" s="2">
        <v>9.5081000000000007</v>
      </c>
      <c r="I4939" s="2">
        <v>20.23</v>
      </c>
    </row>
    <row r="4940" spans="1:9" x14ac:dyDescent="0.3">
      <c r="A4940" t="str">
        <f t="shared" si="1592"/>
        <v>United States</v>
      </c>
      <c r="B4940" t="str">
        <f t="shared" ref="B4940:B4945" si="1598">B4939</f>
        <v>Sioux Falls</v>
      </c>
      <c r="C4940" t="str">
        <f t="shared" ref="C4940:C4945" si="1599">C4939</f>
        <v>Standard Class</v>
      </c>
      <c r="D4940" t="s">
        <v>15</v>
      </c>
      <c r="E4940" t="s">
        <v>23</v>
      </c>
      <c r="F4940">
        <v>6</v>
      </c>
      <c r="G4940">
        <v>0</v>
      </c>
      <c r="H4940" s="2">
        <v>133.89660000000003</v>
      </c>
      <c r="I4940" s="2">
        <v>392.94000000000005</v>
      </c>
    </row>
    <row r="4941" spans="1:9" x14ac:dyDescent="0.3">
      <c r="A4941" t="str">
        <f t="shared" si="1592"/>
        <v>United States</v>
      </c>
      <c r="B4941" t="str">
        <f t="shared" si="1598"/>
        <v>Sioux Falls</v>
      </c>
      <c r="C4941" t="str">
        <f t="shared" si="1599"/>
        <v>Standard Class</v>
      </c>
      <c r="D4941" t="str">
        <f t="shared" ref="D4941:D4945" si="1600">D4940</f>
        <v>Corporate</v>
      </c>
      <c r="E4941" t="s">
        <v>12</v>
      </c>
      <c r="F4941">
        <v>2</v>
      </c>
      <c r="G4941">
        <v>0</v>
      </c>
      <c r="H4941" s="2">
        <v>112.40640000000002</v>
      </c>
      <c r="I4941" s="2">
        <v>416.32</v>
      </c>
    </row>
    <row r="4942" spans="1:9" x14ac:dyDescent="0.3">
      <c r="A4942" t="str">
        <f t="shared" si="1592"/>
        <v>United States</v>
      </c>
      <c r="B4942" t="str">
        <f t="shared" si="1598"/>
        <v>Sioux Falls</v>
      </c>
      <c r="C4942" t="str">
        <f t="shared" si="1599"/>
        <v>Standard Class</v>
      </c>
      <c r="D4942" t="str">
        <f t="shared" si="1600"/>
        <v>Corporate</v>
      </c>
      <c r="E4942" t="s">
        <v>20</v>
      </c>
      <c r="F4942">
        <v>12</v>
      </c>
      <c r="G4942">
        <v>0</v>
      </c>
      <c r="H4942" s="2">
        <v>50.625</v>
      </c>
      <c r="I4942" s="2">
        <v>103.83</v>
      </c>
    </row>
    <row r="4943" spans="1:9" x14ac:dyDescent="0.3">
      <c r="A4943" t="str">
        <f t="shared" si="1592"/>
        <v>United States</v>
      </c>
      <c r="B4943" t="str">
        <f t="shared" si="1598"/>
        <v>Sioux Falls</v>
      </c>
      <c r="C4943" t="str">
        <f t="shared" si="1599"/>
        <v>Standard Class</v>
      </c>
      <c r="D4943" t="str">
        <f t="shared" si="1600"/>
        <v>Corporate</v>
      </c>
      <c r="E4943" t="s">
        <v>33</v>
      </c>
      <c r="F4943">
        <v>3</v>
      </c>
      <c r="G4943">
        <v>0</v>
      </c>
      <c r="H4943" s="2">
        <v>27.440999999999995</v>
      </c>
      <c r="I4943" s="2">
        <v>182.94</v>
      </c>
    </row>
    <row r="4944" spans="1:9" x14ac:dyDescent="0.3">
      <c r="A4944" t="str">
        <f t="shared" si="1592"/>
        <v>United States</v>
      </c>
      <c r="B4944" t="str">
        <f t="shared" si="1598"/>
        <v>Sioux Falls</v>
      </c>
      <c r="C4944" t="str">
        <f t="shared" si="1599"/>
        <v>Standard Class</v>
      </c>
      <c r="D4944" t="str">
        <f t="shared" si="1600"/>
        <v>Corporate</v>
      </c>
      <c r="E4944" t="s">
        <v>18</v>
      </c>
      <c r="F4944">
        <v>3</v>
      </c>
      <c r="G4944">
        <v>0</v>
      </c>
      <c r="H4944" s="2">
        <v>2.6814000000000004</v>
      </c>
      <c r="I4944" s="2">
        <v>6.5400000000000009</v>
      </c>
    </row>
    <row r="4945" spans="1:9" x14ac:dyDescent="0.3">
      <c r="A4945" t="str">
        <f t="shared" si="1592"/>
        <v>United States</v>
      </c>
      <c r="B4945" t="str">
        <f t="shared" si="1598"/>
        <v>Sioux Falls</v>
      </c>
      <c r="C4945" t="str">
        <f t="shared" si="1599"/>
        <v>Standard Class</v>
      </c>
      <c r="D4945" t="str">
        <f t="shared" si="1600"/>
        <v>Corporate</v>
      </c>
      <c r="E4945" t="s">
        <v>43</v>
      </c>
      <c r="F4945">
        <v>2</v>
      </c>
      <c r="G4945">
        <v>0</v>
      </c>
      <c r="H4945" s="2">
        <v>6.8713999999999995</v>
      </c>
      <c r="I4945" s="2">
        <v>14.62</v>
      </c>
    </row>
    <row r="4946" spans="1:9" x14ac:dyDescent="0.3">
      <c r="A4946" t="str">
        <f t="shared" si="1592"/>
        <v>United States</v>
      </c>
      <c r="B4946" t="s">
        <v>487</v>
      </c>
      <c r="C4946" t="s">
        <v>11</v>
      </c>
      <c r="D4946" t="s">
        <v>15</v>
      </c>
      <c r="E4946" t="s">
        <v>20</v>
      </c>
      <c r="F4946">
        <v>8</v>
      </c>
      <c r="G4946">
        <v>1.6</v>
      </c>
      <c r="H4946" s="2">
        <v>-19.9512</v>
      </c>
      <c r="I4946" s="2">
        <v>11.663999999999998</v>
      </c>
    </row>
    <row r="4947" spans="1:9" x14ac:dyDescent="0.3">
      <c r="A4947" t="str">
        <f t="shared" si="1592"/>
        <v>United States</v>
      </c>
      <c r="B4947" t="str">
        <f t="shared" ref="B4947:B4954" si="1601">B4946</f>
        <v>Skokie</v>
      </c>
      <c r="C4947" t="str">
        <f>C4946</f>
        <v>First Class</v>
      </c>
      <c r="D4947" t="str">
        <f>D4946</f>
        <v>Corporate</v>
      </c>
      <c r="E4947" t="s">
        <v>16</v>
      </c>
      <c r="F4947">
        <v>2</v>
      </c>
      <c r="G4947">
        <v>0.2</v>
      </c>
      <c r="H4947" s="2">
        <v>4.4311999999999996</v>
      </c>
      <c r="I4947" s="2">
        <v>12.224</v>
      </c>
    </row>
    <row r="4948" spans="1:9" x14ac:dyDescent="0.3">
      <c r="A4948" t="str">
        <f t="shared" si="1592"/>
        <v>United States</v>
      </c>
      <c r="B4948" t="str">
        <f t="shared" si="1601"/>
        <v>Skokie</v>
      </c>
      <c r="C4948" t="s">
        <v>27</v>
      </c>
      <c r="D4948" t="s">
        <v>8</v>
      </c>
      <c r="E4948" t="s">
        <v>23</v>
      </c>
      <c r="F4948">
        <v>3</v>
      </c>
      <c r="G4948">
        <v>0.2</v>
      </c>
      <c r="H4948" s="2">
        <v>-4.908000000000003</v>
      </c>
      <c r="I4948" s="2">
        <v>39.264000000000003</v>
      </c>
    </row>
    <row r="4949" spans="1:9" x14ac:dyDescent="0.3">
      <c r="A4949" t="str">
        <f t="shared" si="1592"/>
        <v>United States</v>
      </c>
      <c r="B4949" t="str">
        <f t="shared" si="1601"/>
        <v>Skokie</v>
      </c>
      <c r="C4949" t="str">
        <f t="shared" ref="C4949:C4950" si="1602">C4948</f>
        <v>Same Day</v>
      </c>
      <c r="D4949" t="str">
        <f t="shared" ref="D4949:D4950" si="1603">D4948</f>
        <v>Consumer</v>
      </c>
      <c r="E4949" t="s">
        <v>19</v>
      </c>
      <c r="F4949">
        <v>6</v>
      </c>
      <c r="G4949">
        <v>0.2</v>
      </c>
      <c r="H4949" s="2">
        <v>24.998400000000011</v>
      </c>
      <c r="I4949" s="2">
        <v>95.231999999999999</v>
      </c>
    </row>
    <row r="4950" spans="1:9" x14ac:dyDescent="0.3">
      <c r="A4950" t="str">
        <f t="shared" si="1592"/>
        <v>United States</v>
      </c>
      <c r="B4950" t="str">
        <f t="shared" si="1601"/>
        <v>Skokie</v>
      </c>
      <c r="C4950" t="str">
        <f t="shared" si="1602"/>
        <v>Same Day</v>
      </c>
      <c r="D4950" t="str">
        <f t="shared" si="1603"/>
        <v>Consumer</v>
      </c>
      <c r="E4950" t="s">
        <v>21</v>
      </c>
      <c r="F4950">
        <v>9</v>
      </c>
      <c r="G4950">
        <v>1.2</v>
      </c>
      <c r="H4950" s="2">
        <v>-319.74299999999994</v>
      </c>
      <c r="I4950" s="2">
        <v>322.68000000000006</v>
      </c>
    </row>
    <row r="4951" spans="1:9" x14ac:dyDescent="0.3">
      <c r="A4951" t="str">
        <f t="shared" si="1592"/>
        <v>United States</v>
      </c>
      <c r="B4951" t="str">
        <f t="shared" si="1601"/>
        <v>Skokie</v>
      </c>
      <c r="C4951" t="s">
        <v>22</v>
      </c>
      <c r="D4951" t="s">
        <v>8</v>
      </c>
      <c r="E4951" t="s">
        <v>20</v>
      </c>
      <c r="F4951">
        <v>4</v>
      </c>
      <c r="G4951">
        <v>0.8</v>
      </c>
      <c r="H4951" s="2">
        <v>-18.872800000000009</v>
      </c>
      <c r="I4951" s="2">
        <v>12.175999999999998</v>
      </c>
    </row>
    <row r="4952" spans="1:9" x14ac:dyDescent="0.3">
      <c r="A4952" t="str">
        <f t="shared" si="1592"/>
        <v>United States</v>
      </c>
      <c r="B4952" t="str">
        <f t="shared" si="1601"/>
        <v>Skokie</v>
      </c>
      <c r="C4952" t="str">
        <f t="shared" ref="C4952:C4954" si="1604">C4951</f>
        <v>Standard Class</v>
      </c>
      <c r="D4952" t="str">
        <f t="shared" ref="D4952:D4953" si="1605">D4951</f>
        <v>Consumer</v>
      </c>
      <c r="E4952" t="s">
        <v>21</v>
      </c>
      <c r="F4952">
        <v>6</v>
      </c>
      <c r="G4952">
        <v>0.6</v>
      </c>
      <c r="H4952" s="2">
        <v>-19.771199999999997</v>
      </c>
      <c r="I4952" s="2">
        <v>32.952000000000005</v>
      </c>
    </row>
    <row r="4953" spans="1:9" x14ac:dyDescent="0.3">
      <c r="A4953" t="str">
        <f t="shared" si="1592"/>
        <v>United States</v>
      </c>
      <c r="B4953" t="str">
        <f t="shared" si="1601"/>
        <v>Skokie</v>
      </c>
      <c r="C4953" t="str">
        <f t="shared" si="1604"/>
        <v>Standard Class</v>
      </c>
      <c r="D4953" t="str">
        <f t="shared" si="1605"/>
        <v>Consumer</v>
      </c>
      <c r="E4953" t="s">
        <v>14</v>
      </c>
      <c r="F4953">
        <v>4</v>
      </c>
      <c r="G4953">
        <v>0.2</v>
      </c>
      <c r="H4953" s="2">
        <v>3.0015999999999998</v>
      </c>
      <c r="I4953" s="2">
        <v>30.016000000000005</v>
      </c>
    </row>
    <row r="4954" spans="1:9" x14ac:dyDescent="0.3">
      <c r="A4954" t="str">
        <f t="shared" si="1592"/>
        <v>United States</v>
      </c>
      <c r="B4954" t="str">
        <f t="shared" si="1601"/>
        <v>Skokie</v>
      </c>
      <c r="C4954" t="str">
        <f t="shared" si="1604"/>
        <v>Standard Class</v>
      </c>
      <c r="D4954" t="s">
        <v>15</v>
      </c>
      <c r="E4954" t="s">
        <v>18</v>
      </c>
      <c r="F4954">
        <v>2</v>
      </c>
      <c r="G4954">
        <v>0.2</v>
      </c>
      <c r="H4954" s="2">
        <v>3.944999999999999</v>
      </c>
      <c r="I4954" s="2">
        <v>12.624000000000001</v>
      </c>
    </row>
    <row r="4955" spans="1:9" x14ac:dyDescent="0.3">
      <c r="A4955" t="str">
        <f t="shared" si="1592"/>
        <v>United States</v>
      </c>
      <c r="B4955" t="s">
        <v>488</v>
      </c>
      <c r="C4955" t="s">
        <v>11</v>
      </c>
      <c r="D4955" t="s">
        <v>15</v>
      </c>
      <c r="E4955" t="s">
        <v>20</v>
      </c>
      <c r="F4955">
        <v>3</v>
      </c>
      <c r="G4955">
        <v>0.7</v>
      </c>
      <c r="H4955" s="2">
        <v>-4.4945999999999984</v>
      </c>
      <c r="I4955" s="2">
        <v>6.1290000000000004</v>
      </c>
    </row>
    <row r="4956" spans="1:9" x14ac:dyDescent="0.3">
      <c r="A4956" t="str">
        <f t="shared" si="1592"/>
        <v>United States</v>
      </c>
      <c r="B4956" t="str">
        <f t="shared" ref="B4956:B4973" si="1606">B4955</f>
        <v>Smyrna</v>
      </c>
      <c r="C4956" t="str">
        <f t="shared" ref="C4956:C4957" si="1607">C4955</f>
        <v>First Class</v>
      </c>
      <c r="D4956" t="str">
        <f t="shared" ref="D4956:D4957" si="1608">D4955</f>
        <v>Corporate</v>
      </c>
      <c r="E4956" t="s">
        <v>33</v>
      </c>
      <c r="F4956">
        <v>4</v>
      </c>
      <c r="G4956">
        <v>0.2</v>
      </c>
      <c r="H4956" s="2">
        <v>56.274400000000014</v>
      </c>
      <c r="I4956" s="2">
        <v>643.13599999999997</v>
      </c>
    </row>
    <row r="4957" spans="1:9" x14ac:dyDescent="0.3">
      <c r="A4957" t="str">
        <f t="shared" si="1592"/>
        <v>United States</v>
      </c>
      <c r="B4957" t="str">
        <f t="shared" si="1606"/>
        <v>Smyrna</v>
      </c>
      <c r="C4957" t="str">
        <f t="shared" si="1607"/>
        <v>First Class</v>
      </c>
      <c r="D4957" t="str">
        <f t="shared" si="1608"/>
        <v>Corporate</v>
      </c>
      <c r="E4957" t="s">
        <v>16</v>
      </c>
      <c r="F4957">
        <v>4</v>
      </c>
      <c r="G4957">
        <v>0.2</v>
      </c>
      <c r="H4957" s="2">
        <v>7.2576000000000001</v>
      </c>
      <c r="I4957" s="2">
        <v>20.736000000000004</v>
      </c>
    </row>
    <row r="4958" spans="1:9" x14ac:dyDescent="0.3">
      <c r="A4958" t="str">
        <f t="shared" si="1592"/>
        <v>United States</v>
      </c>
      <c r="B4958" t="str">
        <f t="shared" si="1606"/>
        <v>Smyrna</v>
      </c>
      <c r="C4958" t="s">
        <v>27</v>
      </c>
      <c r="D4958" t="s">
        <v>17</v>
      </c>
      <c r="E4958" t="s">
        <v>34</v>
      </c>
      <c r="F4958">
        <v>2</v>
      </c>
      <c r="G4958">
        <v>0</v>
      </c>
      <c r="H4958" s="2">
        <v>52.795599999999979</v>
      </c>
      <c r="I4958" s="2">
        <v>239.98</v>
      </c>
    </row>
    <row r="4959" spans="1:9" x14ac:dyDescent="0.3">
      <c r="A4959" t="str">
        <f t="shared" si="1592"/>
        <v>United States</v>
      </c>
      <c r="B4959" t="str">
        <f t="shared" si="1606"/>
        <v>Smyrna</v>
      </c>
      <c r="C4959" t="str">
        <f t="shared" ref="C4959:C4964" si="1609">C4958</f>
        <v>Same Day</v>
      </c>
      <c r="D4959" t="str">
        <f t="shared" ref="D4959:D4964" si="1610">D4958</f>
        <v>Home Office</v>
      </c>
      <c r="E4959" t="s">
        <v>38</v>
      </c>
      <c r="F4959">
        <v>2</v>
      </c>
      <c r="G4959">
        <v>0</v>
      </c>
      <c r="H4959" s="2">
        <v>78.941199999999995</v>
      </c>
      <c r="I4959" s="2">
        <v>167.96</v>
      </c>
    </row>
    <row r="4960" spans="1:9" x14ac:dyDescent="0.3">
      <c r="A4960" t="str">
        <f t="shared" si="1592"/>
        <v>United States</v>
      </c>
      <c r="B4960" t="str">
        <f t="shared" si="1606"/>
        <v>Smyrna</v>
      </c>
      <c r="C4960" t="str">
        <f t="shared" si="1609"/>
        <v>Same Day</v>
      </c>
      <c r="D4960" t="str">
        <f t="shared" si="1610"/>
        <v>Home Office</v>
      </c>
      <c r="E4960" t="s">
        <v>18</v>
      </c>
      <c r="F4960">
        <v>5</v>
      </c>
      <c r="G4960">
        <v>0</v>
      </c>
      <c r="H4960" s="2">
        <v>0.18900000000000028</v>
      </c>
      <c r="I4960" s="2">
        <v>9.4499999999999993</v>
      </c>
    </row>
    <row r="4961" spans="1:9" x14ac:dyDescent="0.3">
      <c r="A4961" t="str">
        <f t="shared" si="1592"/>
        <v>United States</v>
      </c>
      <c r="B4961" t="str">
        <f t="shared" si="1606"/>
        <v>Smyrna</v>
      </c>
      <c r="C4961" t="str">
        <f t="shared" si="1609"/>
        <v>Same Day</v>
      </c>
      <c r="D4961" t="str">
        <f t="shared" si="1610"/>
        <v>Home Office</v>
      </c>
      <c r="E4961" t="s">
        <v>21</v>
      </c>
      <c r="F4961">
        <v>3</v>
      </c>
      <c r="G4961">
        <v>0</v>
      </c>
      <c r="H4961" s="2">
        <v>7.1592000000000002</v>
      </c>
      <c r="I4961" s="2">
        <v>18.84</v>
      </c>
    </row>
    <row r="4962" spans="1:9" x14ac:dyDescent="0.3">
      <c r="A4962" t="str">
        <f t="shared" si="1592"/>
        <v>United States</v>
      </c>
      <c r="B4962" t="str">
        <f t="shared" si="1606"/>
        <v>Smyrna</v>
      </c>
      <c r="C4962" t="str">
        <f t="shared" si="1609"/>
        <v>Same Day</v>
      </c>
      <c r="D4962" t="str">
        <f t="shared" si="1610"/>
        <v>Home Office</v>
      </c>
      <c r="E4962" t="s">
        <v>16</v>
      </c>
      <c r="F4962">
        <v>19</v>
      </c>
      <c r="G4962">
        <v>0</v>
      </c>
      <c r="H4962" s="2">
        <v>392.10079999999999</v>
      </c>
      <c r="I4962" s="2">
        <v>814.18</v>
      </c>
    </row>
    <row r="4963" spans="1:9" x14ac:dyDescent="0.3">
      <c r="A4963" t="str">
        <f t="shared" si="1592"/>
        <v>United States</v>
      </c>
      <c r="B4963" t="str">
        <f t="shared" si="1606"/>
        <v>Smyrna</v>
      </c>
      <c r="C4963" t="str">
        <f t="shared" si="1609"/>
        <v>Same Day</v>
      </c>
      <c r="D4963" t="str">
        <f t="shared" si="1610"/>
        <v>Home Office</v>
      </c>
      <c r="E4963" t="s">
        <v>24</v>
      </c>
      <c r="F4963">
        <v>6</v>
      </c>
      <c r="G4963">
        <v>0</v>
      </c>
      <c r="H4963" s="2">
        <v>154.36530000000002</v>
      </c>
      <c r="I4963" s="2">
        <v>589.68000000000006</v>
      </c>
    </row>
    <row r="4964" spans="1:9" x14ac:dyDescent="0.3">
      <c r="A4964" t="str">
        <f t="shared" si="1592"/>
        <v>United States</v>
      </c>
      <c r="B4964" t="str">
        <f t="shared" si="1606"/>
        <v>Smyrna</v>
      </c>
      <c r="C4964" t="str">
        <f t="shared" si="1609"/>
        <v>Same Day</v>
      </c>
      <c r="D4964" t="str">
        <f t="shared" si="1610"/>
        <v>Home Office</v>
      </c>
      <c r="E4964" t="s">
        <v>14</v>
      </c>
      <c r="F4964">
        <v>4</v>
      </c>
      <c r="G4964">
        <v>0</v>
      </c>
      <c r="H4964" s="2">
        <v>3.1640000000000086</v>
      </c>
      <c r="I4964" s="2">
        <v>235.42000000000002</v>
      </c>
    </row>
    <row r="4965" spans="1:9" x14ac:dyDescent="0.3">
      <c r="A4965" t="str">
        <f t="shared" si="1592"/>
        <v>United States</v>
      </c>
      <c r="B4965" t="str">
        <f t="shared" si="1606"/>
        <v>Smyrna</v>
      </c>
      <c r="C4965" t="s">
        <v>22</v>
      </c>
      <c r="D4965" t="s">
        <v>8</v>
      </c>
      <c r="E4965" t="s">
        <v>19</v>
      </c>
      <c r="F4965">
        <v>6</v>
      </c>
      <c r="G4965">
        <v>0.2</v>
      </c>
      <c r="H4965" s="2">
        <v>8.1264000000000003</v>
      </c>
      <c r="I4965" s="2">
        <v>24.612000000000002</v>
      </c>
    </row>
    <row r="4966" spans="1:9" x14ac:dyDescent="0.3">
      <c r="A4966" t="str">
        <f t="shared" si="1592"/>
        <v>United States</v>
      </c>
      <c r="B4966" t="str">
        <f t="shared" si="1606"/>
        <v>Smyrna</v>
      </c>
      <c r="C4966" t="str">
        <f t="shared" ref="C4966:C4973" si="1611">C4965</f>
        <v>Standard Class</v>
      </c>
      <c r="D4966" t="str">
        <f t="shared" ref="D4966:D4968" si="1612">D4965</f>
        <v>Consumer</v>
      </c>
      <c r="E4966" t="s">
        <v>38</v>
      </c>
      <c r="F4966">
        <v>4</v>
      </c>
      <c r="G4966">
        <v>0</v>
      </c>
      <c r="H4966" s="2">
        <v>8.6016000000000012</v>
      </c>
      <c r="I4966" s="2">
        <v>17.920000000000002</v>
      </c>
    </row>
    <row r="4967" spans="1:9" x14ac:dyDescent="0.3">
      <c r="A4967" t="str">
        <f t="shared" si="1592"/>
        <v>United States</v>
      </c>
      <c r="B4967" t="str">
        <f t="shared" si="1606"/>
        <v>Smyrna</v>
      </c>
      <c r="C4967" t="str">
        <f t="shared" si="1611"/>
        <v>Standard Class</v>
      </c>
      <c r="D4967" t="str">
        <f t="shared" si="1612"/>
        <v>Consumer</v>
      </c>
      <c r="E4967" t="s">
        <v>18</v>
      </c>
      <c r="F4967">
        <v>3</v>
      </c>
      <c r="G4967">
        <v>0</v>
      </c>
      <c r="H4967" s="2">
        <v>0.11340000000000017</v>
      </c>
      <c r="I4967" s="2">
        <v>5.67</v>
      </c>
    </row>
    <row r="4968" spans="1:9" x14ac:dyDescent="0.3">
      <c r="A4968" t="str">
        <f t="shared" si="1592"/>
        <v>United States</v>
      </c>
      <c r="B4968" t="str">
        <f t="shared" si="1606"/>
        <v>Smyrna</v>
      </c>
      <c r="C4968" t="str">
        <f t="shared" si="1611"/>
        <v>Standard Class</v>
      </c>
      <c r="D4968" t="str">
        <f t="shared" si="1612"/>
        <v>Consumer</v>
      </c>
      <c r="E4968" t="s">
        <v>16</v>
      </c>
      <c r="F4968">
        <v>2</v>
      </c>
      <c r="G4968">
        <v>0</v>
      </c>
      <c r="H4968" s="2">
        <v>6.2208000000000006</v>
      </c>
      <c r="I4968" s="2">
        <v>12.96</v>
      </c>
    </row>
    <row r="4969" spans="1:9" x14ac:dyDescent="0.3">
      <c r="A4969" t="str">
        <f t="shared" si="1592"/>
        <v>United States</v>
      </c>
      <c r="B4969" t="str">
        <f t="shared" si="1606"/>
        <v>Smyrna</v>
      </c>
      <c r="C4969" t="str">
        <f t="shared" si="1611"/>
        <v>Standard Class</v>
      </c>
      <c r="D4969" t="s">
        <v>15</v>
      </c>
      <c r="E4969" t="s">
        <v>19</v>
      </c>
      <c r="F4969">
        <v>3</v>
      </c>
      <c r="G4969">
        <v>0.2</v>
      </c>
      <c r="H4969" s="2">
        <v>4.5872999999999937</v>
      </c>
      <c r="I4969" s="2">
        <v>40.775999999999996</v>
      </c>
    </row>
    <row r="4970" spans="1:9" x14ac:dyDescent="0.3">
      <c r="A4970" t="str">
        <f t="shared" si="1592"/>
        <v>United States</v>
      </c>
      <c r="B4970" t="str">
        <f t="shared" si="1606"/>
        <v>Smyrna</v>
      </c>
      <c r="C4970" t="str">
        <f t="shared" si="1611"/>
        <v>Standard Class</v>
      </c>
      <c r="D4970" t="str">
        <f t="shared" ref="D4970:D4971" si="1613">D4969</f>
        <v>Corporate</v>
      </c>
      <c r="E4970" t="s">
        <v>20</v>
      </c>
      <c r="F4970">
        <v>1</v>
      </c>
      <c r="G4970">
        <v>0.7</v>
      </c>
      <c r="H4970" s="2">
        <v>-51.515399999999985</v>
      </c>
      <c r="I4970" s="2">
        <v>67.194000000000003</v>
      </c>
    </row>
    <row r="4971" spans="1:9" x14ac:dyDescent="0.3">
      <c r="A4971" t="str">
        <f t="shared" si="1592"/>
        <v>United States</v>
      </c>
      <c r="B4971" t="str">
        <f t="shared" si="1606"/>
        <v>Smyrna</v>
      </c>
      <c r="C4971" t="str">
        <f t="shared" si="1611"/>
        <v>Standard Class</v>
      </c>
      <c r="D4971" t="str">
        <f t="shared" si="1613"/>
        <v>Corporate</v>
      </c>
      <c r="E4971" t="s">
        <v>24</v>
      </c>
      <c r="F4971">
        <v>8</v>
      </c>
      <c r="G4971">
        <v>0.2</v>
      </c>
      <c r="H4971" s="2">
        <v>5.5944000000000003</v>
      </c>
      <c r="I4971" s="2">
        <v>63.936000000000007</v>
      </c>
    </row>
    <row r="4972" spans="1:9" x14ac:dyDescent="0.3">
      <c r="A4972" t="str">
        <f t="shared" si="1592"/>
        <v>United States</v>
      </c>
      <c r="B4972" t="str">
        <f t="shared" si="1606"/>
        <v>Smyrna</v>
      </c>
      <c r="C4972" t="str">
        <f t="shared" si="1611"/>
        <v>Standard Class</v>
      </c>
      <c r="D4972" t="s">
        <v>17</v>
      </c>
      <c r="E4972" t="s">
        <v>19</v>
      </c>
      <c r="F4972">
        <v>5</v>
      </c>
      <c r="G4972">
        <v>0</v>
      </c>
      <c r="H4972" s="2">
        <v>42.22499999999998</v>
      </c>
      <c r="I4972" s="2">
        <v>140.75</v>
      </c>
    </row>
    <row r="4973" spans="1:9" x14ac:dyDescent="0.3">
      <c r="A4973" t="str">
        <f t="shared" si="1592"/>
        <v>United States</v>
      </c>
      <c r="B4973" t="str">
        <f t="shared" si="1606"/>
        <v>Smyrna</v>
      </c>
      <c r="C4973" t="str">
        <f t="shared" si="1611"/>
        <v>Standard Class</v>
      </c>
      <c r="D4973" t="str">
        <f>D4972</f>
        <v>Home Office</v>
      </c>
      <c r="E4973" t="s">
        <v>20</v>
      </c>
      <c r="F4973">
        <v>2</v>
      </c>
      <c r="G4973">
        <v>0</v>
      </c>
      <c r="H4973" s="2">
        <v>54.997599999999991</v>
      </c>
      <c r="I4973" s="2">
        <v>119.56</v>
      </c>
    </row>
    <row r="4974" spans="1:9" x14ac:dyDescent="0.3">
      <c r="A4974" t="str">
        <f t="shared" si="1592"/>
        <v>United States</v>
      </c>
      <c r="B4974" t="s">
        <v>489</v>
      </c>
      <c r="C4974" t="s">
        <v>7</v>
      </c>
      <c r="D4974" t="s">
        <v>8</v>
      </c>
      <c r="E4974" t="s">
        <v>23</v>
      </c>
      <c r="F4974">
        <v>5</v>
      </c>
      <c r="G4974">
        <v>0</v>
      </c>
      <c r="H4974" s="2">
        <v>124.68000000000004</v>
      </c>
      <c r="I4974" s="2">
        <v>831.2</v>
      </c>
    </row>
    <row r="4975" spans="1:9" x14ac:dyDescent="0.3">
      <c r="A4975" t="str">
        <f t="shared" si="1592"/>
        <v>United States</v>
      </c>
      <c r="B4975" t="str">
        <f t="shared" ref="B4975:B4977" si="1614">B4974</f>
        <v>South Bend</v>
      </c>
      <c r="C4975" t="str">
        <f t="shared" ref="C4975:C4977" si="1615">C4974</f>
        <v>Second Class</v>
      </c>
      <c r="D4975" t="str">
        <f t="shared" ref="D4975:D4977" si="1616">D4974</f>
        <v>Consumer</v>
      </c>
      <c r="E4975" t="s">
        <v>38</v>
      </c>
      <c r="F4975">
        <v>7</v>
      </c>
      <c r="G4975">
        <v>0</v>
      </c>
      <c r="H4975" s="2">
        <v>49.10499999999999</v>
      </c>
      <c r="I4975" s="2">
        <v>106.75</v>
      </c>
    </row>
    <row r="4976" spans="1:9" x14ac:dyDescent="0.3">
      <c r="A4976" t="str">
        <f t="shared" si="1592"/>
        <v>United States</v>
      </c>
      <c r="B4976" t="str">
        <f t="shared" si="1614"/>
        <v>South Bend</v>
      </c>
      <c r="C4976" t="str">
        <f t="shared" si="1615"/>
        <v>Second Class</v>
      </c>
      <c r="D4976" t="str">
        <f t="shared" si="1616"/>
        <v>Consumer</v>
      </c>
      <c r="E4976" t="s">
        <v>16</v>
      </c>
      <c r="F4976">
        <v>7</v>
      </c>
      <c r="G4976">
        <v>0</v>
      </c>
      <c r="H4976" s="2">
        <v>57.855399999999989</v>
      </c>
      <c r="I4976" s="2">
        <v>124.22</v>
      </c>
    </row>
    <row r="4977" spans="1:9" x14ac:dyDescent="0.3">
      <c r="A4977" t="str">
        <f t="shared" si="1592"/>
        <v>United States</v>
      </c>
      <c r="B4977" t="str">
        <f t="shared" si="1614"/>
        <v>South Bend</v>
      </c>
      <c r="C4977" t="str">
        <f t="shared" si="1615"/>
        <v>Second Class</v>
      </c>
      <c r="D4977" t="str">
        <f t="shared" si="1616"/>
        <v>Consumer</v>
      </c>
      <c r="E4977" t="s">
        <v>14</v>
      </c>
      <c r="F4977">
        <v>6</v>
      </c>
      <c r="G4977">
        <v>0</v>
      </c>
      <c r="H4977" s="2">
        <v>47.910799999999995</v>
      </c>
      <c r="I4977" s="2">
        <v>176.16</v>
      </c>
    </row>
    <row r="4978" spans="1:9" x14ac:dyDescent="0.3">
      <c r="A4978" t="str">
        <f t="shared" si="1592"/>
        <v>United States</v>
      </c>
      <c r="B4978" t="s">
        <v>490</v>
      </c>
      <c r="C4978" t="s">
        <v>27</v>
      </c>
      <c r="D4978" t="s">
        <v>15</v>
      </c>
      <c r="E4978" t="s">
        <v>23</v>
      </c>
      <c r="F4978">
        <v>3</v>
      </c>
      <c r="G4978">
        <v>0</v>
      </c>
      <c r="H4978" s="2">
        <v>125.98740000000001</v>
      </c>
      <c r="I4978" s="2">
        <v>299.96999999999997</v>
      </c>
    </row>
    <row r="4979" spans="1:9" x14ac:dyDescent="0.3">
      <c r="A4979" t="str">
        <f t="shared" si="1592"/>
        <v>United States</v>
      </c>
      <c r="B4979" t="str">
        <f t="shared" ref="B4979:B4984" si="1617">B4978</f>
        <v>Southaven</v>
      </c>
      <c r="C4979" t="str">
        <f t="shared" ref="C4979:C4981" si="1618">C4978</f>
        <v>Same Day</v>
      </c>
      <c r="D4979" t="str">
        <f t="shared" ref="D4979:D4981" si="1619">D4978</f>
        <v>Corporate</v>
      </c>
      <c r="E4979" t="s">
        <v>12</v>
      </c>
      <c r="F4979">
        <v>2</v>
      </c>
      <c r="G4979">
        <v>0</v>
      </c>
      <c r="H4979" s="2">
        <v>78.671999999999997</v>
      </c>
      <c r="I4979" s="2">
        <v>262.24</v>
      </c>
    </row>
    <row r="4980" spans="1:9" x14ac:dyDescent="0.3">
      <c r="A4980" t="str">
        <f t="shared" si="1592"/>
        <v>United States</v>
      </c>
      <c r="B4980" t="str">
        <f t="shared" si="1617"/>
        <v>Southaven</v>
      </c>
      <c r="C4980" t="str">
        <f t="shared" si="1618"/>
        <v>Same Day</v>
      </c>
      <c r="D4980" t="str">
        <f t="shared" si="1619"/>
        <v>Corporate</v>
      </c>
      <c r="E4980" t="s">
        <v>20</v>
      </c>
      <c r="F4980">
        <v>6</v>
      </c>
      <c r="G4980">
        <v>0</v>
      </c>
      <c r="H4980" s="2">
        <v>112.49279999999999</v>
      </c>
      <c r="I4980" s="2">
        <v>234.36</v>
      </c>
    </row>
    <row r="4981" spans="1:9" x14ac:dyDescent="0.3">
      <c r="A4981" t="str">
        <f t="shared" si="1592"/>
        <v>United States</v>
      </c>
      <c r="B4981" t="str">
        <f t="shared" si="1617"/>
        <v>Southaven</v>
      </c>
      <c r="C4981" t="str">
        <f t="shared" si="1618"/>
        <v>Same Day</v>
      </c>
      <c r="D4981" t="str">
        <f t="shared" si="1619"/>
        <v>Corporate</v>
      </c>
      <c r="E4981" t="s">
        <v>38</v>
      </c>
      <c r="F4981">
        <v>4</v>
      </c>
      <c r="G4981">
        <v>0</v>
      </c>
      <c r="H4981" s="2">
        <v>19.6328</v>
      </c>
      <c r="I4981" s="2">
        <v>42.68</v>
      </c>
    </row>
    <row r="4982" spans="1:9" x14ac:dyDescent="0.3">
      <c r="A4982" t="str">
        <f t="shared" si="1592"/>
        <v>United States</v>
      </c>
      <c r="B4982" t="str">
        <f t="shared" si="1617"/>
        <v>Southaven</v>
      </c>
      <c r="C4982" t="s">
        <v>22</v>
      </c>
      <c r="D4982" t="s">
        <v>8</v>
      </c>
      <c r="E4982" t="s">
        <v>23</v>
      </c>
      <c r="F4982">
        <v>4</v>
      </c>
      <c r="G4982">
        <v>0</v>
      </c>
      <c r="H4982" s="2">
        <v>53.750400000000013</v>
      </c>
      <c r="I4982" s="2">
        <v>223.96</v>
      </c>
    </row>
    <row r="4983" spans="1:9" x14ac:dyDescent="0.3">
      <c r="A4983" t="str">
        <f t="shared" si="1592"/>
        <v>United States</v>
      </c>
      <c r="B4983" t="str">
        <f t="shared" si="1617"/>
        <v>Southaven</v>
      </c>
      <c r="C4983" t="str">
        <f t="shared" ref="C4983:C4984" si="1620">C4982</f>
        <v>Standard Class</v>
      </c>
      <c r="D4983" t="str">
        <f t="shared" ref="D4983:D4984" si="1621">D4982</f>
        <v>Consumer</v>
      </c>
      <c r="E4983" t="s">
        <v>14</v>
      </c>
      <c r="F4983">
        <v>5</v>
      </c>
      <c r="G4983">
        <v>0</v>
      </c>
      <c r="H4983" s="2">
        <v>0</v>
      </c>
      <c r="I4983" s="2">
        <v>306.2</v>
      </c>
    </row>
    <row r="4984" spans="1:9" x14ac:dyDescent="0.3">
      <c r="A4984" t="str">
        <f t="shared" si="1592"/>
        <v>United States</v>
      </c>
      <c r="B4984" t="str">
        <f t="shared" si="1617"/>
        <v>Southaven</v>
      </c>
      <c r="C4984" t="str">
        <f t="shared" si="1620"/>
        <v>Standard Class</v>
      </c>
      <c r="D4984" t="str">
        <f t="shared" si="1621"/>
        <v>Consumer</v>
      </c>
      <c r="E4984" t="s">
        <v>25</v>
      </c>
      <c r="F4984">
        <v>1</v>
      </c>
      <c r="G4984">
        <v>0</v>
      </c>
      <c r="H4984" s="2">
        <v>22.354800000000004</v>
      </c>
      <c r="I4984" s="2">
        <v>85.98</v>
      </c>
    </row>
    <row r="4985" spans="1:9" x14ac:dyDescent="0.3">
      <c r="A4985" t="str">
        <f t="shared" si="1592"/>
        <v>United States</v>
      </c>
      <c r="B4985" t="s">
        <v>491</v>
      </c>
      <c r="C4985" t="s">
        <v>7</v>
      </c>
      <c r="D4985" t="s">
        <v>8</v>
      </c>
      <c r="E4985" t="s">
        <v>19</v>
      </c>
      <c r="F4985">
        <v>4</v>
      </c>
      <c r="G4985">
        <v>0</v>
      </c>
      <c r="H4985" s="2">
        <v>23.807999999999993</v>
      </c>
      <c r="I4985" s="2">
        <v>79.36</v>
      </c>
    </row>
    <row r="4986" spans="1:9" x14ac:dyDescent="0.3">
      <c r="A4986" t="str">
        <f t="shared" si="1592"/>
        <v>United States</v>
      </c>
      <c r="B4986" t="str">
        <f t="shared" ref="B4986:B4987" si="1622">B4985</f>
        <v>Sparks</v>
      </c>
      <c r="C4986" t="s">
        <v>22</v>
      </c>
      <c r="D4986" t="s">
        <v>15</v>
      </c>
      <c r="E4986" t="s">
        <v>46</v>
      </c>
      <c r="F4986">
        <v>10</v>
      </c>
      <c r="G4986">
        <v>0.2</v>
      </c>
      <c r="H4986" s="2">
        <v>179.73000000000013</v>
      </c>
      <c r="I4986" s="2">
        <v>2396.4</v>
      </c>
    </row>
    <row r="4987" spans="1:9" x14ac:dyDescent="0.3">
      <c r="A4987" t="str">
        <f t="shared" si="1592"/>
        <v>United States</v>
      </c>
      <c r="B4987" t="str">
        <f t="shared" si="1622"/>
        <v>Sparks</v>
      </c>
      <c r="C4987" t="str">
        <f>C4986</f>
        <v>Standard Class</v>
      </c>
      <c r="D4987" t="s">
        <v>17</v>
      </c>
      <c r="E4987" t="s">
        <v>9</v>
      </c>
      <c r="F4987">
        <v>5</v>
      </c>
      <c r="G4987">
        <v>0</v>
      </c>
      <c r="H4987" s="2">
        <v>24.997999999999987</v>
      </c>
      <c r="I4987" s="2">
        <v>86.199999999999989</v>
      </c>
    </row>
    <row r="4988" spans="1:9" x14ac:dyDescent="0.3">
      <c r="A4988" t="str">
        <f t="shared" si="1592"/>
        <v>United States</v>
      </c>
      <c r="B4988" t="s">
        <v>492</v>
      </c>
      <c r="C4988" t="s">
        <v>11</v>
      </c>
      <c r="D4988" t="s">
        <v>15</v>
      </c>
      <c r="E4988" t="s">
        <v>46</v>
      </c>
      <c r="F4988">
        <v>3</v>
      </c>
      <c r="G4988">
        <v>0.2</v>
      </c>
      <c r="H4988" s="2">
        <v>62.82000000000005</v>
      </c>
      <c r="I4988" s="2">
        <v>837.59999999999991</v>
      </c>
    </row>
    <row r="4989" spans="1:9" x14ac:dyDescent="0.3">
      <c r="A4989" t="str">
        <f t="shared" si="1592"/>
        <v>United States</v>
      </c>
      <c r="B4989" t="str">
        <f t="shared" ref="B4989:B4994" si="1623">B4988</f>
        <v>Spokane</v>
      </c>
      <c r="C4989" t="s">
        <v>27</v>
      </c>
      <c r="D4989" t="s">
        <v>8</v>
      </c>
      <c r="E4989" t="s">
        <v>23</v>
      </c>
      <c r="F4989">
        <v>6</v>
      </c>
      <c r="G4989">
        <v>0</v>
      </c>
      <c r="H4989" s="2">
        <v>26.393399999999986</v>
      </c>
      <c r="I4989" s="2">
        <v>239.94</v>
      </c>
    </row>
    <row r="4990" spans="1:9" x14ac:dyDescent="0.3">
      <c r="A4990" t="str">
        <f t="shared" si="1592"/>
        <v>United States</v>
      </c>
      <c r="B4990" t="str">
        <f t="shared" si="1623"/>
        <v>Spokane</v>
      </c>
      <c r="C4990" t="str">
        <f>C4989</f>
        <v>Same Day</v>
      </c>
      <c r="D4990" t="str">
        <f>D4989</f>
        <v>Consumer</v>
      </c>
      <c r="E4990" t="s">
        <v>19</v>
      </c>
      <c r="F4990">
        <v>8</v>
      </c>
      <c r="G4990">
        <v>0</v>
      </c>
      <c r="H4990" s="2">
        <v>6.4368000000000016</v>
      </c>
      <c r="I4990" s="2">
        <v>23.84</v>
      </c>
    </row>
    <row r="4991" spans="1:9" x14ac:dyDescent="0.3">
      <c r="A4991" t="str">
        <f t="shared" si="1592"/>
        <v>United States</v>
      </c>
      <c r="B4991" t="str">
        <f t="shared" si="1623"/>
        <v>Spokane</v>
      </c>
      <c r="C4991" t="s">
        <v>7</v>
      </c>
      <c r="D4991" t="s">
        <v>15</v>
      </c>
      <c r="E4991" t="s">
        <v>33</v>
      </c>
      <c r="F4991">
        <v>2</v>
      </c>
      <c r="G4991">
        <v>0.2</v>
      </c>
      <c r="H4991" s="2">
        <v>7.119599999999906</v>
      </c>
      <c r="I4991" s="2">
        <v>569.5680000000001</v>
      </c>
    </row>
    <row r="4992" spans="1:9" x14ac:dyDescent="0.3">
      <c r="A4992" t="str">
        <f t="shared" si="1592"/>
        <v>United States</v>
      </c>
      <c r="B4992" t="str">
        <f t="shared" si="1623"/>
        <v>Spokane</v>
      </c>
      <c r="C4992" t="str">
        <f>C4991</f>
        <v>Second Class</v>
      </c>
      <c r="D4992" t="str">
        <f>D4991</f>
        <v>Corporate</v>
      </c>
      <c r="E4992" t="s">
        <v>14</v>
      </c>
      <c r="F4992">
        <v>7</v>
      </c>
      <c r="G4992">
        <v>0</v>
      </c>
      <c r="H4992" s="2">
        <v>43.421699999999994</v>
      </c>
      <c r="I4992" s="2">
        <v>149.73000000000002</v>
      </c>
    </row>
    <row r="4993" spans="1:9" x14ac:dyDescent="0.3">
      <c r="A4993" t="str">
        <f t="shared" si="1592"/>
        <v>United States</v>
      </c>
      <c r="B4993" t="str">
        <f t="shared" si="1623"/>
        <v>Spokane</v>
      </c>
      <c r="C4993" t="s">
        <v>22</v>
      </c>
      <c r="D4993" t="s">
        <v>8</v>
      </c>
      <c r="E4993" t="s">
        <v>25</v>
      </c>
      <c r="F4993">
        <v>1</v>
      </c>
      <c r="G4993">
        <v>0</v>
      </c>
      <c r="H4993" s="2">
        <v>20.584199999999996</v>
      </c>
      <c r="I4993" s="2">
        <v>70.98</v>
      </c>
    </row>
    <row r="4994" spans="1:9" x14ac:dyDescent="0.3">
      <c r="A4994" t="str">
        <f t="shared" si="1592"/>
        <v>United States</v>
      </c>
      <c r="B4994" t="str">
        <f t="shared" si="1623"/>
        <v>Spokane</v>
      </c>
      <c r="C4994" t="str">
        <f>C4993</f>
        <v>Standard Class</v>
      </c>
      <c r="D4994" t="s">
        <v>17</v>
      </c>
      <c r="E4994" t="s">
        <v>14</v>
      </c>
      <c r="F4994">
        <v>9</v>
      </c>
      <c r="G4994">
        <v>0</v>
      </c>
      <c r="H4994" s="2">
        <v>5.4503999999999913</v>
      </c>
      <c r="I4994" s="2">
        <v>136.26</v>
      </c>
    </row>
    <row r="4995" spans="1:9" x14ac:dyDescent="0.3">
      <c r="A4995" t="str">
        <f t="shared" si="1592"/>
        <v>United States</v>
      </c>
      <c r="B4995" t="s">
        <v>493</v>
      </c>
      <c r="C4995" t="s">
        <v>22</v>
      </c>
      <c r="D4995" t="s">
        <v>17</v>
      </c>
      <c r="E4995" t="s">
        <v>19</v>
      </c>
      <c r="F4995">
        <v>2</v>
      </c>
      <c r="G4995">
        <v>0</v>
      </c>
      <c r="H4995" s="2">
        <v>1.4189999999999996</v>
      </c>
      <c r="I4995" s="2">
        <v>4.3</v>
      </c>
    </row>
    <row r="4996" spans="1:9" x14ac:dyDescent="0.3">
      <c r="A4996" t="str">
        <f t="shared" ref="A4996:A5059" si="1624">A4995</f>
        <v>United States</v>
      </c>
      <c r="B4996" t="s">
        <v>494</v>
      </c>
      <c r="C4996" t="s">
        <v>11</v>
      </c>
      <c r="D4996" t="s">
        <v>8</v>
      </c>
      <c r="E4996" t="s">
        <v>20</v>
      </c>
      <c r="F4996">
        <v>4</v>
      </c>
      <c r="G4996">
        <v>0</v>
      </c>
      <c r="H4996" s="2">
        <v>10.7136</v>
      </c>
      <c r="I4996" s="2">
        <v>22.32</v>
      </c>
    </row>
    <row r="4997" spans="1:9" x14ac:dyDescent="0.3">
      <c r="A4997" t="str">
        <f t="shared" si="1624"/>
        <v>United States</v>
      </c>
      <c r="B4997" t="str">
        <f t="shared" ref="B4997:B5028" si="1625">B4996</f>
        <v>Springfield</v>
      </c>
      <c r="C4997" t="str">
        <f t="shared" ref="C4997:C5013" si="1626">C4996</f>
        <v>First Class</v>
      </c>
      <c r="D4997" t="str">
        <f t="shared" ref="D4997:D4999" si="1627">D4996</f>
        <v>Consumer</v>
      </c>
      <c r="E4997" t="s">
        <v>43</v>
      </c>
      <c r="F4997">
        <v>7</v>
      </c>
      <c r="G4997">
        <v>0</v>
      </c>
      <c r="H4997" s="2">
        <v>51.800000000000004</v>
      </c>
      <c r="I4997" s="2">
        <v>103.60000000000001</v>
      </c>
    </row>
    <row r="4998" spans="1:9" x14ac:dyDescent="0.3">
      <c r="A4998" t="str">
        <f t="shared" si="1624"/>
        <v>United States</v>
      </c>
      <c r="B4998" t="str">
        <f t="shared" si="1625"/>
        <v>Springfield</v>
      </c>
      <c r="C4998" t="str">
        <f t="shared" si="1626"/>
        <v>First Class</v>
      </c>
      <c r="D4998" t="str">
        <f t="shared" si="1627"/>
        <v>Consumer</v>
      </c>
      <c r="E4998" t="s">
        <v>16</v>
      </c>
      <c r="F4998">
        <v>2</v>
      </c>
      <c r="G4998">
        <v>0</v>
      </c>
      <c r="H4998" s="2">
        <v>35.663599999999995</v>
      </c>
      <c r="I4998" s="2">
        <v>75.88</v>
      </c>
    </row>
    <row r="4999" spans="1:9" x14ac:dyDescent="0.3">
      <c r="A4999" t="str">
        <f t="shared" si="1624"/>
        <v>United States</v>
      </c>
      <c r="B4999" t="str">
        <f t="shared" si="1625"/>
        <v>Springfield</v>
      </c>
      <c r="C4999" t="str">
        <f t="shared" si="1626"/>
        <v>First Class</v>
      </c>
      <c r="D4999" t="str">
        <f t="shared" si="1627"/>
        <v>Consumer</v>
      </c>
      <c r="E4999" t="s">
        <v>25</v>
      </c>
      <c r="F4999">
        <v>7</v>
      </c>
      <c r="G4999">
        <v>0</v>
      </c>
      <c r="H4999" s="2">
        <v>158.52899999999994</v>
      </c>
      <c r="I4999" s="2">
        <v>1056.8599999999999</v>
      </c>
    </row>
    <row r="5000" spans="1:9" x14ac:dyDescent="0.3">
      <c r="A5000" t="str">
        <f t="shared" si="1624"/>
        <v>United States</v>
      </c>
      <c r="B5000" t="str">
        <f t="shared" si="1625"/>
        <v>Springfield</v>
      </c>
      <c r="C5000" t="str">
        <f t="shared" si="1626"/>
        <v>First Class</v>
      </c>
      <c r="D5000" t="s">
        <v>15</v>
      </c>
      <c r="E5000" t="s">
        <v>23</v>
      </c>
      <c r="F5000">
        <v>13</v>
      </c>
      <c r="G5000">
        <v>0.8</v>
      </c>
      <c r="H5000" s="2">
        <v>50.427399999999977</v>
      </c>
      <c r="I5000" s="2">
        <v>340.40800000000002</v>
      </c>
    </row>
    <row r="5001" spans="1:9" x14ac:dyDescent="0.3">
      <c r="A5001" t="str">
        <f t="shared" si="1624"/>
        <v>United States</v>
      </c>
      <c r="B5001" t="str">
        <f t="shared" si="1625"/>
        <v>Springfield</v>
      </c>
      <c r="C5001" t="str">
        <f t="shared" si="1626"/>
        <v>First Class</v>
      </c>
      <c r="D5001" t="str">
        <f t="shared" ref="D5001:D5010" si="1628">D5000</f>
        <v>Corporate</v>
      </c>
      <c r="E5001" t="s">
        <v>12</v>
      </c>
      <c r="F5001">
        <v>7</v>
      </c>
      <c r="G5001">
        <v>0.2</v>
      </c>
      <c r="H5001" s="2">
        <v>331.37490000000003</v>
      </c>
      <c r="I5001" s="2">
        <v>899.64599999999996</v>
      </c>
    </row>
    <row r="5002" spans="1:9" x14ac:dyDescent="0.3">
      <c r="A5002" t="str">
        <f t="shared" si="1624"/>
        <v>United States</v>
      </c>
      <c r="B5002" t="str">
        <f t="shared" si="1625"/>
        <v>Springfield</v>
      </c>
      <c r="C5002" t="str">
        <f t="shared" si="1626"/>
        <v>First Class</v>
      </c>
      <c r="D5002" t="str">
        <f t="shared" si="1628"/>
        <v>Corporate</v>
      </c>
      <c r="E5002" t="s">
        <v>20</v>
      </c>
      <c r="F5002">
        <v>12</v>
      </c>
      <c r="G5002">
        <v>1.4</v>
      </c>
      <c r="H5002" s="2">
        <v>-14.009599999999997</v>
      </c>
      <c r="I5002" s="2">
        <v>20.124000000000002</v>
      </c>
    </row>
    <row r="5003" spans="1:9" x14ac:dyDescent="0.3">
      <c r="A5003" t="str">
        <f t="shared" si="1624"/>
        <v>United States</v>
      </c>
      <c r="B5003" t="str">
        <f t="shared" si="1625"/>
        <v>Springfield</v>
      </c>
      <c r="C5003" t="str">
        <f t="shared" si="1626"/>
        <v>First Class</v>
      </c>
      <c r="D5003" t="str">
        <f t="shared" si="1628"/>
        <v>Corporate</v>
      </c>
      <c r="E5003" t="s">
        <v>33</v>
      </c>
      <c r="F5003">
        <v>2</v>
      </c>
      <c r="G5003">
        <v>0.2</v>
      </c>
      <c r="H5003" s="2">
        <v>47.848000000000013</v>
      </c>
      <c r="I5003" s="2">
        <v>478.48</v>
      </c>
    </row>
    <row r="5004" spans="1:9" x14ac:dyDescent="0.3">
      <c r="A5004" t="str">
        <f t="shared" si="1624"/>
        <v>United States</v>
      </c>
      <c r="B5004" t="str">
        <f t="shared" si="1625"/>
        <v>Springfield</v>
      </c>
      <c r="C5004" t="str">
        <f t="shared" si="1626"/>
        <v>First Class</v>
      </c>
      <c r="D5004" t="str">
        <f t="shared" si="1628"/>
        <v>Corporate</v>
      </c>
      <c r="E5004" t="s">
        <v>38</v>
      </c>
      <c r="F5004">
        <v>2</v>
      </c>
      <c r="G5004">
        <v>0</v>
      </c>
      <c r="H5004" s="2">
        <v>16.98</v>
      </c>
      <c r="I5004" s="2">
        <v>33.96</v>
      </c>
    </row>
    <row r="5005" spans="1:9" x14ac:dyDescent="0.3">
      <c r="A5005" t="str">
        <f t="shared" si="1624"/>
        <v>United States</v>
      </c>
      <c r="B5005" t="str">
        <f t="shared" si="1625"/>
        <v>Springfield</v>
      </c>
      <c r="C5005" t="str">
        <f t="shared" si="1626"/>
        <v>First Class</v>
      </c>
      <c r="D5005" t="str">
        <f t="shared" si="1628"/>
        <v>Corporate</v>
      </c>
      <c r="E5005" t="s">
        <v>18</v>
      </c>
      <c r="F5005">
        <v>5</v>
      </c>
      <c r="G5005">
        <v>0.2</v>
      </c>
      <c r="H5005" s="2">
        <v>2.289000000000001</v>
      </c>
      <c r="I5005" s="2">
        <v>8.7200000000000006</v>
      </c>
    </row>
    <row r="5006" spans="1:9" x14ac:dyDescent="0.3">
      <c r="A5006" t="str">
        <f t="shared" si="1624"/>
        <v>United States</v>
      </c>
      <c r="B5006" t="str">
        <f t="shared" si="1625"/>
        <v>Springfield</v>
      </c>
      <c r="C5006" t="str">
        <f t="shared" si="1626"/>
        <v>First Class</v>
      </c>
      <c r="D5006" t="str">
        <f t="shared" si="1628"/>
        <v>Corporate</v>
      </c>
      <c r="E5006" t="s">
        <v>21</v>
      </c>
      <c r="F5006">
        <v>4</v>
      </c>
      <c r="G5006">
        <v>0</v>
      </c>
      <c r="H5006" s="2">
        <v>12.521600000000003</v>
      </c>
      <c r="I5006" s="2">
        <v>29.12</v>
      </c>
    </row>
    <row r="5007" spans="1:9" x14ac:dyDescent="0.3">
      <c r="A5007" t="str">
        <f t="shared" si="1624"/>
        <v>United States</v>
      </c>
      <c r="B5007" t="str">
        <f t="shared" si="1625"/>
        <v>Springfield</v>
      </c>
      <c r="C5007" t="str">
        <f t="shared" si="1626"/>
        <v>First Class</v>
      </c>
      <c r="D5007" t="str">
        <f t="shared" si="1628"/>
        <v>Corporate</v>
      </c>
      <c r="E5007" t="s">
        <v>46</v>
      </c>
      <c r="F5007">
        <v>7</v>
      </c>
      <c r="G5007">
        <v>0.7</v>
      </c>
      <c r="H5007" s="2">
        <v>-935.95949999999993</v>
      </c>
      <c r="I5007" s="2">
        <v>652.99500000000012</v>
      </c>
    </row>
    <row r="5008" spans="1:9" x14ac:dyDescent="0.3">
      <c r="A5008" t="str">
        <f t="shared" si="1624"/>
        <v>United States</v>
      </c>
      <c r="B5008" t="str">
        <f t="shared" si="1625"/>
        <v>Springfield</v>
      </c>
      <c r="C5008" t="str">
        <f t="shared" si="1626"/>
        <v>First Class</v>
      </c>
      <c r="D5008" t="str">
        <f t="shared" si="1628"/>
        <v>Corporate</v>
      </c>
      <c r="E5008" t="s">
        <v>16</v>
      </c>
      <c r="F5008">
        <v>1</v>
      </c>
      <c r="G5008">
        <v>0.2</v>
      </c>
      <c r="H5008" s="2">
        <v>1.8144</v>
      </c>
      <c r="I5008" s="2">
        <v>5.1840000000000011</v>
      </c>
    </row>
    <row r="5009" spans="1:9" x14ac:dyDescent="0.3">
      <c r="A5009" t="str">
        <f t="shared" si="1624"/>
        <v>United States</v>
      </c>
      <c r="B5009" t="str">
        <f t="shared" si="1625"/>
        <v>Springfield</v>
      </c>
      <c r="C5009" t="str">
        <f t="shared" si="1626"/>
        <v>First Class</v>
      </c>
      <c r="D5009" t="str">
        <f t="shared" si="1628"/>
        <v>Corporate</v>
      </c>
      <c r="E5009" t="s">
        <v>24</v>
      </c>
      <c r="F5009">
        <v>5</v>
      </c>
      <c r="G5009">
        <v>0</v>
      </c>
      <c r="H5009" s="2">
        <v>168.18549999999993</v>
      </c>
      <c r="I5009" s="2">
        <v>579.94999999999993</v>
      </c>
    </row>
    <row r="5010" spans="1:9" x14ac:dyDescent="0.3">
      <c r="A5010" t="str">
        <f t="shared" si="1624"/>
        <v>United States</v>
      </c>
      <c r="B5010" t="str">
        <f t="shared" si="1625"/>
        <v>Springfield</v>
      </c>
      <c r="C5010" t="str">
        <f t="shared" si="1626"/>
        <v>First Class</v>
      </c>
      <c r="D5010" t="str">
        <f t="shared" si="1628"/>
        <v>Corporate</v>
      </c>
      <c r="E5010" t="s">
        <v>25</v>
      </c>
      <c r="F5010">
        <v>3</v>
      </c>
      <c r="G5010">
        <v>0</v>
      </c>
      <c r="H5010" s="2">
        <v>300.73500000000001</v>
      </c>
      <c r="I5010" s="2">
        <v>1202.94</v>
      </c>
    </row>
    <row r="5011" spans="1:9" x14ac:dyDescent="0.3">
      <c r="A5011" t="str">
        <f t="shared" si="1624"/>
        <v>United States</v>
      </c>
      <c r="B5011" t="str">
        <f t="shared" si="1625"/>
        <v>Springfield</v>
      </c>
      <c r="C5011" t="str">
        <f t="shared" si="1626"/>
        <v>First Class</v>
      </c>
      <c r="D5011" t="s">
        <v>17</v>
      </c>
      <c r="E5011" t="s">
        <v>20</v>
      </c>
      <c r="F5011">
        <v>2</v>
      </c>
      <c r="G5011">
        <v>0</v>
      </c>
      <c r="H5011" s="2">
        <v>4.2047999999999996</v>
      </c>
      <c r="I5011" s="2">
        <v>8.76</v>
      </c>
    </row>
    <row r="5012" spans="1:9" x14ac:dyDescent="0.3">
      <c r="A5012" t="str">
        <f t="shared" si="1624"/>
        <v>United States</v>
      </c>
      <c r="B5012" t="str">
        <f t="shared" si="1625"/>
        <v>Springfield</v>
      </c>
      <c r="C5012" t="str">
        <f t="shared" si="1626"/>
        <v>First Class</v>
      </c>
      <c r="D5012" t="str">
        <f t="shared" ref="D5012:D5013" si="1629">D5011</f>
        <v>Home Office</v>
      </c>
      <c r="E5012" t="s">
        <v>16</v>
      </c>
      <c r="F5012">
        <v>3</v>
      </c>
      <c r="G5012">
        <v>0</v>
      </c>
      <c r="H5012" s="2">
        <v>13.070699999999999</v>
      </c>
      <c r="I5012" s="2">
        <v>27.81</v>
      </c>
    </row>
    <row r="5013" spans="1:9" x14ac:dyDescent="0.3">
      <c r="A5013" t="str">
        <f t="shared" si="1624"/>
        <v>United States</v>
      </c>
      <c r="B5013" t="str">
        <f t="shared" si="1625"/>
        <v>Springfield</v>
      </c>
      <c r="C5013" t="str">
        <f t="shared" si="1626"/>
        <v>First Class</v>
      </c>
      <c r="D5013" t="str">
        <f t="shared" si="1629"/>
        <v>Home Office</v>
      </c>
      <c r="E5013" t="s">
        <v>24</v>
      </c>
      <c r="F5013">
        <v>3</v>
      </c>
      <c r="G5013">
        <v>0</v>
      </c>
      <c r="H5013" s="2">
        <v>5.9987999999999815</v>
      </c>
      <c r="I5013" s="2">
        <v>149.97</v>
      </c>
    </row>
    <row r="5014" spans="1:9" x14ac:dyDescent="0.3">
      <c r="A5014" t="str">
        <f t="shared" si="1624"/>
        <v>United States</v>
      </c>
      <c r="B5014" t="str">
        <f t="shared" si="1625"/>
        <v>Springfield</v>
      </c>
      <c r="C5014" t="s">
        <v>27</v>
      </c>
      <c r="D5014" t="s">
        <v>8</v>
      </c>
      <c r="E5014" t="s">
        <v>23</v>
      </c>
      <c r="F5014">
        <v>4</v>
      </c>
      <c r="G5014">
        <v>0</v>
      </c>
      <c r="H5014" s="2">
        <v>21</v>
      </c>
      <c r="I5014" s="2">
        <v>100</v>
      </c>
    </row>
    <row r="5015" spans="1:9" x14ac:dyDescent="0.3">
      <c r="A5015" t="str">
        <f t="shared" si="1624"/>
        <v>United States</v>
      </c>
      <c r="B5015" t="str">
        <f t="shared" si="1625"/>
        <v>Springfield</v>
      </c>
      <c r="C5015" t="str">
        <f t="shared" ref="C5015:C5017" si="1630">C5014</f>
        <v>Same Day</v>
      </c>
      <c r="D5015" t="str">
        <f t="shared" ref="D5015:D5017" si="1631">D5014</f>
        <v>Consumer</v>
      </c>
      <c r="E5015" t="s">
        <v>20</v>
      </c>
      <c r="F5015">
        <v>3</v>
      </c>
      <c r="G5015">
        <v>0.7</v>
      </c>
      <c r="H5015" s="2">
        <v>-21.887999999999991</v>
      </c>
      <c r="I5015" s="2">
        <v>27.360000000000003</v>
      </c>
    </row>
    <row r="5016" spans="1:9" x14ac:dyDescent="0.3">
      <c r="A5016" t="str">
        <f t="shared" si="1624"/>
        <v>United States</v>
      </c>
      <c r="B5016" t="str">
        <f t="shared" si="1625"/>
        <v>Springfield</v>
      </c>
      <c r="C5016" t="str">
        <f t="shared" si="1630"/>
        <v>Same Day</v>
      </c>
      <c r="D5016" t="str">
        <f t="shared" si="1631"/>
        <v>Consumer</v>
      </c>
      <c r="E5016" t="s">
        <v>43</v>
      </c>
      <c r="F5016">
        <v>3</v>
      </c>
      <c r="G5016">
        <v>0</v>
      </c>
      <c r="H5016" s="2">
        <v>3.6017999999999999</v>
      </c>
      <c r="I5016" s="2">
        <v>7.83</v>
      </c>
    </row>
    <row r="5017" spans="1:9" x14ac:dyDescent="0.3">
      <c r="A5017" t="str">
        <f t="shared" si="1624"/>
        <v>United States</v>
      </c>
      <c r="B5017" t="str">
        <f t="shared" si="1625"/>
        <v>Springfield</v>
      </c>
      <c r="C5017" t="str">
        <f t="shared" si="1630"/>
        <v>Same Day</v>
      </c>
      <c r="D5017" t="str">
        <f t="shared" si="1631"/>
        <v>Consumer</v>
      </c>
      <c r="E5017" t="s">
        <v>14</v>
      </c>
      <c r="F5017">
        <v>1</v>
      </c>
      <c r="G5017">
        <v>0.2</v>
      </c>
      <c r="H5017" s="2">
        <v>-5.1968000000000005</v>
      </c>
      <c r="I5017" s="2">
        <v>25.983999999999998</v>
      </c>
    </row>
    <row r="5018" spans="1:9" x14ac:dyDescent="0.3">
      <c r="A5018" t="str">
        <f t="shared" si="1624"/>
        <v>United States</v>
      </c>
      <c r="B5018" t="str">
        <f t="shared" si="1625"/>
        <v>Springfield</v>
      </c>
      <c r="C5018" t="s">
        <v>7</v>
      </c>
      <c r="D5018" t="s">
        <v>8</v>
      </c>
      <c r="E5018" t="s">
        <v>23</v>
      </c>
      <c r="F5018">
        <v>13</v>
      </c>
      <c r="G5018">
        <v>0</v>
      </c>
      <c r="H5018" s="2">
        <v>68.199399999999983</v>
      </c>
      <c r="I5018" s="2">
        <v>509.63</v>
      </c>
    </row>
    <row r="5019" spans="1:9" x14ac:dyDescent="0.3">
      <c r="A5019" t="str">
        <f t="shared" si="1624"/>
        <v>United States</v>
      </c>
      <c r="B5019" t="str">
        <f t="shared" si="1625"/>
        <v>Springfield</v>
      </c>
      <c r="C5019" t="str">
        <f t="shared" ref="C5019:C5039" si="1632">C5018</f>
        <v>Second Class</v>
      </c>
      <c r="D5019" t="str">
        <f t="shared" ref="D5019:D5026" si="1633">D5018</f>
        <v>Consumer</v>
      </c>
      <c r="E5019" t="s">
        <v>12</v>
      </c>
      <c r="F5019">
        <v>5</v>
      </c>
      <c r="G5019">
        <v>0</v>
      </c>
      <c r="H5019" s="2">
        <v>21.869700000000002</v>
      </c>
      <c r="I5019" s="2">
        <v>58.17</v>
      </c>
    </row>
    <row r="5020" spans="1:9" x14ac:dyDescent="0.3">
      <c r="A5020" t="str">
        <f t="shared" si="1624"/>
        <v>United States</v>
      </c>
      <c r="B5020" t="str">
        <f t="shared" si="1625"/>
        <v>Springfield</v>
      </c>
      <c r="C5020" t="str">
        <f t="shared" si="1632"/>
        <v>Second Class</v>
      </c>
      <c r="D5020" t="str">
        <f t="shared" si="1633"/>
        <v>Consumer</v>
      </c>
      <c r="E5020" t="s">
        <v>19</v>
      </c>
      <c r="F5020">
        <v>9</v>
      </c>
      <c r="G5020">
        <v>0</v>
      </c>
      <c r="H5020" s="2">
        <v>8.1039999999999957</v>
      </c>
      <c r="I5020" s="2">
        <v>28.519999999999996</v>
      </c>
    </row>
    <row r="5021" spans="1:9" x14ac:dyDescent="0.3">
      <c r="A5021" t="str">
        <f t="shared" si="1624"/>
        <v>United States</v>
      </c>
      <c r="B5021" t="str">
        <f t="shared" si="1625"/>
        <v>Springfield</v>
      </c>
      <c r="C5021" t="str">
        <f t="shared" si="1632"/>
        <v>Second Class</v>
      </c>
      <c r="D5021" t="str">
        <f t="shared" si="1633"/>
        <v>Consumer</v>
      </c>
      <c r="E5021" t="s">
        <v>20</v>
      </c>
      <c r="F5021">
        <v>6</v>
      </c>
      <c r="G5021">
        <v>0</v>
      </c>
      <c r="H5021" s="2">
        <v>14.3568</v>
      </c>
      <c r="I5021" s="2">
        <v>29.910000000000004</v>
      </c>
    </row>
    <row r="5022" spans="1:9" x14ac:dyDescent="0.3">
      <c r="A5022" t="str">
        <f t="shared" si="1624"/>
        <v>United States</v>
      </c>
      <c r="B5022" t="str">
        <f t="shared" si="1625"/>
        <v>Springfield</v>
      </c>
      <c r="C5022" t="str">
        <f t="shared" si="1632"/>
        <v>Second Class</v>
      </c>
      <c r="D5022" t="str">
        <f t="shared" si="1633"/>
        <v>Consumer</v>
      </c>
      <c r="E5022" t="s">
        <v>38</v>
      </c>
      <c r="F5022">
        <v>8</v>
      </c>
      <c r="G5022">
        <v>0.2</v>
      </c>
      <c r="H5022" s="2">
        <v>23.769999999999996</v>
      </c>
      <c r="I5022" s="2">
        <v>56.192</v>
      </c>
    </row>
    <row r="5023" spans="1:9" x14ac:dyDescent="0.3">
      <c r="A5023" t="str">
        <f t="shared" si="1624"/>
        <v>United States</v>
      </c>
      <c r="B5023" t="str">
        <f t="shared" si="1625"/>
        <v>Springfield</v>
      </c>
      <c r="C5023" t="str">
        <f t="shared" si="1632"/>
        <v>Second Class</v>
      </c>
      <c r="D5023" t="str">
        <f t="shared" si="1633"/>
        <v>Consumer</v>
      </c>
      <c r="E5023" t="s">
        <v>21</v>
      </c>
      <c r="F5023">
        <v>15</v>
      </c>
      <c r="G5023">
        <v>0</v>
      </c>
      <c r="H5023" s="2">
        <v>258.87239999999991</v>
      </c>
      <c r="I5023" s="2">
        <v>888.6</v>
      </c>
    </row>
    <row r="5024" spans="1:9" x14ac:dyDescent="0.3">
      <c r="A5024" t="str">
        <f t="shared" si="1624"/>
        <v>United States</v>
      </c>
      <c r="B5024" t="str">
        <f t="shared" si="1625"/>
        <v>Springfield</v>
      </c>
      <c r="C5024" t="str">
        <f t="shared" si="1632"/>
        <v>Second Class</v>
      </c>
      <c r="D5024" t="str">
        <f t="shared" si="1633"/>
        <v>Consumer</v>
      </c>
      <c r="E5024" t="s">
        <v>16</v>
      </c>
      <c r="F5024">
        <v>11</v>
      </c>
      <c r="G5024">
        <v>0.2</v>
      </c>
      <c r="H5024" s="2">
        <v>23.6374</v>
      </c>
      <c r="I5024" s="2">
        <v>53.492000000000004</v>
      </c>
    </row>
    <row r="5025" spans="1:9" x14ac:dyDescent="0.3">
      <c r="A5025" t="str">
        <f t="shared" si="1624"/>
        <v>United States</v>
      </c>
      <c r="B5025" t="str">
        <f t="shared" si="1625"/>
        <v>Springfield</v>
      </c>
      <c r="C5025" t="str">
        <f t="shared" si="1632"/>
        <v>Second Class</v>
      </c>
      <c r="D5025" t="str">
        <f t="shared" si="1633"/>
        <v>Consumer</v>
      </c>
      <c r="E5025" t="s">
        <v>14</v>
      </c>
      <c r="F5025">
        <v>17</v>
      </c>
      <c r="G5025">
        <v>0.4</v>
      </c>
      <c r="H5025" s="2">
        <v>-17.370499999999979</v>
      </c>
      <c r="I5025" s="2">
        <v>729.31399999999996</v>
      </c>
    </row>
    <row r="5026" spans="1:9" x14ac:dyDescent="0.3">
      <c r="A5026" t="str">
        <f t="shared" si="1624"/>
        <v>United States</v>
      </c>
      <c r="B5026" t="str">
        <f t="shared" si="1625"/>
        <v>Springfield</v>
      </c>
      <c r="C5026" t="str">
        <f t="shared" si="1632"/>
        <v>Second Class</v>
      </c>
      <c r="D5026" t="str">
        <f t="shared" si="1633"/>
        <v>Consumer</v>
      </c>
      <c r="E5026" t="s">
        <v>25</v>
      </c>
      <c r="F5026">
        <v>1</v>
      </c>
      <c r="G5026">
        <v>0.5</v>
      </c>
      <c r="H5026" s="2">
        <v>-170.80380000000002</v>
      </c>
      <c r="I5026" s="2">
        <v>275.49</v>
      </c>
    </row>
    <row r="5027" spans="1:9" x14ac:dyDescent="0.3">
      <c r="A5027" t="str">
        <f t="shared" si="1624"/>
        <v>United States</v>
      </c>
      <c r="B5027" t="str">
        <f t="shared" si="1625"/>
        <v>Springfield</v>
      </c>
      <c r="C5027" t="str">
        <f t="shared" si="1632"/>
        <v>Second Class</v>
      </c>
      <c r="D5027" t="s">
        <v>15</v>
      </c>
      <c r="E5027" t="s">
        <v>12</v>
      </c>
      <c r="F5027">
        <v>4</v>
      </c>
      <c r="G5027">
        <v>0.2</v>
      </c>
      <c r="H5027" s="2">
        <v>6.4864000000000033</v>
      </c>
      <c r="I5027" s="2">
        <v>64.864000000000004</v>
      </c>
    </row>
    <row r="5028" spans="1:9" x14ac:dyDescent="0.3">
      <c r="A5028" t="str">
        <f t="shared" si="1624"/>
        <v>United States</v>
      </c>
      <c r="B5028" t="str">
        <f t="shared" si="1625"/>
        <v>Springfield</v>
      </c>
      <c r="C5028" t="str">
        <f t="shared" si="1632"/>
        <v>Second Class</v>
      </c>
      <c r="D5028" t="str">
        <f t="shared" ref="D5028:D5033" si="1634">D5027</f>
        <v>Corporate</v>
      </c>
      <c r="E5028" t="s">
        <v>19</v>
      </c>
      <c r="F5028">
        <v>6</v>
      </c>
      <c r="G5028">
        <v>0</v>
      </c>
      <c r="H5028" s="2">
        <v>54.584400000000002</v>
      </c>
      <c r="I5028" s="2">
        <v>209.94</v>
      </c>
    </row>
    <row r="5029" spans="1:9" x14ac:dyDescent="0.3">
      <c r="A5029" t="str">
        <f t="shared" si="1624"/>
        <v>United States</v>
      </c>
      <c r="B5029" t="str">
        <f t="shared" ref="B5029:B5060" si="1635">B5028</f>
        <v>Springfield</v>
      </c>
      <c r="C5029" t="str">
        <f t="shared" si="1632"/>
        <v>Second Class</v>
      </c>
      <c r="D5029" t="str">
        <f t="shared" si="1634"/>
        <v>Corporate</v>
      </c>
      <c r="E5029" t="s">
        <v>34</v>
      </c>
      <c r="F5029">
        <v>3</v>
      </c>
      <c r="G5029">
        <v>0</v>
      </c>
      <c r="H5029" s="2">
        <v>53.235000000000014</v>
      </c>
      <c r="I5029" s="2">
        <v>212.94</v>
      </c>
    </row>
    <row r="5030" spans="1:9" x14ac:dyDescent="0.3">
      <c r="A5030" t="str">
        <f t="shared" si="1624"/>
        <v>United States</v>
      </c>
      <c r="B5030" t="str">
        <f t="shared" si="1635"/>
        <v>Springfield</v>
      </c>
      <c r="C5030" t="str">
        <f t="shared" si="1632"/>
        <v>Second Class</v>
      </c>
      <c r="D5030" t="str">
        <f t="shared" si="1634"/>
        <v>Corporate</v>
      </c>
      <c r="E5030" t="s">
        <v>43</v>
      </c>
      <c r="F5030">
        <v>2</v>
      </c>
      <c r="G5030">
        <v>0</v>
      </c>
      <c r="H5030" s="2">
        <v>11.778199999999998</v>
      </c>
      <c r="I5030" s="2">
        <v>25.06</v>
      </c>
    </row>
    <row r="5031" spans="1:9" x14ac:dyDescent="0.3">
      <c r="A5031" t="str">
        <f t="shared" si="1624"/>
        <v>United States</v>
      </c>
      <c r="B5031" t="str">
        <f t="shared" si="1635"/>
        <v>Springfield</v>
      </c>
      <c r="C5031" t="str">
        <f t="shared" si="1632"/>
        <v>Second Class</v>
      </c>
      <c r="D5031" t="str">
        <f t="shared" si="1634"/>
        <v>Corporate</v>
      </c>
      <c r="E5031" t="s">
        <v>16</v>
      </c>
      <c r="F5031">
        <v>5</v>
      </c>
      <c r="G5031">
        <v>0</v>
      </c>
      <c r="H5031" s="2">
        <v>15.552000000000001</v>
      </c>
      <c r="I5031" s="2">
        <v>32.400000000000006</v>
      </c>
    </row>
    <row r="5032" spans="1:9" x14ac:dyDescent="0.3">
      <c r="A5032" t="str">
        <f t="shared" si="1624"/>
        <v>United States</v>
      </c>
      <c r="B5032" t="str">
        <f t="shared" si="1635"/>
        <v>Springfield</v>
      </c>
      <c r="C5032" t="str">
        <f t="shared" si="1632"/>
        <v>Second Class</v>
      </c>
      <c r="D5032" t="str">
        <f t="shared" si="1634"/>
        <v>Corporate</v>
      </c>
      <c r="E5032" t="s">
        <v>24</v>
      </c>
      <c r="F5032">
        <v>3</v>
      </c>
      <c r="G5032">
        <v>0</v>
      </c>
      <c r="H5032" s="2">
        <v>148.49099999999996</v>
      </c>
      <c r="I5032" s="2">
        <v>494.97</v>
      </c>
    </row>
    <row r="5033" spans="1:9" x14ac:dyDescent="0.3">
      <c r="A5033" t="str">
        <f t="shared" si="1624"/>
        <v>United States</v>
      </c>
      <c r="B5033" t="str">
        <f t="shared" si="1635"/>
        <v>Springfield</v>
      </c>
      <c r="C5033" t="str">
        <f t="shared" si="1632"/>
        <v>Second Class</v>
      </c>
      <c r="D5033" t="str">
        <f t="shared" si="1634"/>
        <v>Corporate</v>
      </c>
      <c r="E5033" t="s">
        <v>9</v>
      </c>
      <c r="F5033">
        <v>5</v>
      </c>
      <c r="G5033">
        <v>0</v>
      </c>
      <c r="H5033" s="2">
        <v>83.281000000000063</v>
      </c>
      <c r="I5033" s="2">
        <v>4164.0499999999993</v>
      </c>
    </row>
    <row r="5034" spans="1:9" x14ac:dyDescent="0.3">
      <c r="A5034" t="str">
        <f t="shared" si="1624"/>
        <v>United States</v>
      </c>
      <c r="B5034" t="str">
        <f t="shared" si="1635"/>
        <v>Springfield</v>
      </c>
      <c r="C5034" t="str">
        <f t="shared" si="1632"/>
        <v>Second Class</v>
      </c>
      <c r="D5034" t="s">
        <v>17</v>
      </c>
      <c r="E5034" t="s">
        <v>12</v>
      </c>
      <c r="F5034">
        <v>8</v>
      </c>
      <c r="G5034">
        <v>0</v>
      </c>
      <c r="H5034" s="2">
        <v>213.17519999999999</v>
      </c>
      <c r="I5034" s="2">
        <v>761.34</v>
      </c>
    </row>
    <row r="5035" spans="1:9" x14ac:dyDescent="0.3">
      <c r="A5035" t="str">
        <f t="shared" si="1624"/>
        <v>United States</v>
      </c>
      <c r="B5035" t="str">
        <f t="shared" si="1635"/>
        <v>Springfield</v>
      </c>
      <c r="C5035" t="str">
        <f t="shared" si="1632"/>
        <v>Second Class</v>
      </c>
      <c r="D5035" t="str">
        <f t="shared" ref="D5035:D5039" si="1636">D5034</f>
        <v>Home Office</v>
      </c>
      <c r="E5035" t="s">
        <v>19</v>
      </c>
      <c r="F5035">
        <v>1</v>
      </c>
      <c r="G5035">
        <v>0.2</v>
      </c>
      <c r="H5035" s="2">
        <v>0.29960000000000009</v>
      </c>
      <c r="I5035" s="2">
        <v>3.4240000000000004</v>
      </c>
    </row>
    <row r="5036" spans="1:9" x14ac:dyDescent="0.3">
      <c r="A5036" t="str">
        <f t="shared" si="1624"/>
        <v>United States</v>
      </c>
      <c r="B5036" t="str">
        <f t="shared" si="1635"/>
        <v>Springfield</v>
      </c>
      <c r="C5036" t="str">
        <f t="shared" si="1632"/>
        <v>Second Class</v>
      </c>
      <c r="D5036" t="str">
        <f t="shared" si="1636"/>
        <v>Home Office</v>
      </c>
      <c r="E5036" t="s">
        <v>20</v>
      </c>
      <c r="F5036">
        <v>7</v>
      </c>
      <c r="G5036">
        <v>0</v>
      </c>
      <c r="H5036" s="2">
        <v>20.731199999999998</v>
      </c>
      <c r="I5036" s="2">
        <v>43.19</v>
      </c>
    </row>
    <row r="5037" spans="1:9" x14ac:dyDescent="0.3">
      <c r="A5037" t="str">
        <f t="shared" si="1624"/>
        <v>United States</v>
      </c>
      <c r="B5037" t="str">
        <f t="shared" si="1635"/>
        <v>Springfield</v>
      </c>
      <c r="C5037" t="str">
        <f t="shared" si="1632"/>
        <v>Second Class</v>
      </c>
      <c r="D5037" t="str">
        <f t="shared" si="1636"/>
        <v>Home Office</v>
      </c>
      <c r="E5037" t="s">
        <v>33</v>
      </c>
      <c r="F5037">
        <v>2</v>
      </c>
      <c r="G5037">
        <v>0.3</v>
      </c>
      <c r="H5037" s="2">
        <v>-35.513599999999997</v>
      </c>
      <c r="I5037" s="2">
        <v>155.37199999999999</v>
      </c>
    </row>
    <row r="5038" spans="1:9" x14ac:dyDescent="0.3">
      <c r="A5038" t="str">
        <f t="shared" si="1624"/>
        <v>United States</v>
      </c>
      <c r="B5038" t="str">
        <f t="shared" si="1635"/>
        <v>Springfield</v>
      </c>
      <c r="C5038" t="str">
        <f t="shared" si="1632"/>
        <v>Second Class</v>
      </c>
      <c r="D5038" t="str">
        <f t="shared" si="1636"/>
        <v>Home Office</v>
      </c>
      <c r="E5038" t="s">
        <v>16</v>
      </c>
      <c r="F5038">
        <v>6</v>
      </c>
      <c r="G5038">
        <v>0.4</v>
      </c>
      <c r="H5038" s="2">
        <v>26.019599999999997</v>
      </c>
      <c r="I5038" s="2">
        <v>78.864000000000004</v>
      </c>
    </row>
    <row r="5039" spans="1:9" x14ac:dyDescent="0.3">
      <c r="A5039" t="str">
        <f t="shared" si="1624"/>
        <v>United States</v>
      </c>
      <c r="B5039" t="str">
        <f t="shared" si="1635"/>
        <v>Springfield</v>
      </c>
      <c r="C5039" t="str">
        <f t="shared" si="1632"/>
        <v>Second Class</v>
      </c>
      <c r="D5039" t="str">
        <f t="shared" si="1636"/>
        <v>Home Office</v>
      </c>
      <c r="E5039" t="s">
        <v>24</v>
      </c>
      <c r="F5039">
        <v>7</v>
      </c>
      <c r="G5039">
        <v>0.4</v>
      </c>
      <c r="H5039" s="2">
        <v>-7.5733999999999941</v>
      </c>
      <c r="I5039" s="2">
        <v>130.53799999999998</v>
      </c>
    </row>
    <row r="5040" spans="1:9" x14ac:dyDescent="0.3">
      <c r="A5040" t="str">
        <f t="shared" si="1624"/>
        <v>United States</v>
      </c>
      <c r="B5040" t="str">
        <f t="shared" si="1635"/>
        <v>Springfield</v>
      </c>
      <c r="C5040" t="s">
        <v>22</v>
      </c>
      <c r="D5040" t="s">
        <v>8</v>
      </c>
      <c r="E5040" t="s">
        <v>23</v>
      </c>
      <c r="F5040">
        <v>19</v>
      </c>
      <c r="G5040">
        <v>0.4</v>
      </c>
      <c r="H5040" s="2">
        <v>92.764800000000022</v>
      </c>
      <c r="I5040" s="2">
        <v>372.92599999999999</v>
      </c>
    </row>
    <row r="5041" spans="1:9" x14ac:dyDescent="0.3">
      <c r="A5041" t="str">
        <f t="shared" si="1624"/>
        <v>United States</v>
      </c>
      <c r="B5041" t="str">
        <f t="shared" si="1635"/>
        <v>Springfield</v>
      </c>
      <c r="C5041" t="str">
        <f t="shared" ref="C5041:C5077" si="1637">C5040</f>
        <v>Standard Class</v>
      </c>
      <c r="D5041" t="str">
        <f t="shared" ref="D5041:D5051" si="1638">D5040</f>
        <v>Consumer</v>
      </c>
      <c r="E5041" t="s">
        <v>12</v>
      </c>
      <c r="F5041">
        <v>1</v>
      </c>
      <c r="G5041">
        <v>0.2</v>
      </c>
      <c r="H5041" s="2">
        <v>2.6405999999999992</v>
      </c>
      <c r="I5041" s="2">
        <v>35.207999999999998</v>
      </c>
    </row>
    <row r="5042" spans="1:9" x14ac:dyDescent="0.3">
      <c r="A5042" t="str">
        <f t="shared" si="1624"/>
        <v>United States</v>
      </c>
      <c r="B5042" t="str">
        <f t="shared" si="1635"/>
        <v>Springfield</v>
      </c>
      <c r="C5042" t="str">
        <f t="shared" si="1637"/>
        <v>Standard Class</v>
      </c>
      <c r="D5042" t="str">
        <f t="shared" si="1638"/>
        <v>Consumer</v>
      </c>
      <c r="E5042" t="s">
        <v>19</v>
      </c>
      <c r="F5042">
        <v>28</v>
      </c>
      <c r="G5042">
        <v>0.8</v>
      </c>
      <c r="H5042" s="2">
        <v>76.60139999999997</v>
      </c>
      <c r="I5042" s="2">
        <v>377.084</v>
      </c>
    </row>
    <row r="5043" spans="1:9" x14ac:dyDescent="0.3">
      <c r="A5043" t="str">
        <f t="shared" si="1624"/>
        <v>United States</v>
      </c>
      <c r="B5043" t="str">
        <f t="shared" si="1635"/>
        <v>Springfield</v>
      </c>
      <c r="C5043" t="str">
        <f t="shared" si="1637"/>
        <v>Standard Class</v>
      </c>
      <c r="D5043" t="str">
        <f t="shared" si="1638"/>
        <v>Consumer</v>
      </c>
      <c r="E5043" t="s">
        <v>20</v>
      </c>
      <c r="F5043">
        <v>11</v>
      </c>
      <c r="G5043">
        <v>1.4</v>
      </c>
      <c r="H5043" s="2">
        <v>-10.607499999999998</v>
      </c>
      <c r="I5043" s="2">
        <v>42.170999999999999</v>
      </c>
    </row>
    <row r="5044" spans="1:9" x14ac:dyDescent="0.3">
      <c r="A5044" t="str">
        <f t="shared" si="1624"/>
        <v>United States</v>
      </c>
      <c r="B5044" t="str">
        <f t="shared" si="1635"/>
        <v>Springfield</v>
      </c>
      <c r="C5044" t="str">
        <f t="shared" si="1637"/>
        <v>Standard Class</v>
      </c>
      <c r="D5044" t="str">
        <f t="shared" si="1638"/>
        <v>Consumer</v>
      </c>
      <c r="E5044" t="s">
        <v>34</v>
      </c>
      <c r="F5044">
        <v>11</v>
      </c>
      <c r="G5044">
        <v>1.2</v>
      </c>
      <c r="H5044" s="2">
        <v>-552.70240000000001</v>
      </c>
      <c r="I5044" s="2">
        <v>517.73900000000003</v>
      </c>
    </row>
    <row r="5045" spans="1:9" x14ac:dyDescent="0.3">
      <c r="A5045" t="str">
        <f t="shared" si="1624"/>
        <v>United States</v>
      </c>
      <c r="B5045" t="str">
        <f t="shared" si="1635"/>
        <v>Springfield</v>
      </c>
      <c r="C5045" t="str">
        <f t="shared" si="1637"/>
        <v>Standard Class</v>
      </c>
      <c r="D5045" t="str">
        <f t="shared" si="1638"/>
        <v>Consumer</v>
      </c>
      <c r="E5045" t="s">
        <v>38</v>
      </c>
      <c r="F5045">
        <v>10</v>
      </c>
      <c r="G5045">
        <v>0</v>
      </c>
      <c r="H5045" s="2">
        <v>48.861599999999996</v>
      </c>
      <c r="I5045" s="2">
        <v>106.68</v>
      </c>
    </row>
    <row r="5046" spans="1:9" x14ac:dyDescent="0.3">
      <c r="A5046" t="str">
        <f t="shared" si="1624"/>
        <v>United States</v>
      </c>
      <c r="B5046" t="str">
        <f t="shared" si="1635"/>
        <v>Springfield</v>
      </c>
      <c r="C5046" t="str">
        <f t="shared" si="1637"/>
        <v>Standard Class</v>
      </c>
      <c r="D5046" t="str">
        <f t="shared" si="1638"/>
        <v>Consumer</v>
      </c>
      <c r="E5046" t="s">
        <v>46</v>
      </c>
      <c r="F5046">
        <v>5</v>
      </c>
      <c r="G5046">
        <v>0.7</v>
      </c>
      <c r="H5046" s="2">
        <v>-21.944999999999993</v>
      </c>
      <c r="I5046" s="2">
        <v>29.925000000000001</v>
      </c>
    </row>
    <row r="5047" spans="1:9" x14ac:dyDescent="0.3">
      <c r="A5047" t="str">
        <f t="shared" si="1624"/>
        <v>United States</v>
      </c>
      <c r="B5047" t="str">
        <f t="shared" si="1635"/>
        <v>Springfield</v>
      </c>
      <c r="C5047" t="str">
        <f t="shared" si="1637"/>
        <v>Standard Class</v>
      </c>
      <c r="D5047" t="str">
        <f t="shared" si="1638"/>
        <v>Consumer</v>
      </c>
      <c r="E5047" t="s">
        <v>16</v>
      </c>
      <c r="F5047">
        <v>27</v>
      </c>
      <c r="G5047">
        <v>0.4</v>
      </c>
      <c r="H5047" s="2">
        <v>127.36269999999999</v>
      </c>
      <c r="I5047" s="2">
        <v>328.68400000000003</v>
      </c>
    </row>
    <row r="5048" spans="1:9" x14ac:dyDescent="0.3">
      <c r="A5048" t="str">
        <f t="shared" si="1624"/>
        <v>United States</v>
      </c>
      <c r="B5048" t="str">
        <f t="shared" si="1635"/>
        <v>Springfield</v>
      </c>
      <c r="C5048" t="str">
        <f t="shared" si="1637"/>
        <v>Standard Class</v>
      </c>
      <c r="D5048" t="str">
        <f t="shared" si="1638"/>
        <v>Consumer</v>
      </c>
      <c r="E5048" t="s">
        <v>24</v>
      </c>
      <c r="F5048">
        <v>6</v>
      </c>
      <c r="G5048">
        <v>0.8</v>
      </c>
      <c r="H5048" s="2">
        <v>-93.265199999999965</v>
      </c>
      <c r="I5048" s="2">
        <v>418.27199999999999</v>
      </c>
    </row>
    <row r="5049" spans="1:9" x14ac:dyDescent="0.3">
      <c r="A5049" t="str">
        <f t="shared" si="1624"/>
        <v>United States</v>
      </c>
      <c r="B5049" t="str">
        <f t="shared" si="1635"/>
        <v>Springfield</v>
      </c>
      <c r="C5049" t="str">
        <f t="shared" si="1637"/>
        <v>Standard Class</v>
      </c>
      <c r="D5049" t="str">
        <f t="shared" si="1638"/>
        <v>Consumer</v>
      </c>
      <c r="E5049" t="s">
        <v>14</v>
      </c>
      <c r="F5049">
        <v>15</v>
      </c>
      <c r="G5049">
        <v>0.2</v>
      </c>
      <c r="H5049" s="2">
        <v>-84.608400000000017</v>
      </c>
      <c r="I5049" s="2">
        <v>1185.7260000000001</v>
      </c>
    </row>
    <row r="5050" spans="1:9" x14ac:dyDescent="0.3">
      <c r="A5050" t="str">
        <f t="shared" si="1624"/>
        <v>United States</v>
      </c>
      <c r="B5050" t="str">
        <f t="shared" si="1635"/>
        <v>Springfield</v>
      </c>
      <c r="C5050" t="str">
        <f t="shared" si="1637"/>
        <v>Standard Class</v>
      </c>
      <c r="D5050" t="str">
        <f t="shared" si="1638"/>
        <v>Consumer</v>
      </c>
      <c r="E5050" t="s">
        <v>9</v>
      </c>
      <c r="F5050">
        <v>6</v>
      </c>
      <c r="G5050">
        <v>0.2</v>
      </c>
      <c r="H5050" s="2">
        <v>4.3955999999999982</v>
      </c>
      <c r="I5050" s="2">
        <v>39.072000000000003</v>
      </c>
    </row>
    <row r="5051" spans="1:9" x14ac:dyDescent="0.3">
      <c r="A5051" t="str">
        <f t="shared" si="1624"/>
        <v>United States</v>
      </c>
      <c r="B5051" t="str">
        <f t="shared" si="1635"/>
        <v>Springfield</v>
      </c>
      <c r="C5051" t="str">
        <f t="shared" si="1637"/>
        <v>Standard Class</v>
      </c>
      <c r="D5051" t="str">
        <f t="shared" si="1638"/>
        <v>Consumer</v>
      </c>
      <c r="E5051" t="s">
        <v>25</v>
      </c>
      <c r="F5051">
        <v>15</v>
      </c>
      <c r="G5051">
        <v>0.5</v>
      </c>
      <c r="H5051" s="2">
        <v>102.08219999999994</v>
      </c>
      <c r="I5051" s="2">
        <v>1645.8000000000002</v>
      </c>
    </row>
    <row r="5052" spans="1:9" x14ac:dyDescent="0.3">
      <c r="A5052" t="str">
        <f t="shared" si="1624"/>
        <v>United States</v>
      </c>
      <c r="B5052" t="str">
        <f t="shared" si="1635"/>
        <v>Springfield</v>
      </c>
      <c r="C5052" t="str">
        <f t="shared" si="1637"/>
        <v>Standard Class</v>
      </c>
      <c r="D5052" t="s">
        <v>15</v>
      </c>
      <c r="E5052" t="s">
        <v>23</v>
      </c>
      <c r="F5052">
        <v>16</v>
      </c>
      <c r="G5052">
        <v>0.2</v>
      </c>
      <c r="H5052" s="2">
        <v>845.34509999999977</v>
      </c>
      <c r="I5052" s="2">
        <v>2896.3440000000001</v>
      </c>
    </row>
    <row r="5053" spans="1:9" x14ac:dyDescent="0.3">
      <c r="A5053" t="str">
        <f t="shared" si="1624"/>
        <v>United States</v>
      </c>
      <c r="B5053" t="str">
        <f t="shared" si="1635"/>
        <v>Springfield</v>
      </c>
      <c r="C5053" t="str">
        <f t="shared" si="1637"/>
        <v>Standard Class</v>
      </c>
      <c r="D5053" t="str">
        <f t="shared" ref="D5053:D5066" si="1639">D5052</f>
        <v>Corporate</v>
      </c>
      <c r="E5053" t="s">
        <v>12</v>
      </c>
      <c r="F5053">
        <v>8</v>
      </c>
      <c r="G5053">
        <v>0.2</v>
      </c>
      <c r="H5053" s="2">
        <v>34.663799999999995</v>
      </c>
      <c r="I5053" s="2">
        <v>247.14000000000001</v>
      </c>
    </row>
    <row r="5054" spans="1:9" x14ac:dyDescent="0.3">
      <c r="A5054" t="str">
        <f t="shared" si="1624"/>
        <v>United States</v>
      </c>
      <c r="B5054" t="str">
        <f t="shared" si="1635"/>
        <v>Springfield</v>
      </c>
      <c r="C5054" t="str">
        <f t="shared" si="1637"/>
        <v>Standard Class</v>
      </c>
      <c r="D5054" t="str">
        <f t="shared" si="1639"/>
        <v>Corporate</v>
      </c>
      <c r="E5054" t="s">
        <v>19</v>
      </c>
      <c r="F5054">
        <v>7</v>
      </c>
      <c r="G5054">
        <v>0.2</v>
      </c>
      <c r="H5054" s="2">
        <v>9.2565999999999988</v>
      </c>
      <c r="I5054" s="2">
        <v>33.152000000000001</v>
      </c>
    </row>
    <row r="5055" spans="1:9" x14ac:dyDescent="0.3">
      <c r="A5055" t="str">
        <f t="shared" si="1624"/>
        <v>United States</v>
      </c>
      <c r="B5055" t="str">
        <f t="shared" si="1635"/>
        <v>Springfield</v>
      </c>
      <c r="C5055" t="str">
        <f t="shared" si="1637"/>
        <v>Standard Class</v>
      </c>
      <c r="D5055" t="str">
        <f t="shared" si="1639"/>
        <v>Corporate</v>
      </c>
      <c r="E5055" t="s">
        <v>20</v>
      </c>
      <c r="F5055">
        <v>21</v>
      </c>
      <c r="G5055">
        <v>1.4</v>
      </c>
      <c r="H5055" s="2">
        <v>195.36499999999998</v>
      </c>
      <c r="I5055" s="2">
        <v>464.98899999999998</v>
      </c>
    </row>
    <row r="5056" spans="1:9" x14ac:dyDescent="0.3">
      <c r="A5056" t="str">
        <f t="shared" si="1624"/>
        <v>United States</v>
      </c>
      <c r="B5056" t="str">
        <f t="shared" si="1635"/>
        <v>Springfield</v>
      </c>
      <c r="C5056" t="str">
        <f t="shared" si="1637"/>
        <v>Standard Class</v>
      </c>
      <c r="D5056" t="str">
        <f t="shared" si="1639"/>
        <v>Corporate</v>
      </c>
      <c r="E5056" t="s">
        <v>34</v>
      </c>
      <c r="F5056">
        <v>2</v>
      </c>
      <c r="G5056">
        <v>0.7</v>
      </c>
      <c r="H5056" s="2">
        <v>-128.2388</v>
      </c>
      <c r="I5056" s="2">
        <v>72.588000000000008</v>
      </c>
    </row>
    <row r="5057" spans="1:9" x14ac:dyDescent="0.3">
      <c r="A5057" t="str">
        <f t="shared" si="1624"/>
        <v>United States</v>
      </c>
      <c r="B5057" t="str">
        <f t="shared" si="1635"/>
        <v>Springfield</v>
      </c>
      <c r="C5057" t="str">
        <f t="shared" si="1637"/>
        <v>Standard Class</v>
      </c>
      <c r="D5057" t="str">
        <f t="shared" si="1639"/>
        <v>Corporate</v>
      </c>
      <c r="E5057" t="s">
        <v>33</v>
      </c>
      <c r="F5057">
        <v>7</v>
      </c>
      <c r="G5057">
        <v>0.3</v>
      </c>
      <c r="H5057" s="2">
        <v>264.39779999999996</v>
      </c>
      <c r="I5057" s="2">
        <v>1657.578</v>
      </c>
    </row>
    <row r="5058" spans="1:9" x14ac:dyDescent="0.3">
      <c r="A5058" t="str">
        <f t="shared" si="1624"/>
        <v>United States</v>
      </c>
      <c r="B5058" t="str">
        <f t="shared" si="1635"/>
        <v>Springfield</v>
      </c>
      <c r="C5058" t="str">
        <f t="shared" si="1637"/>
        <v>Standard Class</v>
      </c>
      <c r="D5058" t="str">
        <f t="shared" si="1639"/>
        <v>Corporate</v>
      </c>
      <c r="E5058" t="s">
        <v>45</v>
      </c>
      <c r="F5058">
        <v>8</v>
      </c>
      <c r="G5058">
        <v>0</v>
      </c>
      <c r="H5058" s="2">
        <v>2536.9631999999997</v>
      </c>
      <c r="I5058" s="2">
        <v>5499.92</v>
      </c>
    </row>
    <row r="5059" spans="1:9" x14ac:dyDescent="0.3">
      <c r="A5059" t="str">
        <f t="shared" si="1624"/>
        <v>United States</v>
      </c>
      <c r="B5059" t="str">
        <f t="shared" si="1635"/>
        <v>Springfield</v>
      </c>
      <c r="C5059" t="str">
        <f t="shared" si="1637"/>
        <v>Standard Class</v>
      </c>
      <c r="D5059" t="str">
        <f t="shared" si="1639"/>
        <v>Corporate</v>
      </c>
      <c r="E5059" t="s">
        <v>38</v>
      </c>
      <c r="F5059">
        <v>11</v>
      </c>
      <c r="G5059">
        <v>0</v>
      </c>
      <c r="H5059" s="2">
        <v>178.84509999999997</v>
      </c>
      <c r="I5059" s="2">
        <v>377.68999999999994</v>
      </c>
    </row>
    <row r="5060" spans="1:9" x14ac:dyDescent="0.3">
      <c r="A5060" t="str">
        <f t="shared" ref="A5060:A5123" si="1640">A5059</f>
        <v>United States</v>
      </c>
      <c r="B5060" t="str">
        <f t="shared" si="1635"/>
        <v>Springfield</v>
      </c>
      <c r="C5060" t="str">
        <f t="shared" si="1637"/>
        <v>Standard Class</v>
      </c>
      <c r="D5060" t="str">
        <f t="shared" si="1639"/>
        <v>Corporate</v>
      </c>
      <c r="E5060" t="s">
        <v>18</v>
      </c>
      <c r="F5060">
        <v>3</v>
      </c>
      <c r="G5060">
        <v>0</v>
      </c>
      <c r="H5060" s="2">
        <v>5.2164000000000001</v>
      </c>
      <c r="I5060" s="2">
        <v>11.34</v>
      </c>
    </row>
    <row r="5061" spans="1:9" x14ac:dyDescent="0.3">
      <c r="A5061" t="str">
        <f t="shared" si="1640"/>
        <v>United States</v>
      </c>
      <c r="B5061" t="str">
        <f t="shared" ref="B5061:B5077" si="1641">B5060</f>
        <v>Springfield</v>
      </c>
      <c r="C5061" t="str">
        <f t="shared" si="1637"/>
        <v>Standard Class</v>
      </c>
      <c r="D5061" t="str">
        <f t="shared" si="1639"/>
        <v>Corporate</v>
      </c>
      <c r="E5061" t="s">
        <v>21</v>
      </c>
      <c r="F5061">
        <v>14</v>
      </c>
      <c r="G5061">
        <v>0.4</v>
      </c>
      <c r="H5061" s="2">
        <v>99.713399999999993</v>
      </c>
      <c r="I5061" s="2">
        <v>534.12</v>
      </c>
    </row>
    <row r="5062" spans="1:9" x14ac:dyDescent="0.3">
      <c r="A5062" t="str">
        <f t="shared" si="1640"/>
        <v>United States</v>
      </c>
      <c r="B5062" t="str">
        <f t="shared" si="1641"/>
        <v>Springfield</v>
      </c>
      <c r="C5062" t="str">
        <f t="shared" si="1637"/>
        <v>Standard Class</v>
      </c>
      <c r="D5062" t="str">
        <f t="shared" si="1639"/>
        <v>Corporate</v>
      </c>
      <c r="E5062" t="s">
        <v>43</v>
      </c>
      <c r="F5062">
        <v>18</v>
      </c>
      <c r="G5062">
        <v>0.2</v>
      </c>
      <c r="H5062" s="2">
        <v>85.417100000000005</v>
      </c>
      <c r="I5062" s="2">
        <v>225.934</v>
      </c>
    </row>
    <row r="5063" spans="1:9" x14ac:dyDescent="0.3">
      <c r="A5063" t="str">
        <f t="shared" si="1640"/>
        <v>United States</v>
      </c>
      <c r="B5063" t="str">
        <f t="shared" si="1641"/>
        <v>Springfield</v>
      </c>
      <c r="C5063" t="str">
        <f t="shared" si="1637"/>
        <v>Standard Class</v>
      </c>
      <c r="D5063" t="str">
        <f t="shared" si="1639"/>
        <v>Corporate</v>
      </c>
      <c r="E5063" t="s">
        <v>16</v>
      </c>
      <c r="F5063">
        <v>15</v>
      </c>
      <c r="G5063">
        <v>0.2</v>
      </c>
      <c r="H5063" s="2">
        <v>154.82210000000001</v>
      </c>
      <c r="I5063" s="2">
        <v>353.79399999999998</v>
      </c>
    </row>
    <row r="5064" spans="1:9" x14ac:dyDescent="0.3">
      <c r="A5064" t="str">
        <f t="shared" si="1640"/>
        <v>United States</v>
      </c>
      <c r="B5064" t="str">
        <f t="shared" si="1641"/>
        <v>Springfield</v>
      </c>
      <c r="C5064" t="str">
        <f t="shared" si="1637"/>
        <v>Standard Class</v>
      </c>
      <c r="D5064" t="str">
        <f t="shared" si="1639"/>
        <v>Corporate</v>
      </c>
      <c r="E5064" t="s">
        <v>24</v>
      </c>
      <c r="F5064">
        <v>13</v>
      </c>
      <c r="G5064">
        <v>0.4</v>
      </c>
      <c r="H5064" s="2">
        <v>1004.3594000000003</v>
      </c>
      <c r="I5064" s="2">
        <v>4551.1060000000007</v>
      </c>
    </row>
    <row r="5065" spans="1:9" x14ac:dyDescent="0.3">
      <c r="A5065" t="str">
        <f t="shared" si="1640"/>
        <v>United States</v>
      </c>
      <c r="B5065" t="str">
        <f t="shared" si="1641"/>
        <v>Springfield</v>
      </c>
      <c r="C5065" t="str">
        <f t="shared" si="1637"/>
        <v>Standard Class</v>
      </c>
      <c r="D5065" t="str">
        <f t="shared" si="1639"/>
        <v>Corporate</v>
      </c>
      <c r="E5065" t="s">
        <v>14</v>
      </c>
      <c r="F5065">
        <v>15</v>
      </c>
      <c r="G5065">
        <v>0.2</v>
      </c>
      <c r="H5065" s="2">
        <v>-161.01500000000004</v>
      </c>
      <c r="I5065" s="2">
        <v>786.54000000000008</v>
      </c>
    </row>
    <row r="5066" spans="1:9" x14ac:dyDescent="0.3">
      <c r="A5066" t="str">
        <f t="shared" si="1640"/>
        <v>United States</v>
      </c>
      <c r="B5066" t="str">
        <f t="shared" si="1641"/>
        <v>Springfield</v>
      </c>
      <c r="C5066" t="str">
        <f t="shared" si="1637"/>
        <v>Standard Class</v>
      </c>
      <c r="D5066" t="str">
        <f t="shared" si="1639"/>
        <v>Corporate</v>
      </c>
      <c r="E5066" t="s">
        <v>25</v>
      </c>
      <c r="F5066">
        <v>10</v>
      </c>
      <c r="G5066">
        <v>0</v>
      </c>
      <c r="H5066" s="2">
        <v>386.83499999999981</v>
      </c>
      <c r="I5066" s="2">
        <v>2275.5</v>
      </c>
    </row>
    <row r="5067" spans="1:9" x14ac:dyDescent="0.3">
      <c r="A5067" t="str">
        <f t="shared" si="1640"/>
        <v>United States</v>
      </c>
      <c r="B5067" t="str">
        <f t="shared" si="1641"/>
        <v>Springfield</v>
      </c>
      <c r="C5067" t="str">
        <f t="shared" si="1637"/>
        <v>Standard Class</v>
      </c>
      <c r="D5067" t="s">
        <v>17</v>
      </c>
      <c r="E5067" t="s">
        <v>23</v>
      </c>
      <c r="F5067">
        <v>13</v>
      </c>
      <c r="G5067">
        <v>0.2</v>
      </c>
      <c r="H5067" s="2">
        <v>16.51189999999999</v>
      </c>
      <c r="I5067" s="2">
        <v>352.08000000000004</v>
      </c>
    </row>
    <row r="5068" spans="1:9" x14ac:dyDescent="0.3">
      <c r="A5068" t="str">
        <f t="shared" si="1640"/>
        <v>United States</v>
      </c>
      <c r="B5068" t="str">
        <f t="shared" si="1641"/>
        <v>Springfield</v>
      </c>
      <c r="C5068" t="str">
        <f t="shared" si="1637"/>
        <v>Standard Class</v>
      </c>
      <c r="D5068" t="str">
        <f t="shared" ref="D5068:D5077" si="1642">D5067</f>
        <v>Home Office</v>
      </c>
      <c r="E5068" t="s">
        <v>12</v>
      </c>
      <c r="F5068">
        <v>8</v>
      </c>
      <c r="G5068">
        <v>0.4</v>
      </c>
      <c r="H5068" s="2">
        <v>47.535999999999987</v>
      </c>
      <c r="I5068" s="2">
        <v>450.88800000000003</v>
      </c>
    </row>
    <row r="5069" spans="1:9" x14ac:dyDescent="0.3">
      <c r="A5069" t="str">
        <f t="shared" si="1640"/>
        <v>United States</v>
      </c>
      <c r="B5069" t="str">
        <f t="shared" si="1641"/>
        <v>Springfield</v>
      </c>
      <c r="C5069" t="str">
        <f t="shared" si="1637"/>
        <v>Standard Class</v>
      </c>
      <c r="D5069" t="str">
        <f t="shared" si="1642"/>
        <v>Home Office</v>
      </c>
      <c r="E5069" t="s">
        <v>19</v>
      </c>
      <c r="F5069">
        <v>9</v>
      </c>
      <c r="G5069">
        <v>0.4</v>
      </c>
      <c r="H5069" s="2">
        <v>14.826399999999998</v>
      </c>
      <c r="I5069" s="2">
        <v>61.816000000000003</v>
      </c>
    </row>
    <row r="5070" spans="1:9" x14ac:dyDescent="0.3">
      <c r="A5070" t="str">
        <f t="shared" si="1640"/>
        <v>United States</v>
      </c>
      <c r="B5070" t="str">
        <f t="shared" si="1641"/>
        <v>Springfield</v>
      </c>
      <c r="C5070" t="str">
        <f t="shared" si="1637"/>
        <v>Standard Class</v>
      </c>
      <c r="D5070" t="str">
        <f t="shared" si="1642"/>
        <v>Home Office</v>
      </c>
      <c r="E5070" t="s">
        <v>20</v>
      </c>
      <c r="F5070">
        <v>12</v>
      </c>
      <c r="G5070">
        <v>0.7</v>
      </c>
      <c r="H5070" s="2">
        <v>-34.042999999999999</v>
      </c>
      <c r="I5070" s="2">
        <v>96.588000000000008</v>
      </c>
    </row>
    <row r="5071" spans="1:9" x14ac:dyDescent="0.3">
      <c r="A5071" t="str">
        <f t="shared" si="1640"/>
        <v>United States</v>
      </c>
      <c r="B5071" t="str">
        <f t="shared" si="1641"/>
        <v>Springfield</v>
      </c>
      <c r="C5071" t="str">
        <f t="shared" si="1637"/>
        <v>Standard Class</v>
      </c>
      <c r="D5071" t="str">
        <f t="shared" si="1642"/>
        <v>Home Office</v>
      </c>
      <c r="E5071" t="s">
        <v>18</v>
      </c>
      <c r="F5071">
        <v>3</v>
      </c>
      <c r="G5071">
        <v>0.2</v>
      </c>
      <c r="H5071" s="2">
        <v>-2.1194999999999999</v>
      </c>
      <c r="I5071" s="2">
        <v>11.304</v>
      </c>
    </row>
    <row r="5072" spans="1:9" x14ac:dyDescent="0.3">
      <c r="A5072" t="str">
        <f t="shared" si="1640"/>
        <v>United States</v>
      </c>
      <c r="B5072" t="str">
        <f t="shared" si="1641"/>
        <v>Springfield</v>
      </c>
      <c r="C5072" t="str">
        <f t="shared" si="1637"/>
        <v>Standard Class</v>
      </c>
      <c r="D5072" t="str">
        <f t="shared" si="1642"/>
        <v>Home Office</v>
      </c>
      <c r="E5072" t="s">
        <v>21</v>
      </c>
      <c r="F5072">
        <v>7</v>
      </c>
      <c r="G5072">
        <v>0.2</v>
      </c>
      <c r="H5072" s="2">
        <v>29.657599999999988</v>
      </c>
      <c r="I5072" s="2">
        <v>148.28800000000001</v>
      </c>
    </row>
    <row r="5073" spans="1:9" x14ac:dyDescent="0.3">
      <c r="A5073" t="str">
        <f t="shared" si="1640"/>
        <v>United States</v>
      </c>
      <c r="B5073" t="str">
        <f t="shared" si="1641"/>
        <v>Springfield</v>
      </c>
      <c r="C5073" t="str">
        <f t="shared" si="1637"/>
        <v>Standard Class</v>
      </c>
      <c r="D5073" t="str">
        <f t="shared" si="1642"/>
        <v>Home Office</v>
      </c>
      <c r="E5073" t="s">
        <v>43</v>
      </c>
      <c r="F5073">
        <v>10</v>
      </c>
      <c r="G5073">
        <v>0.4</v>
      </c>
      <c r="H5073" s="2">
        <v>29.980800000000006</v>
      </c>
      <c r="I5073" s="2">
        <v>80.256</v>
      </c>
    </row>
    <row r="5074" spans="1:9" x14ac:dyDescent="0.3">
      <c r="A5074" t="str">
        <f t="shared" si="1640"/>
        <v>United States</v>
      </c>
      <c r="B5074" t="str">
        <f t="shared" si="1641"/>
        <v>Springfield</v>
      </c>
      <c r="C5074" t="str">
        <f t="shared" si="1637"/>
        <v>Standard Class</v>
      </c>
      <c r="D5074" t="str">
        <f t="shared" si="1642"/>
        <v>Home Office</v>
      </c>
      <c r="E5074" t="s">
        <v>16</v>
      </c>
      <c r="F5074">
        <v>8</v>
      </c>
      <c r="G5074">
        <v>0.8</v>
      </c>
      <c r="H5074" s="2">
        <v>45.2821</v>
      </c>
      <c r="I5074" s="2">
        <v>126.80800000000001</v>
      </c>
    </row>
    <row r="5075" spans="1:9" x14ac:dyDescent="0.3">
      <c r="A5075" t="str">
        <f t="shared" si="1640"/>
        <v>United States</v>
      </c>
      <c r="B5075" t="str">
        <f t="shared" si="1641"/>
        <v>Springfield</v>
      </c>
      <c r="C5075" t="str">
        <f t="shared" si="1637"/>
        <v>Standard Class</v>
      </c>
      <c r="D5075" t="str">
        <f t="shared" si="1642"/>
        <v>Home Office</v>
      </c>
      <c r="E5075" t="s">
        <v>24</v>
      </c>
      <c r="F5075">
        <v>7</v>
      </c>
      <c r="G5075">
        <v>0.4</v>
      </c>
      <c r="H5075" s="2">
        <v>-9.7901999999999987</v>
      </c>
      <c r="I5075" s="2">
        <v>41.957999999999998</v>
      </c>
    </row>
    <row r="5076" spans="1:9" x14ac:dyDescent="0.3">
      <c r="A5076" t="str">
        <f t="shared" si="1640"/>
        <v>United States</v>
      </c>
      <c r="B5076" t="str">
        <f t="shared" si="1641"/>
        <v>Springfield</v>
      </c>
      <c r="C5076" t="str">
        <f t="shared" si="1637"/>
        <v>Standard Class</v>
      </c>
      <c r="D5076" t="str">
        <f t="shared" si="1642"/>
        <v>Home Office</v>
      </c>
      <c r="E5076" t="s">
        <v>14</v>
      </c>
      <c r="F5076">
        <v>2</v>
      </c>
      <c r="G5076">
        <v>0</v>
      </c>
      <c r="H5076" s="2">
        <v>226.36260000000004</v>
      </c>
      <c r="I5076" s="2">
        <v>838.38</v>
      </c>
    </row>
    <row r="5077" spans="1:9" x14ac:dyDescent="0.3">
      <c r="A5077" t="str">
        <f t="shared" si="1640"/>
        <v>United States</v>
      </c>
      <c r="B5077" t="str">
        <f t="shared" si="1641"/>
        <v>Springfield</v>
      </c>
      <c r="C5077" t="str">
        <f t="shared" si="1637"/>
        <v>Standard Class</v>
      </c>
      <c r="D5077" t="str">
        <f t="shared" si="1642"/>
        <v>Home Office</v>
      </c>
      <c r="E5077" t="s">
        <v>25</v>
      </c>
      <c r="F5077">
        <v>4</v>
      </c>
      <c r="G5077">
        <v>0.9</v>
      </c>
      <c r="H5077" s="2">
        <v>-447.92009999999993</v>
      </c>
      <c r="I5077" s="2">
        <v>894.7829999999999</v>
      </c>
    </row>
    <row r="5078" spans="1:9" x14ac:dyDescent="0.3">
      <c r="A5078" t="str">
        <f t="shared" si="1640"/>
        <v>United States</v>
      </c>
      <c r="B5078" t="s">
        <v>495</v>
      </c>
      <c r="C5078" t="s">
        <v>7</v>
      </c>
      <c r="D5078" t="s">
        <v>17</v>
      </c>
      <c r="E5078" t="s">
        <v>19</v>
      </c>
      <c r="F5078">
        <v>4</v>
      </c>
      <c r="G5078">
        <v>0</v>
      </c>
      <c r="H5078" s="2">
        <v>20.633600000000001</v>
      </c>
      <c r="I5078" s="2">
        <v>79.36</v>
      </c>
    </row>
    <row r="5079" spans="1:9" x14ac:dyDescent="0.3">
      <c r="A5079" t="str">
        <f t="shared" si="1640"/>
        <v>United States</v>
      </c>
      <c r="B5079" t="str">
        <f t="shared" ref="B5079:B5080" si="1643">B5078</f>
        <v>Sterling Heights</v>
      </c>
      <c r="C5079" t="s">
        <v>22</v>
      </c>
      <c r="D5079" t="s">
        <v>8</v>
      </c>
      <c r="E5079" t="s">
        <v>19</v>
      </c>
      <c r="F5079">
        <v>2</v>
      </c>
      <c r="G5079">
        <v>0</v>
      </c>
      <c r="H5079" s="2">
        <v>3.5039999999999996</v>
      </c>
      <c r="I5079" s="2">
        <v>11.68</v>
      </c>
    </row>
    <row r="5080" spans="1:9" x14ac:dyDescent="0.3">
      <c r="A5080" t="str">
        <f t="shared" si="1640"/>
        <v>United States</v>
      </c>
      <c r="B5080" t="str">
        <f t="shared" si="1643"/>
        <v>Sterling Heights</v>
      </c>
      <c r="C5080" t="str">
        <f>C5079</f>
        <v>Standard Class</v>
      </c>
      <c r="D5080" t="s">
        <v>17</v>
      </c>
      <c r="E5080" t="s">
        <v>20</v>
      </c>
      <c r="F5080">
        <v>5</v>
      </c>
      <c r="G5080">
        <v>0</v>
      </c>
      <c r="H5080" s="2">
        <v>8.93</v>
      </c>
      <c r="I5080" s="2">
        <v>19</v>
      </c>
    </row>
    <row r="5081" spans="1:9" x14ac:dyDescent="0.3">
      <c r="A5081" t="str">
        <f t="shared" si="1640"/>
        <v>United States</v>
      </c>
      <c r="B5081" t="s">
        <v>496</v>
      </c>
      <c r="C5081" t="s">
        <v>11</v>
      </c>
      <c r="D5081" t="s">
        <v>15</v>
      </c>
      <c r="E5081" t="s">
        <v>20</v>
      </c>
      <c r="F5081">
        <v>8</v>
      </c>
      <c r="G5081">
        <v>0.2</v>
      </c>
      <c r="H5081" s="2">
        <v>99.295999999999978</v>
      </c>
      <c r="I5081" s="2">
        <v>273.92</v>
      </c>
    </row>
    <row r="5082" spans="1:9" x14ac:dyDescent="0.3">
      <c r="A5082" t="str">
        <f t="shared" si="1640"/>
        <v>United States</v>
      </c>
      <c r="B5082" t="str">
        <f t="shared" ref="B5082:B5086" si="1644">B5081</f>
        <v>Stockton</v>
      </c>
      <c r="C5082" t="s">
        <v>7</v>
      </c>
      <c r="D5082" t="s">
        <v>8</v>
      </c>
      <c r="E5082" t="s">
        <v>20</v>
      </c>
      <c r="F5082">
        <v>4</v>
      </c>
      <c r="G5082">
        <v>0.2</v>
      </c>
      <c r="H5082" s="2">
        <v>18.683999999999997</v>
      </c>
      <c r="I5082" s="2">
        <v>55.360000000000007</v>
      </c>
    </row>
    <row r="5083" spans="1:9" x14ac:dyDescent="0.3">
      <c r="A5083" t="str">
        <f t="shared" si="1640"/>
        <v>United States</v>
      </c>
      <c r="B5083" t="str">
        <f t="shared" si="1644"/>
        <v>Stockton</v>
      </c>
      <c r="C5083" t="str">
        <f t="shared" ref="C5083:C5084" si="1645">C5082</f>
        <v>Second Class</v>
      </c>
      <c r="D5083" t="str">
        <f t="shared" ref="D5083:D5084" si="1646">D5082</f>
        <v>Consumer</v>
      </c>
      <c r="E5083" t="s">
        <v>16</v>
      </c>
      <c r="F5083">
        <v>2</v>
      </c>
      <c r="G5083">
        <v>0</v>
      </c>
      <c r="H5083" s="2">
        <v>6.2208000000000006</v>
      </c>
      <c r="I5083" s="2">
        <v>12.96</v>
      </c>
    </row>
    <row r="5084" spans="1:9" x14ac:dyDescent="0.3">
      <c r="A5084" t="str">
        <f t="shared" si="1640"/>
        <v>United States</v>
      </c>
      <c r="B5084" t="str">
        <f t="shared" si="1644"/>
        <v>Stockton</v>
      </c>
      <c r="C5084" t="str">
        <f t="shared" si="1645"/>
        <v>Second Class</v>
      </c>
      <c r="D5084" t="str">
        <f t="shared" si="1646"/>
        <v>Consumer</v>
      </c>
      <c r="E5084" t="s">
        <v>24</v>
      </c>
      <c r="F5084">
        <v>4</v>
      </c>
      <c r="G5084">
        <v>0.2</v>
      </c>
      <c r="H5084" s="2">
        <v>34.741999999999997</v>
      </c>
      <c r="I5084" s="2">
        <v>95.84</v>
      </c>
    </row>
    <row r="5085" spans="1:9" x14ac:dyDescent="0.3">
      <c r="A5085" t="str">
        <f t="shared" si="1640"/>
        <v>United States</v>
      </c>
      <c r="B5085" t="str">
        <f t="shared" si="1644"/>
        <v>Stockton</v>
      </c>
      <c r="C5085" t="s">
        <v>22</v>
      </c>
      <c r="D5085" t="s">
        <v>8</v>
      </c>
      <c r="E5085" t="s">
        <v>16</v>
      </c>
      <c r="F5085">
        <v>7</v>
      </c>
      <c r="G5085">
        <v>0</v>
      </c>
      <c r="H5085" s="2">
        <v>73.544799999999995</v>
      </c>
      <c r="I5085" s="2">
        <v>159.88</v>
      </c>
    </row>
    <row r="5086" spans="1:9" x14ac:dyDescent="0.3">
      <c r="A5086" t="str">
        <f t="shared" si="1640"/>
        <v>United States</v>
      </c>
      <c r="B5086" t="str">
        <f t="shared" si="1644"/>
        <v>Stockton</v>
      </c>
      <c r="C5086" t="str">
        <f>C5085</f>
        <v>Standard Class</v>
      </c>
      <c r="D5086" t="s">
        <v>17</v>
      </c>
      <c r="E5086" t="s">
        <v>21</v>
      </c>
      <c r="F5086">
        <v>9</v>
      </c>
      <c r="G5086">
        <v>0</v>
      </c>
      <c r="H5086" s="2">
        <v>107.03879999999994</v>
      </c>
      <c r="I5086" s="2">
        <v>629.64</v>
      </c>
    </row>
    <row r="5087" spans="1:9" x14ac:dyDescent="0.3">
      <c r="A5087" t="str">
        <f t="shared" si="1640"/>
        <v>United States</v>
      </c>
      <c r="B5087" t="s">
        <v>497</v>
      </c>
      <c r="C5087" t="s">
        <v>11</v>
      </c>
      <c r="D5087" t="s">
        <v>8</v>
      </c>
      <c r="E5087" t="s">
        <v>43</v>
      </c>
      <c r="F5087">
        <v>2</v>
      </c>
      <c r="G5087">
        <v>0</v>
      </c>
      <c r="H5087" s="2">
        <v>96.343800000000002</v>
      </c>
      <c r="I5087" s="2">
        <v>196.62</v>
      </c>
    </row>
    <row r="5088" spans="1:9" x14ac:dyDescent="0.3">
      <c r="A5088" t="str">
        <f t="shared" si="1640"/>
        <v>United States</v>
      </c>
      <c r="B5088" t="str">
        <f t="shared" ref="B5088:B5094" si="1647">B5087</f>
        <v>Suffolk</v>
      </c>
      <c r="C5088" t="str">
        <f t="shared" ref="C5088:C5091" si="1648">C5087</f>
        <v>First Class</v>
      </c>
      <c r="D5088" t="s">
        <v>15</v>
      </c>
      <c r="E5088" t="s">
        <v>12</v>
      </c>
      <c r="F5088">
        <v>3</v>
      </c>
      <c r="G5088">
        <v>0</v>
      </c>
      <c r="H5088" s="2">
        <v>50.383200000000009</v>
      </c>
      <c r="I5088" s="2">
        <v>179.94</v>
      </c>
    </row>
    <row r="5089" spans="1:9" x14ac:dyDescent="0.3">
      <c r="A5089" t="str">
        <f t="shared" si="1640"/>
        <v>United States</v>
      </c>
      <c r="B5089" t="str">
        <f t="shared" si="1647"/>
        <v>Suffolk</v>
      </c>
      <c r="C5089" t="str">
        <f t="shared" si="1648"/>
        <v>First Class</v>
      </c>
      <c r="D5089" t="str">
        <f t="shared" ref="D5089:D5091" si="1649">D5088</f>
        <v>Corporate</v>
      </c>
      <c r="E5089" t="s">
        <v>16</v>
      </c>
      <c r="F5089">
        <v>7</v>
      </c>
      <c r="G5089">
        <v>0</v>
      </c>
      <c r="H5089" s="2">
        <v>19.675799999999999</v>
      </c>
      <c r="I5089" s="2">
        <v>42.86</v>
      </c>
    </row>
    <row r="5090" spans="1:9" x14ac:dyDescent="0.3">
      <c r="A5090" t="str">
        <f t="shared" si="1640"/>
        <v>United States</v>
      </c>
      <c r="B5090" t="str">
        <f t="shared" si="1647"/>
        <v>Suffolk</v>
      </c>
      <c r="C5090" t="str">
        <f t="shared" si="1648"/>
        <v>First Class</v>
      </c>
      <c r="D5090" t="str">
        <f t="shared" si="1649"/>
        <v>Corporate</v>
      </c>
      <c r="E5090" t="s">
        <v>14</v>
      </c>
      <c r="F5090">
        <v>3</v>
      </c>
      <c r="G5090">
        <v>0</v>
      </c>
      <c r="H5090" s="2">
        <v>2.9346000000000032</v>
      </c>
      <c r="I5090" s="2">
        <v>146.72999999999999</v>
      </c>
    </row>
    <row r="5091" spans="1:9" x14ac:dyDescent="0.3">
      <c r="A5091" t="str">
        <f t="shared" si="1640"/>
        <v>United States</v>
      </c>
      <c r="B5091" t="str">
        <f t="shared" si="1647"/>
        <v>Suffolk</v>
      </c>
      <c r="C5091" t="str">
        <f t="shared" si="1648"/>
        <v>First Class</v>
      </c>
      <c r="D5091" t="str">
        <f t="shared" si="1649"/>
        <v>Corporate</v>
      </c>
      <c r="E5091" t="s">
        <v>25</v>
      </c>
      <c r="F5091">
        <v>3</v>
      </c>
      <c r="G5091">
        <v>0</v>
      </c>
      <c r="H5091" s="2">
        <v>157.12919999999997</v>
      </c>
      <c r="I5091" s="2">
        <v>872.94</v>
      </c>
    </row>
    <row r="5092" spans="1:9" x14ac:dyDescent="0.3">
      <c r="A5092" t="str">
        <f t="shared" si="1640"/>
        <v>United States</v>
      </c>
      <c r="B5092" t="str">
        <f t="shared" si="1647"/>
        <v>Suffolk</v>
      </c>
      <c r="C5092" t="s">
        <v>22</v>
      </c>
      <c r="D5092" t="s">
        <v>17</v>
      </c>
      <c r="E5092" t="s">
        <v>21</v>
      </c>
      <c r="F5092">
        <v>9</v>
      </c>
      <c r="G5092">
        <v>0</v>
      </c>
      <c r="H5092" s="2">
        <v>46.116000000000007</v>
      </c>
      <c r="I5092" s="2">
        <v>109.8</v>
      </c>
    </row>
    <row r="5093" spans="1:9" x14ac:dyDescent="0.3">
      <c r="A5093" t="str">
        <f t="shared" si="1640"/>
        <v>United States</v>
      </c>
      <c r="B5093" t="str">
        <f t="shared" si="1647"/>
        <v>Suffolk</v>
      </c>
      <c r="C5093" t="str">
        <f t="shared" ref="C5093:C5094" si="1650">C5092</f>
        <v>Standard Class</v>
      </c>
      <c r="D5093" t="str">
        <f t="shared" ref="D5093:D5094" si="1651">D5092</f>
        <v>Home Office</v>
      </c>
      <c r="E5093" t="s">
        <v>43</v>
      </c>
      <c r="F5093">
        <v>3</v>
      </c>
      <c r="G5093">
        <v>0</v>
      </c>
      <c r="H5093" s="2">
        <v>6.7115999999999998</v>
      </c>
      <c r="I5093" s="2">
        <v>13.95</v>
      </c>
    </row>
    <row r="5094" spans="1:9" x14ac:dyDescent="0.3">
      <c r="A5094" t="str">
        <f t="shared" si="1640"/>
        <v>United States</v>
      </c>
      <c r="B5094" t="str">
        <f t="shared" si="1647"/>
        <v>Suffolk</v>
      </c>
      <c r="C5094" t="str">
        <f t="shared" si="1650"/>
        <v>Standard Class</v>
      </c>
      <c r="D5094" t="str">
        <f t="shared" si="1651"/>
        <v>Home Office</v>
      </c>
      <c r="E5094" t="s">
        <v>9</v>
      </c>
      <c r="F5094">
        <v>2</v>
      </c>
      <c r="G5094">
        <v>0</v>
      </c>
      <c r="H5094" s="2">
        <v>10.517999999999997</v>
      </c>
      <c r="I5094" s="2">
        <v>35.06</v>
      </c>
    </row>
    <row r="5095" spans="1:9" x14ac:dyDescent="0.3">
      <c r="A5095" t="str">
        <f t="shared" si="1640"/>
        <v>United States</v>
      </c>
      <c r="B5095" t="s">
        <v>498</v>
      </c>
      <c r="C5095" t="s">
        <v>7</v>
      </c>
      <c r="D5095" t="s">
        <v>15</v>
      </c>
      <c r="E5095" t="s">
        <v>20</v>
      </c>
      <c r="F5095">
        <v>8</v>
      </c>
      <c r="G5095">
        <v>0</v>
      </c>
      <c r="H5095" s="2">
        <v>157.36319999999998</v>
      </c>
      <c r="I5095" s="2">
        <v>327.84</v>
      </c>
    </row>
    <row r="5096" spans="1:9" x14ac:dyDescent="0.3">
      <c r="A5096" t="str">
        <f t="shared" si="1640"/>
        <v>United States</v>
      </c>
      <c r="B5096" t="str">
        <f>B5095</f>
        <v>Summerville</v>
      </c>
      <c r="C5096" t="str">
        <f>C5095</f>
        <v>Second Class</v>
      </c>
      <c r="D5096" t="str">
        <f>D5095</f>
        <v>Corporate</v>
      </c>
      <c r="E5096" t="s">
        <v>24</v>
      </c>
      <c r="F5096">
        <v>2</v>
      </c>
      <c r="G5096">
        <v>0</v>
      </c>
      <c r="H5096" s="2">
        <v>39.549999999999997</v>
      </c>
      <c r="I5096" s="2">
        <v>79.099999999999994</v>
      </c>
    </row>
    <row r="5097" spans="1:9" x14ac:dyDescent="0.3">
      <c r="A5097" t="str">
        <f t="shared" si="1640"/>
        <v>United States</v>
      </c>
      <c r="B5097" t="s">
        <v>499</v>
      </c>
      <c r="C5097" t="s">
        <v>11</v>
      </c>
      <c r="D5097" t="s">
        <v>15</v>
      </c>
      <c r="E5097" t="s">
        <v>33</v>
      </c>
      <c r="F5097">
        <v>3</v>
      </c>
      <c r="G5097">
        <v>0.2</v>
      </c>
      <c r="H5097" s="2">
        <v>-2.6997000000000355</v>
      </c>
      <c r="I5097" s="2">
        <v>215.976</v>
      </c>
    </row>
    <row r="5098" spans="1:9" x14ac:dyDescent="0.3">
      <c r="A5098" t="str">
        <f t="shared" si="1640"/>
        <v>United States</v>
      </c>
      <c r="B5098" t="str">
        <f t="shared" ref="B5098:B5101" si="1652">B5097</f>
        <v>Sunnyvale</v>
      </c>
      <c r="C5098" t="s">
        <v>7</v>
      </c>
      <c r="D5098" t="s">
        <v>15</v>
      </c>
      <c r="E5098" t="s">
        <v>23</v>
      </c>
      <c r="F5098">
        <v>10</v>
      </c>
      <c r="G5098">
        <v>0</v>
      </c>
      <c r="H5098" s="2">
        <v>77.077499999999986</v>
      </c>
      <c r="I5098" s="2">
        <v>339.9</v>
      </c>
    </row>
    <row r="5099" spans="1:9" x14ac:dyDescent="0.3">
      <c r="A5099" t="str">
        <f t="shared" si="1640"/>
        <v>United States</v>
      </c>
      <c r="B5099" t="str">
        <f t="shared" si="1652"/>
        <v>Sunnyvale</v>
      </c>
      <c r="C5099" t="str">
        <f t="shared" ref="C5099:C5101" si="1653">C5098</f>
        <v>Second Class</v>
      </c>
      <c r="D5099" t="str">
        <f t="shared" ref="D5099:D5101" si="1654">D5098</f>
        <v>Corporate</v>
      </c>
      <c r="E5099" t="s">
        <v>19</v>
      </c>
      <c r="F5099">
        <v>5</v>
      </c>
      <c r="G5099">
        <v>0</v>
      </c>
      <c r="H5099" s="2">
        <v>8.6854999999999993</v>
      </c>
      <c r="I5099" s="2">
        <v>29.950000000000003</v>
      </c>
    </row>
    <row r="5100" spans="1:9" x14ac:dyDescent="0.3">
      <c r="A5100" t="str">
        <f t="shared" si="1640"/>
        <v>United States</v>
      </c>
      <c r="B5100" t="str">
        <f t="shared" si="1652"/>
        <v>Sunnyvale</v>
      </c>
      <c r="C5100" t="str">
        <f t="shared" si="1653"/>
        <v>Second Class</v>
      </c>
      <c r="D5100" t="str">
        <f t="shared" si="1654"/>
        <v>Corporate</v>
      </c>
      <c r="E5100" t="s">
        <v>20</v>
      </c>
      <c r="F5100">
        <v>2</v>
      </c>
      <c r="G5100">
        <v>0.2</v>
      </c>
      <c r="H5100" s="2">
        <v>2.2439999999999998</v>
      </c>
      <c r="I5100" s="2">
        <v>5.9840000000000009</v>
      </c>
    </row>
    <row r="5101" spans="1:9" x14ac:dyDescent="0.3">
      <c r="A5101" t="str">
        <f t="shared" si="1640"/>
        <v>United States</v>
      </c>
      <c r="B5101" t="str">
        <f t="shared" si="1652"/>
        <v>Sunnyvale</v>
      </c>
      <c r="C5101" t="str">
        <f t="shared" si="1653"/>
        <v>Second Class</v>
      </c>
      <c r="D5101" t="str">
        <f t="shared" si="1654"/>
        <v>Corporate</v>
      </c>
      <c r="E5101" t="s">
        <v>43</v>
      </c>
      <c r="F5101">
        <v>3</v>
      </c>
      <c r="G5101">
        <v>0</v>
      </c>
      <c r="H5101" s="2">
        <v>22.200000000000003</v>
      </c>
      <c r="I5101" s="2">
        <v>44.400000000000006</v>
      </c>
    </row>
    <row r="5102" spans="1:9" x14ac:dyDescent="0.3">
      <c r="A5102" t="str">
        <f t="shared" si="1640"/>
        <v>United States</v>
      </c>
      <c r="B5102" t="s">
        <v>500</v>
      </c>
      <c r="C5102" t="s">
        <v>22</v>
      </c>
      <c r="D5102" t="s">
        <v>17</v>
      </c>
      <c r="E5102" t="s">
        <v>12</v>
      </c>
      <c r="F5102">
        <v>3</v>
      </c>
      <c r="G5102">
        <v>0</v>
      </c>
      <c r="H5102" s="2">
        <v>109.42199999999997</v>
      </c>
      <c r="I5102" s="2">
        <v>364.74</v>
      </c>
    </row>
    <row r="5103" spans="1:9" x14ac:dyDescent="0.3">
      <c r="A5103" t="str">
        <f t="shared" si="1640"/>
        <v>United States</v>
      </c>
      <c r="B5103" t="str">
        <f t="shared" ref="B5103:B5107" si="1655">B5102</f>
        <v>Superior</v>
      </c>
      <c r="C5103" t="str">
        <f t="shared" ref="C5103:C5107" si="1656">C5102</f>
        <v>Standard Class</v>
      </c>
      <c r="D5103" t="str">
        <f t="shared" ref="D5103:D5107" si="1657">D5102</f>
        <v>Home Office</v>
      </c>
      <c r="E5103" t="s">
        <v>19</v>
      </c>
      <c r="F5103">
        <v>11</v>
      </c>
      <c r="G5103">
        <v>0</v>
      </c>
      <c r="H5103" s="2">
        <v>10.379399999999999</v>
      </c>
      <c r="I5103" s="2">
        <v>37.379999999999995</v>
      </c>
    </row>
    <row r="5104" spans="1:9" x14ac:dyDescent="0.3">
      <c r="A5104" t="str">
        <f t="shared" si="1640"/>
        <v>United States</v>
      </c>
      <c r="B5104" t="str">
        <f t="shared" si="1655"/>
        <v>Superior</v>
      </c>
      <c r="C5104" t="str">
        <f t="shared" si="1656"/>
        <v>Standard Class</v>
      </c>
      <c r="D5104" t="str">
        <f t="shared" si="1657"/>
        <v>Home Office</v>
      </c>
      <c r="E5104" t="s">
        <v>21</v>
      </c>
      <c r="F5104">
        <v>5</v>
      </c>
      <c r="G5104">
        <v>0</v>
      </c>
      <c r="H5104" s="2">
        <v>21.33</v>
      </c>
      <c r="I5104" s="2">
        <v>47.400000000000006</v>
      </c>
    </row>
    <row r="5105" spans="1:9" x14ac:dyDescent="0.3">
      <c r="A5105" t="str">
        <f t="shared" si="1640"/>
        <v>United States</v>
      </c>
      <c r="B5105" t="str">
        <f t="shared" si="1655"/>
        <v>Superior</v>
      </c>
      <c r="C5105" t="str">
        <f t="shared" si="1656"/>
        <v>Standard Class</v>
      </c>
      <c r="D5105" t="str">
        <f t="shared" si="1657"/>
        <v>Home Office</v>
      </c>
      <c r="E5105" t="s">
        <v>16</v>
      </c>
      <c r="F5105">
        <v>13</v>
      </c>
      <c r="G5105">
        <v>0</v>
      </c>
      <c r="H5105" s="2">
        <v>323.74079999999998</v>
      </c>
      <c r="I5105" s="2">
        <v>674.45999999999992</v>
      </c>
    </row>
    <row r="5106" spans="1:9" x14ac:dyDescent="0.3">
      <c r="A5106" t="str">
        <f t="shared" si="1640"/>
        <v>United States</v>
      </c>
      <c r="B5106" t="str">
        <f t="shared" si="1655"/>
        <v>Superior</v>
      </c>
      <c r="C5106" t="str">
        <f t="shared" si="1656"/>
        <v>Standard Class</v>
      </c>
      <c r="D5106" t="str">
        <f t="shared" si="1657"/>
        <v>Home Office</v>
      </c>
      <c r="E5106" t="s">
        <v>24</v>
      </c>
      <c r="F5106">
        <v>1</v>
      </c>
      <c r="G5106">
        <v>0</v>
      </c>
      <c r="H5106" s="2">
        <v>35.277200000000008</v>
      </c>
      <c r="I5106" s="2">
        <v>125.99</v>
      </c>
    </row>
    <row r="5107" spans="1:9" x14ac:dyDescent="0.3">
      <c r="A5107" t="str">
        <f t="shared" si="1640"/>
        <v>United States</v>
      </c>
      <c r="B5107" t="str">
        <f t="shared" si="1655"/>
        <v>Superior</v>
      </c>
      <c r="C5107" t="str">
        <f t="shared" si="1656"/>
        <v>Standard Class</v>
      </c>
      <c r="D5107" t="str">
        <f t="shared" si="1657"/>
        <v>Home Office</v>
      </c>
      <c r="E5107" t="s">
        <v>14</v>
      </c>
      <c r="F5107">
        <v>4</v>
      </c>
      <c r="G5107">
        <v>0</v>
      </c>
      <c r="H5107" s="2">
        <v>13.9328</v>
      </c>
      <c r="I5107" s="2">
        <v>49.76</v>
      </c>
    </row>
    <row r="5108" spans="1:9" x14ac:dyDescent="0.3">
      <c r="A5108" t="str">
        <f t="shared" si="1640"/>
        <v>United States</v>
      </c>
      <c r="B5108" t="s">
        <v>501</v>
      </c>
      <c r="C5108" t="s">
        <v>11</v>
      </c>
      <c r="D5108" t="s">
        <v>8</v>
      </c>
      <c r="E5108" t="s">
        <v>46</v>
      </c>
      <c r="F5108">
        <v>2</v>
      </c>
      <c r="G5108">
        <v>0.5</v>
      </c>
      <c r="H5108" s="2">
        <v>-27.827999999999975</v>
      </c>
      <c r="I5108" s="2">
        <v>695.7</v>
      </c>
    </row>
    <row r="5109" spans="1:9" x14ac:dyDescent="0.3">
      <c r="A5109" t="str">
        <f t="shared" si="1640"/>
        <v>United States</v>
      </c>
      <c r="B5109" t="str">
        <f t="shared" ref="B5109:B5122" si="1658">B5108</f>
        <v>Tallahassee</v>
      </c>
      <c r="C5109" t="s">
        <v>7</v>
      </c>
      <c r="D5109" t="s">
        <v>8</v>
      </c>
      <c r="E5109" t="s">
        <v>12</v>
      </c>
      <c r="F5109">
        <v>6</v>
      </c>
      <c r="G5109">
        <v>0.2</v>
      </c>
      <c r="H5109" s="2">
        <v>12.103199999999994</v>
      </c>
      <c r="I5109" s="2">
        <v>161.376</v>
      </c>
    </row>
    <row r="5110" spans="1:9" x14ac:dyDescent="0.3">
      <c r="A5110" t="str">
        <f t="shared" si="1640"/>
        <v>United States</v>
      </c>
      <c r="B5110" t="str">
        <f t="shared" si="1658"/>
        <v>Tallahassee</v>
      </c>
      <c r="C5110" t="str">
        <f t="shared" ref="C5110:C5112" si="1659">C5109</f>
        <v>Second Class</v>
      </c>
      <c r="D5110" t="str">
        <f t="shared" ref="D5110:D5112" si="1660">D5109</f>
        <v>Consumer</v>
      </c>
      <c r="E5110" t="s">
        <v>21</v>
      </c>
      <c r="F5110">
        <v>2</v>
      </c>
      <c r="G5110">
        <v>0.2</v>
      </c>
      <c r="H5110" s="2">
        <v>0.41759999999999986</v>
      </c>
      <c r="I5110" s="2">
        <v>2.7840000000000003</v>
      </c>
    </row>
    <row r="5111" spans="1:9" x14ac:dyDescent="0.3">
      <c r="A5111" t="str">
        <f t="shared" si="1640"/>
        <v>United States</v>
      </c>
      <c r="B5111" t="str">
        <f t="shared" si="1658"/>
        <v>Tallahassee</v>
      </c>
      <c r="C5111" t="str">
        <f t="shared" si="1659"/>
        <v>Second Class</v>
      </c>
      <c r="D5111" t="str">
        <f t="shared" si="1660"/>
        <v>Consumer</v>
      </c>
      <c r="E5111" t="s">
        <v>16</v>
      </c>
      <c r="F5111">
        <v>7</v>
      </c>
      <c r="G5111">
        <v>0.4</v>
      </c>
      <c r="H5111" s="2">
        <v>18.432999999999996</v>
      </c>
      <c r="I5111" s="2">
        <v>58.288000000000004</v>
      </c>
    </row>
    <row r="5112" spans="1:9" x14ac:dyDescent="0.3">
      <c r="A5112" t="str">
        <f t="shared" si="1640"/>
        <v>United States</v>
      </c>
      <c r="B5112" t="str">
        <f t="shared" si="1658"/>
        <v>Tallahassee</v>
      </c>
      <c r="C5112" t="str">
        <f t="shared" si="1659"/>
        <v>Second Class</v>
      </c>
      <c r="D5112" t="str">
        <f t="shared" si="1660"/>
        <v>Consumer</v>
      </c>
      <c r="E5112" t="s">
        <v>24</v>
      </c>
      <c r="F5112">
        <v>13</v>
      </c>
      <c r="G5112">
        <v>0.2</v>
      </c>
      <c r="H5112" s="2">
        <v>327.59220000000005</v>
      </c>
      <c r="I5112" s="2">
        <v>4367.8960000000006</v>
      </c>
    </row>
    <row r="5113" spans="1:9" x14ac:dyDescent="0.3">
      <c r="A5113" t="str">
        <f t="shared" si="1640"/>
        <v>United States</v>
      </c>
      <c r="B5113" t="str">
        <f t="shared" si="1658"/>
        <v>Tallahassee</v>
      </c>
      <c r="C5113" t="s">
        <v>22</v>
      </c>
      <c r="D5113" t="s">
        <v>8</v>
      </c>
      <c r="E5113" t="s">
        <v>20</v>
      </c>
      <c r="F5113">
        <v>3</v>
      </c>
      <c r="G5113">
        <v>0.7</v>
      </c>
      <c r="H5113" s="2">
        <v>-6.0323999999999991</v>
      </c>
      <c r="I5113" s="2">
        <v>8.2260000000000009</v>
      </c>
    </row>
    <row r="5114" spans="1:9" x14ac:dyDescent="0.3">
      <c r="A5114" t="str">
        <f t="shared" si="1640"/>
        <v>United States</v>
      </c>
      <c r="B5114" t="str">
        <f t="shared" si="1658"/>
        <v>Tallahassee</v>
      </c>
      <c r="C5114" t="str">
        <f t="shared" ref="C5114:C5122" si="1661">C5113</f>
        <v>Standard Class</v>
      </c>
      <c r="D5114" t="str">
        <f t="shared" ref="D5114:D5115" si="1662">D5113</f>
        <v>Consumer</v>
      </c>
      <c r="E5114" t="s">
        <v>16</v>
      </c>
      <c r="F5114">
        <v>5</v>
      </c>
      <c r="G5114">
        <v>0.2</v>
      </c>
      <c r="H5114" s="2">
        <v>9.3520000000000003</v>
      </c>
      <c r="I5114" s="2">
        <v>26.720000000000002</v>
      </c>
    </row>
    <row r="5115" spans="1:9" x14ac:dyDescent="0.3">
      <c r="A5115" t="str">
        <f t="shared" si="1640"/>
        <v>United States</v>
      </c>
      <c r="B5115" t="str">
        <f t="shared" si="1658"/>
        <v>Tallahassee</v>
      </c>
      <c r="C5115" t="str">
        <f t="shared" si="1661"/>
        <v>Standard Class</v>
      </c>
      <c r="D5115" t="str">
        <f t="shared" si="1662"/>
        <v>Consumer</v>
      </c>
      <c r="E5115" t="s">
        <v>24</v>
      </c>
      <c r="F5115">
        <v>7</v>
      </c>
      <c r="G5115">
        <v>0.2</v>
      </c>
      <c r="H5115" s="2">
        <v>70.554400000000072</v>
      </c>
      <c r="I5115" s="2">
        <v>705.54399999999998</v>
      </c>
    </row>
    <row r="5116" spans="1:9" x14ac:dyDescent="0.3">
      <c r="A5116" t="str">
        <f t="shared" si="1640"/>
        <v>United States</v>
      </c>
      <c r="B5116" t="str">
        <f t="shared" si="1658"/>
        <v>Tallahassee</v>
      </c>
      <c r="C5116" t="str">
        <f t="shared" si="1661"/>
        <v>Standard Class</v>
      </c>
      <c r="D5116" t="s">
        <v>15</v>
      </c>
      <c r="E5116" t="s">
        <v>19</v>
      </c>
      <c r="F5116">
        <v>3</v>
      </c>
      <c r="G5116">
        <v>0.2</v>
      </c>
      <c r="H5116" s="2">
        <v>0.57540000000000058</v>
      </c>
      <c r="I5116" s="2">
        <v>6.5760000000000005</v>
      </c>
    </row>
    <row r="5117" spans="1:9" x14ac:dyDescent="0.3">
      <c r="A5117" t="str">
        <f t="shared" si="1640"/>
        <v>United States</v>
      </c>
      <c r="B5117" t="str">
        <f t="shared" si="1658"/>
        <v>Tallahassee</v>
      </c>
      <c r="C5117" t="str">
        <f t="shared" si="1661"/>
        <v>Standard Class</v>
      </c>
      <c r="D5117" t="str">
        <f t="shared" ref="D5117:D5119" si="1663">D5116</f>
        <v>Corporate</v>
      </c>
      <c r="E5117" t="s">
        <v>20</v>
      </c>
      <c r="F5117">
        <v>3</v>
      </c>
      <c r="G5117">
        <v>0.7</v>
      </c>
      <c r="H5117" s="2">
        <v>-3.9248999999999974</v>
      </c>
      <c r="I5117" s="2">
        <v>5.6070000000000011</v>
      </c>
    </row>
    <row r="5118" spans="1:9" x14ac:dyDescent="0.3">
      <c r="A5118" t="str">
        <f t="shared" si="1640"/>
        <v>United States</v>
      </c>
      <c r="B5118" t="str">
        <f t="shared" si="1658"/>
        <v>Tallahassee</v>
      </c>
      <c r="C5118" t="str">
        <f t="shared" si="1661"/>
        <v>Standard Class</v>
      </c>
      <c r="D5118" t="str">
        <f t="shared" si="1663"/>
        <v>Corporate</v>
      </c>
      <c r="E5118" t="s">
        <v>33</v>
      </c>
      <c r="F5118">
        <v>8</v>
      </c>
      <c r="G5118">
        <v>0.2</v>
      </c>
      <c r="H5118" s="2">
        <v>-24.39200000000001</v>
      </c>
      <c r="I5118" s="2">
        <v>390.27199999999999</v>
      </c>
    </row>
    <row r="5119" spans="1:9" x14ac:dyDescent="0.3">
      <c r="A5119" t="str">
        <f t="shared" si="1640"/>
        <v>United States</v>
      </c>
      <c r="B5119" t="str">
        <f t="shared" si="1658"/>
        <v>Tallahassee</v>
      </c>
      <c r="C5119" t="str">
        <f t="shared" si="1661"/>
        <v>Standard Class</v>
      </c>
      <c r="D5119" t="str">
        <f t="shared" si="1663"/>
        <v>Corporate</v>
      </c>
      <c r="E5119" t="s">
        <v>16</v>
      </c>
      <c r="F5119">
        <v>20</v>
      </c>
      <c r="G5119">
        <v>0.4</v>
      </c>
      <c r="H5119" s="2">
        <v>40.019199999999998</v>
      </c>
      <c r="I5119" s="2">
        <v>118.976</v>
      </c>
    </row>
    <row r="5120" spans="1:9" x14ac:dyDescent="0.3">
      <c r="A5120" t="str">
        <f t="shared" si="1640"/>
        <v>United States</v>
      </c>
      <c r="B5120" t="str">
        <f t="shared" si="1658"/>
        <v>Tallahassee</v>
      </c>
      <c r="C5120" t="str">
        <f t="shared" si="1661"/>
        <v>Standard Class</v>
      </c>
      <c r="D5120" t="s">
        <v>17</v>
      </c>
      <c r="E5120" t="s">
        <v>23</v>
      </c>
      <c r="F5120">
        <v>3</v>
      </c>
      <c r="G5120">
        <v>0.2</v>
      </c>
      <c r="H5120" s="2">
        <v>-75.59580000000004</v>
      </c>
      <c r="I5120" s="2">
        <v>431.97600000000006</v>
      </c>
    </row>
    <row r="5121" spans="1:9" x14ac:dyDescent="0.3">
      <c r="A5121" t="str">
        <f t="shared" si="1640"/>
        <v>United States</v>
      </c>
      <c r="B5121" t="str">
        <f t="shared" si="1658"/>
        <v>Tallahassee</v>
      </c>
      <c r="C5121" t="str">
        <f t="shared" si="1661"/>
        <v>Standard Class</v>
      </c>
      <c r="D5121" t="str">
        <f t="shared" ref="D5121:D5122" si="1664">D5120</f>
        <v>Home Office</v>
      </c>
      <c r="E5121" t="s">
        <v>16</v>
      </c>
      <c r="F5121">
        <v>4</v>
      </c>
      <c r="G5121">
        <v>0.2</v>
      </c>
      <c r="H5121" s="2">
        <v>31.4712</v>
      </c>
      <c r="I5121" s="2">
        <v>93.248000000000005</v>
      </c>
    </row>
    <row r="5122" spans="1:9" x14ac:dyDescent="0.3">
      <c r="A5122" t="str">
        <f t="shared" si="1640"/>
        <v>United States</v>
      </c>
      <c r="B5122" t="str">
        <f t="shared" si="1658"/>
        <v>Tallahassee</v>
      </c>
      <c r="C5122" t="str">
        <f t="shared" si="1661"/>
        <v>Standard Class</v>
      </c>
      <c r="D5122" t="str">
        <f t="shared" si="1664"/>
        <v>Home Office</v>
      </c>
      <c r="E5122" t="s">
        <v>24</v>
      </c>
      <c r="F5122">
        <v>3</v>
      </c>
      <c r="G5122">
        <v>0.2</v>
      </c>
      <c r="H5122" s="2">
        <v>19.966499999999982</v>
      </c>
      <c r="I5122" s="2">
        <v>177.48000000000002</v>
      </c>
    </row>
    <row r="5123" spans="1:9" x14ac:dyDescent="0.3">
      <c r="A5123" t="str">
        <f t="shared" si="1640"/>
        <v>United States</v>
      </c>
      <c r="B5123" t="s">
        <v>502</v>
      </c>
      <c r="C5123" t="s">
        <v>7</v>
      </c>
      <c r="D5123" t="s">
        <v>15</v>
      </c>
      <c r="E5123" t="s">
        <v>12</v>
      </c>
      <c r="F5123">
        <v>2</v>
      </c>
      <c r="G5123">
        <v>0.2</v>
      </c>
      <c r="H5123" s="2">
        <v>24.315999999999974</v>
      </c>
      <c r="I5123" s="2">
        <v>194.52800000000002</v>
      </c>
    </row>
    <row r="5124" spans="1:9" x14ac:dyDescent="0.3">
      <c r="A5124" t="str">
        <f t="shared" ref="A5124:A5187" si="1665">A5123</f>
        <v>United States</v>
      </c>
      <c r="B5124" t="str">
        <f t="shared" ref="B5124:B5126" si="1666">B5123</f>
        <v>Tamarac</v>
      </c>
      <c r="C5124" t="str">
        <f t="shared" ref="C5124:C5126" si="1667">C5123</f>
        <v>Second Class</v>
      </c>
      <c r="D5124" t="str">
        <f t="shared" ref="D5124:D5125" si="1668">D5123</f>
        <v>Corporate</v>
      </c>
      <c r="E5124" t="s">
        <v>20</v>
      </c>
      <c r="F5124">
        <v>7</v>
      </c>
      <c r="G5124">
        <v>0.7</v>
      </c>
      <c r="H5124" s="2">
        <v>-169.3719999999999</v>
      </c>
      <c r="I5124" s="2">
        <v>254.05800000000002</v>
      </c>
    </row>
    <row r="5125" spans="1:9" x14ac:dyDescent="0.3">
      <c r="A5125" t="str">
        <f t="shared" si="1665"/>
        <v>United States</v>
      </c>
      <c r="B5125" t="str">
        <f t="shared" si="1666"/>
        <v>Tamarac</v>
      </c>
      <c r="C5125" t="str">
        <f t="shared" si="1667"/>
        <v>Second Class</v>
      </c>
      <c r="D5125" t="str">
        <f t="shared" si="1668"/>
        <v>Corporate</v>
      </c>
      <c r="E5125" t="s">
        <v>9</v>
      </c>
      <c r="F5125">
        <v>5</v>
      </c>
      <c r="G5125">
        <v>0.2</v>
      </c>
      <c r="H5125" s="2">
        <v>-204.31449999999995</v>
      </c>
      <c r="I5125" s="2">
        <v>961.48000000000013</v>
      </c>
    </row>
    <row r="5126" spans="1:9" x14ac:dyDescent="0.3">
      <c r="A5126" t="str">
        <f t="shared" si="1665"/>
        <v>United States</v>
      </c>
      <c r="B5126" t="str">
        <f t="shared" si="1666"/>
        <v>Tamarac</v>
      </c>
      <c r="C5126" t="str">
        <f t="shared" si="1667"/>
        <v>Second Class</v>
      </c>
      <c r="D5126" t="s">
        <v>17</v>
      </c>
      <c r="E5126" t="s">
        <v>20</v>
      </c>
      <c r="F5126">
        <v>1</v>
      </c>
      <c r="G5126">
        <v>0.7</v>
      </c>
      <c r="H5126" s="2">
        <v>-2.5255999999999998</v>
      </c>
      <c r="I5126" s="2">
        <v>3.4440000000000008</v>
      </c>
    </row>
    <row r="5127" spans="1:9" x14ac:dyDescent="0.3">
      <c r="A5127" t="str">
        <f t="shared" si="1665"/>
        <v>United States</v>
      </c>
      <c r="B5127" t="s">
        <v>503</v>
      </c>
      <c r="C5127" t="s">
        <v>11</v>
      </c>
      <c r="D5127" t="s">
        <v>8</v>
      </c>
      <c r="E5127" t="s">
        <v>23</v>
      </c>
      <c r="F5127">
        <v>1</v>
      </c>
      <c r="G5127">
        <v>0.2</v>
      </c>
      <c r="H5127" s="2">
        <v>-0.7295000000000007</v>
      </c>
      <c r="I5127" s="2">
        <v>11.672000000000001</v>
      </c>
    </row>
    <row r="5128" spans="1:9" x14ac:dyDescent="0.3">
      <c r="A5128" t="str">
        <f t="shared" si="1665"/>
        <v>United States</v>
      </c>
      <c r="B5128" t="str">
        <f t="shared" ref="B5128:B5151" si="1669">B5127</f>
        <v>Tampa</v>
      </c>
      <c r="C5128" t="str">
        <f>C5127</f>
        <v>First Class</v>
      </c>
      <c r="D5128" t="s">
        <v>15</v>
      </c>
      <c r="E5128" t="s">
        <v>38</v>
      </c>
      <c r="F5128">
        <v>1</v>
      </c>
      <c r="G5128">
        <v>0.2</v>
      </c>
      <c r="H5128" s="2">
        <v>0.97739999999999994</v>
      </c>
      <c r="I5128" s="2">
        <v>2.8960000000000004</v>
      </c>
    </row>
    <row r="5129" spans="1:9" x14ac:dyDescent="0.3">
      <c r="A5129" t="str">
        <f t="shared" si="1665"/>
        <v>United States</v>
      </c>
      <c r="B5129" t="str">
        <f t="shared" si="1669"/>
        <v>Tampa</v>
      </c>
      <c r="C5129" t="s">
        <v>27</v>
      </c>
      <c r="D5129" t="s">
        <v>8</v>
      </c>
      <c r="E5129" t="s">
        <v>19</v>
      </c>
      <c r="F5129">
        <v>2</v>
      </c>
      <c r="G5129">
        <v>0.2</v>
      </c>
      <c r="H5129" s="2">
        <v>1.0584000000000002</v>
      </c>
      <c r="I5129" s="2">
        <v>4.032</v>
      </c>
    </row>
    <row r="5130" spans="1:9" x14ac:dyDescent="0.3">
      <c r="A5130" t="str">
        <f t="shared" si="1665"/>
        <v>United States</v>
      </c>
      <c r="B5130" t="str">
        <f t="shared" si="1669"/>
        <v>Tampa</v>
      </c>
      <c r="C5130" t="str">
        <f t="shared" ref="C5130:C5131" si="1670">C5129</f>
        <v>Same Day</v>
      </c>
      <c r="D5130" t="str">
        <f t="shared" ref="D5130:D5131" si="1671">D5129</f>
        <v>Consumer</v>
      </c>
      <c r="E5130" t="s">
        <v>20</v>
      </c>
      <c r="F5130">
        <v>5</v>
      </c>
      <c r="G5130">
        <v>0.7</v>
      </c>
      <c r="H5130" s="2">
        <v>-10.116</v>
      </c>
      <c r="I5130" s="2">
        <v>12.645000000000001</v>
      </c>
    </row>
    <row r="5131" spans="1:9" x14ac:dyDescent="0.3">
      <c r="A5131" t="str">
        <f t="shared" si="1665"/>
        <v>United States</v>
      </c>
      <c r="B5131" t="str">
        <f t="shared" si="1669"/>
        <v>Tampa</v>
      </c>
      <c r="C5131" t="str">
        <f t="shared" si="1670"/>
        <v>Same Day</v>
      </c>
      <c r="D5131" t="str">
        <f t="shared" si="1671"/>
        <v>Consumer</v>
      </c>
      <c r="E5131" t="s">
        <v>33</v>
      </c>
      <c r="F5131">
        <v>7</v>
      </c>
      <c r="G5131">
        <v>0.2</v>
      </c>
      <c r="H5131" s="2">
        <v>98.480200000000082</v>
      </c>
      <c r="I5131" s="2">
        <v>1125.4879999999998</v>
      </c>
    </row>
    <row r="5132" spans="1:9" x14ac:dyDescent="0.3">
      <c r="A5132" t="str">
        <f t="shared" si="1665"/>
        <v>United States</v>
      </c>
      <c r="B5132" t="str">
        <f t="shared" si="1669"/>
        <v>Tampa</v>
      </c>
      <c r="C5132" t="s">
        <v>7</v>
      </c>
      <c r="D5132" t="s">
        <v>8</v>
      </c>
      <c r="E5132" t="s">
        <v>12</v>
      </c>
      <c r="F5132">
        <v>5</v>
      </c>
      <c r="G5132">
        <v>0.2</v>
      </c>
      <c r="H5132" s="2">
        <v>1.3000000000000007</v>
      </c>
      <c r="I5132" s="2">
        <v>13</v>
      </c>
    </row>
    <row r="5133" spans="1:9" x14ac:dyDescent="0.3">
      <c r="A5133" t="str">
        <f t="shared" si="1665"/>
        <v>United States</v>
      </c>
      <c r="B5133" t="str">
        <f t="shared" si="1669"/>
        <v>Tampa</v>
      </c>
      <c r="C5133" t="str">
        <f t="shared" ref="C5133:C5137" si="1672">C5132</f>
        <v>Second Class</v>
      </c>
      <c r="D5133" t="str">
        <f t="shared" ref="D5133:D5137" si="1673">D5132</f>
        <v>Consumer</v>
      </c>
      <c r="E5133" t="s">
        <v>19</v>
      </c>
      <c r="F5133">
        <v>1</v>
      </c>
      <c r="G5133">
        <v>0.2</v>
      </c>
      <c r="H5133" s="2">
        <v>0.504</v>
      </c>
      <c r="I5133" s="2">
        <v>1.3440000000000001</v>
      </c>
    </row>
    <row r="5134" spans="1:9" x14ac:dyDescent="0.3">
      <c r="A5134" t="str">
        <f t="shared" si="1665"/>
        <v>United States</v>
      </c>
      <c r="B5134" t="str">
        <f t="shared" si="1669"/>
        <v>Tampa</v>
      </c>
      <c r="C5134" t="str">
        <f t="shared" si="1672"/>
        <v>Second Class</v>
      </c>
      <c r="D5134" t="str">
        <f t="shared" si="1673"/>
        <v>Consumer</v>
      </c>
      <c r="E5134" t="s">
        <v>33</v>
      </c>
      <c r="F5134">
        <v>1</v>
      </c>
      <c r="G5134">
        <v>0.2</v>
      </c>
      <c r="H5134" s="2">
        <v>6.4784000000000042</v>
      </c>
      <c r="I5134" s="2">
        <v>64.784000000000006</v>
      </c>
    </row>
    <row r="5135" spans="1:9" x14ac:dyDescent="0.3">
      <c r="A5135" t="str">
        <f t="shared" si="1665"/>
        <v>United States</v>
      </c>
      <c r="B5135" t="str">
        <f t="shared" si="1669"/>
        <v>Tampa</v>
      </c>
      <c r="C5135" t="str">
        <f t="shared" si="1672"/>
        <v>Second Class</v>
      </c>
      <c r="D5135" t="str">
        <f t="shared" si="1673"/>
        <v>Consumer</v>
      </c>
      <c r="E5135" t="s">
        <v>21</v>
      </c>
      <c r="F5135">
        <v>3</v>
      </c>
      <c r="G5135">
        <v>0.2</v>
      </c>
      <c r="H5135" s="2">
        <v>3.7743000000000002</v>
      </c>
      <c r="I5135" s="2">
        <v>13.128</v>
      </c>
    </row>
    <row r="5136" spans="1:9" x14ac:dyDescent="0.3">
      <c r="A5136" t="str">
        <f t="shared" si="1665"/>
        <v>United States</v>
      </c>
      <c r="B5136" t="str">
        <f t="shared" si="1669"/>
        <v>Tampa</v>
      </c>
      <c r="C5136" t="str">
        <f t="shared" si="1672"/>
        <v>Second Class</v>
      </c>
      <c r="D5136" t="str">
        <f t="shared" si="1673"/>
        <v>Consumer</v>
      </c>
      <c r="E5136" t="s">
        <v>16</v>
      </c>
      <c r="F5136">
        <v>3</v>
      </c>
      <c r="G5136">
        <v>0.2</v>
      </c>
      <c r="H5136" s="2">
        <v>15.934799999999997</v>
      </c>
      <c r="I5136" s="2">
        <v>45.527999999999999</v>
      </c>
    </row>
    <row r="5137" spans="1:9" x14ac:dyDescent="0.3">
      <c r="A5137" t="str">
        <f t="shared" si="1665"/>
        <v>United States</v>
      </c>
      <c r="B5137" t="str">
        <f t="shared" si="1669"/>
        <v>Tampa</v>
      </c>
      <c r="C5137" t="str">
        <f t="shared" si="1672"/>
        <v>Second Class</v>
      </c>
      <c r="D5137" t="str">
        <f t="shared" si="1673"/>
        <v>Consumer</v>
      </c>
      <c r="E5137" t="s">
        <v>14</v>
      </c>
      <c r="F5137">
        <v>7</v>
      </c>
      <c r="G5137">
        <v>0.4</v>
      </c>
      <c r="H5137" s="2">
        <v>-11.655800000000053</v>
      </c>
      <c r="I5137" s="2">
        <v>508.19200000000006</v>
      </c>
    </row>
    <row r="5138" spans="1:9" x14ac:dyDescent="0.3">
      <c r="A5138" t="str">
        <f t="shared" si="1665"/>
        <v>United States</v>
      </c>
      <c r="B5138" t="str">
        <f t="shared" si="1669"/>
        <v>Tampa</v>
      </c>
      <c r="C5138" t="s">
        <v>22</v>
      </c>
      <c r="D5138" t="s">
        <v>8</v>
      </c>
      <c r="E5138" t="s">
        <v>20</v>
      </c>
      <c r="F5138">
        <v>12</v>
      </c>
      <c r="G5138">
        <v>2.0999999999999996</v>
      </c>
      <c r="H5138" s="2">
        <v>-63.937999999999995</v>
      </c>
      <c r="I5138" s="2">
        <v>88.596000000000018</v>
      </c>
    </row>
    <row r="5139" spans="1:9" x14ac:dyDescent="0.3">
      <c r="A5139" t="str">
        <f t="shared" si="1665"/>
        <v>United States</v>
      </c>
      <c r="B5139" t="str">
        <f t="shared" si="1669"/>
        <v>Tampa</v>
      </c>
      <c r="C5139" t="str">
        <f t="shared" ref="C5139:C5151" si="1674">C5138</f>
        <v>Standard Class</v>
      </c>
      <c r="D5139" t="str">
        <f t="shared" ref="D5139:D5141" si="1675">D5138</f>
        <v>Consumer</v>
      </c>
      <c r="E5139" t="s">
        <v>21</v>
      </c>
      <c r="F5139">
        <v>10</v>
      </c>
      <c r="G5139">
        <v>0.8</v>
      </c>
      <c r="H5139" s="2">
        <v>31.731999999999992</v>
      </c>
      <c r="I5139" s="2">
        <v>175.488</v>
      </c>
    </row>
    <row r="5140" spans="1:9" x14ac:dyDescent="0.3">
      <c r="A5140" t="str">
        <f t="shared" si="1665"/>
        <v>United States</v>
      </c>
      <c r="B5140" t="str">
        <f t="shared" si="1669"/>
        <v>Tampa</v>
      </c>
      <c r="C5140" t="str">
        <f t="shared" si="1674"/>
        <v>Standard Class</v>
      </c>
      <c r="D5140" t="str">
        <f t="shared" si="1675"/>
        <v>Consumer</v>
      </c>
      <c r="E5140" t="s">
        <v>16</v>
      </c>
      <c r="F5140">
        <v>3</v>
      </c>
      <c r="G5140">
        <v>0.2</v>
      </c>
      <c r="H5140" s="2">
        <v>47.815200000000004</v>
      </c>
      <c r="I5140" s="2">
        <v>131.904</v>
      </c>
    </row>
    <row r="5141" spans="1:9" x14ac:dyDescent="0.3">
      <c r="A5141" t="str">
        <f t="shared" si="1665"/>
        <v>United States</v>
      </c>
      <c r="B5141" t="str">
        <f t="shared" si="1669"/>
        <v>Tampa</v>
      </c>
      <c r="C5141" t="str">
        <f t="shared" si="1674"/>
        <v>Standard Class</v>
      </c>
      <c r="D5141" t="str">
        <f t="shared" si="1675"/>
        <v>Consumer</v>
      </c>
      <c r="E5141" t="s">
        <v>14</v>
      </c>
      <c r="F5141">
        <v>1</v>
      </c>
      <c r="G5141">
        <v>0.2</v>
      </c>
      <c r="H5141" s="2">
        <v>17.84699999999998</v>
      </c>
      <c r="I5141" s="2">
        <v>142.77600000000001</v>
      </c>
    </row>
    <row r="5142" spans="1:9" x14ac:dyDescent="0.3">
      <c r="A5142" t="str">
        <f t="shared" si="1665"/>
        <v>United States</v>
      </c>
      <c r="B5142" t="str">
        <f t="shared" si="1669"/>
        <v>Tampa</v>
      </c>
      <c r="C5142" t="str">
        <f t="shared" si="1674"/>
        <v>Standard Class</v>
      </c>
      <c r="D5142" t="s">
        <v>15</v>
      </c>
      <c r="E5142" t="s">
        <v>12</v>
      </c>
      <c r="F5142">
        <v>2</v>
      </c>
      <c r="G5142">
        <v>0.2</v>
      </c>
      <c r="H5142" s="2">
        <v>6.5164</v>
      </c>
      <c r="I5142" s="2">
        <v>23.696000000000002</v>
      </c>
    </row>
    <row r="5143" spans="1:9" x14ac:dyDescent="0.3">
      <c r="A5143" t="str">
        <f t="shared" si="1665"/>
        <v>United States</v>
      </c>
      <c r="B5143" t="str">
        <f t="shared" si="1669"/>
        <v>Tampa</v>
      </c>
      <c r="C5143" t="str">
        <f t="shared" si="1674"/>
        <v>Standard Class</v>
      </c>
      <c r="D5143" t="str">
        <f t="shared" ref="D5143:D5146" si="1676">D5142</f>
        <v>Corporate</v>
      </c>
      <c r="E5143" t="s">
        <v>19</v>
      </c>
      <c r="F5143">
        <v>8</v>
      </c>
      <c r="G5143">
        <v>0.4</v>
      </c>
      <c r="H5143" s="2">
        <v>13.435199999999982</v>
      </c>
      <c r="I5143" s="2">
        <v>207.92000000000002</v>
      </c>
    </row>
    <row r="5144" spans="1:9" x14ac:dyDescent="0.3">
      <c r="A5144" t="str">
        <f t="shared" si="1665"/>
        <v>United States</v>
      </c>
      <c r="B5144" t="str">
        <f t="shared" si="1669"/>
        <v>Tampa</v>
      </c>
      <c r="C5144" t="str">
        <f t="shared" si="1674"/>
        <v>Standard Class</v>
      </c>
      <c r="D5144" t="str">
        <f t="shared" si="1676"/>
        <v>Corporate</v>
      </c>
      <c r="E5144" t="s">
        <v>21</v>
      </c>
      <c r="F5144">
        <v>3</v>
      </c>
      <c r="G5144">
        <v>0.2</v>
      </c>
      <c r="H5144" s="2">
        <v>14.299199999999999</v>
      </c>
      <c r="I5144" s="2">
        <v>63.552000000000007</v>
      </c>
    </row>
    <row r="5145" spans="1:9" x14ac:dyDescent="0.3">
      <c r="A5145" t="str">
        <f t="shared" si="1665"/>
        <v>United States</v>
      </c>
      <c r="B5145" t="str">
        <f t="shared" si="1669"/>
        <v>Tampa</v>
      </c>
      <c r="C5145" t="str">
        <f t="shared" si="1674"/>
        <v>Standard Class</v>
      </c>
      <c r="D5145" t="str">
        <f t="shared" si="1676"/>
        <v>Corporate</v>
      </c>
      <c r="E5145" t="s">
        <v>46</v>
      </c>
      <c r="F5145">
        <v>1</v>
      </c>
      <c r="G5145">
        <v>0.5</v>
      </c>
      <c r="H5145" s="2">
        <v>-111.49950000000007</v>
      </c>
      <c r="I5145" s="2">
        <v>265.47500000000002</v>
      </c>
    </row>
    <row r="5146" spans="1:9" x14ac:dyDescent="0.3">
      <c r="A5146" t="str">
        <f t="shared" si="1665"/>
        <v>United States</v>
      </c>
      <c r="B5146" t="str">
        <f t="shared" si="1669"/>
        <v>Tampa</v>
      </c>
      <c r="C5146" t="str">
        <f t="shared" si="1674"/>
        <v>Standard Class</v>
      </c>
      <c r="D5146" t="str">
        <f t="shared" si="1676"/>
        <v>Corporate</v>
      </c>
      <c r="E5146" t="s">
        <v>9</v>
      </c>
      <c r="F5146">
        <v>3</v>
      </c>
      <c r="G5146">
        <v>0.2</v>
      </c>
      <c r="H5146" s="2">
        <v>4.6547999999999927</v>
      </c>
      <c r="I5146" s="2">
        <v>41.375999999999998</v>
      </c>
    </row>
    <row r="5147" spans="1:9" x14ac:dyDescent="0.3">
      <c r="A5147" t="str">
        <f t="shared" si="1665"/>
        <v>United States</v>
      </c>
      <c r="B5147" t="str">
        <f t="shared" si="1669"/>
        <v>Tampa</v>
      </c>
      <c r="C5147" t="str">
        <f t="shared" si="1674"/>
        <v>Standard Class</v>
      </c>
      <c r="D5147" t="s">
        <v>17</v>
      </c>
      <c r="E5147" t="s">
        <v>23</v>
      </c>
      <c r="F5147">
        <v>3</v>
      </c>
      <c r="G5147">
        <v>0.2</v>
      </c>
      <c r="H5147" s="2">
        <v>-7.724700000000098</v>
      </c>
      <c r="I5147" s="2">
        <v>617.97600000000011</v>
      </c>
    </row>
    <row r="5148" spans="1:9" x14ac:dyDescent="0.3">
      <c r="A5148" t="str">
        <f t="shared" si="1665"/>
        <v>United States</v>
      </c>
      <c r="B5148" t="str">
        <f t="shared" si="1669"/>
        <v>Tampa</v>
      </c>
      <c r="C5148" t="str">
        <f t="shared" si="1674"/>
        <v>Standard Class</v>
      </c>
      <c r="D5148" t="str">
        <f t="shared" ref="D5148:D5151" si="1677">D5147</f>
        <v>Home Office</v>
      </c>
      <c r="E5148" t="s">
        <v>20</v>
      </c>
      <c r="F5148">
        <v>12</v>
      </c>
      <c r="G5148">
        <v>2.8</v>
      </c>
      <c r="H5148" s="2">
        <v>-66.520800000000008</v>
      </c>
      <c r="I5148" s="2">
        <v>89.610000000000014</v>
      </c>
    </row>
    <row r="5149" spans="1:9" x14ac:dyDescent="0.3">
      <c r="A5149" t="str">
        <f t="shared" si="1665"/>
        <v>United States</v>
      </c>
      <c r="B5149" t="str">
        <f t="shared" si="1669"/>
        <v>Tampa</v>
      </c>
      <c r="C5149" t="str">
        <f t="shared" si="1674"/>
        <v>Standard Class</v>
      </c>
      <c r="D5149" t="str">
        <f t="shared" si="1677"/>
        <v>Home Office</v>
      </c>
      <c r="E5149" t="s">
        <v>21</v>
      </c>
      <c r="F5149">
        <v>3</v>
      </c>
      <c r="G5149">
        <v>0.2</v>
      </c>
      <c r="H5149" s="2">
        <v>0</v>
      </c>
      <c r="I5149" s="2">
        <v>258.072</v>
      </c>
    </row>
    <row r="5150" spans="1:9" x14ac:dyDescent="0.3">
      <c r="A5150" t="str">
        <f t="shared" si="1665"/>
        <v>United States</v>
      </c>
      <c r="B5150" t="str">
        <f t="shared" si="1669"/>
        <v>Tampa</v>
      </c>
      <c r="C5150" t="str">
        <f t="shared" si="1674"/>
        <v>Standard Class</v>
      </c>
      <c r="D5150" t="str">
        <f t="shared" si="1677"/>
        <v>Home Office</v>
      </c>
      <c r="E5150" t="s">
        <v>14</v>
      </c>
      <c r="F5150">
        <v>3</v>
      </c>
      <c r="G5150">
        <v>0.2</v>
      </c>
      <c r="H5150" s="2">
        <v>32.434200000000004</v>
      </c>
      <c r="I5150" s="2">
        <v>432.45600000000002</v>
      </c>
    </row>
    <row r="5151" spans="1:9" x14ac:dyDescent="0.3">
      <c r="A5151" t="str">
        <f t="shared" si="1665"/>
        <v>United States</v>
      </c>
      <c r="B5151" t="str">
        <f t="shared" si="1669"/>
        <v>Tampa</v>
      </c>
      <c r="C5151" t="str">
        <f t="shared" si="1674"/>
        <v>Standard Class</v>
      </c>
      <c r="D5151" t="str">
        <f t="shared" si="1677"/>
        <v>Home Office</v>
      </c>
      <c r="E5151" t="s">
        <v>25</v>
      </c>
      <c r="F5151">
        <v>5</v>
      </c>
      <c r="G5151">
        <v>0.9</v>
      </c>
      <c r="H5151" s="2">
        <v>-350.29379999999992</v>
      </c>
      <c r="I5151" s="2">
        <v>854.47450000000015</v>
      </c>
    </row>
    <row r="5152" spans="1:9" x14ac:dyDescent="0.3">
      <c r="A5152" t="str">
        <f t="shared" si="1665"/>
        <v>United States</v>
      </c>
      <c r="B5152" t="s">
        <v>504</v>
      </c>
      <c r="C5152" t="s">
        <v>7</v>
      </c>
      <c r="D5152" t="s">
        <v>8</v>
      </c>
      <c r="E5152" t="s">
        <v>33</v>
      </c>
      <c r="F5152">
        <v>2</v>
      </c>
      <c r="G5152">
        <v>0</v>
      </c>
      <c r="H5152" s="2">
        <v>33.215599999999995</v>
      </c>
      <c r="I5152" s="2">
        <v>301.95999999999998</v>
      </c>
    </row>
    <row r="5153" spans="1:9" x14ac:dyDescent="0.3">
      <c r="A5153" t="str">
        <f t="shared" si="1665"/>
        <v>United States</v>
      </c>
      <c r="B5153" t="str">
        <f t="shared" ref="B5153:B5154" si="1678">B5152</f>
        <v>Taylor</v>
      </c>
      <c r="C5153" t="str">
        <f>C5152</f>
        <v>Second Class</v>
      </c>
      <c r="D5153" t="s">
        <v>15</v>
      </c>
      <c r="E5153" t="s">
        <v>23</v>
      </c>
      <c r="F5153">
        <v>2</v>
      </c>
      <c r="G5153">
        <v>0</v>
      </c>
      <c r="H5153" s="2">
        <v>8.7989999999999995</v>
      </c>
      <c r="I5153" s="2">
        <v>41.9</v>
      </c>
    </row>
    <row r="5154" spans="1:9" x14ac:dyDescent="0.3">
      <c r="A5154" t="str">
        <f t="shared" si="1665"/>
        <v>United States</v>
      </c>
      <c r="B5154" t="str">
        <f t="shared" si="1678"/>
        <v>Taylor</v>
      </c>
      <c r="C5154" t="s">
        <v>22</v>
      </c>
      <c r="D5154" t="s">
        <v>15</v>
      </c>
      <c r="E5154" t="s">
        <v>19</v>
      </c>
      <c r="F5154">
        <v>3</v>
      </c>
      <c r="G5154">
        <v>0</v>
      </c>
      <c r="H5154" s="2">
        <v>2.8535999999999988</v>
      </c>
      <c r="I5154" s="2">
        <v>9.84</v>
      </c>
    </row>
    <row r="5155" spans="1:9" x14ac:dyDescent="0.3">
      <c r="A5155" t="str">
        <f t="shared" si="1665"/>
        <v>United States</v>
      </c>
      <c r="B5155" t="s">
        <v>505</v>
      </c>
      <c r="C5155" t="s">
        <v>11</v>
      </c>
      <c r="D5155" t="s">
        <v>8</v>
      </c>
      <c r="E5155" t="s">
        <v>23</v>
      </c>
      <c r="F5155">
        <v>6</v>
      </c>
      <c r="G5155">
        <v>0</v>
      </c>
      <c r="H5155" s="2">
        <v>42.59429999999999</v>
      </c>
      <c r="I5155" s="2">
        <v>285.09000000000003</v>
      </c>
    </row>
    <row r="5156" spans="1:9" x14ac:dyDescent="0.3">
      <c r="A5156" t="str">
        <f t="shared" si="1665"/>
        <v>United States</v>
      </c>
      <c r="B5156" t="str">
        <f t="shared" ref="B5156:B5157" si="1679">B5155</f>
        <v>Temecula</v>
      </c>
      <c r="C5156" t="str">
        <f t="shared" ref="C5156:C5157" si="1680">C5155</f>
        <v>First Class</v>
      </c>
      <c r="D5156" t="str">
        <f t="shared" ref="D5156:D5157" si="1681">D5155</f>
        <v>Consumer</v>
      </c>
      <c r="E5156" t="s">
        <v>20</v>
      </c>
      <c r="F5156">
        <v>5</v>
      </c>
      <c r="G5156">
        <v>0.2</v>
      </c>
      <c r="H5156" s="2">
        <v>9.8549999999999969</v>
      </c>
      <c r="I5156" s="2">
        <v>29.2</v>
      </c>
    </row>
    <row r="5157" spans="1:9" x14ac:dyDescent="0.3">
      <c r="A5157" t="str">
        <f t="shared" si="1665"/>
        <v>United States</v>
      </c>
      <c r="B5157" t="str">
        <f t="shared" si="1679"/>
        <v>Temecula</v>
      </c>
      <c r="C5157" t="str">
        <f t="shared" si="1680"/>
        <v>First Class</v>
      </c>
      <c r="D5157" t="str">
        <f t="shared" si="1681"/>
        <v>Consumer</v>
      </c>
      <c r="E5157" t="s">
        <v>24</v>
      </c>
      <c r="F5157">
        <v>3</v>
      </c>
      <c r="G5157">
        <v>0.2</v>
      </c>
      <c r="H5157" s="2">
        <v>49.437599999999975</v>
      </c>
      <c r="I5157" s="2">
        <v>494.37600000000009</v>
      </c>
    </row>
    <row r="5158" spans="1:9" x14ac:dyDescent="0.3">
      <c r="A5158" t="str">
        <f t="shared" si="1665"/>
        <v>United States</v>
      </c>
      <c r="B5158" t="s">
        <v>506</v>
      </c>
      <c r="C5158" t="s">
        <v>11</v>
      </c>
      <c r="D5158" t="s">
        <v>15</v>
      </c>
      <c r="E5158" t="s">
        <v>23</v>
      </c>
      <c r="F5158">
        <v>1</v>
      </c>
      <c r="G5158">
        <v>0.2</v>
      </c>
      <c r="H5158" s="2">
        <v>-8.9500000000001023E-2</v>
      </c>
      <c r="I5158" s="2">
        <v>7.16</v>
      </c>
    </row>
    <row r="5159" spans="1:9" x14ac:dyDescent="0.3">
      <c r="A5159" t="str">
        <f t="shared" si="1665"/>
        <v>United States</v>
      </c>
      <c r="B5159" t="str">
        <f t="shared" ref="B5159:B5169" si="1682">B5158</f>
        <v>Tempe</v>
      </c>
      <c r="C5159" t="str">
        <f t="shared" ref="C5159:C5163" si="1683">C5158</f>
        <v>First Class</v>
      </c>
      <c r="D5159" t="str">
        <f t="shared" ref="D5159:D5163" si="1684">D5158</f>
        <v>Corporate</v>
      </c>
      <c r="E5159" t="s">
        <v>38</v>
      </c>
      <c r="F5159">
        <v>6</v>
      </c>
      <c r="G5159">
        <v>0.2</v>
      </c>
      <c r="H5159" s="2">
        <v>4.628400000000001</v>
      </c>
      <c r="I5159" s="2">
        <v>12.768000000000001</v>
      </c>
    </row>
    <row r="5160" spans="1:9" x14ac:dyDescent="0.3">
      <c r="A5160" t="str">
        <f t="shared" si="1665"/>
        <v>United States</v>
      </c>
      <c r="B5160" t="str">
        <f t="shared" si="1682"/>
        <v>Tempe</v>
      </c>
      <c r="C5160" t="str">
        <f t="shared" si="1683"/>
        <v>First Class</v>
      </c>
      <c r="D5160" t="str">
        <f t="shared" si="1684"/>
        <v>Corporate</v>
      </c>
      <c r="E5160" t="s">
        <v>18</v>
      </c>
      <c r="F5160">
        <v>2</v>
      </c>
      <c r="G5160">
        <v>0.2</v>
      </c>
      <c r="H5160" s="2">
        <v>1.4599999999999997</v>
      </c>
      <c r="I5160" s="2">
        <v>4.6719999999999997</v>
      </c>
    </row>
    <row r="5161" spans="1:9" x14ac:dyDescent="0.3">
      <c r="A5161" t="str">
        <f t="shared" si="1665"/>
        <v>United States</v>
      </c>
      <c r="B5161" t="str">
        <f t="shared" si="1682"/>
        <v>Tempe</v>
      </c>
      <c r="C5161" t="str">
        <f t="shared" si="1683"/>
        <v>First Class</v>
      </c>
      <c r="D5161" t="str">
        <f t="shared" si="1684"/>
        <v>Corporate</v>
      </c>
      <c r="E5161" t="s">
        <v>16</v>
      </c>
      <c r="F5161">
        <v>2</v>
      </c>
      <c r="G5161">
        <v>0.2</v>
      </c>
      <c r="H5161" s="2">
        <v>3.4103999999999997</v>
      </c>
      <c r="I5161" s="2">
        <v>9.4079999999999995</v>
      </c>
    </row>
    <row r="5162" spans="1:9" x14ac:dyDescent="0.3">
      <c r="A5162" t="str">
        <f t="shared" si="1665"/>
        <v>United States</v>
      </c>
      <c r="B5162" t="str">
        <f t="shared" si="1682"/>
        <v>Tempe</v>
      </c>
      <c r="C5162" t="str">
        <f t="shared" si="1683"/>
        <v>First Class</v>
      </c>
      <c r="D5162" t="str">
        <f t="shared" si="1684"/>
        <v>Corporate</v>
      </c>
      <c r="E5162" t="s">
        <v>24</v>
      </c>
      <c r="F5162">
        <v>5</v>
      </c>
      <c r="G5162">
        <v>0.4</v>
      </c>
      <c r="H5162" s="2">
        <v>127.61789999999999</v>
      </c>
      <c r="I5162" s="2">
        <v>548.77600000000007</v>
      </c>
    </row>
    <row r="5163" spans="1:9" x14ac:dyDescent="0.3">
      <c r="A5163" t="str">
        <f t="shared" si="1665"/>
        <v>United States</v>
      </c>
      <c r="B5163" t="str">
        <f t="shared" si="1682"/>
        <v>Tempe</v>
      </c>
      <c r="C5163" t="str">
        <f t="shared" si="1683"/>
        <v>First Class</v>
      </c>
      <c r="D5163" t="str">
        <f t="shared" si="1684"/>
        <v>Corporate</v>
      </c>
      <c r="E5163" t="s">
        <v>9</v>
      </c>
      <c r="F5163">
        <v>2</v>
      </c>
      <c r="G5163">
        <v>0.2</v>
      </c>
      <c r="H5163" s="2">
        <v>-3.2639999999999993</v>
      </c>
      <c r="I5163" s="2">
        <v>15.36</v>
      </c>
    </row>
    <row r="5164" spans="1:9" x14ac:dyDescent="0.3">
      <c r="A5164" t="str">
        <f t="shared" si="1665"/>
        <v>United States</v>
      </c>
      <c r="B5164" t="str">
        <f t="shared" si="1682"/>
        <v>Tempe</v>
      </c>
      <c r="C5164" t="s">
        <v>27</v>
      </c>
      <c r="D5164" t="s">
        <v>8</v>
      </c>
      <c r="E5164" t="s">
        <v>20</v>
      </c>
      <c r="F5164">
        <v>3</v>
      </c>
      <c r="G5164">
        <v>0.7</v>
      </c>
      <c r="H5164" s="2">
        <v>-2.2439999999999989</v>
      </c>
      <c r="I5164" s="2">
        <v>3.366000000000001</v>
      </c>
    </row>
    <row r="5165" spans="1:9" x14ac:dyDescent="0.3">
      <c r="A5165" t="str">
        <f t="shared" si="1665"/>
        <v>United States</v>
      </c>
      <c r="B5165" t="str">
        <f t="shared" si="1682"/>
        <v>Tempe</v>
      </c>
      <c r="C5165" t="s">
        <v>22</v>
      </c>
      <c r="D5165" t="s">
        <v>8</v>
      </c>
      <c r="E5165" t="s">
        <v>33</v>
      </c>
      <c r="F5165">
        <v>5</v>
      </c>
      <c r="G5165">
        <v>0.2</v>
      </c>
      <c r="H5165" s="2">
        <v>-34.64100000000002</v>
      </c>
      <c r="I5165" s="2">
        <v>307.92</v>
      </c>
    </row>
    <row r="5166" spans="1:9" x14ac:dyDescent="0.3">
      <c r="A5166" t="str">
        <f t="shared" si="1665"/>
        <v>United States</v>
      </c>
      <c r="B5166" t="str">
        <f t="shared" si="1682"/>
        <v>Tempe</v>
      </c>
      <c r="C5166" t="str">
        <f t="shared" ref="C5166:C5169" si="1685">C5165</f>
        <v>Standard Class</v>
      </c>
      <c r="D5166" t="str">
        <f t="shared" ref="D5166:D5167" si="1686">D5165</f>
        <v>Consumer</v>
      </c>
      <c r="E5166" t="s">
        <v>18</v>
      </c>
      <c r="F5166">
        <v>3</v>
      </c>
      <c r="G5166">
        <v>0.2</v>
      </c>
      <c r="H5166" s="2">
        <v>2.7222</v>
      </c>
      <c r="I5166" s="2">
        <v>8.3760000000000012</v>
      </c>
    </row>
    <row r="5167" spans="1:9" x14ac:dyDescent="0.3">
      <c r="A5167" t="str">
        <f t="shared" si="1665"/>
        <v>United States</v>
      </c>
      <c r="B5167" t="str">
        <f t="shared" si="1682"/>
        <v>Tempe</v>
      </c>
      <c r="C5167" t="str">
        <f t="shared" si="1685"/>
        <v>Standard Class</v>
      </c>
      <c r="D5167" t="str">
        <f t="shared" si="1686"/>
        <v>Consumer</v>
      </c>
      <c r="E5167" t="s">
        <v>14</v>
      </c>
      <c r="F5167">
        <v>1</v>
      </c>
      <c r="G5167">
        <v>0.2</v>
      </c>
      <c r="H5167" s="2">
        <v>0.80579999999999963</v>
      </c>
      <c r="I5167" s="2">
        <v>10.744</v>
      </c>
    </row>
    <row r="5168" spans="1:9" x14ac:dyDescent="0.3">
      <c r="A5168" t="str">
        <f t="shared" si="1665"/>
        <v>United States</v>
      </c>
      <c r="B5168" t="str">
        <f t="shared" si="1682"/>
        <v>Tempe</v>
      </c>
      <c r="C5168" t="str">
        <f t="shared" si="1685"/>
        <v>Standard Class</v>
      </c>
      <c r="D5168" t="s">
        <v>15</v>
      </c>
      <c r="E5168" t="s">
        <v>23</v>
      </c>
      <c r="F5168">
        <v>6</v>
      </c>
      <c r="G5168">
        <v>0.2</v>
      </c>
      <c r="H5168" s="2">
        <v>-10.911600000000007</v>
      </c>
      <c r="I5168" s="2">
        <v>62.352000000000004</v>
      </c>
    </row>
    <row r="5169" spans="1:9" x14ac:dyDescent="0.3">
      <c r="A5169" t="str">
        <f t="shared" si="1665"/>
        <v>United States</v>
      </c>
      <c r="B5169" t="str">
        <f t="shared" si="1682"/>
        <v>Tempe</v>
      </c>
      <c r="C5169" t="str">
        <f t="shared" si="1685"/>
        <v>Standard Class</v>
      </c>
      <c r="D5169" t="str">
        <f>D5168</f>
        <v>Corporate</v>
      </c>
      <c r="E5169" t="s">
        <v>14</v>
      </c>
      <c r="F5169">
        <v>5</v>
      </c>
      <c r="G5169">
        <v>0.2</v>
      </c>
      <c r="H5169" s="2">
        <v>5.9550000000000054</v>
      </c>
      <c r="I5169" s="2">
        <v>79.400000000000006</v>
      </c>
    </row>
    <row r="5170" spans="1:9" x14ac:dyDescent="0.3">
      <c r="A5170" t="str">
        <f t="shared" si="1665"/>
        <v>United States</v>
      </c>
      <c r="B5170" t="s">
        <v>507</v>
      </c>
      <c r="C5170" t="s">
        <v>22</v>
      </c>
      <c r="D5170" t="s">
        <v>15</v>
      </c>
      <c r="E5170" t="s">
        <v>33</v>
      </c>
      <c r="F5170">
        <v>6</v>
      </c>
      <c r="G5170">
        <v>0</v>
      </c>
      <c r="H5170" s="2">
        <v>145.2816</v>
      </c>
      <c r="I5170" s="2">
        <v>605.34</v>
      </c>
    </row>
    <row r="5171" spans="1:9" x14ac:dyDescent="0.3">
      <c r="A5171" t="str">
        <f t="shared" si="1665"/>
        <v>United States</v>
      </c>
      <c r="B5171" t="str">
        <f>B5170</f>
        <v>Texarkana</v>
      </c>
      <c r="C5171" t="str">
        <f>C5170</f>
        <v>Standard Class</v>
      </c>
      <c r="D5171" t="s">
        <v>17</v>
      </c>
      <c r="E5171" t="s">
        <v>23</v>
      </c>
      <c r="F5171">
        <v>5</v>
      </c>
      <c r="G5171">
        <v>0</v>
      </c>
      <c r="H5171" s="2">
        <v>18.093</v>
      </c>
      <c r="I5171" s="2">
        <v>48.9</v>
      </c>
    </row>
    <row r="5172" spans="1:9" x14ac:dyDescent="0.3">
      <c r="A5172" t="str">
        <f t="shared" si="1665"/>
        <v>United States</v>
      </c>
      <c r="B5172" t="s">
        <v>508</v>
      </c>
      <c r="C5172" t="s">
        <v>22</v>
      </c>
      <c r="D5172" t="s">
        <v>8</v>
      </c>
      <c r="E5172" t="s">
        <v>33</v>
      </c>
      <c r="F5172">
        <v>4</v>
      </c>
      <c r="G5172">
        <v>0.3</v>
      </c>
      <c r="H5172" s="2">
        <v>-8.5416000000000025</v>
      </c>
      <c r="I5172" s="2">
        <v>199.304</v>
      </c>
    </row>
    <row r="5173" spans="1:9" x14ac:dyDescent="0.3">
      <c r="A5173" t="str">
        <f t="shared" si="1665"/>
        <v>United States</v>
      </c>
      <c r="B5173" t="str">
        <f>B5172</f>
        <v>Texas City</v>
      </c>
      <c r="C5173" t="str">
        <f>C5172</f>
        <v>Standard Class</v>
      </c>
      <c r="D5173" t="str">
        <f>D5172</f>
        <v>Consumer</v>
      </c>
      <c r="E5173" t="s">
        <v>25</v>
      </c>
      <c r="F5173">
        <v>3</v>
      </c>
      <c r="G5173">
        <v>0.6</v>
      </c>
      <c r="H5173" s="2">
        <v>28.76339999999999</v>
      </c>
      <c r="I5173" s="2">
        <v>591.66800000000001</v>
      </c>
    </row>
    <row r="5174" spans="1:9" x14ac:dyDescent="0.3">
      <c r="A5174" t="str">
        <f t="shared" si="1665"/>
        <v>United States</v>
      </c>
      <c r="B5174" t="s">
        <v>509</v>
      </c>
      <c r="C5174" t="s">
        <v>11</v>
      </c>
      <c r="D5174" t="s">
        <v>8</v>
      </c>
      <c r="E5174" t="s">
        <v>16</v>
      </c>
      <c r="F5174">
        <v>4</v>
      </c>
      <c r="G5174">
        <v>0.2</v>
      </c>
      <c r="H5174" s="2">
        <v>5.5215999999999994</v>
      </c>
      <c r="I5174" s="2">
        <v>15.231999999999999</v>
      </c>
    </row>
    <row r="5175" spans="1:9" x14ac:dyDescent="0.3">
      <c r="A5175" t="str">
        <f t="shared" si="1665"/>
        <v>United States</v>
      </c>
      <c r="B5175" t="str">
        <f t="shared" ref="B5175:B5176" si="1687">B5174</f>
        <v>The Colony</v>
      </c>
      <c r="C5175" t="str">
        <f>C5174</f>
        <v>First Class</v>
      </c>
      <c r="D5175" t="str">
        <f>D5174</f>
        <v>Consumer</v>
      </c>
      <c r="E5175" t="s">
        <v>24</v>
      </c>
      <c r="F5175">
        <v>3</v>
      </c>
      <c r="G5175">
        <v>0.2</v>
      </c>
      <c r="H5175" s="2">
        <v>6.7175999999999974</v>
      </c>
      <c r="I5175" s="2">
        <v>67.176000000000002</v>
      </c>
    </row>
    <row r="5176" spans="1:9" x14ac:dyDescent="0.3">
      <c r="A5176" t="str">
        <f t="shared" si="1665"/>
        <v>United States</v>
      </c>
      <c r="B5176" t="str">
        <f t="shared" si="1687"/>
        <v>The Colony</v>
      </c>
      <c r="C5176" t="s">
        <v>27</v>
      </c>
      <c r="D5176" t="s">
        <v>8</v>
      </c>
      <c r="E5176" t="s">
        <v>38</v>
      </c>
      <c r="F5176">
        <v>7</v>
      </c>
      <c r="G5176">
        <v>0.2</v>
      </c>
      <c r="H5176" s="2">
        <v>19.4194</v>
      </c>
      <c r="I5176" s="2">
        <v>59.751999999999995</v>
      </c>
    </row>
    <row r="5177" spans="1:9" x14ac:dyDescent="0.3">
      <c r="A5177" t="str">
        <f t="shared" si="1665"/>
        <v>United States</v>
      </c>
      <c r="B5177" t="s">
        <v>510</v>
      </c>
      <c r="C5177" t="s">
        <v>22</v>
      </c>
      <c r="D5177" t="s">
        <v>8</v>
      </c>
      <c r="E5177" t="s">
        <v>20</v>
      </c>
      <c r="F5177">
        <v>2</v>
      </c>
      <c r="G5177">
        <v>0.7</v>
      </c>
      <c r="H5177" s="2">
        <v>-2.4563999999999995</v>
      </c>
      <c r="I5177" s="2">
        <v>3.2040000000000002</v>
      </c>
    </row>
    <row r="5178" spans="1:9" x14ac:dyDescent="0.3">
      <c r="A5178" t="str">
        <f t="shared" si="1665"/>
        <v>United States</v>
      </c>
      <c r="B5178" t="str">
        <f t="shared" ref="B5178:B5179" si="1688">B5177</f>
        <v>Thomasville</v>
      </c>
      <c r="C5178" t="str">
        <f t="shared" ref="C5178:C5179" si="1689">C5177</f>
        <v>Standard Class</v>
      </c>
      <c r="D5178" t="str">
        <f t="shared" ref="D5178:D5179" si="1690">D5177</f>
        <v>Consumer</v>
      </c>
      <c r="E5178" t="s">
        <v>38</v>
      </c>
      <c r="F5178">
        <v>3</v>
      </c>
      <c r="G5178">
        <v>0.2</v>
      </c>
      <c r="H5178" s="2">
        <v>29.984999999999985</v>
      </c>
      <c r="I5178" s="2">
        <v>95.951999999999998</v>
      </c>
    </row>
    <row r="5179" spans="1:9" x14ac:dyDescent="0.3">
      <c r="A5179" t="str">
        <f t="shared" si="1665"/>
        <v>United States</v>
      </c>
      <c r="B5179" t="str">
        <f t="shared" si="1688"/>
        <v>Thomasville</v>
      </c>
      <c r="C5179" t="str">
        <f t="shared" si="1689"/>
        <v>Standard Class</v>
      </c>
      <c r="D5179" t="str">
        <f t="shared" si="1690"/>
        <v>Consumer</v>
      </c>
      <c r="E5179" t="s">
        <v>9</v>
      </c>
      <c r="F5179">
        <v>7</v>
      </c>
      <c r="G5179">
        <v>0.2</v>
      </c>
      <c r="H5179" s="2">
        <v>5.865299999999996</v>
      </c>
      <c r="I5179" s="2">
        <v>52.136000000000003</v>
      </c>
    </row>
    <row r="5180" spans="1:9" x14ac:dyDescent="0.3">
      <c r="A5180" t="str">
        <f t="shared" si="1665"/>
        <v>United States</v>
      </c>
      <c r="B5180" t="s">
        <v>511</v>
      </c>
      <c r="C5180" t="s">
        <v>27</v>
      </c>
      <c r="D5180" t="s">
        <v>8</v>
      </c>
      <c r="E5180" t="s">
        <v>23</v>
      </c>
      <c r="F5180">
        <v>7</v>
      </c>
      <c r="G5180">
        <v>0.2</v>
      </c>
      <c r="H5180" s="2">
        <v>89.588799999999992</v>
      </c>
      <c r="I5180" s="2">
        <v>447.94399999999996</v>
      </c>
    </row>
    <row r="5181" spans="1:9" x14ac:dyDescent="0.3">
      <c r="A5181" t="str">
        <f t="shared" si="1665"/>
        <v>United States</v>
      </c>
      <c r="B5181" t="str">
        <f t="shared" ref="B5181:B5186" si="1691">B5180</f>
        <v>Thornton</v>
      </c>
      <c r="C5181" t="s">
        <v>7</v>
      </c>
      <c r="D5181" t="s">
        <v>8</v>
      </c>
      <c r="E5181" t="s">
        <v>23</v>
      </c>
      <c r="F5181">
        <v>14</v>
      </c>
      <c r="G5181">
        <v>0.4</v>
      </c>
      <c r="H5181" s="2">
        <v>24.624599999999983</v>
      </c>
      <c r="I5181" s="2">
        <v>179.08800000000002</v>
      </c>
    </row>
    <row r="5182" spans="1:9" x14ac:dyDescent="0.3">
      <c r="A5182" t="str">
        <f t="shared" si="1665"/>
        <v>United States</v>
      </c>
      <c r="B5182" t="str">
        <f t="shared" si="1691"/>
        <v>Thornton</v>
      </c>
      <c r="C5182" t="str">
        <f t="shared" ref="C5182:C5185" si="1692">C5181</f>
        <v>Second Class</v>
      </c>
      <c r="D5182" t="str">
        <f t="shared" ref="D5182:D5185" si="1693">D5181</f>
        <v>Consumer</v>
      </c>
      <c r="E5182" t="s">
        <v>19</v>
      </c>
      <c r="F5182">
        <v>6</v>
      </c>
      <c r="G5182">
        <v>0.2</v>
      </c>
      <c r="H5182" s="2">
        <v>1.0007999999999999</v>
      </c>
      <c r="I5182" s="2">
        <v>13.343999999999998</v>
      </c>
    </row>
    <row r="5183" spans="1:9" x14ac:dyDescent="0.3">
      <c r="A5183" t="str">
        <f t="shared" si="1665"/>
        <v>United States</v>
      </c>
      <c r="B5183" t="str">
        <f t="shared" si="1691"/>
        <v>Thornton</v>
      </c>
      <c r="C5183" t="str">
        <f t="shared" si="1692"/>
        <v>Second Class</v>
      </c>
      <c r="D5183" t="str">
        <f t="shared" si="1693"/>
        <v>Consumer</v>
      </c>
      <c r="E5183" t="s">
        <v>21</v>
      </c>
      <c r="F5183">
        <v>9</v>
      </c>
      <c r="G5183">
        <v>0.60000000000000009</v>
      </c>
      <c r="H5183" s="2">
        <v>15.012</v>
      </c>
      <c r="I5183" s="2">
        <v>56.288000000000004</v>
      </c>
    </row>
    <row r="5184" spans="1:9" x14ac:dyDescent="0.3">
      <c r="A5184" t="str">
        <f t="shared" si="1665"/>
        <v>United States</v>
      </c>
      <c r="B5184" t="str">
        <f t="shared" si="1691"/>
        <v>Thornton</v>
      </c>
      <c r="C5184" t="str">
        <f t="shared" si="1692"/>
        <v>Second Class</v>
      </c>
      <c r="D5184" t="str">
        <f t="shared" si="1693"/>
        <v>Consumer</v>
      </c>
      <c r="E5184" t="s">
        <v>16</v>
      </c>
      <c r="F5184">
        <v>2</v>
      </c>
      <c r="G5184">
        <v>0.2</v>
      </c>
      <c r="H5184" s="2">
        <v>3.7409999999999997</v>
      </c>
      <c r="I5184" s="2">
        <v>10.32</v>
      </c>
    </row>
    <row r="5185" spans="1:9" x14ac:dyDescent="0.3">
      <c r="A5185" t="str">
        <f t="shared" si="1665"/>
        <v>United States</v>
      </c>
      <c r="B5185" t="str">
        <f t="shared" si="1691"/>
        <v>Thornton</v>
      </c>
      <c r="C5185" t="str">
        <f t="shared" si="1692"/>
        <v>Second Class</v>
      </c>
      <c r="D5185" t="str">
        <f t="shared" si="1693"/>
        <v>Consumer</v>
      </c>
      <c r="E5185" t="s">
        <v>9</v>
      </c>
      <c r="F5185">
        <v>7</v>
      </c>
      <c r="G5185">
        <v>0.2</v>
      </c>
      <c r="H5185" s="2">
        <v>5.9149999999999938</v>
      </c>
      <c r="I5185" s="2">
        <v>47.32</v>
      </c>
    </row>
    <row r="5186" spans="1:9" x14ac:dyDescent="0.3">
      <c r="A5186" t="str">
        <f t="shared" si="1665"/>
        <v>United States</v>
      </c>
      <c r="B5186" t="str">
        <f t="shared" si="1691"/>
        <v>Thornton</v>
      </c>
      <c r="C5186" t="s">
        <v>22</v>
      </c>
      <c r="D5186" t="s">
        <v>8</v>
      </c>
      <c r="E5186" t="s">
        <v>9</v>
      </c>
      <c r="F5186">
        <v>2</v>
      </c>
      <c r="G5186">
        <v>0.2</v>
      </c>
      <c r="H5186" s="2">
        <v>0.95759999999999978</v>
      </c>
      <c r="I5186" s="2">
        <v>10.944000000000001</v>
      </c>
    </row>
    <row r="5187" spans="1:9" x14ac:dyDescent="0.3">
      <c r="A5187" t="str">
        <f t="shared" si="1665"/>
        <v>United States</v>
      </c>
      <c r="B5187" t="s">
        <v>512</v>
      </c>
      <c r="C5187" t="s">
        <v>11</v>
      </c>
      <c r="D5187" t="s">
        <v>8</v>
      </c>
      <c r="E5187" t="s">
        <v>24</v>
      </c>
      <c r="F5187">
        <v>2</v>
      </c>
      <c r="G5187">
        <v>0.2</v>
      </c>
      <c r="H5187" s="2">
        <v>1.1988000000000003</v>
      </c>
      <c r="I5187" s="2">
        <v>15.984000000000002</v>
      </c>
    </row>
    <row r="5188" spans="1:9" x14ac:dyDescent="0.3">
      <c r="A5188" t="str">
        <f t="shared" ref="A5188:A5251" si="1694">A5187</f>
        <v>United States</v>
      </c>
      <c r="B5188" t="str">
        <f t="shared" ref="B5188:B5191" si="1695">B5187</f>
        <v>Thousand Oaks</v>
      </c>
      <c r="C5188" t="s">
        <v>7</v>
      </c>
      <c r="D5188" t="s">
        <v>15</v>
      </c>
      <c r="E5188" t="s">
        <v>19</v>
      </c>
      <c r="F5188">
        <v>7</v>
      </c>
      <c r="G5188">
        <v>0</v>
      </c>
      <c r="H5188" s="2">
        <v>4.1160000000000005</v>
      </c>
      <c r="I5188" s="2">
        <v>14.700000000000001</v>
      </c>
    </row>
    <row r="5189" spans="1:9" x14ac:dyDescent="0.3">
      <c r="A5189" t="str">
        <f t="shared" si="1694"/>
        <v>United States</v>
      </c>
      <c r="B5189" t="str">
        <f t="shared" si="1695"/>
        <v>Thousand Oaks</v>
      </c>
      <c r="C5189" t="s">
        <v>22</v>
      </c>
      <c r="D5189" t="s">
        <v>15</v>
      </c>
      <c r="E5189" t="s">
        <v>21</v>
      </c>
      <c r="F5189">
        <v>1</v>
      </c>
      <c r="G5189">
        <v>0</v>
      </c>
      <c r="H5189" s="2">
        <v>9.3152000000000008</v>
      </c>
      <c r="I5189" s="2">
        <v>22.72</v>
      </c>
    </row>
    <row r="5190" spans="1:9" x14ac:dyDescent="0.3">
      <c r="A5190" t="str">
        <f t="shared" si="1694"/>
        <v>United States</v>
      </c>
      <c r="B5190" t="str">
        <f t="shared" si="1695"/>
        <v>Thousand Oaks</v>
      </c>
      <c r="C5190" t="str">
        <f t="shared" ref="C5190:C5191" si="1696">C5189</f>
        <v>Standard Class</v>
      </c>
      <c r="D5190" t="str">
        <f>D5189</f>
        <v>Corporate</v>
      </c>
      <c r="E5190" t="s">
        <v>43</v>
      </c>
      <c r="F5190">
        <v>5</v>
      </c>
      <c r="G5190">
        <v>0</v>
      </c>
      <c r="H5190" s="2">
        <v>70.219000000000008</v>
      </c>
      <c r="I5190" s="2">
        <v>152.65</v>
      </c>
    </row>
    <row r="5191" spans="1:9" x14ac:dyDescent="0.3">
      <c r="A5191" t="str">
        <f t="shared" si="1694"/>
        <v>United States</v>
      </c>
      <c r="B5191" t="str">
        <f t="shared" si="1695"/>
        <v>Thousand Oaks</v>
      </c>
      <c r="C5191" t="str">
        <f t="shared" si="1696"/>
        <v>Standard Class</v>
      </c>
      <c r="D5191" t="s">
        <v>17</v>
      </c>
      <c r="E5191" t="s">
        <v>16</v>
      </c>
      <c r="F5191">
        <v>5</v>
      </c>
      <c r="G5191">
        <v>0</v>
      </c>
      <c r="H5191" s="2">
        <v>15.065</v>
      </c>
      <c r="I5191" s="2">
        <v>32.75</v>
      </c>
    </row>
    <row r="5192" spans="1:9" x14ac:dyDescent="0.3">
      <c r="A5192" t="str">
        <f t="shared" si="1694"/>
        <v>United States</v>
      </c>
      <c r="B5192" t="s">
        <v>513</v>
      </c>
      <c r="C5192" t="s">
        <v>22</v>
      </c>
      <c r="D5192" t="s">
        <v>8</v>
      </c>
      <c r="E5192" t="s">
        <v>16</v>
      </c>
      <c r="F5192">
        <v>3</v>
      </c>
      <c r="G5192">
        <v>0.2</v>
      </c>
      <c r="H5192" s="2">
        <v>5.4432</v>
      </c>
      <c r="I5192" s="2">
        <v>15.552000000000003</v>
      </c>
    </row>
    <row r="5193" spans="1:9" x14ac:dyDescent="0.3">
      <c r="A5193" t="str">
        <f t="shared" si="1694"/>
        <v>United States</v>
      </c>
      <c r="B5193" t="str">
        <f t="shared" ref="B5193:B5199" si="1697">B5192</f>
        <v>Tigard</v>
      </c>
      <c r="C5193" t="str">
        <f t="shared" ref="C5193:C5199" si="1698">C5192</f>
        <v>Standard Class</v>
      </c>
      <c r="D5193" t="str">
        <f t="shared" ref="D5193:D5194" si="1699">D5192</f>
        <v>Consumer</v>
      </c>
      <c r="E5193" t="s">
        <v>24</v>
      </c>
      <c r="F5193">
        <v>4</v>
      </c>
      <c r="G5193">
        <v>0.2</v>
      </c>
      <c r="H5193" s="2">
        <v>-87.667200000000037</v>
      </c>
      <c r="I5193" s="2">
        <v>438.33600000000001</v>
      </c>
    </row>
    <row r="5194" spans="1:9" x14ac:dyDescent="0.3">
      <c r="A5194" t="str">
        <f t="shared" si="1694"/>
        <v>United States</v>
      </c>
      <c r="B5194" t="str">
        <f t="shared" si="1697"/>
        <v>Tigard</v>
      </c>
      <c r="C5194" t="str">
        <f t="shared" si="1698"/>
        <v>Standard Class</v>
      </c>
      <c r="D5194" t="str">
        <f t="shared" si="1699"/>
        <v>Consumer</v>
      </c>
      <c r="E5194" t="s">
        <v>14</v>
      </c>
      <c r="F5194">
        <v>5</v>
      </c>
      <c r="G5194">
        <v>0.2</v>
      </c>
      <c r="H5194" s="2">
        <v>-167.27</v>
      </c>
      <c r="I5194" s="2">
        <v>669.08</v>
      </c>
    </row>
    <row r="5195" spans="1:9" x14ac:dyDescent="0.3">
      <c r="A5195" t="str">
        <f t="shared" si="1694"/>
        <v>United States</v>
      </c>
      <c r="B5195" t="str">
        <f t="shared" si="1697"/>
        <v>Tigard</v>
      </c>
      <c r="C5195" t="str">
        <f t="shared" si="1698"/>
        <v>Standard Class</v>
      </c>
      <c r="D5195" t="s">
        <v>15</v>
      </c>
      <c r="E5195" t="s">
        <v>20</v>
      </c>
      <c r="F5195">
        <v>1</v>
      </c>
      <c r="G5195">
        <v>0.7</v>
      </c>
      <c r="H5195" s="2">
        <v>-3.5153999999999996</v>
      </c>
      <c r="I5195" s="2">
        <v>5.0220000000000002</v>
      </c>
    </row>
    <row r="5196" spans="1:9" x14ac:dyDescent="0.3">
      <c r="A5196" t="str">
        <f t="shared" si="1694"/>
        <v>United States</v>
      </c>
      <c r="B5196" t="str">
        <f t="shared" si="1697"/>
        <v>Tigard</v>
      </c>
      <c r="C5196" t="str">
        <f t="shared" si="1698"/>
        <v>Standard Class</v>
      </c>
      <c r="D5196" t="str">
        <f>D5195</f>
        <v>Corporate</v>
      </c>
      <c r="E5196" t="s">
        <v>16</v>
      </c>
      <c r="F5196">
        <v>9</v>
      </c>
      <c r="G5196">
        <v>0.2</v>
      </c>
      <c r="H5196" s="2">
        <v>22.518000000000001</v>
      </c>
      <c r="I5196" s="2">
        <v>60.048000000000002</v>
      </c>
    </row>
    <row r="5197" spans="1:9" x14ac:dyDescent="0.3">
      <c r="A5197" t="str">
        <f t="shared" si="1694"/>
        <v>United States</v>
      </c>
      <c r="B5197" t="str">
        <f t="shared" si="1697"/>
        <v>Tigard</v>
      </c>
      <c r="C5197" t="str">
        <f t="shared" si="1698"/>
        <v>Standard Class</v>
      </c>
      <c r="D5197" t="s">
        <v>17</v>
      </c>
      <c r="E5197" t="s">
        <v>23</v>
      </c>
      <c r="F5197">
        <v>2</v>
      </c>
      <c r="G5197">
        <v>0.2</v>
      </c>
      <c r="H5197" s="2">
        <v>-3.0939999999999994</v>
      </c>
      <c r="I5197" s="2">
        <v>35.360000000000007</v>
      </c>
    </row>
    <row r="5198" spans="1:9" x14ac:dyDescent="0.3">
      <c r="A5198" t="str">
        <f t="shared" si="1694"/>
        <v>United States</v>
      </c>
      <c r="B5198" t="str">
        <f t="shared" si="1697"/>
        <v>Tigard</v>
      </c>
      <c r="C5198" t="str">
        <f t="shared" si="1698"/>
        <v>Standard Class</v>
      </c>
      <c r="D5198" t="str">
        <f t="shared" ref="D5198:D5199" si="1700">D5197</f>
        <v>Home Office</v>
      </c>
      <c r="E5198" t="s">
        <v>21</v>
      </c>
      <c r="F5198">
        <v>1</v>
      </c>
      <c r="G5198">
        <v>0.2</v>
      </c>
      <c r="H5198" s="2">
        <v>-0.33980000000000032</v>
      </c>
      <c r="I5198" s="2">
        <v>13.591999999999999</v>
      </c>
    </row>
    <row r="5199" spans="1:9" x14ac:dyDescent="0.3">
      <c r="A5199" t="str">
        <f t="shared" si="1694"/>
        <v>United States</v>
      </c>
      <c r="B5199" t="str">
        <f t="shared" si="1697"/>
        <v>Tigard</v>
      </c>
      <c r="C5199" t="str">
        <f t="shared" si="1698"/>
        <v>Standard Class</v>
      </c>
      <c r="D5199" t="str">
        <f t="shared" si="1700"/>
        <v>Home Office</v>
      </c>
      <c r="E5199" t="s">
        <v>24</v>
      </c>
      <c r="F5199">
        <v>1</v>
      </c>
      <c r="G5199">
        <v>0.2</v>
      </c>
      <c r="H5199" s="2">
        <v>17.639099999999985</v>
      </c>
      <c r="I5199" s="2">
        <v>156.79200000000003</v>
      </c>
    </row>
    <row r="5200" spans="1:9" x14ac:dyDescent="0.3">
      <c r="A5200" t="str">
        <f t="shared" si="1694"/>
        <v>United States</v>
      </c>
      <c r="B5200" t="s">
        <v>514</v>
      </c>
      <c r="C5200" t="s">
        <v>11</v>
      </c>
      <c r="D5200" t="s">
        <v>15</v>
      </c>
      <c r="E5200" t="s">
        <v>21</v>
      </c>
      <c r="F5200">
        <v>7</v>
      </c>
      <c r="G5200">
        <v>0.6</v>
      </c>
      <c r="H5200" s="2">
        <v>-8.9151999999999987</v>
      </c>
      <c r="I5200" s="2">
        <v>22.288</v>
      </c>
    </row>
    <row r="5201" spans="1:9" x14ac:dyDescent="0.3">
      <c r="A5201" t="str">
        <f t="shared" si="1694"/>
        <v>United States</v>
      </c>
      <c r="B5201" t="s">
        <v>515</v>
      </c>
      <c r="C5201" t="s">
        <v>11</v>
      </c>
      <c r="D5201" t="s">
        <v>8</v>
      </c>
      <c r="E5201" t="s">
        <v>23</v>
      </c>
      <c r="F5201">
        <v>2</v>
      </c>
      <c r="G5201">
        <v>0.2</v>
      </c>
      <c r="H5201" s="2">
        <v>25.596799999999998</v>
      </c>
      <c r="I5201" s="2">
        <v>127.98399999999999</v>
      </c>
    </row>
    <row r="5202" spans="1:9" x14ac:dyDescent="0.3">
      <c r="A5202" t="str">
        <f t="shared" si="1694"/>
        <v>United States</v>
      </c>
      <c r="B5202" t="str">
        <f t="shared" ref="B5202:B5222" si="1701">B5201</f>
        <v>Toledo</v>
      </c>
      <c r="C5202" t="str">
        <f t="shared" ref="C5202:C5206" si="1702">C5201</f>
        <v>First Class</v>
      </c>
      <c r="D5202" t="str">
        <f t="shared" ref="D5202:D5206" si="1703">D5201</f>
        <v>Consumer</v>
      </c>
      <c r="E5202" t="s">
        <v>19</v>
      </c>
      <c r="F5202">
        <v>6</v>
      </c>
      <c r="G5202">
        <v>0.4</v>
      </c>
      <c r="H5202" s="2">
        <v>23.894400000000001</v>
      </c>
      <c r="I5202" s="2">
        <v>104.44799999999999</v>
      </c>
    </row>
    <row r="5203" spans="1:9" x14ac:dyDescent="0.3">
      <c r="A5203" t="str">
        <f t="shared" si="1694"/>
        <v>United States</v>
      </c>
      <c r="B5203" t="str">
        <f t="shared" si="1701"/>
        <v>Toledo</v>
      </c>
      <c r="C5203" t="str">
        <f t="shared" si="1702"/>
        <v>First Class</v>
      </c>
      <c r="D5203" t="str">
        <f t="shared" si="1703"/>
        <v>Consumer</v>
      </c>
      <c r="E5203" t="s">
        <v>20</v>
      </c>
      <c r="F5203">
        <v>6</v>
      </c>
      <c r="G5203">
        <v>2.0999999999999996</v>
      </c>
      <c r="H5203" s="2">
        <v>-10.091799999999999</v>
      </c>
      <c r="I5203" s="2">
        <v>12.759000000000002</v>
      </c>
    </row>
    <row r="5204" spans="1:9" x14ac:dyDescent="0.3">
      <c r="A5204" t="str">
        <f t="shared" si="1694"/>
        <v>United States</v>
      </c>
      <c r="B5204" t="str">
        <f t="shared" si="1701"/>
        <v>Toledo</v>
      </c>
      <c r="C5204" t="str">
        <f t="shared" si="1702"/>
        <v>First Class</v>
      </c>
      <c r="D5204" t="str">
        <f t="shared" si="1703"/>
        <v>Consumer</v>
      </c>
      <c r="E5204" t="s">
        <v>43</v>
      </c>
      <c r="F5204">
        <v>6</v>
      </c>
      <c r="G5204">
        <v>0.2</v>
      </c>
      <c r="H5204" s="2">
        <v>5.9777999999999993</v>
      </c>
      <c r="I5204" s="2">
        <v>17.712</v>
      </c>
    </row>
    <row r="5205" spans="1:9" x14ac:dyDescent="0.3">
      <c r="A5205" t="str">
        <f t="shared" si="1694"/>
        <v>United States</v>
      </c>
      <c r="B5205" t="str">
        <f t="shared" si="1701"/>
        <v>Toledo</v>
      </c>
      <c r="C5205" t="str">
        <f t="shared" si="1702"/>
        <v>First Class</v>
      </c>
      <c r="D5205" t="str">
        <f t="shared" si="1703"/>
        <v>Consumer</v>
      </c>
      <c r="E5205" t="s">
        <v>16</v>
      </c>
      <c r="F5205">
        <v>3</v>
      </c>
      <c r="G5205">
        <v>0.2</v>
      </c>
      <c r="H5205" s="2">
        <v>5.0286000000000008</v>
      </c>
      <c r="I5205" s="2">
        <v>13.872000000000002</v>
      </c>
    </row>
    <row r="5206" spans="1:9" x14ac:dyDescent="0.3">
      <c r="A5206" t="str">
        <f t="shared" si="1694"/>
        <v>United States</v>
      </c>
      <c r="B5206" t="str">
        <f t="shared" si="1701"/>
        <v>Toledo</v>
      </c>
      <c r="C5206" t="str">
        <f t="shared" si="1702"/>
        <v>First Class</v>
      </c>
      <c r="D5206" t="str">
        <f t="shared" si="1703"/>
        <v>Consumer</v>
      </c>
      <c r="E5206" t="s">
        <v>24</v>
      </c>
      <c r="F5206">
        <v>7</v>
      </c>
      <c r="G5206">
        <v>0.4</v>
      </c>
      <c r="H5206" s="2">
        <v>94.49369999999999</v>
      </c>
      <c r="I5206" s="2">
        <v>629.95799999999997</v>
      </c>
    </row>
    <row r="5207" spans="1:9" x14ac:dyDescent="0.3">
      <c r="A5207" t="str">
        <f t="shared" si="1694"/>
        <v>United States</v>
      </c>
      <c r="B5207" t="str">
        <f t="shared" si="1701"/>
        <v>Toledo</v>
      </c>
      <c r="C5207" t="s">
        <v>27</v>
      </c>
      <c r="D5207" t="s">
        <v>17</v>
      </c>
      <c r="E5207" t="s">
        <v>12</v>
      </c>
      <c r="F5207">
        <v>4</v>
      </c>
      <c r="G5207">
        <v>0.2</v>
      </c>
      <c r="H5207" s="2">
        <v>82.991999999999877</v>
      </c>
      <c r="I5207" s="2">
        <v>663.93600000000004</v>
      </c>
    </row>
    <row r="5208" spans="1:9" x14ac:dyDescent="0.3">
      <c r="A5208" t="str">
        <f t="shared" si="1694"/>
        <v>United States</v>
      </c>
      <c r="B5208" t="str">
        <f t="shared" si="1701"/>
        <v>Toledo</v>
      </c>
      <c r="C5208" t="s">
        <v>7</v>
      </c>
      <c r="D5208" t="s">
        <v>8</v>
      </c>
      <c r="E5208" t="s">
        <v>14</v>
      </c>
      <c r="F5208">
        <v>3</v>
      </c>
      <c r="G5208">
        <v>0.2</v>
      </c>
      <c r="H5208" s="2">
        <v>-2.4359999999999999</v>
      </c>
      <c r="I5208" s="2">
        <v>38.975999999999999</v>
      </c>
    </row>
    <row r="5209" spans="1:9" x14ac:dyDescent="0.3">
      <c r="A5209" t="str">
        <f t="shared" si="1694"/>
        <v>United States</v>
      </c>
      <c r="B5209" t="str">
        <f t="shared" si="1701"/>
        <v>Toledo</v>
      </c>
      <c r="C5209" t="str">
        <f t="shared" ref="C5209:C5211" si="1704">C5208</f>
        <v>Second Class</v>
      </c>
      <c r="D5209" t="str">
        <f>D5208</f>
        <v>Consumer</v>
      </c>
      <c r="E5209" t="s">
        <v>9</v>
      </c>
      <c r="F5209">
        <v>5</v>
      </c>
      <c r="G5209">
        <v>0.2</v>
      </c>
      <c r="H5209" s="2">
        <v>-3.3120000000000012</v>
      </c>
      <c r="I5209" s="2">
        <v>14.720000000000002</v>
      </c>
    </row>
    <row r="5210" spans="1:9" x14ac:dyDescent="0.3">
      <c r="A5210" t="str">
        <f t="shared" si="1694"/>
        <v>United States</v>
      </c>
      <c r="B5210" t="str">
        <f t="shared" si="1701"/>
        <v>Toledo</v>
      </c>
      <c r="C5210" t="str">
        <f t="shared" si="1704"/>
        <v>Second Class</v>
      </c>
      <c r="D5210" t="s">
        <v>15</v>
      </c>
      <c r="E5210" t="s">
        <v>12</v>
      </c>
      <c r="F5210">
        <v>5</v>
      </c>
      <c r="G5210">
        <v>0.2</v>
      </c>
      <c r="H5210" s="2">
        <v>1.3109999999999999</v>
      </c>
      <c r="I5210" s="2">
        <v>17.480000000000004</v>
      </c>
    </row>
    <row r="5211" spans="1:9" x14ac:dyDescent="0.3">
      <c r="A5211" t="str">
        <f t="shared" si="1694"/>
        <v>United States</v>
      </c>
      <c r="B5211" t="str">
        <f t="shared" si="1701"/>
        <v>Toledo</v>
      </c>
      <c r="C5211" t="str">
        <f t="shared" si="1704"/>
        <v>Second Class</v>
      </c>
      <c r="D5211" t="str">
        <f>D5210</f>
        <v>Corporate</v>
      </c>
      <c r="E5211" t="s">
        <v>21</v>
      </c>
      <c r="F5211">
        <v>2</v>
      </c>
      <c r="G5211">
        <v>0.2</v>
      </c>
      <c r="H5211" s="2">
        <v>3.7920000000000011</v>
      </c>
      <c r="I5211" s="2">
        <v>15.168000000000001</v>
      </c>
    </row>
    <row r="5212" spans="1:9" x14ac:dyDescent="0.3">
      <c r="A5212" t="str">
        <f t="shared" si="1694"/>
        <v>United States</v>
      </c>
      <c r="B5212" t="str">
        <f t="shared" si="1701"/>
        <v>Toledo</v>
      </c>
      <c r="C5212" t="s">
        <v>22</v>
      </c>
      <c r="D5212" t="s">
        <v>8</v>
      </c>
      <c r="E5212" t="s">
        <v>21</v>
      </c>
      <c r="F5212">
        <v>7</v>
      </c>
      <c r="G5212">
        <v>0.2</v>
      </c>
      <c r="H5212" s="2">
        <v>9.6712000000000025</v>
      </c>
      <c r="I5212" s="2">
        <v>35.168000000000006</v>
      </c>
    </row>
    <row r="5213" spans="1:9" x14ac:dyDescent="0.3">
      <c r="A5213" t="str">
        <f t="shared" si="1694"/>
        <v>United States</v>
      </c>
      <c r="B5213" t="str">
        <f t="shared" si="1701"/>
        <v>Toledo</v>
      </c>
      <c r="C5213" t="str">
        <f t="shared" ref="C5213:C5222" si="1705">C5212</f>
        <v>Standard Class</v>
      </c>
      <c r="D5213" t="str">
        <f t="shared" ref="D5213:D5214" si="1706">D5212</f>
        <v>Consumer</v>
      </c>
      <c r="E5213" t="s">
        <v>24</v>
      </c>
      <c r="F5213">
        <v>4</v>
      </c>
      <c r="G5213">
        <v>0.4</v>
      </c>
      <c r="H5213" s="2">
        <v>-250.39600000000019</v>
      </c>
      <c r="I5213" s="2">
        <v>1502.376</v>
      </c>
    </row>
    <row r="5214" spans="1:9" x14ac:dyDescent="0.3">
      <c r="A5214" t="str">
        <f t="shared" si="1694"/>
        <v>United States</v>
      </c>
      <c r="B5214" t="str">
        <f t="shared" si="1701"/>
        <v>Toledo</v>
      </c>
      <c r="C5214" t="str">
        <f t="shared" si="1705"/>
        <v>Standard Class</v>
      </c>
      <c r="D5214" t="str">
        <f t="shared" si="1706"/>
        <v>Consumer</v>
      </c>
      <c r="E5214" t="s">
        <v>25</v>
      </c>
      <c r="F5214">
        <v>1</v>
      </c>
      <c r="G5214">
        <v>0.4</v>
      </c>
      <c r="H5214" s="2">
        <v>-94.660500000000013</v>
      </c>
      <c r="I5214" s="2">
        <v>172.11</v>
      </c>
    </row>
    <row r="5215" spans="1:9" x14ac:dyDescent="0.3">
      <c r="A5215" t="str">
        <f t="shared" si="1694"/>
        <v>United States</v>
      </c>
      <c r="B5215" t="str">
        <f t="shared" si="1701"/>
        <v>Toledo</v>
      </c>
      <c r="C5215" t="str">
        <f t="shared" si="1705"/>
        <v>Standard Class</v>
      </c>
      <c r="D5215" t="s">
        <v>15</v>
      </c>
      <c r="E5215" t="s">
        <v>23</v>
      </c>
      <c r="F5215">
        <v>2</v>
      </c>
      <c r="G5215">
        <v>0.2</v>
      </c>
      <c r="H5215" s="2">
        <v>2.2065999999999999</v>
      </c>
      <c r="I5215" s="2">
        <v>10.384</v>
      </c>
    </row>
    <row r="5216" spans="1:9" x14ac:dyDescent="0.3">
      <c r="A5216" t="str">
        <f t="shared" si="1694"/>
        <v>United States</v>
      </c>
      <c r="B5216" t="str">
        <f t="shared" si="1701"/>
        <v>Toledo</v>
      </c>
      <c r="C5216" t="str">
        <f t="shared" si="1705"/>
        <v>Standard Class</v>
      </c>
      <c r="D5216" t="str">
        <f t="shared" ref="D5216:D5220" si="1707">D5215</f>
        <v>Corporate</v>
      </c>
      <c r="E5216" t="s">
        <v>12</v>
      </c>
      <c r="F5216">
        <v>8</v>
      </c>
      <c r="G5216">
        <v>0.4</v>
      </c>
      <c r="H5216" s="2">
        <v>31.958099999999959</v>
      </c>
      <c r="I5216" s="2">
        <v>289.096</v>
      </c>
    </row>
    <row r="5217" spans="1:9" x14ac:dyDescent="0.3">
      <c r="A5217" t="str">
        <f t="shared" si="1694"/>
        <v>United States</v>
      </c>
      <c r="B5217" t="str">
        <f t="shared" si="1701"/>
        <v>Toledo</v>
      </c>
      <c r="C5217" t="str">
        <f t="shared" si="1705"/>
        <v>Standard Class</v>
      </c>
      <c r="D5217" t="str">
        <f t="shared" si="1707"/>
        <v>Corporate</v>
      </c>
      <c r="E5217" t="s">
        <v>19</v>
      </c>
      <c r="F5217">
        <v>5</v>
      </c>
      <c r="G5217">
        <v>0.4</v>
      </c>
      <c r="H5217" s="2">
        <v>2.8343999999999987</v>
      </c>
      <c r="I5217" s="2">
        <v>18.240000000000002</v>
      </c>
    </row>
    <row r="5218" spans="1:9" x14ac:dyDescent="0.3">
      <c r="A5218" t="str">
        <f t="shared" si="1694"/>
        <v>United States</v>
      </c>
      <c r="B5218" t="str">
        <f t="shared" si="1701"/>
        <v>Toledo</v>
      </c>
      <c r="C5218" t="str">
        <f t="shared" si="1705"/>
        <v>Standard Class</v>
      </c>
      <c r="D5218" t="str">
        <f t="shared" si="1707"/>
        <v>Corporate</v>
      </c>
      <c r="E5218" t="s">
        <v>20</v>
      </c>
      <c r="F5218">
        <v>18</v>
      </c>
      <c r="G5218">
        <v>1.4</v>
      </c>
      <c r="H5218" s="2">
        <v>-163.06899999999999</v>
      </c>
      <c r="I5218" s="2">
        <v>222.39000000000001</v>
      </c>
    </row>
    <row r="5219" spans="1:9" x14ac:dyDescent="0.3">
      <c r="A5219" t="str">
        <f t="shared" si="1694"/>
        <v>United States</v>
      </c>
      <c r="B5219" t="str">
        <f t="shared" si="1701"/>
        <v>Toledo</v>
      </c>
      <c r="C5219" t="str">
        <f t="shared" si="1705"/>
        <v>Standard Class</v>
      </c>
      <c r="D5219" t="str">
        <f t="shared" si="1707"/>
        <v>Corporate</v>
      </c>
      <c r="E5219" t="s">
        <v>18</v>
      </c>
      <c r="F5219">
        <v>8</v>
      </c>
      <c r="G5219">
        <v>0.4</v>
      </c>
      <c r="H5219" s="2">
        <v>-1.9781000000000002</v>
      </c>
      <c r="I5219" s="2">
        <v>11.864000000000003</v>
      </c>
    </row>
    <row r="5220" spans="1:9" x14ac:dyDescent="0.3">
      <c r="A5220" t="str">
        <f t="shared" si="1694"/>
        <v>United States</v>
      </c>
      <c r="B5220" t="str">
        <f t="shared" si="1701"/>
        <v>Toledo</v>
      </c>
      <c r="C5220" t="str">
        <f t="shared" si="1705"/>
        <v>Standard Class</v>
      </c>
      <c r="D5220" t="str">
        <f t="shared" si="1707"/>
        <v>Corporate</v>
      </c>
      <c r="E5220" t="s">
        <v>24</v>
      </c>
      <c r="F5220">
        <v>12</v>
      </c>
      <c r="G5220">
        <v>1.6</v>
      </c>
      <c r="H5220" s="2">
        <v>-89.619600000000048</v>
      </c>
      <c r="I5220" s="2">
        <v>487.46399999999994</v>
      </c>
    </row>
    <row r="5221" spans="1:9" x14ac:dyDescent="0.3">
      <c r="A5221" t="str">
        <f t="shared" si="1694"/>
        <v>United States</v>
      </c>
      <c r="B5221" t="str">
        <f t="shared" si="1701"/>
        <v>Toledo</v>
      </c>
      <c r="C5221" t="str">
        <f t="shared" si="1705"/>
        <v>Standard Class</v>
      </c>
      <c r="D5221" t="s">
        <v>17</v>
      </c>
      <c r="E5221" t="s">
        <v>20</v>
      </c>
      <c r="F5221">
        <v>3</v>
      </c>
      <c r="G5221">
        <v>0.7</v>
      </c>
      <c r="H5221" s="2">
        <v>-17.942399999999992</v>
      </c>
      <c r="I5221" s="2">
        <v>22.428000000000004</v>
      </c>
    </row>
    <row r="5222" spans="1:9" x14ac:dyDescent="0.3">
      <c r="A5222" t="str">
        <f t="shared" si="1694"/>
        <v>United States</v>
      </c>
      <c r="B5222" t="str">
        <f t="shared" si="1701"/>
        <v>Toledo</v>
      </c>
      <c r="C5222" t="str">
        <f t="shared" si="1705"/>
        <v>Standard Class</v>
      </c>
      <c r="D5222" t="str">
        <f>D5221</f>
        <v>Home Office</v>
      </c>
      <c r="E5222" t="s">
        <v>14</v>
      </c>
      <c r="F5222">
        <v>5</v>
      </c>
      <c r="G5222">
        <v>0.2</v>
      </c>
      <c r="H5222" s="2">
        <v>3.7519999999999989</v>
      </c>
      <c r="I5222" s="2">
        <v>37.52000000000001</v>
      </c>
    </row>
    <row r="5223" spans="1:9" x14ac:dyDescent="0.3">
      <c r="A5223" t="str">
        <f t="shared" si="1694"/>
        <v>United States</v>
      </c>
      <c r="B5223" t="s">
        <v>516</v>
      </c>
      <c r="C5223" t="s">
        <v>22</v>
      </c>
      <c r="D5223" t="s">
        <v>15</v>
      </c>
      <c r="E5223" t="s">
        <v>12</v>
      </c>
      <c r="F5223">
        <v>5</v>
      </c>
      <c r="G5223">
        <v>0</v>
      </c>
      <c r="H5223" s="2">
        <v>459.39599999999996</v>
      </c>
      <c r="I5223" s="2">
        <v>1640.6999999999998</v>
      </c>
    </row>
    <row r="5224" spans="1:9" x14ac:dyDescent="0.3">
      <c r="A5224" t="str">
        <f t="shared" si="1694"/>
        <v>United States</v>
      </c>
      <c r="B5224" t="str">
        <f t="shared" ref="B5224:B5226" si="1708">B5223</f>
        <v>Torrance</v>
      </c>
      <c r="C5224" t="str">
        <f t="shared" ref="C5224:C5226" si="1709">C5223</f>
        <v>Standard Class</v>
      </c>
      <c r="D5224" t="str">
        <f t="shared" ref="D5224:D5226" si="1710">D5223</f>
        <v>Corporate</v>
      </c>
      <c r="E5224" t="s">
        <v>20</v>
      </c>
      <c r="F5224">
        <v>2</v>
      </c>
      <c r="G5224">
        <v>0.2</v>
      </c>
      <c r="H5224" s="2">
        <v>2.2098</v>
      </c>
      <c r="I5224" s="2">
        <v>6.0960000000000001</v>
      </c>
    </row>
    <row r="5225" spans="1:9" x14ac:dyDescent="0.3">
      <c r="A5225" t="str">
        <f t="shared" si="1694"/>
        <v>United States</v>
      </c>
      <c r="B5225" t="str">
        <f t="shared" si="1708"/>
        <v>Torrance</v>
      </c>
      <c r="C5225" t="str">
        <f t="shared" si="1709"/>
        <v>Standard Class</v>
      </c>
      <c r="D5225" t="str">
        <f t="shared" si="1710"/>
        <v>Corporate</v>
      </c>
      <c r="E5225" t="s">
        <v>24</v>
      </c>
      <c r="F5225">
        <v>5</v>
      </c>
      <c r="G5225">
        <v>0.2</v>
      </c>
      <c r="H5225" s="2">
        <v>41.759999999999948</v>
      </c>
      <c r="I5225" s="2">
        <v>371.2</v>
      </c>
    </row>
    <row r="5226" spans="1:9" x14ac:dyDescent="0.3">
      <c r="A5226" t="str">
        <f t="shared" si="1694"/>
        <v>United States</v>
      </c>
      <c r="B5226" t="str">
        <f t="shared" si="1708"/>
        <v>Torrance</v>
      </c>
      <c r="C5226" t="str">
        <f t="shared" si="1709"/>
        <v>Standard Class</v>
      </c>
      <c r="D5226" t="str">
        <f t="shared" si="1710"/>
        <v>Corporate</v>
      </c>
      <c r="E5226" t="s">
        <v>25</v>
      </c>
      <c r="F5226">
        <v>4</v>
      </c>
      <c r="G5226">
        <v>0.2</v>
      </c>
      <c r="H5226" s="2">
        <v>41.785200000000032</v>
      </c>
      <c r="I5226" s="2">
        <v>1114.2719999999999</v>
      </c>
    </row>
    <row r="5227" spans="1:9" x14ac:dyDescent="0.3">
      <c r="A5227" t="str">
        <f t="shared" si="1694"/>
        <v>United States</v>
      </c>
      <c r="B5227" t="s">
        <v>517</v>
      </c>
      <c r="C5227" t="s">
        <v>27</v>
      </c>
      <c r="D5227" t="s">
        <v>15</v>
      </c>
      <c r="E5227" t="s">
        <v>20</v>
      </c>
      <c r="F5227">
        <v>2</v>
      </c>
      <c r="G5227">
        <v>0</v>
      </c>
      <c r="H5227" s="2">
        <v>19.814399999999999</v>
      </c>
      <c r="I5227" s="2">
        <v>41.28</v>
      </c>
    </row>
    <row r="5228" spans="1:9" x14ac:dyDescent="0.3">
      <c r="A5228" t="str">
        <f t="shared" si="1694"/>
        <v>United States</v>
      </c>
      <c r="B5228" t="str">
        <f t="shared" ref="B5228:B5237" si="1711">B5227</f>
        <v>Trenton</v>
      </c>
      <c r="C5228" t="s">
        <v>22</v>
      </c>
      <c r="D5228" t="s">
        <v>8</v>
      </c>
      <c r="E5228" t="s">
        <v>19</v>
      </c>
      <c r="F5228">
        <v>7</v>
      </c>
      <c r="G5228">
        <v>0</v>
      </c>
      <c r="H5228" s="2">
        <v>22.792000000000002</v>
      </c>
      <c r="I5228" s="2">
        <v>56.980000000000004</v>
      </c>
    </row>
    <row r="5229" spans="1:9" x14ac:dyDescent="0.3">
      <c r="A5229" t="str">
        <f t="shared" si="1694"/>
        <v>United States</v>
      </c>
      <c r="B5229" t="str">
        <f t="shared" si="1711"/>
        <v>Trenton</v>
      </c>
      <c r="C5229" t="str">
        <f t="shared" ref="C5229:C5237" si="1712">C5228</f>
        <v>Standard Class</v>
      </c>
      <c r="D5229" t="str">
        <f t="shared" ref="D5229:D5232" si="1713">D5228</f>
        <v>Consumer</v>
      </c>
      <c r="E5229" t="s">
        <v>20</v>
      </c>
      <c r="F5229">
        <v>4</v>
      </c>
      <c r="G5229">
        <v>0</v>
      </c>
      <c r="H5229" s="2">
        <v>28.1142</v>
      </c>
      <c r="I5229" s="2">
        <v>60.930000000000007</v>
      </c>
    </row>
    <row r="5230" spans="1:9" x14ac:dyDescent="0.3">
      <c r="A5230" t="str">
        <f t="shared" si="1694"/>
        <v>United States</v>
      </c>
      <c r="B5230" t="str">
        <f t="shared" si="1711"/>
        <v>Trenton</v>
      </c>
      <c r="C5230" t="str">
        <f t="shared" si="1712"/>
        <v>Standard Class</v>
      </c>
      <c r="D5230" t="str">
        <f t="shared" si="1713"/>
        <v>Consumer</v>
      </c>
      <c r="E5230" t="s">
        <v>21</v>
      </c>
      <c r="F5230">
        <v>11</v>
      </c>
      <c r="G5230">
        <v>0</v>
      </c>
      <c r="H5230" s="2">
        <v>56.7864</v>
      </c>
      <c r="I5230" s="2">
        <v>157.74</v>
      </c>
    </row>
    <row r="5231" spans="1:9" x14ac:dyDescent="0.3">
      <c r="A5231" t="str">
        <f t="shared" si="1694"/>
        <v>United States</v>
      </c>
      <c r="B5231" t="str">
        <f t="shared" si="1711"/>
        <v>Trenton</v>
      </c>
      <c r="C5231" t="str">
        <f t="shared" si="1712"/>
        <v>Standard Class</v>
      </c>
      <c r="D5231" t="str">
        <f t="shared" si="1713"/>
        <v>Consumer</v>
      </c>
      <c r="E5231" t="s">
        <v>24</v>
      </c>
      <c r="F5231">
        <v>8</v>
      </c>
      <c r="G5231">
        <v>0</v>
      </c>
      <c r="H5231" s="2">
        <v>87.030599999999993</v>
      </c>
      <c r="I5231" s="2">
        <v>317.67999999999995</v>
      </c>
    </row>
    <row r="5232" spans="1:9" x14ac:dyDescent="0.3">
      <c r="A5232" t="str">
        <f t="shared" si="1694"/>
        <v>United States</v>
      </c>
      <c r="B5232" t="str">
        <f t="shared" si="1711"/>
        <v>Trenton</v>
      </c>
      <c r="C5232" t="str">
        <f t="shared" si="1712"/>
        <v>Standard Class</v>
      </c>
      <c r="D5232" t="str">
        <f t="shared" si="1713"/>
        <v>Consumer</v>
      </c>
      <c r="E5232" t="s">
        <v>14</v>
      </c>
      <c r="F5232">
        <v>7</v>
      </c>
      <c r="G5232">
        <v>0</v>
      </c>
      <c r="H5232" s="2">
        <v>1.4601999999999977</v>
      </c>
      <c r="I5232" s="2">
        <v>20.86</v>
      </c>
    </row>
    <row r="5233" spans="1:9" x14ac:dyDescent="0.3">
      <c r="A5233" t="str">
        <f t="shared" si="1694"/>
        <v>United States</v>
      </c>
      <c r="B5233" t="str">
        <f t="shared" si="1711"/>
        <v>Trenton</v>
      </c>
      <c r="C5233" t="str">
        <f t="shared" si="1712"/>
        <v>Standard Class</v>
      </c>
      <c r="D5233" t="s">
        <v>17</v>
      </c>
      <c r="E5233" t="s">
        <v>12</v>
      </c>
      <c r="F5233">
        <v>3</v>
      </c>
      <c r="G5233">
        <v>0.1</v>
      </c>
      <c r="H5233" s="2">
        <v>37.229999999999983</v>
      </c>
      <c r="I5233" s="2">
        <v>167.535</v>
      </c>
    </row>
    <row r="5234" spans="1:9" x14ac:dyDescent="0.3">
      <c r="A5234" t="str">
        <f t="shared" si="1694"/>
        <v>United States</v>
      </c>
      <c r="B5234" t="str">
        <f t="shared" si="1711"/>
        <v>Trenton</v>
      </c>
      <c r="C5234" t="str">
        <f t="shared" si="1712"/>
        <v>Standard Class</v>
      </c>
      <c r="D5234" t="str">
        <f t="shared" ref="D5234:D5237" si="1714">D5233</f>
        <v>Home Office</v>
      </c>
      <c r="E5234" t="s">
        <v>45</v>
      </c>
      <c r="F5234">
        <v>1</v>
      </c>
      <c r="G5234">
        <v>0</v>
      </c>
      <c r="H5234" s="2">
        <v>274.995</v>
      </c>
      <c r="I5234" s="2">
        <v>549.99</v>
      </c>
    </row>
    <row r="5235" spans="1:9" x14ac:dyDescent="0.3">
      <c r="A5235" t="str">
        <f t="shared" si="1694"/>
        <v>United States</v>
      </c>
      <c r="B5235" t="str">
        <f t="shared" si="1711"/>
        <v>Trenton</v>
      </c>
      <c r="C5235" t="str">
        <f t="shared" si="1712"/>
        <v>Standard Class</v>
      </c>
      <c r="D5235" t="str">
        <f t="shared" si="1714"/>
        <v>Home Office</v>
      </c>
      <c r="E5235" t="s">
        <v>38</v>
      </c>
      <c r="F5235">
        <v>3</v>
      </c>
      <c r="G5235">
        <v>0</v>
      </c>
      <c r="H5235" s="2">
        <v>17.253</v>
      </c>
      <c r="I5235" s="2">
        <v>38.339999999999996</v>
      </c>
    </row>
    <row r="5236" spans="1:9" x14ac:dyDescent="0.3">
      <c r="A5236" t="str">
        <f t="shared" si="1694"/>
        <v>United States</v>
      </c>
      <c r="B5236" t="str">
        <f t="shared" si="1711"/>
        <v>Trenton</v>
      </c>
      <c r="C5236" t="str">
        <f t="shared" si="1712"/>
        <v>Standard Class</v>
      </c>
      <c r="D5236" t="str">
        <f t="shared" si="1714"/>
        <v>Home Office</v>
      </c>
      <c r="E5236" t="s">
        <v>21</v>
      </c>
      <c r="F5236">
        <v>6</v>
      </c>
      <c r="G5236">
        <v>0</v>
      </c>
      <c r="H5236" s="2">
        <v>22.629600000000003</v>
      </c>
      <c r="I5236" s="2">
        <v>53.88</v>
      </c>
    </row>
    <row r="5237" spans="1:9" x14ac:dyDescent="0.3">
      <c r="A5237" t="str">
        <f t="shared" si="1694"/>
        <v>United States</v>
      </c>
      <c r="B5237" t="str">
        <f t="shared" si="1711"/>
        <v>Trenton</v>
      </c>
      <c r="C5237" t="str">
        <f t="shared" si="1712"/>
        <v>Standard Class</v>
      </c>
      <c r="D5237" t="str">
        <f t="shared" si="1714"/>
        <v>Home Office</v>
      </c>
      <c r="E5237" t="s">
        <v>24</v>
      </c>
      <c r="F5237">
        <v>2</v>
      </c>
      <c r="G5237">
        <v>0</v>
      </c>
      <c r="H5237" s="2">
        <v>83.994400000000013</v>
      </c>
      <c r="I5237" s="2">
        <v>299.98</v>
      </c>
    </row>
    <row r="5238" spans="1:9" x14ac:dyDescent="0.3">
      <c r="A5238" t="str">
        <f t="shared" si="1694"/>
        <v>United States</v>
      </c>
      <c r="B5238" t="s">
        <v>518</v>
      </c>
      <c r="C5238" t="s">
        <v>11</v>
      </c>
      <c r="D5238" t="s">
        <v>8</v>
      </c>
      <c r="E5238" t="s">
        <v>23</v>
      </c>
      <c r="F5238">
        <v>2</v>
      </c>
      <c r="G5238">
        <v>0</v>
      </c>
      <c r="H5238" s="2">
        <v>3.3000000000000007</v>
      </c>
      <c r="I5238" s="2">
        <v>30</v>
      </c>
    </row>
    <row r="5239" spans="1:9" x14ac:dyDescent="0.3">
      <c r="A5239" t="str">
        <f t="shared" si="1694"/>
        <v>United States</v>
      </c>
      <c r="B5239" t="str">
        <f t="shared" ref="B5239:B5263" si="1715">B5238</f>
        <v>Troy</v>
      </c>
      <c r="C5239" t="str">
        <f t="shared" ref="C5239:C5248" si="1716">C5238</f>
        <v>First Class</v>
      </c>
      <c r="D5239" t="str">
        <f t="shared" ref="D5239:D5243" si="1717">D5238</f>
        <v>Consumer</v>
      </c>
      <c r="E5239" t="s">
        <v>19</v>
      </c>
      <c r="F5239">
        <v>1</v>
      </c>
      <c r="G5239">
        <v>0</v>
      </c>
      <c r="H5239" s="2">
        <v>0.84</v>
      </c>
      <c r="I5239" s="2">
        <v>1.68</v>
      </c>
    </row>
    <row r="5240" spans="1:9" x14ac:dyDescent="0.3">
      <c r="A5240" t="str">
        <f t="shared" si="1694"/>
        <v>United States</v>
      </c>
      <c r="B5240" t="str">
        <f t="shared" si="1715"/>
        <v>Troy</v>
      </c>
      <c r="C5240" t="str">
        <f t="shared" si="1716"/>
        <v>First Class</v>
      </c>
      <c r="D5240" t="str">
        <f t="shared" si="1717"/>
        <v>Consumer</v>
      </c>
      <c r="E5240" t="s">
        <v>20</v>
      </c>
      <c r="F5240">
        <v>4</v>
      </c>
      <c r="G5240">
        <v>0.2</v>
      </c>
      <c r="H5240" s="2">
        <v>16.361999999999998</v>
      </c>
      <c r="I5240" s="2">
        <v>48.480000000000004</v>
      </c>
    </row>
    <row r="5241" spans="1:9" x14ac:dyDescent="0.3">
      <c r="A5241" t="str">
        <f t="shared" si="1694"/>
        <v>United States</v>
      </c>
      <c r="B5241" t="str">
        <f t="shared" si="1715"/>
        <v>Troy</v>
      </c>
      <c r="C5241" t="str">
        <f t="shared" si="1716"/>
        <v>First Class</v>
      </c>
      <c r="D5241" t="str">
        <f t="shared" si="1717"/>
        <v>Consumer</v>
      </c>
      <c r="E5241" t="s">
        <v>33</v>
      </c>
      <c r="F5241">
        <v>5</v>
      </c>
      <c r="G5241">
        <v>0.1</v>
      </c>
      <c r="H5241" s="2">
        <v>7.0980000000000061</v>
      </c>
      <c r="I5241" s="2">
        <v>319.41000000000003</v>
      </c>
    </row>
    <row r="5242" spans="1:9" x14ac:dyDescent="0.3">
      <c r="A5242" t="str">
        <f t="shared" si="1694"/>
        <v>United States</v>
      </c>
      <c r="B5242" t="str">
        <f t="shared" si="1715"/>
        <v>Troy</v>
      </c>
      <c r="C5242" t="str">
        <f t="shared" si="1716"/>
        <v>First Class</v>
      </c>
      <c r="D5242" t="str">
        <f t="shared" si="1717"/>
        <v>Consumer</v>
      </c>
      <c r="E5242" t="s">
        <v>16</v>
      </c>
      <c r="F5242">
        <v>13</v>
      </c>
      <c r="G5242">
        <v>0.2</v>
      </c>
      <c r="H5242" s="2">
        <v>33.427199999999999</v>
      </c>
      <c r="I5242" s="2">
        <v>78.064000000000021</v>
      </c>
    </row>
    <row r="5243" spans="1:9" x14ac:dyDescent="0.3">
      <c r="A5243" t="str">
        <f t="shared" si="1694"/>
        <v>United States</v>
      </c>
      <c r="B5243" t="str">
        <f t="shared" si="1715"/>
        <v>Troy</v>
      </c>
      <c r="C5243" t="str">
        <f t="shared" si="1716"/>
        <v>First Class</v>
      </c>
      <c r="D5243" t="str">
        <f t="shared" si="1717"/>
        <v>Consumer</v>
      </c>
      <c r="E5243" t="s">
        <v>14</v>
      </c>
      <c r="F5243">
        <v>6</v>
      </c>
      <c r="G5243">
        <v>0</v>
      </c>
      <c r="H5243" s="2">
        <v>52.139999999999986</v>
      </c>
      <c r="I5243" s="2">
        <v>208.56</v>
      </c>
    </row>
    <row r="5244" spans="1:9" x14ac:dyDescent="0.3">
      <c r="A5244" t="str">
        <f t="shared" si="1694"/>
        <v>United States</v>
      </c>
      <c r="B5244" t="str">
        <f t="shared" si="1715"/>
        <v>Troy</v>
      </c>
      <c r="C5244" t="str">
        <f t="shared" si="1716"/>
        <v>First Class</v>
      </c>
      <c r="D5244" t="s">
        <v>17</v>
      </c>
      <c r="E5244" t="s">
        <v>20</v>
      </c>
      <c r="F5244">
        <v>8</v>
      </c>
      <c r="G5244">
        <v>1.4</v>
      </c>
      <c r="H5244" s="2">
        <v>-15.144899999999998</v>
      </c>
      <c r="I5244" s="2">
        <v>20.547000000000004</v>
      </c>
    </row>
    <row r="5245" spans="1:9" x14ac:dyDescent="0.3">
      <c r="A5245" t="str">
        <f t="shared" si="1694"/>
        <v>United States</v>
      </c>
      <c r="B5245" t="str">
        <f t="shared" si="1715"/>
        <v>Troy</v>
      </c>
      <c r="C5245" t="str">
        <f t="shared" si="1716"/>
        <v>First Class</v>
      </c>
      <c r="D5245" t="str">
        <f t="shared" ref="D5245:D5248" si="1718">D5244</f>
        <v>Home Office</v>
      </c>
      <c r="E5245" t="s">
        <v>33</v>
      </c>
      <c r="F5245">
        <v>5</v>
      </c>
      <c r="G5245">
        <v>0.3</v>
      </c>
      <c r="H5245" s="2">
        <v>-12.84900000000016</v>
      </c>
      <c r="I5245" s="2">
        <v>899.43</v>
      </c>
    </row>
    <row r="5246" spans="1:9" x14ac:dyDescent="0.3">
      <c r="A5246" t="str">
        <f t="shared" si="1694"/>
        <v>United States</v>
      </c>
      <c r="B5246" t="str">
        <f t="shared" si="1715"/>
        <v>Troy</v>
      </c>
      <c r="C5246" t="str">
        <f t="shared" si="1716"/>
        <v>First Class</v>
      </c>
      <c r="D5246" t="str">
        <f t="shared" si="1718"/>
        <v>Home Office</v>
      </c>
      <c r="E5246" t="s">
        <v>21</v>
      </c>
      <c r="F5246">
        <v>2</v>
      </c>
      <c r="G5246">
        <v>0.2</v>
      </c>
      <c r="H5246" s="2">
        <v>8.2896000000000001</v>
      </c>
      <c r="I5246" s="2">
        <v>30.144000000000002</v>
      </c>
    </row>
    <row r="5247" spans="1:9" x14ac:dyDescent="0.3">
      <c r="A5247" t="str">
        <f t="shared" si="1694"/>
        <v>United States</v>
      </c>
      <c r="B5247" t="str">
        <f t="shared" si="1715"/>
        <v>Troy</v>
      </c>
      <c r="C5247" t="str">
        <f t="shared" si="1716"/>
        <v>First Class</v>
      </c>
      <c r="D5247" t="str">
        <f t="shared" si="1718"/>
        <v>Home Office</v>
      </c>
      <c r="E5247" t="s">
        <v>24</v>
      </c>
      <c r="F5247">
        <v>1</v>
      </c>
      <c r="G5247">
        <v>0.4</v>
      </c>
      <c r="H5247" s="2">
        <v>-11.518799999999999</v>
      </c>
      <c r="I5247" s="2">
        <v>57.593999999999994</v>
      </c>
    </row>
    <row r="5248" spans="1:9" x14ac:dyDescent="0.3">
      <c r="A5248" t="str">
        <f t="shared" si="1694"/>
        <v>United States</v>
      </c>
      <c r="B5248" t="str">
        <f t="shared" si="1715"/>
        <v>Troy</v>
      </c>
      <c r="C5248" t="str">
        <f t="shared" si="1716"/>
        <v>First Class</v>
      </c>
      <c r="D5248" t="str">
        <f t="shared" si="1718"/>
        <v>Home Office</v>
      </c>
      <c r="E5248" t="s">
        <v>25</v>
      </c>
      <c r="F5248">
        <v>5</v>
      </c>
      <c r="G5248">
        <v>0.4</v>
      </c>
      <c r="H5248" s="2">
        <v>-106.39299999999997</v>
      </c>
      <c r="I5248" s="2">
        <v>455.97</v>
      </c>
    </row>
    <row r="5249" spans="1:9" x14ac:dyDescent="0.3">
      <c r="A5249" t="str">
        <f t="shared" si="1694"/>
        <v>United States</v>
      </c>
      <c r="B5249" t="str">
        <f t="shared" si="1715"/>
        <v>Troy</v>
      </c>
      <c r="C5249" t="s">
        <v>7</v>
      </c>
      <c r="D5249" t="s">
        <v>8</v>
      </c>
      <c r="E5249" t="s">
        <v>19</v>
      </c>
      <c r="F5249">
        <v>9</v>
      </c>
      <c r="G5249">
        <v>0</v>
      </c>
      <c r="H5249" s="2">
        <v>22.244399999999995</v>
      </c>
      <c r="I5249" s="2">
        <v>60.12</v>
      </c>
    </row>
    <row r="5250" spans="1:9" x14ac:dyDescent="0.3">
      <c r="A5250" t="str">
        <f t="shared" si="1694"/>
        <v>United States</v>
      </c>
      <c r="B5250" t="str">
        <f t="shared" si="1715"/>
        <v>Troy</v>
      </c>
      <c r="C5250" t="str">
        <f t="shared" ref="C5250:C5257" si="1719">C5249</f>
        <v>Second Class</v>
      </c>
      <c r="D5250" t="str">
        <f>D5249</f>
        <v>Consumer</v>
      </c>
      <c r="E5250" t="s">
        <v>24</v>
      </c>
      <c r="F5250">
        <v>5</v>
      </c>
      <c r="G5250">
        <v>0.4</v>
      </c>
      <c r="H5250" s="2">
        <v>-255.74250000000001</v>
      </c>
      <c r="I5250" s="2">
        <v>1022.97</v>
      </c>
    </row>
    <row r="5251" spans="1:9" x14ac:dyDescent="0.3">
      <c r="A5251" t="str">
        <f t="shared" si="1694"/>
        <v>United States</v>
      </c>
      <c r="B5251" t="str">
        <f t="shared" si="1715"/>
        <v>Troy</v>
      </c>
      <c r="C5251" t="str">
        <f t="shared" si="1719"/>
        <v>Second Class</v>
      </c>
      <c r="D5251" t="s">
        <v>15</v>
      </c>
      <c r="E5251" t="s">
        <v>20</v>
      </c>
      <c r="F5251">
        <v>3</v>
      </c>
      <c r="G5251">
        <v>0.2</v>
      </c>
      <c r="H5251" s="2">
        <v>3.3452999999999995</v>
      </c>
      <c r="I5251" s="2">
        <v>9.9120000000000008</v>
      </c>
    </row>
    <row r="5252" spans="1:9" x14ac:dyDescent="0.3">
      <c r="A5252" t="str">
        <f t="shared" ref="A5252:A5315" si="1720">A5251</f>
        <v>United States</v>
      </c>
      <c r="B5252" t="str">
        <f t="shared" si="1715"/>
        <v>Troy</v>
      </c>
      <c r="C5252" t="str">
        <f t="shared" si="1719"/>
        <v>Second Class</v>
      </c>
      <c r="D5252" t="str">
        <f t="shared" ref="D5252:D5254" si="1721">D5251</f>
        <v>Corporate</v>
      </c>
      <c r="E5252" t="s">
        <v>34</v>
      </c>
      <c r="F5252">
        <v>6</v>
      </c>
      <c r="G5252">
        <v>0.5</v>
      </c>
      <c r="H5252" s="2">
        <v>-376.69319999999999</v>
      </c>
      <c r="I5252" s="2">
        <v>482.93999999999994</v>
      </c>
    </row>
    <row r="5253" spans="1:9" x14ac:dyDescent="0.3">
      <c r="A5253" t="str">
        <f t="shared" si="1720"/>
        <v>United States</v>
      </c>
      <c r="B5253" t="str">
        <f t="shared" si="1715"/>
        <v>Troy</v>
      </c>
      <c r="C5253" t="str">
        <f t="shared" si="1719"/>
        <v>Second Class</v>
      </c>
      <c r="D5253" t="str">
        <f t="shared" si="1721"/>
        <v>Corporate</v>
      </c>
      <c r="E5253" t="s">
        <v>38</v>
      </c>
      <c r="F5253">
        <v>8</v>
      </c>
      <c r="G5253">
        <v>0</v>
      </c>
      <c r="H5253" s="2">
        <v>121.44159999999999</v>
      </c>
      <c r="I5253" s="2">
        <v>247.84</v>
      </c>
    </row>
    <row r="5254" spans="1:9" x14ac:dyDescent="0.3">
      <c r="A5254" t="str">
        <f t="shared" si="1720"/>
        <v>United States</v>
      </c>
      <c r="B5254" t="str">
        <f t="shared" si="1715"/>
        <v>Troy</v>
      </c>
      <c r="C5254" t="str">
        <f t="shared" si="1719"/>
        <v>Second Class</v>
      </c>
      <c r="D5254" t="str">
        <f t="shared" si="1721"/>
        <v>Corporate</v>
      </c>
      <c r="E5254" t="s">
        <v>16</v>
      </c>
      <c r="F5254">
        <v>3</v>
      </c>
      <c r="G5254">
        <v>0.2</v>
      </c>
      <c r="H5254" s="2">
        <v>5.4432</v>
      </c>
      <c r="I5254" s="2">
        <v>15.552000000000003</v>
      </c>
    </row>
    <row r="5255" spans="1:9" x14ac:dyDescent="0.3">
      <c r="A5255" t="str">
        <f t="shared" si="1720"/>
        <v>United States</v>
      </c>
      <c r="B5255" t="str">
        <f t="shared" si="1715"/>
        <v>Troy</v>
      </c>
      <c r="C5255" t="str">
        <f t="shared" si="1719"/>
        <v>Second Class</v>
      </c>
      <c r="D5255" t="s">
        <v>17</v>
      </c>
      <c r="E5255" t="s">
        <v>23</v>
      </c>
      <c r="F5255">
        <v>3</v>
      </c>
      <c r="G5255">
        <v>0</v>
      </c>
      <c r="H5255" s="2">
        <v>37.787400000000005</v>
      </c>
      <c r="I5255" s="2">
        <v>89.97</v>
      </c>
    </row>
    <row r="5256" spans="1:9" x14ac:dyDescent="0.3">
      <c r="A5256" t="str">
        <f t="shared" si="1720"/>
        <v>United States</v>
      </c>
      <c r="B5256" t="str">
        <f t="shared" si="1715"/>
        <v>Troy</v>
      </c>
      <c r="C5256" t="str">
        <f t="shared" si="1719"/>
        <v>Second Class</v>
      </c>
      <c r="D5256" t="str">
        <f t="shared" ref="D5256:D5257" si="1722">D5255</f>
        <v>Home Office</v>
      </c>
      <c r="E5256" t="s">
        <v>21</v>
      </c>
      <c r="F5256">
        <v>2</v>
      </c>
      <c r="G5256">
        <v>0</v>
      </c>
      <c r="H5256" s="2">
        <v>7.4376000000000033</v>
      </c>
      <c r="I5256" s="2">
        <v>82.64</v>
      </c>
    </row>
    <row r="5257" spans="1:9" x14ac:dyDescent="0.3">
      <c r="A5257" t="str">
        <f t="shared" si="1720"/>
        <v>United States</v>
      </c>
      <c r="B5257" t="str">
        <f t="shared" si="1715"/>
        <v>Troy</v>
      </c>
      <c r="C5257" t="str">
        <f t="shared" si="1719"/>
        <v>Second Class</v>
      </c>
      <c r="D5257" t="str">
        <f t="shared" si="1722"/>
        <v>Home Office</v>
      </c>
      <c r="E5257" t="s">
        <v>14</v>
      </c>
      <c r="F5257">
        <v>2</v>
      </c>
      <c r="G5257">
        <v>0</v>
      </c>
      <c r="H5257" s="2">
        <v>8.0652000000000008</v>
      </c>
      <c r="I5257" s="2">
        <v>31.02</v>
      </c>
    </row>
    <row r="5258" spans="1:9" x14ac:dyDescent="0.3">
      <c r="A5258" t="str">
        <f t="shared" si="1720"/>
        <v>United States</v>
      </c>
      <c r="B5258" t="str">
        <f t="shared" si="1715"/>
        <v>Troy</v>
      </c>
      <c r="C5258" t="s">
        <v>22</v>
      </c>
      <c r="D5258" t="s">
        <v>8</v>
      </c>
      <c r="E5258" t="s">
        <v>20</v>
      </c>
      <c r="F5258">
        <v>3</v>
      </c>
      <c r="G5258">
        <v>0.7</v>
      </c>
      <c r="H5258" s="2">
        <v>-7.5767999999999986</v>
      </c>
      <c r="I5258" s="2">
        <v>10.332000000000003</v>
      </c>
    </row>
    <row r="5259" spans="1:9" x14ac:dyDescent="0.3">
      <c r="A5259" t="str">
        <f t="shared" si="1720"/>
        <v>United States</v>
      </c>
      <c r="B5259" t="str">
        <f t="shared" si="1715"/>
        <v>Troy</v>
      </c>
      <c r="C5259" t="str">
        <f t="shared" ref="C5259:C5263" si="1723">C5258</f>
        <v>Standard Class</v>
      </c>
      <c r="D5259" t="str">
        <f t="shared" ref="D5259:D5260" si="1724">D5258</f>
        <v>Consumer</v>
      </c>
      <c r="E5259" t="s">
        <v>33</v>
      </c>
      <c r="F5259">
        <v>2</v>
      </c>
      <c r="G5259">
        <v>0.1</v>
      </c>
      <c r="H5259" s="2">
        <v>8.5371999999999968</v>
      </c>
      <c r="I5259" s="2">
        <v>109.764</v>
      </c>
    </row>
    <row r="5260" spans="1:9" x14ac:dyDescent="0.3">
      <c r="A5260" t="str">
        <f t="shared" si="1720"/>
        <v>United States</v>
      </c>
      <c r="B5260" t="str">
        <f t="shared" si="1715"/>
        <v>Troy</v>
      </c>
      <c r="C5260" t="str">
        <f t="shared" si="1723"/>
        <v>Standard Class</v>
      </c>
      <c r="D5260" t="str">
        <f t="shared" si="1724"/>
        <v>Consumer</v>
      </c>
      <c r="E5260" t="s">
        <v>21</v>
      </c>
      <c r="F5260">
        <v>3</v>
      </c>
      <c r="G5260">
        <v>0</v>
      </c>
      <c r="H5260" s="2">
        <v>19.295999999999999</v>
      </c>
      <c r="I5260" s="2">
        <v>40.200000000000003</v>
      </c>
    </row>
    <row r="5261" spans="1:9" x14ac:dyDescent="0.3">
      <c r="A5261" t="str">
        <f t="shared" si="1720"/>
        <v>United States</v>
      </c>
      <c r="B5261" t="str">
        <f t="shared" si="1715"/>
        <v>Troy</v>
      </c>
      <c r="C5261" t="str">
        <f t="shared" si="1723"/>
        <v>Standard Class</v>
      </c>
      <c r="D5261" t="s">
        <v>15</v>
      </c>
      <c r="E5261" t="s">
        <v>24</v>
      </c>
      <c r="F5261">
        <v>4</v>
      </c>
      <c r="G5261">
        <v>0.4</v>
      </c>
      <c r="H5261" s="2">
        <v>-15.584400000000002</v>
      </c>
      <c r="I5261" s="2">
        <v>23.975999999999999</v>
      </c>
    </row>
    <row r="5262" spans="1:9" x14ac:dyDescent="0.3">
      <c r="A5262" t="str">
        <f t="shared" si="1720"/>
        <v>United States</v>
      </c>
      <c r="B5262" t="str">
        <f t="shared" si="1715"/>
        <v>Troy</v>
      </c>
      <c r="C5262" t="str">
        <f t="shared" si="1723"/>
        <v>Standard Class</v>
      </c>
      <c r="D5262" t="s">
        <v>17</v>
      </c>
      <c r="E5262" t="s">
        <v>20</v>
      </c>
      <c r="F5262">
        <v>6</v>
      </c>
      <c r="G5262">
        <v>0.7</v>
      </c>
      <c r="H5262" s="2">
        <v>-100.91999999999999</v>
      </c>
      <c r="I5262" s="2">
        <v>121.10400000000003</v>
      </c>
    </row>
    <row r="5263" spans="1:9" x14ac:dyDescent="0.3">
      <c r="A5263" t="str">
        <f t="shared" si="1720"/>
        <v>United States</v>
      </c>
      <c r="B5263" t="str">
        <f t="shared" si="1715"/>
        <v>Troy</v>
      </c>
      <c r="C5263" t="str">
        <f t="shared" si="1723"/>
        <v>Standard Class</v>
      </c>
      <c r="D5263" t="str">
        <f>D5262</f>
        <v>Home Office</v>
      </c>
      <c r="E5263" t="s">
        <v>38</v>
      </c>
      <c r="F5263">
        <v>1</v>
      </c>
      <c r="G5263">
        <v>0.2</v>
      </c>
      <c r="H5263" s="2">
        <v>3.2161</v>
      </c>
      <c r="I5263" s="2">
        <v>8.8719999999999999</v>
      </c>
    </row>
    <row r="5264" spans="1:9" x14ac:dyDescent="0.3">
      <c r="A5264" t="str">
        <f t="shared" si="1720"/>
        <v>United States</v>
      </c>
      <c r="B5264" t="s">
        <v>519</v>
      </c>
      <c r="C5264" t="s">
        <v>11</v>
      </c>
      <c r="D5264" t="s">
        <v>8</v>
      </c>
      <c r="E5264" t="s">
        <v>23</v>
      </c>
      <c r="F5264">
        <v>3</v>
      </c>
      <c r="G5264">
        <v>0.2</v>
      </c>
      <c r="H5264" s="2">
        <v>21.592800000000011</v>
      </c>
      <c r="I5264" s="2">
        <v>71.975999999999999</v>
      </c>
    </row>
    <row r="5265" spans="1:9" x14ac:dyDescent="0.3">
      <c r="A5265" t="str">
        <f t="shared" si="1720"/>
        <v>United States</v>
      </c>
      <c r="B5265" t="str">
        <f t="shared" ref="B5265:B5287" si="1725">B5264</f>
        <v>Tucson</v>
      </c>
      <c r="C5265" t="str">
        <f t="shared" ref="C5265:C5272" si="1726">C5264</f>
        <v>First Class</v>
      </c>
      <c r="D5265" t="str">
        <f t="shared" ref="D5265:D5267" si="1727">D5264</f>
        <v>Consumer</v>
      </c>
      <c r="E5265" t="s">
        <v>33</v>
      </c>
      <c r="F5265">
        <v>3</v>
      </c>
      <c r="G5265">
        <v>0.2</v>
      </c>
      <c r="H5265" s="2">
        <v>-42.411600000000035</v>
      </c>
      <c r="I5265" s="2">
        <v>242.35200000000003</v>
      </c>
    </row>
    <row r="5266" spans="1:9" x14ac:dyDescent="0.3">
      <c r="A5266" t="str">
        <f t="shared" si="1720"/>
        <v>United States</v>
      </c>
      <c r="B5266" t="str">
        <f t="shared" si="1725"/>
        <v>Tucson</v>
      </c>
      <c r="C5266" t="str">
        <f t="shared" si="1726"/>
        <v>First Class</v>
      </c>
      <c r="D5266" t="str">
        <f t="shared" si="1727"/>
        <v>Consumer</v>
      </c>
      <c r="E5266" t="s">
        <v>21</v>
      </c>
      <c r="F5266">
        <v>2</v>
      </c>
      <c r="G5266">
        <v>0.2</v>
      </c>
      <c r="H5266" s="2">
        <v>10.393599999999998</v>
      </c>
      <c r="I5266" s="2">
        <v>51.967999999999996</v>
      </c>
    </row>
    <row r="5267" spans="1:9" x14ac:dyDescent="0.3">
      <c r="A5267" t="str">
        <f t="shared" si="1720"/>
        <v>United States</v>
      </c>
      <c r="B5267" t="str">
        <f t="shared" si="1725"/>
        <v>Tucson</v>
      </c>
      <c r="C5267" t="str">
        <f t="shared" si="1726"/>
        <v>First Class</v>
      </c>
      <c r="D5267" t="str">
        <f t="shared" si="1727"/>
        <v>Consumer</v>
      </c>
      <c r="E5267" t="s">
        <v>16</v>
      </c>
      <c r="F5267">
        <v>7</v>
      </c>
      <c r="G5267">
        <v>0.4</v>
      </c>
      <c r="H5267" s="2">
        <v>80.311999999999983</v>
      </c>
      <c r="I5267" s="2">
        <v>230.36800000000002</v>
      </c>
    </row>
    <row r="5268" spans="1:9" x14ac:dyDescent="0.3">
      <c r="A5268" t="str">
        <f t="shared" si="1720"/>
        <v>United States</v>
      </c>
      <c r="B5268" t="str">
        <f t="shared" si="1725"/>
        <v>Tucson</v>
      </c>
      <c r="C5268" t="str">
        <f t="shared" si="1726"/>
        <v>First Class</v>
      </c>
      <c r="D5268" t="s">
        <v>15</v>
      </c>
      <c r="E5268" t="s">
        <v>23</v>
      </c>
      <c r="F5268">
        <v>6</v>
      </c>
      <c r="G5268">
        <v>0.2</v>
      </c>
      <c r="H5268" s="2">
        <v>-35.992800000000038</v>
      </c>
      <c r="I5268" s="2">
        <v>239.95200000000003</v>
      </c>
    </row>
    <row r="5269" spans="1:9" x14ac:dyDescent="0.3">
      <c r="A5269" t="str">
        <f t="shared" si="1720"/>
        <v>United States</v>
      </c>
      <c r="B5269" t="str">
        <f t="shared" si="1725"/>
        <v>Tucson</v>
      </c>
      <c r="C5269" t="str">
        <f t="shared" si="1726"/>
        <v>First Class</v>
      </c>
      <c r="D5269" t="str">
        <f t="shared" ref="D5269:D5272" si="1728">D5268</f>
        <v>Corporate</v>
      </c>
      <c r="E5269" t="s">
        <v>20</v>
      </c>
      <c r="F5269">
        <v>14</v>
      </c>
      <c r="G5269">
        <v>0.7</v>
      </c>
      <c r="H5269" s="2">
        <v>-25.591999999999999</v>
      </c>
      <c r="I5269" s="2">
        <v>38.388000000000005</v>
      </c>
    </row>
    <row r="5270" spans="1:9" x14ac:dyDescent="0.3">
      <c r="A5270" t="str">
        <f t="shared" si="1720"/>
        <v>United States</v>
      </c>
      <c r="B5270" t="str">
        <f t="shared" si="1725"/>
        <v>Tucson</v>
      </c>
      <c r="C5270" t="str">
        <f t="shared" si="1726"/>
        <v>First Class</v>
      </c>
      <c r="D5270" t="str">
        <f t="shared" si="1728"/>
        <v>Corporate</v>
      </c>
      <c r="E5270" t="s">
        <v>33</v>
      </c>
      <c r="F5270">
        <v>4</v>
      </c>
      <c r="G5270">
        <v>0.2</v>
      </c>
      <c r="H5270" s="2">
        <v>-146.10960000000014</v>
      </c>
      <c r="I5270" s="2">
        <v>899.13600000000008</v>
      </c>
    </row>
    <row r="5271" spans="1:9" x14ac:dyDescent="0.3">
      <c r="A5271" t="str">
        <f t="shared" si="1720"/>
        <v>United States</v>
      </c>
      <c r="B5271" t="str">
        <f t="shared" si="1725"/>
        <v>Tucson</v>
      </c>
      <c r="C5271" t="str">
        <f t="shared" si="1726"/>
        <v>First Class</v>
      </c>
      <c r="D5271" t="str">
        <f t="shared" si="1728"/>
        <v>Corporate</v>
      </c>
      <c r="E5271" t="s">
        <v>46</v>
      </c>
      <c r="F5271">
        <v>2</v>
      </c>
      <c r="G5271">
        <v>0.7</v>
      </c>
      <c r="H5271" s="2">
        <v>-63.995999999999981</v>
      </c>
      <c r="I5271" s="2">
        <v>95.994000000000014</v>
      </c>
    </row>
    <row r="5272" spans="1:9" x14ac:dyDescent="0.3">
      <c r="A5272" t="str">
        <f t="shared" si="1720"/>
        <v>United States</v>
      </c>
      <c r="B5272" t="str">
        <f t="shared" si="1725"/>
        <v>Tucson</v>
      </c>
      <c r="C5272" t="str">
        <f t="shared" si="1726"/>
        <v>First Class</v>
      </c>
      <c r="D5272" t="str">
        <f t="shared" si="1728"/>
        <v>Corporate</v>
      </c>
      <c r="E5272" t="s">
        <v>24</v>
      </c>
      <c r="F5272">
        <v>10</v>
      </c>
      <c r="G5272">
        <v>0.4</v>
      </c>
      <c r="H5272" s="2">
        <v>53.205200000000033</v>
      </c>
      <c r="I5272" s="2">
        <v>582.44800000000009</v>
      </c>
    </row>
    <row r="5273" spans="1:9" x14ac:dyDescent="0.3">
      <c r="A5273" t="str">
        <f t="shared" si="1720"/>
        <v>United States</v>
      </c>
      <c r="B5273" t="str">
        <f t="shared" si="1725"/>
        <v>Tucson</v>
      </c>
      <c r="C5273" t="s">
        <v>27</v>
      </c>
      <c r="D5273" t="s">
        <v>17</v>
      </c>
      <c r="E5273" t="s">
        <v>33</v>
      </c>
      <c r="F5273">
        <v>4</v>
      </c>
      <c r="G5273">
        <v>0.2</v>
      </c>
      <c r="H5273" s="2">
        <v>-25.913599999999988</v>
      </c>
      <c r="I5273" s="2">
        <v>259.13600000000002</v>
      </c>
    </row>
    <row r="5274" spans="1:9" x14ac:dyDescent="0.3">
      <c r="A5274" t="str">
        <f t="shared" si="1720"/>
        <v>United States</v>
      </c>
      <c r="B5274" t="str">
        <f t="shared" si="1725"/>
        <v>Tucson</v>
      </c>
      <c r="C5274" t="s">
        <v>7</v>
      </c>
      <c r="D5274" t="s">
        <v>8</v>
      </c>
      <c r="E5274" t="s">
        <v>24</v>
      </c>
      <c r="F5274">
        <v>2</v>
      </c>
      <c r="G5274">
        <v>0.2</v>
      </c>
      <c r="H5274" s="2">
        <v>13.17</v>
      </c>
      <c r="I5274" s="2">
        <v>35.119999999999997</v>
      </c>
    </row>
    <row r="5275" spans="1:9" x14ac:dyDescent="0.3">
      <c r="A5275" t="str">
        <f t="shared" si="1720"/>
        <v>United States</v>
      </c>
      <c r="B5275" t="str">
        <f t="shared" si="1725"/>
        <v>Tucson</v>
      </c>
      <c r="C5275" t="s">
        <v>22</v>
      </c>
      <c r="D5275" t="s">
        <v>8</v>
      </c>
      <c r="E5275" t="s">
        <v>23</v>
      </c>
      <c r="F5275">
        <v>18</v>
      </c>
      <c r="G5275">
        <v>0.4</v>
      </c>
      <c r="H5275" s="2">
        <v>149.2487999999999</v>
      </c>
      <c r="I5275" s="2">
        <v>1502.9760000000001</v>
      </c>
    </row>
    <row r="5276" spans="1:9" x14ac:dyDescent="0.3">
      <c r="A5276" t="str">
        <f t="shared" si="1720"/>
        <v>United States</v>
      </c>
      <c r="B5276" t="str">
        <f t="shared" si="1725"/>
        <v>Tucson</v>
      </c>
      <c r="C5276" t="str">
        <f t="shared" ref="C5276:C5287" si="1729">C5275</f>
        <v>Standard Class</v>
      </c>
      <c r="D5276" t="str">
        <f t="shared" ref="D5276:D5280" si="1730">D5275</f>
        <v>Consumer</v>
      </c>
      <c r="E5276" t="s">
        <v>19</v>
      </c>
      <c r="F5276">
        <v>7</v>
      </c>
      <c r="G5276">
        <v>0.4</v>
      </c>
      <c r="H5276" s="2">
        <v>10.633199999999988</v>
      </c>
      <c r="I5276" s="2">
        <v>95.543999999999997</v>
      </c>
    </row>
    <row r="5277" spans="1:9" x14ac:dyDescent="0.3">
      <c r="A5277" t="str">
        <f t="shared" si="1720"/>
        <v>United States</v>
      </c>
      <c r="B5277" t="str">
        <f t="shared" si="1725"/>
        <v>Tucson</v>
      </c>
      <c r="C5277" t="str">
        <f t="shared" si="1729"/>
        <v>Standard Class</v>
      </c>
      <c r="D5277" t="str">
        <f t="shared" si="1730"/>
        <v>Consumer</v>
      </c>
      <c r="E5277" t="s">
        <v>20</v>
      </c>
      <c r="F5277">
        <v>5</v>
      </c>
      <c r="G5277">
        <v>0.7</v>
      </c>
      <c r="H5277" s="2">
        <v>-5.7119999999999997</v>
      </c>
      <c r="I5277" s="2">
        <v>8.1600000000000019</v>
      </c>
    </row>
    <row r="5278" spans="1:9" x14ac:dyDescent="0.3">
      <c r="A5278" t="str">
        <f t="shared" si="1720"/>
        <v>United States</v>
      </c>
      <c r="B5278" t="str">
        <f t="shared" si="1725"/>
        <v>Tucson</v>
      </c>
      <c r="C5278" t="str">
        <f t="shared" si="1729"/>
        <v>Standard Class</v>
      </c>
      <c r="D5278" t="str">
        <f t="shared" si="1730"/>
        <v>Consumer</v>
      </c>
      <c r="E5278" t="s">
        <v>21</v>
      </c>
      <c r="F5278">
        <v>8</v>
      </c>
      <c r="G5278">
        <v>0.4</v>
      </c>
      <c r="H5278" s="2">
        <v>49.912800000000011</v>
      </c>
      <c r="I5278" s="2">
        <v>210.38399999999996</v>
      </c>
    </row>
    <row r="5279" spans="1:9" x14ac:dyDescent="0.3">
      <c r="A5279" t="str">
        <f t="shared" si="1720"/>
        <v>United States</v>
      </c>
      <c r="B5279" t="str">
        <f t="shared" si="1725"/>
        <v>Tucson</v>
      </c>
      <c r="C5279" t="str">
        <f t="shared" si="1729"/>
        <v>Standard Class</v>
      </c>
      <c r="D5279" t="str">
        <f t="shared" si="1730"/>
        <v>Consumer</v>
      </c>
      <c r="E5279" t="s">
        <v>16</v>
      </c>
      <c r="F5279">
        <v>17</v>
      </c>
      <c r="G5279">
        <v>0.60000000000000009</v>
      </c>
      <c r="H5279" s="2">
        <v>96.118199999999987</v>
      </c>
      <c r="I5279" s="2">
        <v>302.608</v>
      </c>
    </row>
    <row r="5280" spans="1:9" x14ac:dyDescent="0.3">
      <c r="A5280" t="str">
        <f t="shared" si="1720"/>
        <v>United States</v>
      </c>
      <c r="B5280" t="str">
        <f t="shared" si="1725"/>
        <v>Tucson</v>
      </c>
      <c r="C5280" t="str">
        <f t="shared" si="1729"/>
        <v>Standard Class</v>
      </c>
      <c r="D5280" t="str">
        <f t="shared" si="1730"/>
        <v>Consumer</v>
      </c>
      <c r="E5280" t="s">
        <v>14</v>
      </c>
      <c r="F5280">
        <v>6</v>
      </c>
      <c r="G5280">
        <v>0.2</v>
      </c>
      <c r="H5280" s="2">
        <v>-58.68719999999999</v>
      </c>
      <c r="I5280" s="2">
        <v>247.10399999999998</v>
      </c>
    </row>
    <row r="5281" spans="1:9" x14ac:dyDescent="0.3">
      <c r="A5281" t="str">
        <f t="shared" si="1720"/>
        <v>United States</v>
      </c>
      <c r="B5281" t="str">
        <f t="shared" si="1725"/>
        <v>Tucson</v>
      </c>
      <c r="C5281" t="str">
        <f t="shared" si="1729"/>
        <v>Standard Class</v>
      </c>
      <c r="D5281" t="s">
        <v>15</v>
      </c>
      <c r="E5281" t="s">
        <v>20</v>
      </c>
      <c r="F5281">
        <v>8</v>
      </c>
      <c r="G5281">
        <v>1.4</v>
      </c>
      <c r="H5281" s="2">
        <v>-11.827199999999998</v>
      </c>
      <c r="I5281" s="2">
        <v>15.654000000000002</v>
      </c>
    </row>
    <row r="5282" spans="1:9" x14ac:dyDescent="0.3">
      <c r="A5282" t="str">
        <f t="shared" si="1720"/>
        <v>United States</v>
      </c>
      <c r="B5282" t="str">
        <f t="shared" si="1725"/>
        <v>Tucson</v>
      </c>
      <c r="C5282" t="str">
        <f t="shared" si="1729"/>
        <v>Standard Class</v>
      </c>
      <c r="D5282" t="str">
        <f t="shared" ref="D5282:D5285" si="1731">D5281</f>
        <v>Corporate</v>
      </c>
      <c r="E5282" t="s">
        <v>33</v>
      </c>
      <c r="F5282">
        <v>3</v>
      </c>
      <c r="G5282">
        <v>0.2</v>
      </c>
      <c r="H5282" s="2">
        <v>-35.36460000000001</v>
      </c>
      <c r="I5282" s="2">
        <v>314.35199999999998</v>
      </c>
    </row>
    <row r="5283" spans="1:9" x14ac:dyDescent="0.3">
      <c r="A5283" t="str">
        <f t="shared" si="1720"/>
        <v>United States</v>
      </c>
      <c r="B5283" t="str">
        <f t="shared" si="1725"/>
        <v>Tucson</v>
      </c>
      <c r="C5283" t="str">
        <f t="shared" si="1729"/>
        <v>Standard Class</v>
      </c>
      <c r="D5283" t="str">
        <f t="shared" si="1731"/>
        <v>Corporate</v>
      </c>
      <c r="E5283" t="s">
        <v>21</v>
      </c>
      <c r="F5283">
        <v>3</v>
      </c>
      <c r="G5283">
        <v>0.2</v>
      </c>
      <c r="H5283" s="2">
        <v>89.306999999999988</v>
      </c>
      <c r="I5283" s="2">
        <v>238.15200000000004</v>
      </c>
    </row>
    <row r="5284" spans="1:9" x14ac:dyDescent="0.3">
      <c r="A5284" t="str">
        <f t="shared" si="1720"/>
        <v>United States</v>
      </c>
      <c r="B5284" t="str">
        <f t="shared" si="1725"/>
        <v>Tucson</v>
      </c>
      <c r="C5284" t="str">
        <f t="shared" si="1729"/>
        <v>Standard Class</v>
      </c>
      <c r="D5284" t="str">
        <f t="shared" si="1731"/>
        <v>Corporate</v>
      </c>
      <c r="E5284" t="s">
        <v>16</v>
      </c>
      <c r="F5284">
        <v>3</v>
      </c>
      <c r="G5284">
        <v>0.2</v>
      </c>
      <c r="H5284" s="2">
        <v>23.234999999999992</v>
      </c>
      <c r="I5284" s="2">
        <v>74.352000000000004</v>
      </c>
    </row>
    <row r="5285" spans="1:9" x14ac:dyDescent="0.3">
      <c r="A5285" t="str">
        <f t="shared" si="1720"/>
        <v>United States</v>
      </c>
      <c r="B5285" t="str">
        <f t="shared" si="1725"/>
        <v>Tucson</v>
      </c>
      <c r="C5285" t="str">
        <f t="shared" si="1729"/>
        <v>Standard Class</v>
      </c>
      <c r="D5285" t="str">
        <f t="shared" si="1731"/>
        <v>Corporate</v>
      </c>
      <c r="E5285" t="s">
        <v>25</v>
      </c>
      <c r="F5285">
        <v>6</v>
      </c>
      <c r="G5285">
        <v>0.5</v>
      </c>
      <c r="H5285" s="2">
        <v>-218.86559999999997</v>
      </c>
      <c r="I5285" s="2">
        <v>455.97</v>
      </c>
    </row>
    <row r="5286" spans="1:9" x14ac:dyDescent="0.3">
      <c r="A5286" t="str">
        <f t="shared" si="1720"/>
        <v>United States</v>
      </c>
      <c r="B5286" t="str">
        <f t="shared" si="1725"/>
        <v>Tucson</v>
      </c>
      <c r="C5286" t="str">
        <f t="shared" si="1729"/>
        <v>Standard Class</v>
      </c>
      <c r="D5286" t="s">
        <v>17</v>
      </c>
      <c r="E5286" t="s">
        <v>23</v>
      </c>
      <c r="F5286">
        <v>2</v>
      </c>
      <c r="G5286">
        <v>0.2</v>
      </c>
      <c r="H5286" s="2">
        <v>11.997999999999998</v>
      </c>
      <c r="I5286" s="2">
        <v>95.984000000000009</v>
      </c>
    </row>
    <row r="5287" spans="1:9" x14ac:dyDescent="0.3">
      <c r="A5287" t="str">
        <f t="shared" si="1720"/>
        <v>United States</v>
      </c>
      <c r="B5287" t="str">
        <f t="shared" si="1725"/>
        <v>Tucson</v>
      </c>
      <c r="C5287" t="str">
        <f t="shared" si="1729"/>
        <v>Standard Class</v>
      </c>
      <c r="D5287" t="str">
        <f>D5286</f>
        <v>Home Office</v>
      </c>
      <c r="E5287" t="s">
        <v>20</v>
      </c>
      <c r="F5287">
        <v>2</v>
      </c>
      <c r="G5287">
        <v>0.7</v>
      </c>
      <c r="H5287" s="2">
        <v>-3.6212</v>
      </c>
      <c r="I5287" s="2">
        <v>4.9380000000000006</v>
      </c>
    </row>
    <row r="5288" spans="1:9" x14ac:dyDescent="0.3">
      <c r="A5288" t="str">
        <f t="shared" si="1720"/>
        <v>United States</v>
      </c>
      <c r="B5288" t="s">
        <v>520</v>
      </c>
      <c r="C5288" t="s">
        <v>11</v>
      </c>
      <c r="D5288" t="s">
        <v>15</v>
      </c>
      <c r="E5288" t="s">
        <v>24</v>
      </c>
      <c r="F5288">
        <v>7</v>
      </c>
      <c r="G5288">
        <v>0</v>
      </c>
      <c r="H5288" s="2">
        <v>0.69929999999999914</v>
      </c>
      <c r="I5288" s="2">
        <v>69.930000000000007</v>
      </c>
    </row>
    <row r="5289" spans="1:9" x14ac:dyDescent="0.3">
      <c r="A5289" t="str">
        <f t="shared" si="1720"/>
        <v>United States</v>
      </c>
      <c r="B5289" t="str">
        <f t="shared" ref="B5289:B5310" si="1732">B5288</f>
        <v>Tulsa</v>
      </c>
      <c r="C5289" t="s">
        <v>27</v>
      </c>
      <c r="D5289" t="s">
        <v>8</v>
      </c>
      <c r="E5289" t="s">
        <v>20</v>
      </c>
      <c r="F5289">
        <v>5</v>
      </c>
      <c r="G5289">
        <v>0</v>
      </c>
      <c r="H5289" s="2">
        <v>14.424999999999999</v>
      </c>
      <c r="I5289" s="2">
        <v>28.849999999999998</v>
      </c>
    </row>
    <row r="5290" spans="1:9" x14ac:dyDescent="0.3">
      <c r="A5290" t="str">
        <f t="shared" si="1720"/>
        <v>United States</v>
      </c>
      <c r="B5290" t="str">
        <f t="shared" si="1732"/>
        <v>Tulsa</v>
      </c>
      <c r="C5290" t="s">
        <v>7</v>
      </c>
      <c r="D5290" t="s">
        <v>8</v>
      </c>
      <c r="E5290" t="s">
        <v>23</v>
      </c>
      <c r="F5290">
        <v>12</v>
      </c>
      <c r="G5290">
        <v>0</v>
      </c>
      <c r="H5290" s="2">
        <v>23.419200000000011</v>
      </c>
      <c r="I5290" s="2">
        <v>167.28</v>
      </c>
    </row>
    <row r="5291" spans="1:9" x14ac:dyDescent="0.3">
      <c r="A5291" t="str">
        <f t="shared" si="1720"/>
        <v>United States</v>
      </c>
      <c r="B5291" t="str">
        <f t="shared" si="1732"/>
        <v>Tulsa</v>
      </c>
      <c r="C5291" t="str">
        <f t="shared" ref="C5291:C5295" si="1733">C5290</f>
        <v>Second Class</v>
      </c>
      <c r="D5291" t="str">
        <f t="shared" ref="D5291:D5295" si="1734">D5290</f>
        <v>Consumer</v>
      </c>
      <c r="E5291" t="s">
        <v>20</v>
      </c>
      <c r="F5291">
        <v>3</v>
      </c>
      <c r="G5291">
        <v>0</v>
      </c>
      <c r="H5291" s="2">
        <v>20.120699999999999</v>
      </c>
      <c r="I5291" s="2">
        <v>42.81</v>
      </c>
    </row>
    <row r="5292" spans="1:9" x14ac:dyDescent="0.3">
      <c r="A5292" t="str">
        <f t="shared" si="1720"/>
        <v>United States</v>
      </c>
      <c r="B5292" t="str">
        <f t="shared" si="1732"/>
        <v>Tulsa</v>
      </c>
      <c r="C5292" t="str">
        <f t="shared" si="1733"/>
        <v>Second Class</v>
      </c>
      <c r="D5292" t="str">
        <f t="shared" si="1734"/>
        <v>Consumer</v>
      </c>
      <c r="E5292" t="s">
        <v>38</v>
      </c>
      <c r="F5292">
        <v>3</v>
      </c>
      <c r="G5292">
        <v>0</v>
      </c>
      <c r="H5292" s="2">
        <v>38.323799999999999</v>
      </c>
      <c r="I5292" s="2">
        <v>81.539999999999992</v>
      </c>
    </row>
    <row r="5293" spans="1:9" x14ac:dyDescent="0.3">
      <c r="A5293" t="str">
        <f t="shared" si="1720"/>
        <v>United States</v>
      </c>
      <c r="B5293" t="str">
        <f t="shared" si="1732"/>
        <v>Tulsa</v>
      </c>
      <c r="C5293" t="str">
        <f t="shared" si="1733"/>
        <v>Second Class</v>
      </c>
      <c r="D5293" t="str">
        <f t="shared" si="1734"/>
        <v>Consumer</v>
      </c>
      <c r="E5293" t="s">
        <v>21</v>
      </c>
      <c r="F5293">
        <v>9</v>
      </c>
      <c r="G5293">
        <v>0</v>
      </c>
      <c r="H5293" s="2">
        <v>237.3417</v>
      </c>
      <c r="I5293" s="2">
        <v>879.56999999999994</v>
      </c>
    </row>
    <row r="5294" spans="1:9" x14ac:dyDescent="0.3">
      <c r="A5294" t="str">
        <f t="shared" si="1720"/>
        <v>United States</v>
      </c>
      <c r="B5294" t="str">
        <f t="shared" si="1732"/>
        <v>Tulsa</v>
      </c>
      <c r="C5294" t="str">
        <f t="shared" si="1733"/>
        <v>Second Class</v>
      </c>
      <c r="D5294" t="str">
        <f t="shared" si="1734"/>
        <v>Consumer</v>
      </c>
      <c r="E5294" t="s">
        <v>16</v>
      </c>
      <c r="F5294">
        <v>2</v>
      </c>
      <c r="G5294">
        <v>0</v>
      </c>
      <c r="H5294" s="2">
        <v>6.2208000000000006</v>
      </c>
      <c r="I5294" s="2">
        <v>12.96</v>
      </c>
    </row>
    <row r="5295" spans="1:9" x14ac:dyDescent="0.3">
      <c r="A5295" t="str">
        <f t="shared" si="1720"/>
        <v>United States</v>
      </c>
      <c r="B5295" t="str">
        <f t="shared" si="1732"/>
        <v>Tulsa</v>
      </c>
      <c r="C5295" t="str">
        <f t="shared" si="1733"/>
        <v>Second Class</v>
      </c>
      <c r="D5295" t="str">
        <f t="shared" si="1734"/>
        <v>Consumer</v>
      </c>
      <c r="E5295" t="s">
        <v>24</v>
      </c>
      <c r="F5295">
        <v>3</v>
      </c>
      <c r="G5295">
        <v>0</v>
      </c>
      <c r="H5295" s="2">
        <v>28.309500000000007</v>
      </c>
      <c r="I5295" s="2">
        <v>104.85000000000001</v>
      </c>
    </row>
    <row r="5296" spans="1:9" x14ac:dyDescent="0.3">
      <c r="A5296" t="str">
        <f t="shared" si="1720"/>
        <v>United States</v>
      </c>
      <c r="B5296" t="str">
        <f t="shared" si="1732"/>
        <v>Tulsa</v>
      </c>
      <c r="C5296" t="s">
        <v>22</v>
      </c>
      <c r="D5296" t="s">
        <v>8</v>
      </c>
      <c r="E5296" t="s">
        <v>23</v>
      </c>
      <c r="F5296">
        <v>4</v>
      </c>
      <c r="G5296">
        <v>0</v>
      </c>
      <c r="H5296" s="2">
        <v>102.18599999999998</v>
      </c>
      <c r="I5296" s="2">
        <v>291.95999999999998</v>
      </c>
    </row>
    <row r="5297" spans="1:9" x14ac:dyDescent="0.3">
      <c r="A5297" t="str">
        <f t="shared" si="1720"/>
        <v>United States</v>
      </c>
      <c r="B5297" t="str">
        <f t="shared" si="1732"/>
        <v>Tulsa</v>
      </c>
      <c r="C5297" t="str">
        <f t="shared" ref="C5297:C5310" si="1735">C5296</f>
        <v>Standard Class</v>
      </c>
      <c r="D5297" t="str">
        <f t="shared" ref="D5297:D5300" si="1736">D5296</f>
        <v>Consumer</v>
      </c>
      <c r="E5297" t="s">
        <v>20</v>
      </c>
      <c r="F5297">
        <v>5</v>
      </c>
      <c r="G5297">
        <v>0</v>
      </c>
      <c r="H5297" s="2">
        <v>5.1839999999999993</v>
      </c>
      <c r="I5297" s="2">
        <v>10.8</v>
      </c>
    </row>
    <row r="5298" spans="1:9" x14ac:dyDescent="0.3">
      <c r="A5298" t="str">
        <f t="shared" si="1720"/>
        <v>United States</v>
      </c>
      <c r="B5298" t="str">
        <f t="shared" si="1732"/>
        <v>Tulsa</v>
      </c>
      <c r="C5298" t="str">
        <f t="shared" si="1735"/>
        <v>Standard Class</v>
      </c>
      <c r="D5298" t="str">
        <f t="shared" si="1736"/>
        <v>Consumer</v>
      </c>
      <c r="E5298" t="s">
        <v>33</v>
      </c>
      <c r="F5298">
        <v>6</v>
      </c>
      <c r="G5298">
        <v>0</v>
      </c>
      <c r="H5298" s="2">
        <v>523.70519999999988</v>
      </c>
      <c r="I5298" s="2">
        <v>1805.88</v>
      </c>
    </row>
    <row r="5299" spans="1:9" x14ac:dyDescent="0.3">
      <c r="A5299" t="str">
        <f t="shared" si="1720"/>
        <v>United States</v>
      </c>
      <c r="B5299" t="str">
        <f t="shared" si="1732"/>
        <v>Tulsa</v>
      </c>
      <c r="C5299" t="str">
        <f t="shared" si="1735"/>
        <v>Standard Class</v>
      </c>
      <c r="D5299" t="str">
        <f t="shared" si="1736"/>
        <v>Consumer</v>
      </c>
      <c r="E5299" t="s">
        <v>21</v>
      </c>
      <c r="F5299">
        <v>5</v>
      </c>
      <c r="G5299">
        <v>0</v>
      </c>
      <c r="H5299" s="2">
        <v>138.41699999999997</v>
      </c>
      <c r="I5299" s="2">
        <v>477.29999999999995</v>
      </c>
    </row>
    <row r="5300" spans="1:9" x14ac:dyDescent="0.3">
      <c r="A5300" t="str">
        <f t="shared" si="1720"/>
        <v>United States</v>
      </c>
      <c r="B5300" t="str">
        <f t="shared" si="1732"/>
        <v>Tulsa</v>
      </c>
      <c r="C5300" t="str">
        <f t="shared" si="1735"/>
        <v>Standard Class</v>
      </c>
      <c r="D5300" t="str">
        <f t="shared" si="1736"/>
        <v>Consumer</v>
      </c>
      <c r="E5300" t="s">
        <v>16</v>
      </c>
      <c r="F5300">
        <v>3</v>
      </c>
      <c r="G5300">
        <v>0</v>
      </c>
      <c r="H5300" s="2">
        <v>7.0218000000000007</v>
      </c>
      <c r="I5300" s="2">
        <v>14.940000000000001</v>
      </c>
    </row>
    <row r="5301" spans="1:9" x14ac:dyDescent="0.3">
      <c r="A5301" t="str">
        <f t="shared" si="1720"/>
        <v>United States</v>
      </c>
      <c r="B5301" t="str">
        <f t="shared" si="1732"/>
        <v>Tulsa</v>
      </c>
      <c r="C5301" t="str">
        <f t="shared" si="1735"/>
        <v>Standard Class</v>
      </c>
      <c r="D5301" t="s">
        <v>15</v>
      </c>
      <c r="E5301" t="s">
        <v>19</v>
      </c>
      <c r="F5301">
        <v>3</v>
      </c>
      <c r="G5301">
        <v>0</v>
      </c>
      <c r="H5301" s="2">
        <v>3.4692000000000003</v>
      </c>
      <c r="I5301" s="2">
        <v>12.39</v>
      </c>
    </row>
    <row r="5302" spans="1:9" x14ac:dyDescent="0.3">
      <c r="A5302" t="str">
        <f t="shared" si="1720"/>
        <v>United States</v>
      </c>
      <c r="B5302" t="str">
        <f t="shared" si="1732"/>
        <v>Tulsa</v>
      </c>
      <c r="C5302" t="str">
        <f t="shared" si="1735"/>
        <v>Standard Class</v>
      </c>
      <c r="D5302" t="str">
        <f t="shared" ref="D5302:D5304" si="1737">D5301</f>
        <v>Corporate</v>
      </c>
      <c r="E5302" t="s">
        <v>33</v>
      </c>
      <c r="F5302">
        <v>3</v>
      </c>
      <c r="G5302">
        <v>0</v>
      </c>
      <c r="H5302" s="2">
        <v>81.173400000000001</v>
      </c>
      <c r="I5302" s="2">
        <v>368.96999999999997</v>
      </c>
    </row>
    <row r="5303" spans="1:9" x14ac:dyDescent="0.3">
      <c r="A5303" t="str">
        <f t="shared" si="1720"/>
        <v>United States</v>
      </c>
      <c r="B5303" t="str">
        <f t="shared" si="1732"/>
        <v>Tulsa</v>
      </c>
      <c r="C5303" t="str">
        <f t="shared" si="1735"/>
        <v>Standard Class</v>
      </c>
      <c r="D5303" t="str">
        <f t="shared" si="1737"/>
        <v>Corporate</v>
      </c>
      <c r="E5303" t="s">
        <v>14</v>
      </c>
      <c r="F5303">
        <v>3</v>
      </c>
      <c r="G5303">
        <v>0</v>
      </c>
      <c r="H5303" s="2">
        <v>9.9882000000000204</v>
      </c>
      <c r="I5303" s="2">
        <v>332.94</v>
      </c>
    </row>
    <row r="5304" spans="1:9" x14ac:dyDescent="0.3">
      <c r="A5304" t="str">
        <f t="shared" si="1720"/>
        <v>United States</v>
      </c>
      <c r="B5304" t="str">
        <f t="shared" si="1732"/>
        <v>Tulsa</v>
      </c>
      <c r="C5304" t="str">
        <f t="shared" si="1735"/>
        <v>Standard Class</v>
      </c>
      <c r="D5304" t="str">
        <f t="shared" si="1737"/>
        <v>Corporate</v>
      </c>
      <c r="E5304" t="s">
        <v>9</v>
      </c>
      <c r="F5304">
        <v>2</v>
      </c>
      <c r="G5304">
        <v>0</v>
      </c>
      <c r="H5304" s="2">
        <v>6.1488000000000014</v>
      </c>
      <c r="I5304" s="2">
        <v>21.96</v>
      </c>
    </row>
    <row r="5305" spans="1:9" x14ac:dyDescent="0.3">
      <c r="A5305" t="str">
        <f t="shared" si="1720"/>
        <v>United States</v>
      </c>
      <c r="B5305" t="str">
        <f t="shared" si="1732"/>
        <v>Tulsa</v>
      </c>
      <c r="C5305" t="str">
        <f t="shared" si="1735"/>
        <v>Standard Class</v>
      </c>
      <c r="D5305" t="s">
        <v>17</v>
      </c>
      <c r="E5305" t="s">
        <v>19</v>
      </c>
      <c r="F5305">
        <v>4</v>
      </c>
      <c r="G5305">
        <v>0</v>
      </c>
      <c r="H5305" s="2">
        <v>12.025199999999998</v>
      </c>
      <c r="I5305" s="2">
        <v>36.44</v>
      </c>
    </row>
    <row r="5306" spans="1:9" x14ac:dyDescent="0.3">
      <c r="A5306" t="str">
        <f t="shared" si="1720"/>
        <v>United States</v>
      </c>
      <c r="B5306" t="str">
        <f t="shared" si="1732"/>
        <v>Tulsa</v>
      </c>
      <c r="C5306" t="str">
        <f t="shared" si="1735"/>
        <v>Standard Class</v>
      </c>
      <c r="D5306" t="str">
        <f t="shared" ref="D5306:D5310" si="1738">D5305</f>
        <v>Home Office</v>
      </c>
      <c r="E5306" t="s">
        <v>20</v>
      </c>
      <c r="F5306">
        <v>11</v>
      </c>
      <c r="G5306">
        <v>0</v>
      </c>
      <c r="H5306" s="2">
        <v>70.322000000000003</v>
      </c>
      <c r="I5306" s="2">
        <v>151.48000000000002</v>
      </c>
    </row>
    <row r="5307" spans="1:9" x14ac:dyDescent="0.3">
      <c r="A5307" t="str">
        <f t="shared" si="1720"/>
        <v>United States</v>
      </c>
      <c r="B5307" t="str">
        <f t="shared" si="1732"/>
        <v>Tulsa</v>
      </c>
      <c r="C5307" t="str">
        <f t="shared" si="1735"/>
        <v>Standard Class</v>
      </c>
      <c r="D5307" t="str">
        <f t="shared" si="1738"/>
        <v>Home Office</v>
      </c>
      <c r="E5307" t="s">
        <v>33</v>
      </c>
      <c r="F5307">
        <v>2</v>
      </c>
      <c r="G5307">
        <v>0</v>
      </c>
      <c r="H5307" s="2">
        <v>45.348800000000011</v>
      </c>
      <c r="I5307" s="2">
        <v>161.96</v>
      </c>
    </row>
    <row r="5308" spans="1:9" x14ac:dyDescent="0.3">
      <c r="A5308" t="str">
        <f t="shared" si="1720"/>
        <v>United States</v>
      </c>
      <c r="B5308" t="str">
        <f t="shared" si="1732"/>
        <v>Tulsa</v>
      </c>
      <c r="C5308" t="str">
        <f t="shared" si="1735"/>
        <v>Standard Class</v>
      </c>
      <c r="D5308" t="str">
        <f t="shared" si="1738"/>
        <v>Home Office</v>
      </c>
      <c r="E5308" t="s">
        <v>16</v>
      </c>
      <c r="F5308">
        <v>5</v>
      </c>
      <c r="G5308">
        <v>0</v>
      </c>
      <c r="H5308" s="2">
        <v>15.552000000000001</v>
      </c>
      <c r="I5308" s="2">
        <v>32.400000000000006</v>
      </c>
    </row>
    <row r="5309" spans="1:9" x14ac:dyDescent="0.3">
      <c r="A5309" t="str">
        <f t="shared" si="1720"/>
        <v>United States</v>
      </c>
      <c r="B5309" t="str">
        <f t="shared" si="1732"/>
        <v>Tulsa</v>
      </c>
      <c r="C5309" t="str">
        <f t="shared" si="1735"/>
        <v>Standard Class</v>
      </c>
      <c r="D5309" t="str">
        <f t="shared" si="1738"/>
        <v>Home Office</v>
      </c>
      <c r="E5309" t="s">
        <v>14</v>
      </c>
      <c r="F5309">
        <v>2</v>
      </c>
      <c r="G5309">
        <v>0</v>
      </c>
      <c r="H5309" s="2">
        <v>5.7593999999999976</v>
      </c>
      <c r="I5309" s="2">
        <v>19.86</v>
      </c>
    </row>
    <row r="5310" spans="1:9" x14ac:dyDescent="0.3">
      <c r="A5310" t="str">
        <f t="shared" si="1720"/>
        <v>United States</v>
      </c>
      <c r="B5310" t="str">
        <f t="shared" si="1732"/>
        <v>Tulsa</v>
      </c>
      <c r="C5310" t="str">
        <f t="shared" si="1735"/>
        <v>Standard Class</v>
      </c>
      <c r="D5310" t="str">
        <f t="shared" si="1738"/>
        <v>Home Office</v>
      </c>
      <c r="E5310" t="s">
        <v>25</v>
      </c>
      <c r="F5310">
        <v>5</v>
      </c>
      <c r="G5310">
        <v>0</v>
      </c>
      <c r="H5310" s="2">
        <v>111.77400000000003</v>
      </c>
      <c r="I5310" s="2">
        <v>429.90000000000003</v>
      </c>
    </row>
    <row r="5311" spans="1:9" x14ac:dyDescent="0.3">
      <c r="A5311" t="str">
        <f t="shared" si="1720"/>
        <v>United States</v>
      </c>
      <c r="B5311" t="s">
        <v>521</v>
      </c>
      <c r="C5311" t="s">
        <v>22</v>
      </c>
      <c r="D5311" t="s">
        <v>17</v>
      </c>
      <c r="E5311" t="s">
        <v>20</v>
      </c>
      <c r="F5311">
        <v>7</v>
      </c>
      <c r="G5311">
        <v>0</v>
      </c>
      <c r="H5311" s="2">
        <v>15.5204</v>
      </c>
      <c r="I5311" s="2">
        <v>33.74</v>
      </c>
    </row>
    <row r="5312" spans="1:9" x14ac:dyDescent="0.3">
      <c r="A5312" t="str">
        <f t="shared" si="1720"/>
        <v>United States</v>
      </c>
      <c r="B5312" t="str">
        <f>B5311</f>
        <v>Tuscaloosa</v>
      </c>
      <c r="C5312" t="str">
        <f>C5311</f>
        <v>Standard Class</v>
      </c>
      <c r="D5312" t="str">
        <f>D5311</f>
        <v>Home Office</v>
      </c>
      <c r="E5312" t="s">
        <v>33</v>
      </c>
      <c r="F5312">
        <v>2</v>
      </c>
      <c r="G5312">
        <v>0</v>
      </c>
      <c r="H5312" s="2">
        <v>35.490000000000009</v>
      </c>
      <c r="I5312" s="2">
        <v>141.96</v>
      </c>
    </row>
    <row r="5313" spans="1:9" x14ac:dyDescent="0.3">
      <c r="A5313" t="str">
        <f t="shared" si="1720"/>
        <v>United States</v>
      </c>
      <c r="B5313" t="s">
        <v>522</v>
      </c>
      <c r="C5313" t="s">
        <v>22</v>
      </c>
      <c r="D5313" t="s">
        <v>15</v>
      </c>
      <c r="E5313" t="s">
        <v>20</v>
      </c>
      <c r="F5313">
        <v>4</v>
      </c>
      <c r="G5313">
        <v>0.2</v>
      </c>
      <c r="H5313" s="2">
        <v>6.6351999999999984</v>
      </c>
      <c r="I5313" s="2">
        <v>20.416</v>
      </c>
    </row>
    <row r="5314" spans="1:9" x14ac:dyDescent="0.3">
      <c r="A5314" t="str">
        <f t="shared" si="1720"/>
        <v>United States</v>
      </c>
      <c r="B5314" t="str">
        <f>B5313</f>
        <v>Twin Falls</v>
      </c>
      <c r="C5314" t="str">
        <f>C5313</f>
        <v>Standard Class</v>
      </c>
      <c r="D5314" t="str">
        <f>D5313</f>
        <v>Corporate</v>
      </c>
      <c r="E5314" t="s">
        <v>25</v>
      </c>
      <c r="F5314">
        <v>3</v>
      </c>
      <c r="G5314">
        <v>0</v>
      </c>
      <c r="H5314" s="2">
        <v>259.52970000000005</v>
      </c>
      <c r="I5314" s="2">
        <v>1128.3899999999999</v>
      </c>
    </row>
    <row r="5315" spans="1:9" x14ac:dyDescent="0.3">
      <c r="A5315" t="str">
        <f t="shared" si="1720"/>
        <v>United States</v>
      </c>
      <c r="B5315" t="s">
        <v>523</v>
      </c>
      <c r="C5315" t="s">
        <v>7</v>
      </c>
      <c r="D5315" t="s">
        <v>8</v>
      </c>
      <c r="E5315" t="s">
        <v>20</v>
      </c>
      <c r="F5315">
        <v>4</v>
      </c>
      <c r="G5315">
        <v>0.8</v>
      </c>
      <c r="H5315" s="2">
        <v>-79.335199999999986</v>
      </c>
      <c r="I5315" s="2">
        <v>51.183999999999983</v>
      </c>
    </row>
    <row r="5316" spans="1:9" x14ac:dyDescent="0.3">
      <c r="A5316" t="str">
        <f t="shared" ref="A5316:A5379" si="1739">A5315</f>
        <v>United States</v>
      </c>
      <c r="B5316" t="str">
        <f t="shared" ref="B5316:B5319" si="1740">B5315</f>
        <v>Tyler</v>
      </c>
      <c r="C5316" t="s">
        <v>22</v>
      </c>
      <c r="D5316" t="s">
        <v>8</v>
      </c>
      <c r="E5316" t="s">
        <v>23</v>
      </c>
      <c r="F5316">
        <v>3</v>
      </c>
      <c r="G5316">
        <v>0.2</v>
      </c>
      <c r="H5316" s="2">
        <v>4.5200999999999958</v>
      </c>
      <c r="I5316" s="2">
        <v>27.816000000000003</v>
      </c>
    </row>
    <row r="5317" spans="1:9" x14ac:dyDescent="0.3">
      <c r="A5317" t="str">
        <f t="shared" si="1739"/>
        <v>United States</v>
      </c>
      <c r="B5317" t="str">
        <f t="shared" si="1740"/>
        <v>Tyler</v>
      </c>
      <c r="C5317" t="str">
        <f t="shared" ref="C5317:C5319" si="1741">C5316</f>
        <v>Standard Class</v>
      </c>
      <c r="D5317" t="str">
        <f t="shared" ref="D5317:D5319" si="1742">D5316</f>
        <v>Consumer</v>
      </c>
      <c r="E5317" t="s">
        <v>12</v>
      </c>
      <c r="F5317">
        <v>3</v>
      </c>
      <c r="G5317">
        <v>0.8</v>
      </c>
      <c r="H5317" s="2">
        <v>-7.3920000000000021</v>
      </c>
      <c r="I5317" s="2">
        <v>2.6879999999999997</v>
      </c>
    </row>
    <row r="5318" spans="1:9" x14ac:dyDescent="0.3">
      <c r="A5318" t="str">
        <f t="shared" si="1739"/>
        <v>United States</v>
      </c>
      <c r="B5318" t="str">
        <f t="shared" si="1740"/>
        <v>Tyler</v>
      </c>
      <c r="C5318" t="str">
        <f t="shared" si="1741"/>
        <v>Standard Class</v>
      </c>
      <c r="D5318" t="str">
        <f t="shared" si="1742"/>
        <v>Consumer</v>
      </c>
      <c r="E5318" t="s">
        <v>20</v>
      </c>
      <c r="F5318">
        <v>3</v>
      </c>
      <c r="G5318">
        <v>0.8</v>
      </c>
      <c r="H5318" s="2">
        <v>-320.23950000000013</v>
      </c>
      <c r="I5318" s="2">
        <v>182.99399999999997</v>
      </c>
    </row>
    <row r="5319" spans="1:9" x14ac:dyDescent="0.3">
      <c r="A5319" t="str">
        <f t="shared" si="1739"/>
        <v>United States</v>
      </c>
      <c r="B5319" t="str">
        <f t="shared" si="1740"/>
        <v>Tyler</v>
      </c>
      <c r="C5319" t="str">
        <f t="shared" si="1741"/>
        <v>Standard Class</v>
      </c>
      <c r="D5319" t="str">
        <f t="shared" si="1742"/>
        <v>Consumer</v>
      </c>
      <c r="E5319" t="s">
        <v>21</v>
      </c>
      <c r="F5319">
        <v>3</v>
      </c>
      <c r="G5319">
        <v>0.6</v>
      </c>
      <c r="H5319" s="2">
        <v>-41.261999999999972</v>
      </c>
      <c r="I5319" s="2">
        <v>82.524000000000001</v>
      </c>
    </row>
    <row r="5320" spans="1:9" x14ac:dyDescent="0.3">
      <c r="A5320" t="str">
        <f t="shared" si="1739"/>
        <v>United States</v>
      </c>
      <c r="B5320" t="s">
        <v>524</v>
      </c>
      <c r="C5320" t="s">
        <v>22</v>
      </c>
      <c r="D5320" t="s">
        <v>8</v>
      </c>
      <c r="E5320" t="s">
        <v>19</v>
      </c>
      <c r="F5320">
        <v>2</v>
      </c>
      <c r="G5320">
        <v>0</v>
      </c>
      <c r="H5320" s="2">
        <v>22.78799999999999</v>
      </c>
      <c r="I5320" s="2">
        <v>75.959999999999994</v>
      </c>
    </row>
    <row r="5321" spans="1:9" x14ac:dyDescent="0.3">
      <c r="A5321" t="str">
        <f t="shared" si="1739"/>
        <v>United States</v>
      </c>
      <c r="B5321" t="str">
        <f t="shared" ref="B5321:B5322" si="1743">B5320</f>
        <v>Urbandale</v>
      </c>
      <c r="C5321" t="str">
        <f t="shared" ref="C5321:C5322" si="1744">C5320</f>
        <v>Standard Class</v>
      </c>
      <c r="D5321" t="str">
        <f t="shared" ref="D5321:D5322" si="1745">D5320</f>
        <v>Consumer</v>
      </c>
      <c r="E5321" t="s">
        <v>20</v>
      </c>
      <c r="F5321">
        <v>6</v>
      </c>
      <c r="G5321">
        <v>0</v>
      </c>
      <c r="H5321" s="2">
        <v>13.3476</v>
      </c>
      <c r="I5321" s="2">
        <v>27.240000000000002</v>
      </c>
    </row>
    <row r="5322" spans="1:9" x14ac:dyDescent="0.3">
      <c r="A5322" t="str">
        <f t="shared" si="1739"/>
        <v>United States</v>
      </c>
      <c r="B5322" t="str">
        <f t="shared" si="1743"/>
        <v>Urbandale</v>
      </c>
      <c r="C5322" t="str">
        <f t="shared" si="1744"/>
        <v>Standard Class</v>
      </c>
      <c r="D5322" t="str">
        <f t="shared" si="1745"/>
        <v>Consumer</v>
      </c>
      <c r="E5322" t="s">
        <v>18</v>
      </c>
      <c r="F5322">
        <v>4</v>
      </c>
      <c r="G5322">
        <v>0</v>
      </c>
      <c r="H5322" s="2">
        <v>21.5824</v>
      </c>
      <c r="I5322" s="2">
        <v>45.92</v>
      </c>
    </row>
    <row r="5323" spans="1:9" x14ac:dyDescent="0.3">
      <c r="A5323" t="str">
        <f t="shared" si="1739"/>
        <v>United States</v>
      </c>
      <c r="B5323" t="s">
        <v>525</v>
      </c>
      <c r="C5323" t="s">
        <v>27</v>
      </c>
      <c r="D5323" t="s">
        <v>8</v>
      </c>
      <c r="E5323" t="s">
        <v>20</v>
      </c>
      <c r="F5323">
        <v>7</v>
      </c>
      <c r="G5323">
        <v>0.4</v>
      </c>
      <c r="H5323" s="2">
        <v>10.447799999999999</v>
      </c>
      <c r="I5323" s="2">
        <v>30</v>
      </c>
    </row>
    <row r="5324" spans="1:9" x14ac:dyDescent="0.3">
      <c r="A5324" t="str">
        <f t="shared" si="1739"/>
        <v>United States</v>
      </c>
      <c r="B5324" t="str">
        <f t="shared" ref="B5324:B5327" si="1746">B5323</f>
        <v>Utica</v>
      </c>
      <c r="C5324" t="str">
        <f t="shared" ref="C5324:C5325" si="1747">C5323</f>
        <v>Same Day</v>
      </c>
      <c r="D5324" t="str">
        <f t="shared" ref="D5324:D5325" si="1748">D5323</f>
        <v>Consumer</v>
      </c>
      <c r="E5324" t="s">
        <v>43</v>
      </c>
      <c r="F5324">
        <v>13</v>
      </c>
      <c r="G5324">
        <v>0</v>
      </c>
      <c r="H5324" s="2">
        <v>50.356800000000007</v>
      </c>
      <c r="I5324" s="2">
        <v>104.66999999999999</v>
      </c>
    </row>
    <row r="5325" spans="1:9" x14ac:dyDescent="0.3">
      <c r="A5325" t="str">
        <f t="shared" si="1739"/>
        <v>United States</v>
      </c>
      <c r="B5325" t="str">
        <f t="shared" si="1746"/>
        <v>Utica</v>
      </c>
      <c r="C5325" t="str">
        <f t="shared" si="1747"/>
        <v>Same Day</v>
      </c>
      <c r="D5325" t="str">
        <f t="shared" si="1748"/>
        <v>Consumer</v>
      </c>
      <c r="E5325" t="s">
        <v>24</v>
      </c>
      <c r="F5325">
        <v>10</v>
      </c>
      <c r="G5325">
        <v>0</v>
      </c>
      <c r="H5325" s="2">
        <v>84.385799999999989</v>
      </c>
      <c r="I5325" s="2">
        <v>399.9</v>
      </c>
    </row>
    <row r="5326" spans="1:9" x14ac:dyDescent="0.3">
      <c r="A5326" t="str">
        <f t="shared" si="1739"/>
        <v>United States</v>
      </c>
      <c r="B5326" t="str">
        <f t="shared" si="1746"/>
        <v>Utica</v>
      </c>
      <c r="C5326" t="s">
        <v>22</v>
      </c>
      <c r="D5326" t="s">
        <v>8</v>
      </c>
      <c r="E5326" t="s">
        <v>23</v>
      </c>
      <c r="F5326">
        <v>1</v>
      </c>
      <c r="G5326">
        <v>0</v>
      </c>
      <c r="H5326" s="2">
        <v>28.796399999999998</v>
      </c>
      <c r="I5326" s="2">
        <v>79.989999999999995</v>
      </c>
    </row>
    <row r="5327" spans="1:9" x14ac:dyDescent="0.3">
      <c r="A5327" t="str">
        <f t="shared" si="1739"/>
        <v>United States</v>
      </c>
      <c r="B5327" t="str">
        <f t="shared" si="1746"/>
        <v>Utica</v>
      </c>
      <c r="C5327" t="str">
        <f>C5326</f>
        <v>Standard Class</v>
      </c>
      <c r="D5327" t="s">
        <v>15</v>
      </c>
      <c r="E5327" t="s">
        <v>21</v>
      </c>
      <c r="F5327">
        <v>2</v>
      </c>
      <c r="G5327">
        <v>0</v>
      </c>
      <c r="H5327" s="2">
        <v>14.572799999999997</v>
      </c>
      <c r="I5327" s="2">
        <v>40.479999999999997</v>
      </c>
    </row>
    <row r="5328" spans="1:9" x14ac:dyDescent="0.3">
      <c r="A5328" t="str">
        <f t="shared" si="1739"/>
        <v>United States</v>
      </c>
      <c r="B5328" t="s">
        <v>526</v>
      </c>
      <c r="C5328" t="s">
        <v>7</v>
      </c>
      <c r="D5328" t="s">
        <v>8</v>
      </c>
      <c r="E5328" t="s">
        <v>14</v>
      </c>
      <c r="F5328">
        <v>11</v>
      </c>
      <c r="G5328">
        <v>0</v>
      </c>
      <c r="H5328" s="2">
        <v>110.05279999999999</v>
      </c>
      <c r="I5328" s="2">
        <v>423.28</v>
      </c>
    </row>
    <row r="5329" spans="1:9" x14ac:dyDescent="0.3">
      <c r="A5329" t="str">
        <f t="shared" si="1739"/>
        <v>United States</v>
      </c>
      <c r="B5329" t="s">
        <v>527</v>
      </c>
      <c r="C5329" t="s">
        <v>7</v>
      </c>
      <c r="D5329" t="s">
        <v>8</v>
      </c>
      <c r="E5329" t="s">
        <v>20</v>
      </c>
      <c r="F5329">
        <v>4</v>
      </c>
      <c r="G5329">
        <v>0.2</v>
      </c>
      <c r="H5329" s="2">
        <v>5.5535999999999994</v>
      </c>
      <c r="I5329" s="2">
        <v>17.088000000000001</v>
      </c>
    </row>
    <row r="5330" spans="1:9" x14ac:dyDescent="0.3">
      <c r="A5330" t="str">
        <f t="shared" si="1739"/>
        <v>United States</v>
      </c>
      <c r="B5330" t="str">
        <f t="shared" ref="B5330:B5334" si="1749">B5329</f>
        <v>Vallejo</v>
      </c>
      <c r="C5330" t="str">
        <f>C5329</f>
        <v>Second Class</v>
      </c>
      <c r="D5330" t="str">
        <f>D5329</f>
        <v>Consumer</v>
      </c>
      <c r="E5330" t="s">
        <v>43</v>
      </c>
      <c r="F5330">
        <v>2</v>
      </c>
      <c r="G5330">
        <v>0</v>
      </c>
      <c r="H5330" s="2">
        <v>14.8</v>
      </c>
      <c r="I5330" s="2">
        <v>29.6</v>
      </c>
    </row>
    <row r="5331" spans="1:9" x14ac:dyDescent="0.3">
      <c r="A5331" t="str">
        <f t="shared" si="1739"/>
        <v>United States</v>
      </c>
      <c r="B5331" t="str">
        <f t="shared" si="1749"/>
        <v>Vallejo</v>
      </c>
      <c r="C5331" t="s">
        <v>22</v>
      </c>
      <c r="D5331" t="s">
        <v>8</v>
      </c>
      <c r="E5331" t="s">
        <v>20</v>
      </c>
      <c r="F5331">
        <v>2</v>
      </c>
      <c r="G5331">
        <v>0.2</v>
      </c>
      <c r="H5331" s="2">
        <v>31.085599999999989</v>
      </c>
      <c r="I5331" s="2">
        <v>95.64800000000001</v>
      </c>
    </row>
    <row r="5332" spans="1:9" x14ac:dyDescent="0.3">
      <c r="A5332" t="str">
        <f t="shared" si="1739"/>
        <v>United States</v>
      </c>
      <c r="B5332" t="str">
        <f t="shared" si="1749"/>
        <v>Vallejo</v>
      </c>
      <c r="C5332" t="str">
        <f t="shared" ref="C5332:C5334" si="1750">C5331</f>
        <v>Standard Class</v>
      </c>
      <c r="D5332" t="str">
        <f>D5331</f>
        <v>Consumer</v>
      </c>
      <c r="E5332" t="s">
        <v>43</v>
      </c>
      <c r="F5332">
        <v>5</v>
      </c>
      <c r="G5332">
        <v>0</v>
      </c>
      <c r="H5332" s="2">
        <v>6.7915000000000001</v>
      </c>
      <c r="I5332" s="2">
        <v>14.450000000000001</v>
      </c>
    </row>
    <row r="5333" spans="1:9" x14ac:dyDescent="0.3">
      <c r="A5333" t="str">
        <f t="shared" si="1739"/>
        <v>United States</v>
      </c>
      <c r="B5333" t="str">
        <f t="shared" si="1749"/>
        <v>Vallejo</v>
      </c>
      <c r="C5333" t="str">
        <f t="shared" si="1750"/>
        <v>Standard Class</v>
      </c>
      <c r="D5333" t="s">
        <v>17</v>
      </c>
      <c r="E5333" t="s">
        <v>20</v>
      </c>
      <c r="F5333">
        <v>4</v>
      </c>
      <c r="G5333">
        <v>0.2</v>
      </c>
      <c r="H5333" s="2">
        <v>5.0128000000000004</v>
      </c>
      <c r="I5333" s="2">
        <v>15.424000000000001</v>
      </c>
    </row>
    <row r="5334" spans="1:9" x14ac:dyDescent="0.3">
      <c r="A5334" t="str">
        <f t="shared" si="1739"/>
        <v>United States</v>
      </c>
      <c r="B5334" t="str">
        <f t="shared" si="1749"/>
        <v>Vallejo</v>
      </c>
      <c r="C5334" t="str">
        <f t="shared" si="1750"/>
        <v>Standard Class</v>
      </c>
      <c r="D5334" t="str">
        <f>D5333</f>
        <v>Home Office</v>
      </c>
      <c r="E5334" t="s">
        <v>21</v>
      </c>
      <c r="F5334">
        <v>5</v>
      </c>
      <c r="G5334">
        <v>0</v>
      </c>
      <c r="H5334" s="2">
        <v>272.79200000000003</v>
      </c>
      <c r="I5334" s="2">
        <v>1049.2</v>
      </c>
    </row>
    <row r="5335" spans="1:9" x14ac:dyDescent="0.3">
      <c r="A5335" t="str">
        <f t="shared" si="1739"/>
        <v>United States</v>
      </c>
      <c r="B5335" t="s">
        <v>528</v>
      </c>
      <c r="C5335" t="s">
        <v>7</v>
      </c>
      <c r="D5335" t="s">
        <v>15</v>
      </c>
      <c r="E5335" t="s">
        <v>23</v>
      </c>
      <c r="F5335">
        <v>4</v>
      </c>
      <c r="G5335">
        <v>0</v>
      </c>
      <c r="H5335" s="2">
        <v>31.599999999999966</v>
      </c>
      <c r="I5335" s="2">
        <v>316</v>
      </c>
    </row>
    <row r="5336" spans="1:9" x14ac:dyDescent="0.3">
      <c r="A5336" t="str">
        <f t="shared" si="1739"/>
        <v>United States</v>
      </c>
      <c r="B5336" t="str">
        <f t="shared" ref="B5336:B5339" si="1751">B5335</f>
        <v>Vancouver</v>
      </c>
      <c r="C5336" t="str">
        <f t="shared" ref="C5336:C5337" si="1752">C5335</f>
        <v>Second Class</v>
      </c>
      <c r="D5336" t="str">
        <f t="shared" ref="D5336:D5337" si="1753">D5335</f>
        <v>Corporate</v>
      </c>
      <c r="E5336" t="s">
        <v>21</v>
      </c>
      <c r="F5336">
        <v>4</v>
      </c>
      <c r="G5336">
        <v>0</v>
      </c>
      <c r="H5336" s="2">
        <v>6.0680000000000014</v>
      </c>
      <c r="I5336" s="2">
        <v>14.8</v>
      </c>
    </row>
    <row r="5337" spans="1:9" x14ac:dyDescent="0.3">
      <c r="A5337" t="str">
        <f t="shared" si="1739"/>
        <v>United States</v>
      </c>
      <c r="B5337" t="str">
        <f t="shared" si="1751"/>
        <v>Vancouver</v>
      </c>
      <c r="C5337" t="str">
        <f t="shared" si="1752"/>
        <v>Second Class</v>
      </c>
      <c r="D5337" t="str">
        <f t="shared" si="1753"/>
        <v>Corporate</v>
      </c>
      <c r="E5337" t="s">
        <v>24</v>
      </c>
      <c r="F5337">
        <v>3</v>
      </c>
      <c r="G5337">
        <v>0.2</v>
      </c>
      <c r="H5337" s="2">
        <v>22.678200000000018</v>
      </c>
      <c r="I5337" s="2">
        <v>302.37599999999998</v>
      </c>
    </row>
    <row r="5338" spans="1:9" x14ac:dyDescent="0.3">
      <c r="A5338" t="str">
        <f t="shared" si="1739"/>
        <v>United States</v>
      </c>
      <c r="B5338" t="str">
        <f t="shared" si="1751"/>
        <v>Vancouver</v>
      </c>
      <c r="C5338" t="s">
        <v>22</v>
      </c>
      <c r="D5338" t="s">
        <v>15</v>
      </c>
      <c r="E5338" t="s">
        <v>21</v>
      </c>
      <c r="F5338">
        <v>2</v>
      </c>
      <c r="G5338">
        <v>0</v>
      </c>
      <c r="H5338" s="2">
        <v>3.6632000000000007</v>
      </c>
      <c r="I5338" s="2">
        <v>9.64</v>
      </c>
    </row>
    <row r="5339" spans="1:9" x14ac:dyDescent="0.3">
      <c r="A5339" t="str">
        <f t="shared" si="1739"/>
        <v>United States</v>
      </c>
      <c r="B5339" t="str">
        <f t="shared" si="1751"/>
        <v>Vancouver</v>
      </c>
      <c r="C5339" t="str">
        <f>C5338</f>
        <v>Standard Class</v>
      </c>
      <c r="D5339" t="s">
        <v>17</v>
      </c>
      <c r="E5339" t="s">
        <v>19</v>
      </c>
      <c r="F5339">
        <v>2</v>
      </c>
      <c r="G5339">
        <v>0</v>
      </c>
      <c r="H5339" s="2">
        <v>11.4452</v>
      </c>
      <c r="I5339" s="2">
        <v>44.02</v>
      </c>
    </row>
    <row r="5340" spans="1:9" x14ac:dyDescent="0.3">
      <c r="A5340" t="str">
        <f t="shared" si="1739"/>
        <v>United States</v>
      </c>
      <c r="B5340" t="s">
        <v>529</v>
      </c>
      <c r="C5340" t="s">
        <v>7</v>
      </c>
      <c r="D5340" t="s">
        <v>8</v>
      </c>
      <c r="E5340" t="s">
        <v>23</v>
      </c>
      <c r="F5340">
        <v>5</v>
      </c>
      <c r="G5340">
        <v>0</v>
      </c>
      <c r="H5340" s="2">
        <v>34.960000000000008</v>
      </c>
      <c r="I5340" s="2">
        <v>87.4</v>
      </c>
    </row>
    <row r="5341" spans="1:9" x14ac:dyDescent="0.3">
      <c r="A5341" t="str">
        <f t="shared" si="1739"/>
        <v>United States</v>
      </c>
      <c r="B5341" t="str">
        <f t="shared" ref="B5341:B5347" si="1754">B5340</f>
        <v>Vineland</v>
      </c>
      <c r="C5341" t="str">
        <f t="shared" ref="C5341:C5343" si="1755">C5340</f>
        <v>Second Class</v>
      </c>
      <c r="D5341" t="str">
        <f t="shared" ref="D5341:D5343" si="1756">D5340</f>
        <v>Consumer</v>
      </c>
      <c r="E5341" t="s">
        <v>21</v>
      </c>
      <c r="F5341">
        <v>5</v>
      </c>
      <c r="G5341">
        <v>0</v>
      </c>
      <c r="H5341" s="2">
        <v>15.426000000000002</v>
      </c>
      <c r="I5341" s="2">
        <v>42.85</v>
      </c>
    </row>
    <row r="5342" spans="1:9" x14ac:dyDescent="0.3">
      <c r="A5342" t="str">
        <f t="shared" si="1739"/>
        <v>United States</v>
      </c>
      <c r="B5342" t="str">
        <f t="shared" si="1754"/>
        <v>Vineland</v>
      </c>
      <c r="C5342" t="str">
        <f t="shared" si="1755"/>
        <v>Second Class</v>
      </c>
      <c r="D5342" t="str">
        <f t="shared" si="1756"/>
        <v>Consumer</v>
      </c>
      <c r="E5342" t="s">
        <v>43</v>
      </c>
      <c r="F5342">
        <v>2</v>
      </c>
      <c r="G5342">
        <v>0</v>
      </c>
      <c r="H5342" s="2">
        <v>2.9567999999999999</v>
      </c>
      <c r="I5342" s="2">
        <v>6.16</v>
      </c>
    </row>
    <row r="5343" spans="1:9" x14ac:dyDescent="0.3">
      <c r="A5343" t="str">
        <f t="shared" si="1739"/>
        <v>United States</v>
      </c>
      <c r="B5343" t="str">
        <f t="shared" si="1754"/>
        <v>Vineland</v>
      </c>
      <c r="C5343" t="str">
        <f t="shared" si="1755"/>
        <v>Second Class</v>
      </c>
      <c r="D5343" t="str">
        <f t="shared" si="1756"/>
        <v>Consumer</v>
      </c>
      <c r="E5343" t="s">
        <v>9</v>
      </c>
      <c r="F5343">
        <v>2</v>
      </c>
      <c r="G5343">
        <v>0</v>
      </c>
      <c r="H5343" s="2">
        <v>4.42</v>
      </c>
      <c r="I5343" s="2">
        <v>17</v>
      </c>
    </row>
    <row r="5344" spans="1:9" x14ac:dyDescent="0.3">
      <c r="A5344" t="str">
        <f t="shared" si="1739"/>
        <v>United States</v>
      </c>
      <c r="B5344" t="str">
        <f t="shared" si="1754"/>
        <v>Vineland</v>
      </c>
      <c r="C5344" t="s">
        <v>22</v>
      </c>
      <c r="D5344" t="s">
        <v>8</v>
      </c>
      <c r="E5344" t="s">
        <v>25</v>
      </c>
      <c r="F5344">
        <v>2</v>
      </c>
      <c r="G5344">
        <v>0.3</v>
      </c>
      <c r="H5344" s="2">
        <v>-31.372200000000007</v>
      </c>
      <c r="I5344" s="2">
        <v>244.00599999999997</v>
      </c>
    </row>
    <row r="5345" spans="1:9" x14ac:dyDescent="0.3">
      <c r="A5345" t="str">
        <f t="shared" si="1739"/>
        <v>United States</v>
      </c>
      <c r="B5345" t="str">
        <f t="shared" si="1754"/>
        <v>Vineland</v>
      </c>
      <c r="C5345" t="str">
        <f t="shared" ref="C5345:C5347" si="1757">C5344</f>
        <v>Standard Class</v>
      </c>
      <c r="D5345" t="s">
        <v>15</v>
      </c>
      <c r="E5345" t="s">
        <v>12</v>
      </c>
      <c r="F5345">
        <v>1</v>
      </c>
      <c r="G5345">
        <v>0</v>
      </c>
      <c r="H5345" s="2">
        <v>7.4172000000000011</v>
      </c>
      <c r="I5345" s="2">
        <v>26.49</v>
      </c>
    </row>
    <row r="5346" spans="1:9" x14ac:dyDescent="0.3">
      <c r="A5346" t="str">
        <f t="shared" si="1739"/>
        <v>United States</v>
      </c>
      <c r="B5346" t="str">
        <f t="shared" si="1754"/>
        <v>Vineland</v>
      </c>
      <c r="C5346" t="str">
        <f t="shared" si="1757"/>
        <v>Standard Class</v>
      </c>
      <c r="D5346" t="str">
        <f t="shared" ref="D5346:D5347" si="1758">D5345</f>
        <v>Corporate</v>
      </c>
      <c r="E5346" t="s">
        <v>19</v>
      </c>
      <c r="F5346">
        <v>4</v>
      </c>
      <c r="G5346">
        <v>0</v>
      </c>
      <c r="H5346" s="2">
        <v>2.8911999999999995</v>
      </c>
      <c r="I5346" s="2">
        <v>11.12</v>
      </c>
    </row>
    <row r="5347" spans="1:9" x14ac:dyDescent="0.3">
      <c r="A5347" t="str">
        <f t="shared" si="1739"/>
        <v>United States</v>
      </c>
      <c r="B5347" t="str">
        <f t="shared" si="1754"/>
        <v>Vineland</v>
      </c>
      <c r="C5347" t="str">
        <f t="shared" si="1757"/>
        <v>Standard Class</v>
      </c>
      <c r="D5347" t="str">
        <f t="shared" si="1758"/>
        <v>Corporate</v>
      </c>
      <c r="E5347" t="s">
        <v>33</v>
      </c>
      <c r="F5347">
        <v>3</v>
      </c>
      <c r="G5347">
        <v>0</v>
      </c>
      <c r="H5347" s="2">
        <v>25.552800000000005</v>
      </c>
      <c r="I5347" s="2">
        <v>212.94</v>
      </c>
    </row>
    <row r="5348" spans="1:9" x14ac:dyDescent="0.3">
      <c r="A5348" t="str">
        <f t="shared" si="1739"/>
        <v>United States</v>
      </c>
      <c r="B5348" t="s">
        <v>530</v>
      </c>
      <c r="C5348" t="s">
        <v>11</v>
      </c>
      <c r="D5348" t="s">
        <v>8</v>
      </c>
      <c r="E5348" t="s">
        <v>23</v>
      </c>
      <c r="F5348">
        <v>3</v>
      </c>
      <c r="G5348">
        <v>0</v>
      </c>
      <c r="H5348" s="2">
        <v>18.893699999999995</v>
      </c>
      <c r="I5348" s="2">
        <v>89.97</v>
      </c>
    </row>
    <row r="5349" spans="1:9" x14ac:dyDescent="0.3">
      <c r="A5349" t="str">
        <f t="shared" si="1739"/>
        <v>United States</v>
      </c>
      <c r="B5349" t="str">
        <f t="shared" ref="B5349:B5362" si="1759">B5348</f>
        <v>Virginia Beach</v>
      </c>
      <c r="C5349" t="str">
        <f t="shared" ref="C5349:C5351" si="1760">C5348</f>
        <v>First Class</v>
      </c>
      <c r="D5349" t="str">
        <f t="shared" ref="D5349:D5351" si="1761">D5348</f>
        <v>Consumer</v>
      </c>
      <c r="E5349" t="s">
        <v>12</v>
      </c>
      <c r="F5349">
        <v>3</v>
      </c>
      <c r="G5349">
        <v>0</v>
      </c>
      <c r="H5349" s="2">
        <v>53.043899999999979</v>
      </c>
      <c r="I5349" s="2">
        <v>182.91</v>
      </c>
    </row>
    <row r="5350" spans="1:9" x14ac:dyDescent="0.3">
      <c r="A5350" t="str">
        <f t="shared" si="1739"/>
        <v>United States</v>
      </c>
      <c r="B5350" t="str">
        <f t="shared" si="1759"/>
        <v>Virginia Beach</v>
      </c>
      <c r="C5350" t="str">
        <f t="shared" si="1760"/>
        <v>First Class</v>
      </c>
      <c r="D5350" t="str">
        <f t="shared" si="1761"/>
        <v>Consumer</v>
      </c>
      <c r="E5350" t="s">
        <v>21</v>
      </c>
      <c r="F5350">
        <v>7</v>
      </c>
      <c r="G5350">
        <v>0</v>
      </c>
      <c r="H5350" s="2">
        <v>146.90959999999998</v>
      </c>
      <c r="I5350" s="2">
        <v>1030.76</v>
      </c>
    </row>
    <row r="5351" spans="1:9" x14ac:dyDescent="0.3">
      <c r="A5351" t="str">
        <f t="shared" si="1739"/>
        <v>United States</v>
      </c>
      <c r="B5351" t="str">
        <f t="shared" si="1759"/>
        <v>Virginia Beach</v>
      </c>
      <c r="C5351" t="str">
        <f t="shared" si="1760"/>
        <v>First Class</v>
      </c>
      <c r="D5351" t="str">
        <f t="shared" si="1761"/>
        <v>Consumer</v>
      </c>
      <c r="E5351" t="s">
        <v>9</v>
      </c>
      <c r="F5351">
        <v>5</v>
      </c>
      <c r="G5351">
        <v>0</v>
      </c>
      <c r="H5351" s="2">
        <v>9.234</v>
      </c>
      <c r="I5351" s="2">
        <v>34.200000000000003</v>
      </c>
    </row>
    <row r="5352" spans="1:9" x14ac:dyDescent="0.3">
      <c r="A5352" t="str">
        <f t="shared" si="1739"/>
        <v>United States</v>
      </c>
      <c r="B5352" t="str">
        <f t="shared" si="1759"/>
        <v>Virginia Beach</v>
      </c>
      <c r="C5352" t="s">
        <v>22</v>
      </c>
      <c r="D5352" t="s">
        <v>8</v>
      </c>
      <c r="E5352" t="s">
        <v>38</v>
      </c>
      <c r="F5352">
        <v>7</v>
      </c>
      <c r="G5352">
        <v>0</v>
      </c>
      <c r="H5352" s="2">
        <v>113.21099999999998</v>
      </c>
      <c r="I5352" s="2">
        <v>251.57999999999998</v>
      </c>
    </row>
    <row r="5353" spans="1:9" x14ac:dyDescent="0.3">
      <c r="A5353" t="str">
        <f t="shared" si="1739"/>
        <v>United States</v>
      </c>
      <c r="B5353" t="str">
        <f t="shared" si="1759"/>
        <v>Virginia Beach</v>
      </c>
      <c r="C5353" t="str">
        <f t="shared" ref="C5353:C5362" si="1762">C5352</f>
        <v>Standard Class</v>
      </c>
      <c r="D5353" t="str">
        <f t="shared" ref="D5353:D5354" si="1763">D5352</f>
        <v>Consumer</v>
      </c>
      <c r="E5353" t="s">
        <v>16</v>
      </c>
      <c r="F5353">
        <v>4</v>
      </c>
      <c r="G5353">
        <v>0</v>
      </c>
      <c r="H5353" s="2">
        <v>48.539199999999994</v>
      </c>
      <c r="I5353" s="2">
        <v>105.52</v>
      </c>
    </row>
    <row r="5354" spans="1:9" x14ac:dyDescent="0.3">
      <c r="A5354" t="str">
        <f t="shared" si="1739"/>
        <v>United States</v>
      </c>
      <c r="B5354" t="str">
        <f t="shared" si="1759"/>
        <v>Virginia Beach</v>
      </c>
      <c r="C5354" t="str">
        <f t="shared" si="1762"/>
        <v>Standard Class</v>
      </c>
      <c r="D5354" t="str">
        <f t="shared" si="1763"/>
        <v>Consumer</v>
      </c>
      <c r="E5354" t="s">
        <v>25</v>
      </c>
      <c r="F5354">
        <v>5</v>
      </c>
      <c r="G5354">
        <v>0</v>
      </c>
      <c r="H5354" s="2">
        <v>60.664499999999961</v>
      </c>
      <c r="I5354" s="2">
        <v>356.85</v>
      </c>
    </row>
    <row r="5355" spans="1:9" x14ac:dyDescent="0.3">
      <c r="A5355" t="str">
        <f t="shared" si="1739"/>
        <v>United States</v>
      </c>
      <c r="B5355" t="str">
        <f t="shared" si="1759"/>
        <v>Virginia Beach</v>
      </c>
      <c r="C5355" t="str">
        <f t="shared" si="1762"/>
        <v>Standard Class</v>
      </c>
      <c r="D5355" t="s">
        <v>15</v>
      </c>
      <c r="E5355" t="s">
        <v>19</v>
      </c>
      <c r="F5355">
        <v>4</v>
      </c>
      <c r="G5355">
        <v>0</v>
      </c>
      <c r="H5355" s="2">
        <v>2.9592000000000009</v>
      </c>
      <c r="I5355" s="2">
        <v>10.96</v>
      </c>
    </row>
    <row r="5356" spans="1:9" x14ac:dyDescent="0.3">
      <c r="A5356" t="str">
        <f t="shared" si="1739"/>
        <v>United States</v>
      </c>
      <c r="B5356" t="str">
        <f t="shared" si="1759"/>
        <v>Virginia Beach</v>
      </c>
      <c r="C5356" t="str">
        <f t="shared" si="1762"/>
        <v>Standard Class</v>
      </c>
      <c r="D5356" t="str">
        <f t="shared" ref="D5356:D5358" si="1764">D5355</f>
        <v>Corporate</v>
      </c>
      <c r="E5356" t="s">
        <v>20</v>
      </c>
      <c r="F5356">
        <v>7</v>
      </c>
      <c r="G5356">
        <v>0</v>
      </c>
      <c r="H5356" s="2">
        <v>1276.4871000000001</v>
      </c>
      <c r="I5356" s="2">
        <v>2715.9300000000003</v>
      </c>
    </row>
    <row r="5357" spans="1:9" x14ac:dyDescent="0.3">
      <c r="A5357" t="str">
        <f t="shared" si="1739"/>
        <v>United States</v>
      </c>
      <c r="B5357" t="str">
        <f t="shared" si="1759"/>
        <v>Virginia Beach</v>
      </c>
      <c r="C5357" t="str">
        <f t="shared" si="1762"/>
        <v>Standard Class</v>
      </c>
      <c r="D5357" t="str">
        <f t="shared" si="1764"/>
        <v>Corporate</v>
      </c>
      <c r="E5357" t="s">
        <v>21</v>
      </c>
      <c r="F5357">
        <v>2</v>
      </c>
      <c r="G5357">
        <v>0</v>
      </c>
      <c r="H5357" s="2">
        <v>46.196799999999996</v>
      </c>
      <c r="I5357" s="2">
        <v>177.68</v>
      </c>
    </row>
    <row r="5358" spans="1:9" x14ac:dyDescent="0.3">
      <c r="A5358" t="str">
        <f t="shared" si="1739"/>
        <v>United States</v>
      </c>
      <c r="B5358" t="str">
        <f t="shared" si="1759"/>
        <v>Virginia Beach</v>
      </c>
      <c r="C5358" t="str">
        <f t="shared" si="1762"/>
        <v>Standard Class</v>
      </c>
      <c r="D5358" t="str">
        <f t="shared" si="1764"/>
        <v>Corporate</v>
      </c>
      <c r="E5358" t="s">
        <v>24</v>
      </c>
      <c r="F5358">
        <v>3</v>
      </c>
      <c r="G5358">
        <v>0</v>
      </c>
      <c r="H5358" s="2">
        <v>173.0316</v>
      </c>
      <c r="I5358" s="2">
        <v>617.97</v>
      </c>
    </row>
    <row r="5359" spans="1:9" x14ac:dyDescent="0.3">
      <c r="A5359" t="str">
        <f t="shared" si="1739"/>
        <v>United States</v>
      </c>
      <c r="B5359" t="str">
        <f t="shared" si="1759"/>
        <v>Virginia Beach</v>
      </c>
      <c r="C5359" t="str">
        <f t="shared" si="1762"/>
        <v>Standard Class</v>
      </c>
      <c r="D5359" t="s">
        <v>17</v>
      </c>
      <c r="E5359" t="s">
        <v>23</v>
      </c>
      <c r="F5359">
        <v>3</v>
      </c>
      <c r="G5359">
        <v>0</v>
      </c>
      <c r="H5359" s="2">
        <v>20.767499999999998</v>
      </c>
      <c r="I5359" s="2">
        <v>53.25</v>
      </c>
    </row>
    <row r="5360" spans="1:9" x14ac:dyDescent="0.3">
      <c r="A5360" t="str">
        <f t="shared" si="1739"/>
        <v>United States</v>
      </c>
      <c r="B5360" t="str">
        <f t="shared" si="1759"/>
        <v>Virginia Beach</v>
      </c>
      <c r="C5360" t="str">
        <f t="shared" si="1762"/>
        <v>Standard Class</v>
      </c>
      <c r="D5360" t="str">
        <f t="shared" ref="D5360:D5362" si="1765">D5359</f>
        <v>Home Office</v>
      </c>
      <c r="E5360" t="s">
        <v>20</v>
      </c>
      <c r="F5360">
        <v>2</v>
      </c>
      <c r="G5360">
        <v>0</v>
      </c>
      <c r="H5360" s="2">
        <v>4.7236000000000002</v>
      </c>
      <c r="I5360" s="2">
        <v>9.64</v>
      </c>
    </row>
    <row r="5361" spans="1:9" x14ac:dyDescent="0.3">
      <c r="A5361" t="str">
        <f t="shared" si="1739"/>
        <v>United States</v>
      </c>
      <c r="B5361" t="str">
        <f t="shared" si="1759"/>
        <v>Virginia Beach</v>
      </c>
      <c r="C5361" t="str">
        <f t="shared" si="1762"/>
        <v>Standard Class</v>
      </c>
      <c r="D5361" t="str">
        <f t="shared" si="1765"/>
        <v>Home Office</v>
      </c>
      <c r="E5361" t="s">
        <v>18</v>
      </c>
      <c r="F5361">
        <v>2</v>
      </c>
      <c r="G5361">
        <v>0</v>
      </c>
      <c r="H5361" s="2">
        <v>1.3159999999999998</v>
      </c>
      <c r="I5361" s="2">
        <v>3.76</v>
      </c>
    </row>
    <row r="5362" spans="1:9" x14ac:dyDescent="0.3">
      <c r="A5362" t="str">
        <f t="shared" si="1739"/>
        <v>United States</v>
      </c>
      <c r="B5362" t="str">
        <f t="shared" si="1759"/>
        <v>Virginia Beach</v>
      </c>
      <c r="C5362" t="str">
        <f t="shared" si="1762"/>
        <v>Standard Class</v>
      </c>
      <c r="D5362" t="str">
        <f t="shared" si="1765"/>
        <v>Home Office</v>
      </c>
      <c r="E5362" t="s">
        <v>21</v>
      </c>
      <c r="F5362">
        <v>5</v>
      </c>
      <c r="G5362">
        <v>0</v>
      </c>
      <c r="H5362" s="2">
        <v>48.906000000000006</v>
      </c>
      <c r="I5362" s="2">
        <v>111.15</v>
      </c>
    </row>
    <row r="5363" spans="1:9" x14ac:dyDescent="0.3">
      <c r="A5363" t="str">
        <f t="shared" si="1739"/>
        <v>United States</v>
      </c>
      <c r="B5363" t="s">
        <v>531</v>
      </c>
      <c r="C5363" t="s">
        <v>7</v>
      </c>
      <c r="D5363" t="s">
        <v>15</v>
      </c>
      <c r="E5363" t="s">
        <v>23</v>
      </c>
      <c r="F5363">
        <v>8</v>
      </c>
      <c r="G5363">
        <v>0</v>
      </c>
      <c r="H5363" s="2">
        <v>3.4848000000000008</v>
      </c>
      <c r="I5363" s="2">
        <v>7.92</v>
      </c>
    </row>
    <row r="5364" spans="1:9" x14ac:dyDescent="0.3">
      <c r="A5364" t="str">
        <f t="shared" si="1739"/>
        <v>United States</v>
      </c>
      <c r="B5364" t="str">
        <f t="shared" ref="B5364:B5366" si="1766">B5363</f>
        <v>Visalia</v>
      </c>
      <c r="C5364" t="s">
        <v>22</v>
      </c>
      <c r="D5364" t="s">
        <v>8</v>
      </c>
      <c r="E5364" t="s">
        <v>19</v>
      </c>
      <c r="F5364">
        <v>2</v>
      </c>
      <c r="G5364">
        <v>0</v>
      </c>
      <c r="H5364" s="2">
        <v>3.7200000000000006</v>
      </c>
      <c r="I5364" s="2">
        <v>14.88</v>
      </c>
    </row>
    <row r="5365" spans="1:9" x14ac:dyDescent="0.3">
      <c r="A5365" t="str">
        <f t="shared" si="1739"/>
        <v>United States</v>
      </c>
      <c r="B5365" t="str">
        <f t="shared" si="1766"/>
        <v>Visalia</v>
      </c>
      <c r="C5365" t="str">
        <f t="shared" ref="C5365:C5366" si="1767">C5364</f>
        <v>Standard Class</v>
      </c>
      <c r="D5365" t="str">
        <f t="shared" ref="D5365:D5366" si="1768">D5364</f>
        <v>Consumer</v>
      </c>
      <c r="E5365" t="s">
        <v>16</v>
      </c>
      <c r="F5365">
        <v>8</v>
      </c>
      <c r="G5365">
        <v>0</v>
      </c>
      <c r="H5365" s="2">
        <v>15.407999999999998</v>
      </c>
      <c r="I5365" s="2">
        <v>34.24</v>
      </c>
    </row>
    <row r="5366" spans="1:9" x14ac:dyDescent="0.3">
      <c r="A5366" t="str">
        <f t="shared" si="1739"/>
        <v>United States</v>
      </c>
      <c r="B5366" t="str">
        <f t="shared" si="1766"/>
        <v>Visalia</v>
      </c>
      <c r="C5366" t="str">
        <f t="shared" si="1767"/>
        <v>Standard Class</v>
      </c>
      <c r="D5366" t="str">
        <f t="shared" si="1768"/>
        <v>Consumer</v>
      </c>
      <c r="E5366" t="s">
        <v>14</v>
      </c>
      <c r="F5366">
        <v>2</v>
      </c>
      <c r="G5366">
        <v>0</v>
      </c>
      <c r="H5366" s="2">
        <v>65.435000000000002</v>
      </c>
      <c r="I5366" s="2">
        <v>261.74</v>
      </c>
    </row>
    <row r="5367" spans="1:9" x14ac:dyDescent="0.3">
      <c r="A5367" t="str">
        <f t="shared" si="1739"/>
        <v>United States</v>
      </c>
      <c r="B5367" t="s">
        <v>532</v>
      </c>
      <c r="C5367" t="s">
        <v>27</v>
      </c>
      <c r="D5367" t="s">
        <v>15</v>
      </c>
      <c r="E5367" t="s">
        <v>20</v>
      </c>
      <c r="F5367">
        <v>1</v>
      </c>
      <c r="G5367">
        <v>0.8</v>
      </c>
      <c r="H5367" s="2">
        <v>-0.94520000000000004</v>
      </c>
      <c r="I5367" s="2">
        <v>0.55599999999999983</v>
      </c>
    </row>
    <row r="5368" spans="1:9" x14ac:dyDescent="0.3">
      <c r="A5368" t="str">
        <f t="shared" si="1739"/>
        <v>United States</v>
      </c>
      <c r="B5368" t="str">
        <f t="shared" ref="B5368:B5372" si="1769">B5367</f>
        <v>Waco</v>
      </c>
      <c r="C5368" t="s">
        <v>7</v>
      </c>
      <c r="D5368" t="s">
        <v>8</v>
      </c>
      <c r="E5368" t="s">
        <v>19</v>
      </c>
      <c r="F5368">
        <v>5</v>
      </c>
      <c r="G5368">
        <v>0.2</v>
      </c>
      <c r="H5368" s="2">
        <v>0.71199999999999974</v>
      </c>
      <c r="I5368" s="2">
        <v>7.120000000000001</v>
      </c>
    </row>
    <row r="5369" spans="1:9" x14ac:dyDescent="0.3">
      <c r="A5369" t="str">
        <f t="shared" si="1739"/>
        <v>United States</v>
      </c>
      <c r="B5369" t="str">
        <f t="shared" si="1769"/>
        <v>Waco</v>
      </c>
      <c r="C5369" t="str">
        <f>C5368</f>
        <v>Second Class</v>
      </c>
      <c r="D5369" t="str">
        <f>D5368</f>
        <v>Consumer</v>
      </c>
      <c r="E5369" t="s">
        <v>20</v>
      </c>
      <c r="F5369">
        <v>4</v>
      </c>
      <c r="G5369">
        <v>0.8</v>
      </c>
      <c r="H5369" s="2">
        <v>-426.9860000000001</v>
      </c>
      <c r="I5369" s="2">
        <v>243.99199999999996</v>
      </c>
    </row>
    <row r="5370" spans="1:9" x14ac:dyDescent="0.3">
      <c r="A5370" t="str">
        <f t="shared" si="1739"/>
        <v>United States</v>
      </c>
      <c r="B5370" t="str">
        <f t="shared" si="1769"/>
        <v>Waco</v>
      </c>
      <c r="C5370" t="s">
        <v>22</v>
      </c>
      <c r="D5370" t="s">
        <v>8</v>
      </c>
      <c r="E5370" t="s">
        <v>20</v>
      </c>
      <c r="F5370">
        <v>2</v>
      </c>
      <c r="G5370">
        <v>0.8</v>
      </c>
      <c r="H5370" s="2">
        <v>-3.5224000000000011</v>
      </c>
      <c r="I5370" s="2">
        <v>2.0719999999999996</v>
      </c>
    </row>
    <row r="5371" spans="1:9" x14ac:dyDescent="0.3">
      <c r="A5371" t="str">
        <f t="shared" si="1739"/>
        <v>United States</v>
      </c>
      <c r="B5371" t="str">
        <f t="shared" si="1769"/>
        <v>Waco</v>
      </c>
      <c r="C5371" t="str">
        <f t="shared" ref="C5371:C5372" si="1770">C5370</f>
        <v>Standard Class</v>
      </c>
      <c r="D5371" t="str">
        <f t="shared" ref="D5371:D5372" si="1771">D5370</f>
        <v>Consumer</v>
      </c>
      <c r="E5371" t="s">
        <v>34</v>
      </c>
      <c r="F5371">
        <v>3</v>
      </c>
      <c r="G5371">
        <v>0.32</v>
      </c>
      <c r="H5371" s="2">
        <v>-91.758599999999973</v>
      </c>
      <c r="I5371" s="2">
        <v>328.39919999999995</v>
      </c>
    </row>
    <row r="5372" spans="1:9" x14ac:dyDescent="0.3">
      <c r="A5372" t="str">
        <f t="shared" si="1739"/>
        <v>United States</v>
      </c>
      <c r="B5372" t="str">
        <f t="shared" si="1769"/>
        <v>Waco</v>
      </c>
      <c r="C5372" t="str">
        <f t="shared" si="1770"/>
        <v>Standard Class</v>
      </c>
      <c r="D5372" t="str">
        <f t="shared" si="1771"/>
        <v>Consumer</v>
      </c>
      <c r="E5372" t="s">
        <v>14</v>
      </c>
      <c r="F5372">
        <v>2</v>
      </c>
      <c r="G5372">
        <v>0.2</v>
      </c>
      <c r="H5372" s="2">
        <v>2.3967999999999989</v>
      </c>
      <c r="I5372" s="2">
        <v>23.968000000000004</v>
      </c>
    </row>
    <row r="5373" spans="1:9" x14ac:dyDescent="0.3">
      <c r="A5373" t="str">
        <f t="shared" si="1739"/>
        <v>United States</v>
      </c>
      <c r="B5373" t="s">
        <v>533</v>
      </c>
      <c r="C5373" t="s">
        <v>7</v>
      </c>
      <c r="D5373" t="s">
        <v>15</v>
      </c>
      <c r="E5373" t="s">
        <v>33</v>
      </c>
      <c r="F5373">
        <v>3</v>
      </c>
      <c r="G5373">
        <v>0</v>
      </c>
      <c r="H5373" s="2">
        <v>43.223399999999984</v>
      </c>
      <c r="I5373" s="2">
        <v>392.93999999999994</v>
      </c>
    </row>
    <row r="5374" spans="1:9" x14ac:dyDescent="0.3">
      <c r="A5374" t="str">
        <f t="shared" si="1739"/>
        <v>United States</v>
      </c>
      <c r="B5374" t="str">
        <f>B5373</f>
        <v>Warner Robins</v>
      </c>
      <c r="C5374" t="s">
        <v>22</v>
      </c>
      <c r="D5374" t="s">
        <v>8</v>
      </c>
      <c r="E5374" t="s">
        <v>19</v>
      </c>
      <c r="F5374">
        <v>7</v>
      </c>
      <c r="G5374">
        <v>0</v>
      </c>
      <c r="H5374" s="2">
        <v>10.465</v>
      </c>
      <c r="I5374" s="2">
        <v>41.86</v>
      </c>
    </row>
    <row r="5375" spans="1:9" x14ac:dyDescent="0.3">
      <c r="A5375" t="str">
        <f t="shared" si="1739"/>
        <v>United States</v>
      </c>
      <c r="B5375" t="s">
        <v>534</v>
      </c>
      <c r="C5375" t="s">
        <v>11</v>
      </c>
      <c r="D5375" t="s">
        <v>15</v>
      </c>
      <c r="E5375" t="s">
        <v>16</v>
      </c>
      <c r="F5375">
        <v>2</v>
      </c>
      <c r="G5375">
        <v>0</v>
      </c>
      <c r="H5375" s="2">
        <v>54.860399999999998</v>
      </c>
      <c r="I5375" s="2">
        <v>111.96</v>
      </c>
    </row>
    <row r="5376" spans="1:9" x14ac:dyDescent="0.3">
      <c r="A5376" t="str">
        <f t="shared" si="1739"/>
        <v>United States</v>
      </c>
      <c r="B5376" t="str">
        <f t="shared" ref="B5376:B5379" si="1772">B5375</f>
        <v>Warwick</v>
      </c>
      <c r="C5376" t="s">
        <v>7</v>
      </c>
      <c r="D5376" t="s">
        <v>15</v>
      </c>
      <c r="E5376" t="s">
        <v>23</v>
      </c>
      <c r="F5376">
        <v>4</v>
      </c>
      <c r="G5376">
        <v>0</v>
      </c>
      <c r="H5376" s="2">
        <v>93.240000000000009</v>
      </c>
      <c r="I5376" s="2">
        <v>252</v>
      </c>
    </row>
    <row r="5377" spans="1:9" x14ac:dyDescent="0.3">
      <c r="A5377" t="str">
        <f t="shared" si="1739"/>
        <v>United States</v>
      </c>
      <c r="B5377" t="str">
        <f t="shared" si="1772"/>
        <v>Warwick</v>
      </c>
      <c r="C5377" t="str">
        <f t="shared" ref="C5377:C5379" si="1773">C5376</f>
        <v>Second Class</v>
      </c>
      <c r="D5377" t="str">
        <f t="shared" ref="D5377:D5379" si="1774">D5376</f>
        <v>Corporate</v>
      </c>
      <c r="E5377" t="s">
        <v>45</v>
      </c>
      <c r="F5377">
        <v>4</v>
      </c>
      <c r="G5377">
        <v>0</v>
      </c>
      <c r="H5377" s="2">
        <v>899.98199999999997</v>
      </c>
      <c r="I5377" s="2">
        <v>1999.96</v>
      </c>
    </row>
    <row r="5378" spans="1:9" x14ac:dyDescent="0.3">
      <c r="A5378" t="str">
        <f t="shared" si="1739"/>
        <v>United States</v>
      </c>
      <c r="B5378" t="str">
        <f t="shared" si="1772"/>
        <v>Warwick</v>
      </c>
      <c r="C5378" t="str">
        <f t="shared" si="1773"/>
        <v>Second Class</v>
      </c>
      <c r="D5378" t="str">
        <f t="shared" si="1774"/>
        <v>Corporate</v>
      </c>
      <c r="E5378" t="s">
        <v>16</v>
      </c>
      <c r="F5378">
        <v>2</v>
      </c>
      <c r="G5378">
        <v>0</v>
      </c>
      <c r="H5378" s="2">
        <v>6.2208000000000006</v>
      </c>
      <c r="I5378" s="2">
        <v>12.96</v>
      </c>
    </row>
    <row r="5379" spans="1:9" x14ac:dyDescent="0.3">
      <c r="A5379" t="str">
        <f t="shared" si="1739"/>
        <v>United States</v>
      </c>
      <c r="B5379" t="str">
        <f t="shared" si="1772"/>
        <v>Warwick</v>
      </c>
      <c r="C5379" t="str">
        <f t="shared" si="1773"/>
        <v>Second Class</v>
      </c>
      <c r="D5379" t="str">
        <f t="shared" si="1774"/>
        <v>Corporate</v>
      </c>
      <c r="E5379" t="s">
        <v>14</v>
      </c>
      <c r="F5379">
        <v>2</v>
      </c>
      <c r="G5379">
        <v>0</v>
      </c>
      <c r="H5379" s="2">
        <v>9.4923999999999964</v>
      </c>
      <c r="I5379" s="2">
        <v>49.96</v>
      </c>
    </row>
    <row r="5380" spans="1:9" x14ac:dyDescent="0.3">
      <c r="A5380" t="str">
        <f t="shared" ref="A5380:A5443" si="1775">A5379</f>
        <v>United States</v>
      </c>
      <c r="B5380" t="s">
        <v>535</v>
      </c>
      <c r="C5380" t="s">
        <v>7</v>
      </c>
      <c r="D5380" t="s">
        <v>17</v>
      </c>
      <c r="E5380" t="s">
        <v>19</v>
      </c>
      <c r="F5380">
        <v>8</v>
      </c>
      <c r="G5380">
        <v>0</v>
      </c>
      <c r="H5380" s="2">
        <v>13.2288</v>
      </c>
      <c r="I5380" s="2">
        <v>33.92</v>
      </c>
    </row>
    <row r="5381" spans="1:9" x14ac:dyDescent="0.3">
      <c r="A5381" t="str">
        <f t="shared" si="1775"/>
        <v>United States</v>
      </c>
      <c r="B5381" t="str">
        <f t="shared" ref="B5381:B5388" si="1776">B5380</f>
        <v>Washington</v>
      </c>
      <c r="C5381" t="str">
        <f t="shared" ref="C5381:C5382" si="1777">C5380</f>
        <v>Second Class</v>
      </c>
      <c r="D5381" t="str">
        <f t="shared" ref="D5381:D5382" si="1778">D5380</f>
        <v>Home Office</v>
      </c>
      <c r="E5381" t="s">
        <v>21</v>
      </c>
      <c r="F5381">
        <v>2</v>
      </c>
      <c r="G5381">
        <v>0</v>
      </c>
      <c r="H5381" s="2">
        <v>15.825600000000001</v>
      </c>
      <c r="I5381" s="2">
        <v>37.68</v>
      </c>
    </row>
    <row r="5382" spans="1:9" x14ac:dyDescent="0.3">
      <c r="A5382" t="str">
        <f t="shared" si="1775"/>
        <v>United States</v>
      </c>
      <c r="B5382" t="str">
        <f t="shared" si="1776"/>
        <v>Washington</v>
      </c>
      <c r="C5382" t="str">
        <f t="shared" si="1777"/>
        <v>Second Class</v>
      </c>
      <c r="D5382" t="str">
        <f t="shared" si="1778"/>
        <v>Home Office</v>
      </c>
      <c r="E5382" t="s">
        <v>16</v>
      </c>
      <c r="F5382">
        <v>6</v>
      </c>
      <c r="G5382">
        <v>0</v>
      </c>
      <c r="H5382" s="2">
        <v>19.238399999999999</v>
      </c>
      <c r="I5382" s="2">
        <v>40.08</v>
      </c>
    </row>
    <row r="5383" spans="1:9" x14ac:dyDescent="0.3">
      <c r="A5383" t="str">
        <f t="shared" si="1775"/>
        <v>United States</v>
      </c>
      <c r="B5383" t="str">
        <f t="shared" si="1776"/>
        <v>Washington</v>
      </c>
      <c r="C5383" t="s">
        <v>22</v>
      </c>
      <c r="D5383" t="s">
        <v>8</v>
      </c>
      <c r="E5383" t="s">
        <v>19</v>
      </c>
      <c r="F5383">
        <v>3</v>
      </c>
      <c r="G5383">
        <v>0</v>
      </c>
      <c r="H5383" s="2">
        <v>8.8686000000000007</v>
      </c>
      <c r="I5383" s="2">
        <v>22.740000000000002</v>
      </c>
    </row>
    <row r="5384" spans="1:9" x14ac:dyDescent="0.3">
      <c r="A5384" t="str">
        <f t="shared" si="1775"/>
        <v>United States</v>
      </c>
      <c r="B5384" t="str">
        <f t="shared" si="1776"/>
        <v>Washington</v>
      </c>
      <c r="C5384" t="str">
        <f t="shared" ref="C5384:C5388" si="1779">C5383</f>
        <v>Standard Class</v>
      </c>
      <c r="D5384" t="str">
        <f t="shared" ref="D5384:D5388" si="1780">D5383</f>
        <v>Consumer</v>
      </c>
      <c r="E5384" t="s">
        <v>20</v>
      </c>
      <c r="F5384">
        <v>2</v>
      </c>
      <c r="G5384">
        <v>0</v>
      </c>
      <c r="H5384" s="2">
        <v>4.4344000000000001</v>
      </c>
      <c r="I5384" s="2">
        <v>9.64</v>
      </c>
    </row>
    <row r="5385" spans="1:9" x14ac:dyDescent="0.3">
      <c r="A5385" t="str">
        <f t="shared" si="1775"/>
        <v>United States</v>
      </c>
      <c r="B5385" t="str">
        <f t="shared" si="1776"/>
        <v>Washington</v>
      </c>
      <c r="C5385" t="str">
        <f t="shared" si="1779"/>
        <v>Standard Class</v>
      </c>
      <c r="D5385" t="str">
        <f t="shared" si="1780"/>
        <v>Consumer</v>
      </c>
      <c r="E5385" t="s">
        <v>33</v>
      </c>
      <c r="F5385">
        <v>3</v>
      </c>
      <c r="G5385">
        <v>0</v>
      </c>
      <c r="H5385" s="2">
        <v>316.88249999999999</v>
      </c>
      <c r="I5385" s="2">
        <v>1267.53</v>
      </c>
    </row>
    <row r="5386" spans="1:9" x14ac:dyDescent="0.3">
      <c r="A5386" t="str">
        <f t="shared" si="1775"/>
        <v>United States</v>
      </c>
      <c r="B5386" t="str">
        <f t="shared" si="1776"/>
        <v>Washington</v>
      </c>
      <c r="C5386" t="str">
        <f t="shared" si="1779"/>
        <v>Standard Class</v>
      </c>
      <c r="D5386" t="str">
        <f t="shared" si="1780"/>
        <v>Consumer</v>
      </c>
      <c r="E5386" t="s">
        <v>21</v>
      </c>
      <c r="F5386">
        <v>3</v>
      </c>
      <c r="G5386">
        <v>0</v>
      </c>
      <c r="H5386" s="2">
        <v>17.375399999999999</v>
      </c>
      <c r="I5386" s="2">
        <v>41.37</v>
      </c>
    </row>
    <row r="5387" spans="1:9" x14ac:dyDescent="0.3">
      <c r="A5387" t="str">
        <f t="shared" si="1775"/>
        <v>United States</v>
      </c>
      <c r="B5387" t="str">
        <f t="shared" si="1776"/>
        <v>Washington</v>
      </c>
      <c r="C5387" t="str">
        <f t="shared" si="1779"/>
        <v>Standard Class</v>
      </c>
      <c r="D5387" t="str">
        <f t="shared" si="1780"/>
        <v>Consumer</v>
      </c>
      <c r="E5387" t="s">
        <v>46</v>
      </c>
      <c r="F5387">
        <v>8</v>
      </c>
      <c r="G5387">
        <v>0</v>
      </c>
      <c r="H5387" s="2">
        <v>648.56240000000003</v>
      </c>
      <c r="I5387" s="2">
        <v>1379.92</v>
      </c>
    </row>
    <row r="5388" spans="1:9" x14ac:dyDescent="0.3">
      <c r="A5388" t="str">
        <f t="shared" si="1775"/>
        <v>United States</v>
      </c>
      <c r="B5388" t="str">
        <f t="shared" si="1776"/>
        <v>Washington</v>
      </c>
      <c r="C5388" t="str">
        <f t="shared" si="1779"/>
        <v>Standard Class</v>
      </c>
      <c r="D5388" t="str">
        <f t="shared" si="1780"/>
        <v>Consumer</v>
      </c>
      <c r="E5388" t="s">
        <v>16</v>
      </c>
      <c r="F5388">
        <v>5</v>
      </c>
      <c r="G5388">
        <v>0</v>
      </c>
      <c r="H5388" s="2">
        <v>15.173200000000001</v>
      </c>
      <c r="I5388" s="2">
        <v>32.14</v>
      </c>
    </row>
    <row r="5389" spans="1:9" x14ac:dyDescent="0.3">
      <c r="A5389" t="str">
        <f t="shared" si="1775"/>
        <v>United States</v>
      </c>
      <c r="B5389" t="s">
        <v>536</v>
      </c>
      <c r="C5389" t="s">
        <v>11</v>
      </c>
      <c r="D5389" t="s">
        <v>8</v>
      </c>
      <c r="E5389" t="s">
        <v>21</v>
      </c>
      <c r="F5389">
        <v>4</v>
      </c>
      <c r="G5389">
        <v>0</v>
      </c>
      <c r="H5389" s="2">
        <v>17.323999999999984</v>
      </c>
      <c r="I5389" s="2">
        <v>173.24</v>
      </c>
    </row>
    <row r="5390" spans="1:9" x14ac:dyDescent="0.3">
      <c r="A5390" t="str">
        <f t="shared" si="1775"/>
        <v>United States</v>
      </c>
      <c r="B5390" t="str">
        <f t="shared" ref="B5390:B5397" si="1781">B5389</f>
        <v>Waterbury</v>
      </c>
      <c r="C5390" t="str">
        <f t="shared" ref="C5390:C5391" si="1782">C5389</f>
        <v>First Class</v>
      </c>
      <c r="D5390" t="str">
        <f t="shared" ref="D5390:D5391" si="1783">D5389</f>
        <v>Consumer</v>
      </c>
      <c r="E5390" t="s">
        <v>43</v>
      </c>
      <c r="F5390">
        <v>2</v>
      </c>
      <c r="G5390">
        <v>0</v>
      </c>
      <c r="H5390" s="2">
        <v>6.8713999999999995</v>
      </c>
      <c r="I5390" s="2">
        <v>14.62</v>
      </c>
    </row>
    <row r="5391" spans="1:9" x14ac:dyDescent="0.3">
      <c r="A5391" t="str">
        <f t="shared" si="1775"/>
        <v>United States</v>
      </c>
      <c r="B5391" t="str">
        <f t="shared" si="1781"/>
        <v>Waterbury</v>
      </c>
      <c r="C5391" t="str">
        <f t="shared" si="1782"/>
        <v>First Class</v>
      </c>
      <c r="D5391" t="str">
        <f t="shared" si="1783"/>
        <v>Consumer</v>
      </c>
      <c r="E5391" t="s">
        <v>9</v>
      </c>
      <c r="F5391">
        <v>7</v>
      </c>
      <c r="G5391">
        <v>0</v>
      </c>
      <c r="H5391" s="2">
        <v>18.899299999999997</v>
      </c>
      <c r="I5391" s="2">
        <v>65.17</v>
      </c>
    </row>
    <row r="5392" spans="1:9" x14ac:dyDescent="0.3">
      <c r="A5392" t="str">
        <f t="shared" si="1775"/>
        <v>United States</v>
      </c>
      <c r="B5392" t="str">
        <f t="shared" si="1781"/>
        <v>Waterbury</v>
      </c>
      <c r="C5392" t="s">
        <v>22</v>
      </c>
      <c r="D5392" t="s">
        <v>8</v>
      </c>
      <c r="E5392" t="s">
        <v>19</v>
      </c>
      <c r="F5392">
        <v>2</v>
      </c>
      <c r="G5392">
        <v>0</v>
      </c>
      <c r="H5392" s="2">
        <v>1.0207999999999999</v>
      </c>
      <c r="I5392" s="2">
        <v>3.52</v>
      </c>
    </row>
    <row r="5393" spans="1:9" x14ac:dyDescent="0.3">
      <c r="A5393" t="str">
        <f t="shared" si="1775"/>
        <v>United States</v>
      </c>
      <c r="B5393" t="str">
        <f t="shared" si="1781"/>
        <v>Waterbury</v>
      </c>
      <c r="C5393" t="str">
        <f t="shared" ref="C5393:C5397" si="1784">C5392</f>
        <v>Standard Class</v>
      </c>
      <c r="D5393" t="s">
        <v>15</v>
      </c>
      <c r="E5393" t="s">
        <v>19</v>
      </c>
      <c r="F5393">
        <v>3</v>
      </c>
      <c r="G5393">
        <v>0</v>
      </c>
      <c r="H5393" s="2">
        <v>2.8535999999999988</v>
      </c>
      <c r="I5393" s="2">
        <v>9.84</v>
      </c>
    </row>
    <row r="5394" spans="1:9" x14ac:dyDescent="0.3">
      <c r="A5394" t="str">
        <f t="shared" si="1775"/>
        <v>United States</v>
      </c>
      <c r="B5394" t="str">
        <f t="shared" si="1781"/>
        <v>Waterbury</v>
      </c>
      <c r="C5394" t="str">
        <f t="shared" si="1784"/>
        <v>Standard Class</v>
      </c>
      <c r="D5394" t="str">
        <f t="shared" ref="D5394:D5395" si="1785">D5393</f>
        <v>Corporate</v>
      </c>
      <c r="E5394" t="s">
        <v>20</v>
      </c>
      <c r="F5394">
        <v>2</v>
      </c>
      <c r="G5394">
        <v>0</v>
      </c>
      <c r="H5394" s="2">
        <v>3.7412000000000001</v>
      </c>
      <c r="I5394" s="2">
        <v>7.96</v>
      </c>
    </row>
    <row r="5395" spans="1:9" x14ac:dyDescent="0.3">
      <c r="A5395" t="str">
        <f t="shared" si="1775"/>
        <v>United States</v>
      </c>
      <c r="B5395" t="str">
        <f t="shared" si="1781"/>
        <v>Waterbury</v>
      </c>
      <c r="C5395" t="str">
        <f t="shared" si="1784"/>
        <v>Standard Class</v>
      </c>
      <c r="D5395" t="str">
        <f t="shared" si="1785"/>
        <v>Corporate</v>
      </c>
      <c r="E5395" t="s">
        <v>24</v>
      </c>
      <c r="F5395">
        <v>3</v>
      </c>
      <c r="G5395">
        <v>0</v>
      </c>
      <c r="H5395" s="2">
        <v>153.08189999999999</v>
      </c>
      <c r="I5395" s="2">
        <v>566.97</v>
      </c>
    </row>
    <row r="5396" spans="1:9" x14ac:dyDescent="0.3">
      <c r="A5396" t="str">
        <f t="shared" si="1775"/>
        <v>United States</v>
      </c>
      <c r="B5396" t="str">
        <f t="shared" si="1781"/>
        <v>Waterbury</v>
      </c>
      <c r="C5396" t="str">
        <f t="shared" si="1784"/>
        <v>Standard Class</v>
      </c>
      <c r="D5396" t="s">
        <v>17</v>
      </c>
      <c r="E5396" t="s">
        <v>23</v>
      </c>
      <c r="F5396">
        <v>3</v>
      </c>
      <c r="G5396">
        <v>0</v>
      </c>
      <c r="H5396" s="2">
        <v>52.792200000000001</v>
      </c>
      <c r="I5396" s="2">
        <v>159.97</v>
      </c>
    </row>
    <row r="5397" spans="1:9" x14ac:dyDescent="0.3">
      <c r="A5397" t="str">
        <f t="shared" si="1775"/>
        <v>United States</v>
      </c>
      <c r="B5397" t="str">
        <f t="shared" si="1781"/>
        <v>Waterbury</v>
      </c>
      <c r="C5397" t="str">
        <f t="shared" si="1784"/>
        <v>Standard Class</v>
      </c>
      <c r="D5397" t="str">
        <f>D5396</f>
        <v>Home Office</v>
      </c>
      <c r="E5397" t="s">
        <v>14</v>
      </c>
      <c r="F5397">
        <v>7</v>
      </c>
      <c r="G5397">
        <v>0</v>
      </c>
      <c r="H5397" s="2">
        <v>82.351100000000002</v>
      </c>
      <c r="I5397" s="2">
        <v>324.77</v>
      </c>
    </row>
    <row r="5398" spans="1:9" x14ac:dyDescent="0.3">
      <c r="A5398" t="str">
        <f t="shared" si="1775"/>
        <v>United States</v>
      </c>
      <c r="B5398" t="s">
        <v>537</v>
      </c>
      <c r="C5398" t="s">
        <v>22</v>
      </c>
      <c r="D5398" t="s">
        <v>8</v>
      </c>
      <c r="E5398" t="s">
        <v>19</v>
      </c>
      <c r="F5398">
        <v>4</v>
      </c>
      <c r="G5398">
        <v>0</v>
      </c>
      <c r="H5398" s="2">
        <v>11.8248</v>
      </c>
      <c r="I5398" s="2">
        <v>30.32</v>
      </c>
    </row>
    <row r="5399" spans="1:9" x14ac:dyDescent="0.3">
      <c r="A5399" t="str">
        <f t="shared" si="1775"/>
        <v>United States</v>
      </c>
      <c r="B5399" t="s">
        <v>538</v>
      </c>
      <c r="C5399" t="s">
        <v>11</v>
      </c>
      <c r="D5399" t="s">
        <v>8</v>
      </c>
      <c r="E5399" t="s">
        <v>12</v>
      </c>
      <c r="F5399">
        <v>1</v>
      </c>
      <c r="G5399">
        <v>0</v>
      </c>
      <c r="H5399" s="2">
        <v>8.9549999999999983</v>
      </c>
      <c r="I5399" s="2">
        <v>19.899999999999999</v>
      </c>
    </row>
    <row r="5400" spans="1:9" x14ac:dyDescent="0.3">
      <c r="A5400" t="str">
        <f t="shared" si="1775"/>
        <v>United States</v>
      </c>
      <c r="B5400" t="str">
        <f t="shared" ref="B5400:B5408" si="1786">B5399</f>
        <v>Watertown</v>
      </c>
      <c r="C5400" t="str">
        <f t="shared" ref="C5400:C5402" si="1787">C5399</f>
        <v>First Class</v>
      </c>
      <c r="D5400" t="str">
        <f>D5399</f>
        <v>Consumer</v>
      </c>
      <c r="E5400" t="s">
        <v>21</v>
      </c>
      <c r="F5400">
        <v>1</v>
      </c>
      <c r="G5400">
        <v>0</v>
      </c>
      <c r="H5400" s="2">
        <v>4.9496999999999929</v>
      </c>
      <c r="I5400" s="2">
        <v>70.709999999999994</v>
      </c>
    </row>
    <row r="5401" spans="1:9" x14ac:dyDescent="0.3">
      <c r="A5401" t="str">
        <f t="shared" si="1775"/>
        <v>United States</v>
      </c>
      <c r="B5401" t="str">
        <f t="shared" si="1786"/>
        <v>Watertown</v>
      </c>
      <c r="C5401" t="str">
        <f t="shared" si="1787"/>
        <v>First Class</v>
      </c>
      <c r="D5401" t="s">
        <v>15</v>
      </c>
      <c r="E5401" t="s">
        <v>20</v>
      </c>
      <c r="F5401">
        <v>5</v>
      </c>
      <c r="G5401">
        <v>0.2</v>
      </c>
      <c r="H5401" s="2">
        <v>302.37299999999993</v>
      </c>
      <c r="I5401" s="2">
        <v>895.92</v>
      </c>
    </row>
    <row r="5402" spans="1:9" x14ac:dyDescent="0.3">
      <c r="A5402" t="str">
        <f t="shared" si="1775"/>
        <v>United States</v>
      </c>
      <c r="B5402" t="str">
        <f t="shared" si="1786"/>
        <v>Watertown</v>
      </c>
      <c r="C5402" t="str">
        <f t="shared" si="1787"/>
        <v>First Class</v>
      </c>
      <c r="D5402" t="str">
        <f>D5401</f>
        <v>Corporate</v>
      </c>
      <c r="E5402" t="s">
        <v>33</v>
      </c>
      <c r="F5402">
        <v>2</v>
      </c>
      <c r="G5402">
        <v>0.1</v>
      </c>
      <c r="H5402" s="2">
        <v>97.652399999999943</v>
      </c>
      <c r="I5402" s="2">
        <v>462.56400000000002</v>
      </c>
    </row>
    <row r="5403" spans="1:9" x14ac:dyDescent="0.3">
      <c r="A5403" t="str">
        <f t="shared" si="1775"/>
        <v>United States</v>
      </c>
      <c r="B5403" t="str">
        <f t="shared" si="1786"/>
        <v>Watertown</v>
      </c>
      <c r="C5403" t="s">
        <v>7</v>
      </c>
      <c r="D5403" t="s">
        <v>15</v>
      </c>
      <c r="E5403" t="s">
        <v>34</v>
      </c>
      <c r="F5403">
        <v>7</v>
      </c>
      <c r="G5403">
        <v>0.2</v>
      </c>
      <c r="H5403" s="2">
        <v>196.68599999999986</v>
      </c>
      <c r="I5403" s="2">
        <v>1573.4880000000001</v>
      </c>
    </row>
    <row r="5404" spans="1:9" x14ac:dyDescent="0.3">
      <c r="A5404" t="str">
        <f t="shared" si="1775"/>
        <v>United States</v>
      </c>
      <c r="B5404" t="str">
        <f t="shared" si="1786"/>
        <v>Watertown</v>
      </c>
      <c r="C5404" t="str">
        <f>C5403</f>
        <v>Second Class</v>
      </c>
      <c r="D5404" t="str">
        <f>D5403</f>
        <v>Corporate</v>
      </c>
      <c r="E5404" t="s">
        <v>14</v>
      </c>
      <c r="F5404">
        <v>6</v>
      </c>
      <c r="G5404">
        <v>0</v>
      </c>
      <c r="H5404" s="2">
        <v>25.053599999999996</v>
      </c>
      <c r="I5404" s="2">
        <v>96.359999999999985</v>
      </c>
    </row>
    <row r="5405" spans="1:9" x14ac:dyDescent="0.3">
      <c r="A5405" t="str">
        <f t="shared" si="1775"/>
        <v>United States</v>
      </c>
      <c r="B5405" t="str">
        <f t="shared" si="1786"/>
        <v>Watertown</v>
      </c>
      <c r="C5405" t="s">
        <v>22</v>
      </c>
      <c r="D5405" t="s">
        <v>8</v>
      </c>
      <c r="E5405" t="s">
        <v>20</v>
      </c>
      <c r="F5405">
        <v>5</v>
      </c>
      <c r="G5405">
        <v>0.2</v>
      </c>
      <c r="H5405" s="2">
        <v>220.98699999999997</v>
      </c>
      <c r="I5405" s="2">
        <v>679.96</v>
      </c>
    </row>
    <row r="5406" spans="1:9" x14ac:dyDescent="0.3">
      <c r="A5406" t="str">
        <f t="shared" si="1775"/>
        <v>United States</v>
      </c>
      <c r="B5406" t="str">
        <f t="shared" si="1786"/>
        <v>Watertown</v>
      </c>
      <c r="C5406" t="str">
        <f t="shared" ref="C5406:C5408" si="1788">C5405</f>
        <v>Standard Class</v>
      </c>
      <c r="D5406" t="str">
        <f>D5405</f>
        <v>Consumer</v>
      </c>
      <c r="E5406" t="s">
        <v>16</v>
      </c>
      <c r="F5406">
        <v>2</v>
      </c>
      <c r="G5406">
        <v>0</v>
      </c>
      <c r="H5406" s="2">
        <v>8.7137999999999991</v>
      </c>
      <c r="I5406" s="2">
        <v>18.54</v>
      </c>
    </row>
    <row r="5407" spans="1:9" x14ac:dyDescent="0.3">
      <c r="A5407" t="str">
        <f t="shared" si="1775"/>
        <v>United States</v>
      </c>
      <c r="B5407" t="str">
        <f t="shared" si="1786"/>
        <v>Watertown</v>
      </c>
      <c r="C5407" t="str">
        <f t="shared" si="1788"/>
        <v>Standard Class</v>
      </c>
      <c r="D5407" t="s">
        <v>15</v>
      </c>
      <c r="E5407" t="s">
        <v>12</v>
      </c>
      <c r="F5407">
        <v>3</v>
      </c>
      <c r="G5407">
        <v>0</v>
      </c>
      <c r="H5407" s="2">
        <v>9.6956999999999987</v>
      </c>
      <c r="I5407" s="2">
        <v>35.910000000000004</v>
      </c>
    </row>
    <row r="5408" spans="1:9" x14ac:dyDescent="0.3">
      <c r="A5408" t="str">
        <f t="shared" si="1775"/>
        <v>United States</v>
      </c>
      <c r="B5408" t="str">
        <f t="shared" si="1786"/>
        <v>Watertown</v>
      </c>
      <c r="C5408" t="str">
        <f t="shared" si="1788"/>
        <v>Standard Class</v>
      </c>
      <c r="D5408" t="s">
        <v>17</v>
      </c>
      <c r="E5408" t="s">
        <v>33</v>
      </c>
      <c r="F5408">
        <v>3</v>
      </c>
      <c r="G5408">
        <v>0.1</v>
      </c>
      <c r="H5408" s="2">
        <v>31.94100000000001</v>
      </c>
      <c r="I5408" s="2">
        <v>191.64600000000002</v>
      </c>
    </row>
    <row r="5409" spans="1:9" x14ac:dyDescent="0.3">
      <c r="A5409" t="str">
        <f t="shared" si="1775"/>
        <v>United States</v>
      </c>
      <c r="B5409" t="s">
        <v>539</v>
      </c>
      <c r="C5409" t="s">
        <v>22</v>
      </c>
      <c r="D5409" t="s">
        <v>8</v>
      </c>
      <c r="E5409" t="s">
        <v>14</v>
      </c>
      <c r="F5409">
        <v>5</v>
      </c>
      <c r="G5409">
        <v>0</v>
      </c>
      <c r="H5409" s="2">
        <v>14.169999999999998</v>
      </c>
      <c r="I5409" s="2">
        <v>54.5</v>
      </c>
    </row>
    <row r="5410" spans="1:9" x14ac:dyDescent="0.3">
      <c r="A5410" t="str">
        <f t="shared" si="1775"/>
        <v>United States</v>
      </c>
      <c r="B5410" t="s">
        <v>540</v>
      </c>
      <c r="C5410" t="s">
        <v>22</v>
      </c>
      <c r="D5410" t="s">
        <v>8</v>
      </c>
      <c r="E5410" t="s">
        <v>12</v>
      </c>
      <c r="F5410">
        <v>6</v>
      </c>
      <c r="G5410">
        <v>0</v>
      </c>
      <c r="H5410" s="2">
        <v>68.846399999999988</v>
      </c>
      <c r="I5410" s="2">
        <v>245.88</v>
      </c>
    </row>
    <row r="5411" spans="1:9" x14ac:dyDescent="0.3">
      <c r="A5411" t="str">
        <f t="shared" si="1775"/>
        <v>United States</v>
      </c>
      <c r="B5411" t="str">
        <f t="shared" ref="B5411:B5412" si="1789">B5410</f>
        <v>Wausau</v>
      </c>
      <c r="C5411" t="str">
        <f t="shared" ref="C5411:C5412" si="1790">C5410</f>
        <v>Standard Class</v>
      </c>
      <c r="D5411" t="str">
        <f t="shared" ref="D5411:D5412" si="1791">D5410</f>
        <v>Consumer</v>
      </c>
      <c r="E5411" t="s">
        <v>20</v>
      </c>
      <c r="F5411">
        <v>3</v>
      </c>
      <c r="G5411">
        <v>0</v>
      </c>
      <c r="H5411" s="2">
        <v>5.8232999999999997</v>
      </c>
      <c r="I5411" s="2">
        <v>12.39</v>
      </c>
    </row>
    <row r="5412" spans="1:9" x14ac:dyDescent="0.3">
      <c r="A5412" t="str">
        <f t="shared" si="1775"/>
        <v>United States</v>
      </c>
      <c r="B5412" t="str">
        <f t="shared" si="1789"/>
        <v>Wausau</v>
      </c>
      <c r="C5412" t="str">
        <f t="shared" si="1790"/>
        <v>Standard Class</v>
      </c>
      <c r="D5412" t="str">
        <f t="shared" si="1791"/>
        <v>Consumer</v>
      </c>
      <c r="E5412" t="s">
        <v>14</v>
      </c>
      <c r="F5412">
        <v>5</v>
      </c>
      <c r="G5412">
        <v>0</v>
      </c>
      <c r="H5412" s="2">
        <v>15.760900000000003</v>
      </c>
      <c r="I5412" s="2">
        <v>59.21</v>
      </c>
    </row>
    <row r="5413" spans="1:9" x14ac:dyDescent="0.3">
      <c r="A5413" t="str">
        <f t="shared" si="1775"/>
        <v>United States</v>
      </c>
      <c r="B5413" t="s">
        <v>541</v>
      </c>
      <c r="C5413" t="s">
        <v>11</v>
      </c>
      <c r="D5413" t="s">
        <v>8</v>
      </c>
      <c r="E5413" t="s">
        <v>20</v>
      </c>
      <c r="F5413">
        <v>1</v>
      </c>
      <c r="G5413">
        <v>0</v>
      </c>
      <c r="H5413" s="2">
        <v>4.57</v>
      </c>
      <c r="I5413" s="2">
        <v>9.14</v>
      </c>
    </row>
    <row r="5414" spans="1:9" x14ac:dyDescent="0.3">
      <c r="A5414" t="str">
        <f t="shared" si="1775"/>
        <v>United States</v>
      </c>
      <c r="B5414" t="str">
        <f t="shared" ref="B5414:B5422" si="1792">B5413</f>
        <v>Waynesboro</v>
      </c>
      <c r="C5414" t="str">
        <f t="shared" ref="C5414:C5416" si="1793">C5413</f>
        <v>First Class</v>
      </c>
      <c r="D5414" t="str">
        <f t="shared" ref="D5414:D5416" si="1794">D5413</f>
        <v>Consumer</v>
      </c>
      <c r="E5414" t="s">
        <v>34</v>
      </c>
      <c r="F5414">
        <v>9</v>
      </c>
      <c r="G5414">
        <v>0</v>
      </c>
      <c r="H5414" s="2">
        <v>125.58240000000001</v>
      </c>
      <c r="I5414" s="2">
        <v>523.26</v>
      </c>
    </row>
    <row r="5415" spans="1:9" x14ac:dyDescent="0.3">
      <c r="A5415" t="str">
        <f t="shared" si="1775"/>
        <v>United States</v>
      </c>
      <c r="B5415" t="str">
        <f t="shared" si="1792"/>
        <v>Waynesboro</v>
      </c>
      <c r="C5415" t="str">
        <f t="shared" si="1793"/>
        <v>First Class</v>
      </c>
      <c r="D5415" t="str">
        <f t="shared" si="1794"/>
        <v>Consumer</v>
      </c>
      <c r="E5415" t="s">
        <v>21</v>
      </c>
      <c r="F5415">
        <v>7</v>
      </c>
      <c r="G5415">
        <v>0</v>
      </c>
      <c r="H5415" s="2">
        <v>119.68599999999989</v>
      </c>
      <c r="I5415" s="2">
        <v>1196.8599999999999</v>
      </c>
    </row>
    <row r="5416" spans="1:9" x14ac:dyDescent="0.3">
      <c r="A5416" t="str">
        <f t="shared" si="1775"/>
        <v>United States</v>
      </c>
      <c r="B5416" t="str">
        <f t="shared" si="1792"/>
        <v>Waynesboro</v>
      </c>
      <c r="C5416" t="str">
        <f t="shared" si="1793"/>
        <v>First Class</v>
      </c>
      <c r="D5416" t="str">
        <f t="shared" si="1794"/>
        <v>Consumer</v>
      </c>
      <c r="E5416" t="s">
        <v>24</v>
      </c>
      <c r="F5416">
        <v>2</v>
      </c>
      <c r="G5416">
        <v>0</v>
      </c>
      <c r="H5416" s="2">
        <v>148.10640000000001</v>
      </c>
      <c r="I5416" s="2">
        <v>569.64</v>
      </c>
    </row>
    <row r="5417" spans="1:9" x14ac:dyDescent="0.3">
      <c r="A5417" t="str">
        <f t="shared" si="1775"/>
        <v>United States</v>
      </c>
      <c r="B5417" t="str">
        <f t="shared" si="1792"/>
        <v>Waynesboro</v>
      </c>
      <c r="C5417" t="s">
        <v>7</v>
      </c>
      <c r="D5417" t="s">
        <v>8</v>
      </c>
      <c r="E5417" t="s">
        <v>21</v>
      </c>
      <c r="F5417">
        <v>1</v>
      </c>
      <c r="G5417">
        <v>0</v>
      </c>
      <c r="H5417" s="2">
        <v>14.561400000000006</v>
      </c>
      <c r="I5417" s="2">
        <v>104.01</v>
      </c>
    </row>
    <row r="5418" spans="1:9" x14ac:dyDescent="0.3">
      <c r="A5418" t="str">
        <f t="shared" si="1775"/>
        <v>United States</v>
      </c>
      <c r="B5418" t="str">
        <f t="shared" si="1792"/>
        <v>Waynesboro</v>
      </c>
      <c r="C5418" t="str">
        <f t="shared" ref="C5418:C5419" si="1795">C5417</f>
        <v>Second Class</v>
      </c>
      <c r="D5418" t="str">
        <f t="shared" ref="D5418:D5419" si="1796">D5417</f>
        <v>Consumer</v>
      </c>
      <c r="E5418" t="s">
        <v>24</v>
      </c>
      <c r="F5418">
        <v>1</v>
      </c>
      <c r="G5418">
        <v>0</v>
      </c>
      <c r="H5418" s="2">
        <v>74.053200000000004</v>
      </c>
      <c r="I5418" s="2">
        <v>284.82</v>
      </c>
    </row>
    <row r="5419" spans="1:9" x14ac:dyDescent="0.3">
      <c r="A5419" t="str">
        <f t="shared" si="1775"/>
        <v>United States</v>
      </c>
      <c r="B5419" t="str">
        <f t="shared" si="1792"/>
        <v>Waynesboro</v>
      </c>
      <c r="C5419" t="str">
        <f t="shared" si="1795"/>
        <v>Second Class</v>
      </c>
      <c r="D5419" t="str">
        <f t="shared" si="1796"/>
        <v>Consumer</v>
      </c>
      <c r="E5419" t="s">
        <v>14</v>
      </c>
      <c r="F5419">
        <v>3</v>
      </c>
      <c r="G5419">
        <v>0</v>
      </c>
      <c r="H5419" s="2">
        <v>10.315199999999999</v>
      </c>
      <c r="I5419" s="2">
        <v>36.839999999999996</v>
      </c>
    </row>
    <row r="5420" spans="1:9" x14ac:dyDescent="0.3">
      <c r="A5420" t="str">
        <f t="shared" si="1775"/>
        <v>United States</v>
      </c>
      <c r="B5420" t="str">
        <f t="shared" si="1792"/>
        <v>Waynesboro</v>
      </c>
      <c r="C5420" t="s">
        <v>22</v>
      </c>
      <c r="D5420" t="s">
        <v>17</v>
      </c>
      <c r="E5420" t="s">
        <v>12</v>
      </c>
      <c r="F5420">
        <v>2</v>
      </c>
      <c r="G5420">
        <v>0</v>
      </c>
      <c r="H5420" s="2">
        <v>44.889600000000002</v>
      </c>
      <c r="I5420" s="2">
        <v>160.32</v>
      </c>
    </row>
    <row r="5421" spans="1:9" x14ac:dyDescent="0.3">
      <c r="A5421" t="str">
        <f t="shared" si="1775"/>
        <v>United States</v>
      </c>
      <c r="B5421" t="str">
        <f t="shared" si="1792"/>
        <v>Waynesboro</v>
      </c>
      <c r="C5421" t="str">
        <f t="shared" ref="C5421:C5422" si="1797">C5420</f>
        <v>Standard Class</v>
      </c>
      <c r="D5421" t="str">
        <f t="shared" ref="D5421:D5422" si="1798">D5420</f>
        <v>Home Office</v>
      </c>
      <c r="E5421" t="s">
        <v>20</v>
      </c>
      <c r="F5421">
        <v>4</v>
      </c>
      <c r="G5421">
        <v>0</v>
      </c>
      <c r="H5421" s="2">
        <v>20.7</v>
      </c>
      <c r="I5421" s="2">
        <v>46</v>
      </c>
    </row>
    <row r="5422" spans="1:9" x14ac:dyDescent="0.3">
      <c r="A5422" t="str">
        <f t="shared" si="1775"/>
        <v>United States</v>
      </c>
      <c r="B5422" t="str">
        <f t="shared" si="1792"/>
        <v>Waynesboro</v>
      </c>
      <c r="C5422" t="str">
        <f t="shared" si="1797"/>
        <v>Standard Class</v>
      </c>
      <c r="D5422" t="str">
        <f t="shared" si="1798"/>
        <v>Home Office</v>
      </c>
      <c r="E5422" t="s">
        <v>21</v>
      </c>
      <c r="F5422">
        <v>2</v>
      </c>
      <c r="G5422">
        <v>0</v>
      </c>
      <c r="H5422" s="2">
        <v>40.921599999999998</v>
      </c>
      <c r="I5422" s="2">
        <v>127.88</v>
      </c>
    </row>
    <row r="5423" spans="1:9" x14ac:dyDescent="0.3">
      <c r="A5423" t="str">
        <f t="shared" si="1775"/>
        <v>United States</v>
      </c>
      <c r="B5423" t="s">
        <v>542</v>
      </c>
      <c r="C5423" t="s">
        <v>7</v>
      </c>
      <c r="D5423" t="s">
        <v>15</v>
      </c>
      <c r="E5423" t="s">
        <v>20</v>
      </c>
      <c r="F5423">
        <v>3</v>
      </c>
      <c r="G5423">
        <v>0</v>
      </c>
      <c r="H5423" s="2">
        <v>4.1747999999999994</v>
      </c>
      <c r="I5423" s="2">
        <v>8.52</v>
      </c>
    </row>
    <row r="5424" spans="1:9" x14ac:dyDescent="0.3">
      <c r="A5424" t="str">
        <f t="shared" si="1775"/>
        <v>United States</v>
      </c>
      <c r="B5424" t="str">
        <f>B5423</f>
        <v>West Allis</v>
      </c>
      <c r="C5424" t="str">
        <f>C5423</f>
        <v>Second Class</v>
      </c>
      <c r="D5424" t="str">
        <f>D5423</f>
        <v>Corporate</v>
      </c>
      <c r="E5424" t="s">
        <v>34</v>
      </c>
      <c r="F5424">
        <v>2</v>
      </c>
      <c r="G5424">
        <v>0</v>
      </c>
      <c r="H5424" s="2">
        <v>24.195999999999998</v>
      </c>
      <c r="I5424" s="2">
        <v>241.96</v>
      </c>
    </row>
    <row r="5425" spans="1:9" x14ac:dyDescent="0.3">
      <c r="A5425" t="str">
        <f t="shared" si="1775"/>
        <v>United States</v>
      </c>
      <c r="B5425" t="s">
        <v>543</v>
      </c>
      <c r="C5425" t="s">
        <v>7</v>
      </c>
      <c r="D5425" t="s">
        <v>8</v>
      </c>
      <c r="E5425" t="s">
        <v>14</v>
      </c>
      <c r="F5425">
        <v>2</v>
      </c>
      <c r="G5425">
        <v>0</v>
      </c>
      <c r="H5425" s="2">
        <v>9.9899999999999949</v>
      </c>
      <c r="I5425" s="2">
        <v>55.5</v>
      </c>
    </row>
    <row r="5426" spans="1:9" x14ac:dyDescent="0.3">
      <c r="A5426" t="str">
        <f t="shared" si="1775"/>
        <v>United States</v>
      </c>
      <c r="B5426" t="str">
        <f t="shared" ref="B5426:B5429" si="1799">B5425</f>
        <v>West Jordan</v>
      </c>
      <c r="C5426" t="s">
        <v>22</v>
      </c>
      <c r="D5426" t="s">
        <v>8</v>
      </c>
      <c r="E5426" t="s">
        <v>20</v>
      </c>
      <c r="F5426">
        <v>5</v>
      </c>
      <c r="G5426">
        <v>0.2</v>
      </c>
      <c r="H5426" s="2">
        <v>28.65</v>
      </c>
      <c r="I5426" s="2">
        <v>91.68</v>
      </c>
    </row>
    <row r="5427" spans="1:9" x14ac:dyDescent="0.3">
      <c r="A5427" t="str">
        <f t="shared" si="1775"/>
        <v>United States</v>
      </c>
      <c r="B5427" t="str">
        <f t="shared" si="1799"/>
        <v>West Jordan</v>
      </c>
      <c r="C5427" t="str">
        <f t="shared" ref="C5427:C5429" si="1800">C5426</f>
        <v>Standard Class</v>
      </c>
      <c r="D5427" t="str">
        <f t="shared" ref="D5427:D5429" si="1801">D5426</f>
        <v>Consumer</v>
      </c>
      <c r="E5427" t="s">
        <v>18</v>
      </c>
      <c r="F5427">
        <v>3</v>
      </c>
      <c r="G5427">
        <v>0</v>
      </c>
      <c r="H5427" s="2">
        <v>0.20159999999999978</v>
      </c>
      <c r="I5427" s="2">
        <v>5.04</v>
      </c>
    </row>
    <row r="5428" spans="1:9" x14ac:dyDescent="0.3">
      <c r="A5428" t="str">
        <f t="shared" si="1775"/>
        <v>United States</v>
      </c>
      <c r="B5428" t="str">
        <f t="shared" si="1799"/>
        <v>West Jordan</v>
      </c>
      <c r="C5428" t="str">
        <f t="shared" si="1800"/>
        <v>Standard Class</v>
      </c>
      <c r="D5428" t="str">
        <f t="shared" si="1801"/>
        <v>Consumer</v>
      </c>
      <c r="E5428" t="s">
        <v>21</v>
      </c>
      <c r="F5428">
        <v>3</v>
      </c>
      <c r="G5428">
        <v>0</v>
      </c>
      <c r="H5428" s="2">
        <v>22.007699999999996</v>
      </c>
      <c r="I5428" s="2">
        <v>66.69</v>
      </c>
    </row>
    <row r="5429" spans="1:9" x14ac:dyDescent="0.3">
      <c r="A5429" t="str">
        <f t="shared" si="1775"/>
        <v>United States</v>
      </c>
      <c r="B5429" t="str">
        <f t="shared" si="1799"/>
        <v>West Jordan</v>
      </c>
      <c r="C5429" t="str">
        <f t="shared" si="1800"/>
        <v>Standard Class</v>
      </c>
      <c r="D5429" t="str">
        <f t="shared" si="1801"/>
        <v>Consumer</v>
      </c>
      <c r="E5429" t="s">
        <v>16</v>
      </c>
      <c r="F5429">
        <v>3</v>
      </c>
      <c r="G5429">
        <v>0</v>
      </c>
      <c r="H5429" s="2">
        <v>41.822999999999993</v>
      </c>
      <c r="I5429" s="2">
        <v>92.94</v>
      </c>
    </row>
    <row r="5430" spans="1:9" x14ac:dyDescent="0.3">
      <c r="A5430" t="str">
        <f t="shared" si="1775"/>
        <v>United States</v>
      </c>
      <c r="B5430" t="s">
        <v>544</v>
      </c>
      <c r="C5430" t="s">
        <v>22</v>
      </c>
      <c r="D5430" t="s">
        <v>8</v>
      </c>
      <c r="E5430" t="s">
        <v>16</v>
      </c>
      <c r="F5430">
        <v>4</v>
      </c>
      <c r="G5430">
        <v>0.2</v>
      </c>
      <c r="H5430" s="2">
        <v>25.278400000000001</v>
      </c>
      <c r="I5430" s="2">
        <v>72.224000000000004</v>
      </c>
    </row>
    <row r="5431" spans="1:9" x14ac:dyDescent="0.3">
      <c r="A5431" t="str">
        <f t="shared" si="1775"/>
        <v>United States</v>
      </c>
      <c r="B5431" t="str">
        <f t="shared" ref="B5431:B5432" si="1802">B5430</f>
        <v>West Palm Beach</v>
      </c>
      <c r="C5431" t="str">
        <f t="shared" ref="C5431:C5432" si="1803">C5430</f>
        <v>Standard Class</v>
      </c>
      <c r="D5431" t="str">
        <f>D5430</f>
        <v>Consumer</v>
      </c>
      <c r="E5431" t="s">
        <v>24</v>
      </c>
      <c r="F5431">
        <v>2</v>
      </c>
      <c r="G5431">
        <v>0.2</v>
      </c>
      <c r="H5431" s="2">
        <v>4.1987999999999985</v>
      </c>
      <c r="I5431" s="2">
        <v>55.984000000000009</v>
      </c>
    </row>
    <row r="5432" spans="1:9" x14ac:dyDescent="0.3">
      <c r="A5432" t="str">
        <f t="shared" si="1775"/>
        <v>United States</v>
      </c>
      <c r="B5432" t="str">
        <f t="shared" si="1802"/>
        <v>West Palm Beach</v>
      </c>
      <c r="C5432" t="str">
        <f t="shared" si="1803"/>
        <v>Standard Class</v>
      </c>
      <c r="D5432" t="s">
        <v>17</v>
      </c>
      <c r="E5432" t="s">
        <v>19</v>
      </c>
      <c r="F5432">
        <v>5</v>
      </c>
      <c r="G5432">
        <v>0.2</v>
      </c>
      <c r="H5432" s="2">
        <v>2.1319999999999988</v>
      </c>
      <c r="I5432" s="2">
        <v>13.120000000000001</v>
      </c>
    </row>
    <row r="5433" spans="1:9" x14ac:dyDescent="0.3">
      <c r="A5433" t="str">
        <f t="shared" si="1775"/>
        <v>United States</v>
      </c>
      <c r="B5433" t="s">
        <v>545</v>
      </c>
      <c r="C5433" t="s">
        <v>22</v>
      </c>
      <c r="D5433" t="s">
        <v>15</v>
      </c>
      <c r="E5433" t="s">
        <v>21</v>
      </c>
      <c r="F5433">
        <v>6</v>
      </c>
      <c r="G5433">
        <v>0</v>
      </c>
      <c r="H5433" s="2">
        <v>23.407799999999988</v>
      </c>
      <c r="I5433" s="2">
        <v>161.49</v>
      </c>
    </row>
    <row r="5434" spans="1:9" x14ac:dyDescent="0.3">
      <c r="A5434" t="str">
        <f t="shared" si="1775"/>
        <v>United States</v>
      </c>
      <c r="B5434" t="str">
        <f t="shared" ref="B5434:B5437" si="1804">B5433</f>
        <v>Westfield</v>
      </c>
      <c r="C5434" t="str">
        <f t="shared" ref="C5434:C5437" si="1805">C5433</f>
        <v>Standard Class</v>
      </c>
      <c r="D5434" t="s">
        <v>17</v>
      </c>
      <c r="E5434" t="s">
        <v>23</v>
      </c>
      <c r="F5434">
        <v>3</v>
      </c>
      <c r="G5434">
        <v>0</v>
      </c>
      <c r="H5434" s="2">
        <v>91.789199999999994</v>
      </c>
      <c r="I5434" s="2">
        <v>254.96999999999997</v>
      </c>
    </row>
    <row r="5435" spans="1:9" x14ac:dyDescent="0.3">
      <c r="A5435" t="str">
        <f t="shared" si="1775"/>
        <v>United States</v>
      </c>
      <c r="B5435" t="str">
        <f t="shared" si="1804"/>
        <v>Westfield</v>
      </c>
      <c r="C5435" t="str">
        <f t="shared" si="1805"/>
        <v>Standard Class</v>
      </c>
      <c r="D5435" t="str">
        <f t="shared" ref="D5435:D5437" si="1806">D5434</f>
        <v>Home Office</v>
      </c>
      <c r="E5435" t="s">
        <v>19</v>
      </c>
      <c r="F5435">
        <v>2</v>
      </c>
      <c r="G5435">
        <v>0</v>
      </c>
      <c r="H5435" s="2">
        <v>1.3513999999999995</v>
      </c>
      <c r="I5435" s="2">
        <v>4.66</v>
      </c>
    </row>
    <row r="5436" spans="1:9" x14ac:dyDescent="0.3">
      <c r="A5436" t="str">
        <f t="shared" si="1775"/>
        <v>United States</v>
      </c>
      <c r="B5436" t="str">
        <f t="shared" si="1804"/>
        <v>Westfield</v>
      </c>
      <c r="C5436" t="str">
        <f t="shared" si="1805"/>
        <v>Standard Class</v>
      </c>
      <c r="D5436" t="str">
        <f t="shared" si="1806"/>
        <v>Home Office</v>
      </c>
      <c r="E5436" t="s">
        <v>38</v>
      </c>
      <c r="F5436">
        <v>2</v>
      </c>
      <c r="G5436">
        <v>0</v>
      </c>
      <c r="H5436" s="2">
        <v>24.599800000000002</v>
      </c>
      <c r="I5436" s="2">
        <v>52.34</v>
      </c>
    </row>
    <row r="5437" spans="1:9" x14ac:dyDescent="0.3">
      <c r="A5437" t="str">
        <f t="shared" si="1775"/>
        <v>United States</v>
      </c>
      <c r="B5437" t="str">
        <f t="shared" si="1804"/>
        <v>Westfield</v>
      </c>
      <c r="C5437" t="str">
        <f t="shared" si="1805"/>
        <v>Standard Class</v>
      </c>
      <c r="D5437" t="str">
        <f t="shared" si="1806"/>
        <v>Home Office</v>
      </c>
      <c r="E5437" t="s">
        <v>14</v>
      </c>
      <c r="F5437">
        <v>3</v>
      </c>
      <c r="G5437">
        <v>0</v>
      </c>
      <c r="H5437" s="2">
        <v>12.0276</v>
      </c>
      <c r="I5437" s="2">
        <v>46.26</v>
      </c>
    </row>
    <row r="5438" spans="1:9" x14ac:dyDescent="0.3">
      <c r="A5438" t="str">
        <f t="shared" si="1775"/>
        <v>United States</v>
      </c>
      <c r="B5438" t="s">
        <v>546</v>
      </c>
      <c r="C5438" t="s">
        <v>7</v>
      </c>
      <c r="D5438" t="s">
        <v>8</v>
      </c>
      <c r="E5438" t="s">
        <v>14</v>
      </c>
      <c r="F5438">
        <v>4</v>
      </c>
      <c r="G5438">
        <v>0</v>
      </c>
      <c r="H5438" s="2">
        <v>8.4783999999999935</v>
      </c>
      <c r="I5438" s="2">
        <v>211.96</v>
      </c>
    </row>
    <row r="5439" spans="1:9" x14ac:dyDescent="0.3">
      <c r="A5439" t="str">
        <f t="shared" si="1775"/>
        <v>United States</v>
      </c>
      <c r="B5439" t="str">
        <f t="shared" ref="B5439:B5445" si="1807">B5438</f>
        <v>Westland</v>
      </c>
      <c r="C5439" t="s">
        <v>22</v>
      </c>
      <c r="D5439" t="s">
        <v>8</v>
      </c>
      <c r="E5439" t="s">
        <v>23</v>
      </c>
      <c r="F5439">
        <v>1</v>
      </c>
      <c r="G5439">
        <v>0</v>
      </c>
      <c r="H5439" s="2">
        <v>36.283500000000004</v>
      </c>
      <c r="I5439" s="2">
        <v>109.95</v>
      </c>
    </row>
    <row r="5440" spans="1:9" x14ac:dyDescent="0.3">
      <c r="A5440" t="str">
        <f t="shared" si="1775"/>
        <v>United States</v>
      </c>
      <c r="B5440" t="str">
        <f t="shared" si="1807"/>
        <v>Westland</v>
      </c>
      <c r="C5440" t="str">
        <f t="shared" ref="C5440:C5445" si="1808">C5439</f>
        <v>Standard Class</v>
      </c>
      <c r="D5440" t="str">
        <f t="shared" ref="D5440:D5445" si="1809">D5439</f>
        <v>Consumer</v>
      </c>
      <c r="E5440" t="s">
        <v>12</v>
      </c>
      <c r="F5440">
        <v>4</v>
      </c>
      <c r="G5440">
        <v>0.1</v>
      </c>
      <c r="H5440" s="2">
        <v>93.581600000000009</v>
      </c>
      <c r="I5440" s="2">
        <v>247.71600000000001</v>
      </c>
    </row>
    <row r="5441" spans="1:9" x14ac:dyDescent="0.3">
      <c r="A5441" t="str">
        <f t="shared" si="1775"/>
        <v>United States</v>
      </c>
      <c r="B5441" t="str">
        <f t="shared" si="1807"/>
        <v>Westland</v>
      </c>
      <c r="C5441" t="str">
        <f t="shared" si="1808"/>
        <v>Standard Class</v>
      </c>
      <c r="D5441" t="str">
        <f t="shared" si="1809"/>
        <v>Consumer</v>
      </c>
      <c r="E5441" t="s">
        <v>19</v>
      </c>
      <c r="F5441">
        <v>8</v>
      </c>
      <c r="G5441">
        <v>0</v>
      </c>
      <c r="H5441" s="2">
        <v>23.248799999999996</v>
      </c>
      <c r="I5441" s="2">
        <v>73.12</v>
      </c>
    </row>
    <row r="5442" spans="1:9" x14ac:dyDescent="0.3">
      <c r="A5442" t="str">
        <f t="shared" si="1775"/>
        <v>United States</v>
      </c>
      <c r="B5442" t="str">
        <f t="shared" si="1807"/>
        <v>Westland</v>
      </c>
      <c r="C5442" t="str">
        <f t="shared" si="1808"/>
        <v>Standard Class</v>
      </c>
      <c r="D5442" t="str">
        <f t="shared" si="1809"/>
        <v>Consumer</v>
      </c>
      <c r="E5442" t="s">
        <v>20</v>
      </c>
      <c r="F5442">
        <v>10</v>
      </c>
      <c r="G5442">
        <v>0</v>
      </c>
      <c r="H5442" s="2">
        <v>22.3185</v>
      </c>
      <c r="I5442" s="2">
        <v>48.75</v>
      </c>
    </row>
    <row r="5443" spans="1:9" x14ac:dyDescent="0.3">
      <c r="A5443" t="str">
        <f t="shared" si="1775"/>
        <v>United States</v>
      </c>
      <c r="B5443" t="str">
        <f t="shared" si="1807"/>
        <v>Westland</v>
      </c>
      <c r="C5443" t="str">
        <f t="shared" si="1808"/>
        <v>Standard Class</v>
      </c>
      <c r="D5443" t="str">
        <f t="shared" si="1809"/>
        <v>Consumer</v>
      </c>
      <c r="E5443" t="s">
        <v>21</v>
      </c>
      <c r="F5443">
        <v>6</v>
      </c>
      <c r="G5443">
        <v>0</v>
      </c>
      <c r="H5443" s="2">
        <v>34.88430000000001</v>
      </c>
      <c r="I5443" s="2">
        <v>287.67</v>
      </c>
    </row>
    <row r="5444" spans="1:9" x14ac:dyDescent="0.3">
      <c r="A5444" t="str">
        <f t="shared" ref="A5444:A5507" si="1810">A5443</f>
        <v>United States</v>
      </c>
      <c r="B5444" t="str">
        <f t="shared" si="1807"/>
        <v>Westland</v>
      </c>
      <c r="C5444" t="str">
        <f t="shared" si="1808"/>
        <v>Standard Class</v>
      </c>
      <c r="D5444" t="str">
        <f t="shared" si="1809"/>
        <v>Consumer</v>
      </c>
      <c r="E5444" t="s">
        <v>16</v>
      </c>
      <c r="F5444">
        <v>5</v>
      </c>
      <c r="G5444">
        <v>0</v>
      </c>
      <c r="H5444" s="2">
        <v>15.552000000000001</v>
      </c>
      <c r="I5444" s="2">
        <v>32.400000000000006</v>
      </c>
    </row>
    <row r="5445" spans="1:9" x14ac:dyDescent="0.3">
      <c r="A5445" t="str">
        <f t="shared" si="1810"/>
        <v>United States</v>
      </c>
      <c r="B5445" t="str">
        <f t="shared" si="1807"/>
        <v>Westland</v>
      </c>
      <c r="C5445" t="str">
        <f t="shared" si="1808"/>
        <v>Standard Class</v>
      </c>
      <c r="D5445" t="str">
        <f t="shared" si="1809"/>
        <v>Consumer</v>
      </c>
      <c r="E5445" t="s">
        <v>14</v>
      </c>
      <c r="F5445">
        <v>8</v>
      </c>
      <c r="G5445">
        <v>0</v>
      </c>
      <c r="H5445" s="2">
        <v>155.25240000000002</v>
      </c>
      <c r="I5445" s="2">
        <v>1046.4099999999999</v>
      </c>
    </row>
    <row r="5446" spans="1:9" x14ac:dyDescent="0.3">
      <c r="A5446" t="str">
        <f t="shared" si="1810"/>
        <v>United States</v>
      </c>
      <c r="B5446" t="s">
        <v>547</v>
      </c>
      <c r="C5446" t="s">
        <v>11</v>
      </c>
      <c r="D5446" t="s">
        <v>8</v>
      </c>
      <c r="E5446" t="s">
        <v>24</v>
      </c>
      <c r="F5446">
        <v>4</v>
      </c>
      <c r="G5446">
        <v>0.2</v>
      </c>
      <c r="H5446" s="2">
        <v>2.3976000000000006</v>
      </c>
      <c r="I5446" s="2">
        <v>31.968000000000004</v>
      </c>
    </row>
    <row r="5447" spans="1:9" x14ac:dyDescent="0.3">
      <c r="A5447" t="str">
        <f t="shared" si="1810"/>
        <v>United States</v>
      </c>
      <c r="B5447" t="str">
        <f t="shared" ref="B5447:B5456" si="1811">B5446</f>
        <v>Westminster</v>
      </c>
      <c r="C5447" t="s">
        <v>7</v>
      </c>
      <c r="D5447" t="s">
        <v>8</v>
      </c>
      <c r="E5447" t="s">
        <v>12</v>
      </c>
      <c r="F5447">
        <v>2</v>
      </c>
      <c r="G5447">
        <v>0</v>
      </c>
      <c r="H5447" s="2">
        <v>72.947999999999979</v>
      </c>
      <c r="I5447" s="2">
        <v>243.16</v>
      </c>
    </row>
    <row r="5448" spans="1:9" x14ac:dyDescent="0.3">
      <c r="A5448" t="str">
        <f t="shared" si="1810"/>
        <v>United States</v>
      </c>
      <c r="B5448" t="str">
        <f t="shared" si="1811"/>
        <v>Westminster</v>
      </c>
      <c r="C5448" t="s">
        <v>22</v>
      </c>
      <c r="D5448" t="s">
        <v>8</v>
      </c>
      <c r="E5448" t="s">
        <v>23</v>
      </c>
      <c r="F5448">
        <v>7</v>
      </c>
      <c r="G5448">
        <v>0</v>
      </c>
      <c r="H5448" s="2">
        <v>27.542200000000008</v>
      </c>
      <c r="I5448" s="2">
        <v>196.73</v>
      </c>
    </row>
    <row r="5449" spans="1:9" x14ac:dyDescent="0.3">
      <c r="A5449" t="str">
        <f t="shared" si="1810"/>
        <v>United States</v>
      </c>
      <c r="B5449" t="str">
        <f t="shared" si="1811"/>
        <v>Westminster</v>
      </c>
      <c r="C5449" t="str">
        <f t="shared" ref="C5449:C5456" si="1812">C5448</f>
        <v>Standard Class</v>
      </c>
      <c r="D5449" t="str">
        <f t="shared" ref="D5449:D5456" si="1813">D5448</f>
        <v>Consumer</v>
      </c>
      <c r="E5449" t="s">
        <v>12</v>
      </c>
      <c r="F5449">
        <v>5</v>
      </c>
      <c r="G5449">
        <v>0</v>
      </c>
      <c r="H5449" s="2">
        <v>412.46800000000007</v>
      </c>
      <c r="I5449" s="2">
        <v>1473.1</v>
      </c>
    </row>
    <row r="5450" spans="1:9" x14ac:dyDescent="0.3">
      <c r="A5450" t="str">
        <f t="shared" si="1810"/>
        <v>United States</v>
      </c>
      <c r="B5450" t="str">
        <f t="shared" si="1811"/>
        <v>Westminster</v>
      </c>
      <c r="C5450" t="str">
        <f t="shared" si="1812"/>
        <v>Standard Class</v>
      </c>
      <c r="D5450" t="str">
        <f t="shared" si="1813"/>
        <v>Consumer</v>
      </c>
      <c r="E5450" t="s">
        <v>19</v>
      </c>
      <c r="F5450">
        <v>4</v>
      </c>
      <c r="G5450">
        <v>0</v>
      </c>
      <c r="H5450" s="2">
        <v>20.856799999999993</v>
      </c>
      <c r="I5450" s="2">
        <v>71.92</v>
      </c>
    </row>
    <row r="5451" spans="1:9" x14ac:dyDescent="0.3">
      <c r="A5451" t="str">
        <f t="shared" si="1810"/>
        <v>United States</v>
      </c>
      <c r="B5451" t="str">
        <f t="shared" si="1811"/>
        <v>Westminster</v>
      </c>
      <c r="C5451" t="str">
        <f t="shared" si="1812"/>
        <v>Standard Class</v>
      </c>
      <c r="D5451" t="str">
        <f t="shared" si="1813"/>
        <v>Consumer</v>
      </c>
      <c r="E5451" t="s">
        <v>20</v>
      </c>
      <c r="F5451">
        <v>8</v>
      </c>
      <c r="G5451">
        <v>0.60000000000000009</v>
      </c>
      <c r="H5451" s="2">
        <v>17.3018</v>
      </c>
      <c r="I5451" s="2">
        <v>47.528000000000006</v>
      </c>
    </row>
    <row r="5452" spans="1:9" x14ac:dyDescent="0.3">
      <c r="A5452" t="str">
        <f t="shared" si="1810"/>
        <v>United States</v>
      </c>
      <c r="B5452" t="str">
        <f t="shared" si="1811"/>
        <v>Westminster</v>
      </c>
      <c r="C5452" t="str">
        <f t="shared" si="1812"/>
        <v>Standard Class</v>
      </c>
      <c r="D5452" t="str">
        <f t="shared" si="1813"/>
        <v>Consumer</v>
      </c>
      <c r="E5452" t="s">
        <v>33</v>
      </c>
      <c r="F5452">
        <v>1</v>
      </c>
      <c r="G5452">
        <v>0.2</v>
      </c>
      <c r="H5452" s="2">
        <v>25.897999999999982</v>
      </c>
      <c r="I5452" s="2">
        <v>207.18400000000003</v>
      </c>
    </row>
    <row r="5453" spans="1:9" x14ac:dyDescent="0.3">
      <c r="A5453" t="str">
        <f t="shared" si="1810"/>
        <v>United States</v>
      </c>
      <c r="B5453" t="str">
        <f t="shared" si="1811"/>
        <v>Westminster</v>
      </c>
      <c r="C5453" t="str">
        <f t="shared" si="1812"/>
        <v>Standard Class</v>
      </c>
      <c r="D5453" t="str">
        <f t="shared" si="1813"/>
        <v>Consumer</v>
      </c>
      <c r="E5453" t="s">
        <v>18</v>
      </c>
      <c r="F5453">
        <v>4</v>
      </c>
      <c r="G5453">
        <v>0</v>
      </c>
      <c r="H5453" s="2">
        <v>2.3311999999999999</v>
      </c>
      <c r="I5453" s="2">
        <v>4.96</v>
      </c>
    </row>
    <row r="5454" spans="1:9" x14ac:dyDescent="0.3">
      <c r="A5454" t="str">
        <f t="shared" si="1810"/>
        <v>United States</v>
      </c>
      <c r="B5454" t="str">
        <f t="shared" si="1811"/>
        <v>Westminster</v>
      </c>
      <c r="C5454" t="str">
        <f t="shared" si="1812"/>
        <v>Standard Class</v>
      </c>
      <c r="D5454" t="str">
        <f t="shared" si="1813"/>
        <v>Consumer</v>
      </c>
      <c r="E5454" t="s">
        <v>21</v>
      </c>
      <c r="F5454">
        <v>7</v>
      </c>
      <c r="G5454">
        <v>0</v>
      </c>
      <c r="H5454" s="2">
        <v>73.24199999999999</v>
      </c>
      <c r="I5454" s="2">
        <v>347.28</v>
      </c>
    </row>
    <row r="5455" spans="1:9" x14ac:dyDescent="0.3">
      <c r="A5455" t="str">
        <f t="shared" si="1810"/>
        <v>United States</v>
      </c>
      <c r="B5455" t="str">
        <f t="shared" si="1811"/>
        <v>Westminster</v>
      </c>
      <c r="C5455" t="str">
        <f t="shared" si="1812"/>
        <v>Standard Class</v>
      </c>
      <c r="D5455" t="str">
        <f t="shared" si="1813"/>
        <v>Consumer</v>
      </c>
      <c r="E5455" t="s">
        <v>16</v>
      </c>
      <c r="F5455">
        <v>2</v>
      </c>
      <c r="G5455">
        <v>0</v>
      </c>
      <c r="H5455" s="2">
        <v>11.543199999999999</v>
      </c>
      <c r="I5455" s="2">
        <v>24.56</v>
      </c>
    </row>
    <row r="5456" spans="1:9" x14ac:dyDescent="0.3">
      <c r="A5456" t="str">
        <f t="shared" si="1810"/>
        <v>United States</v>
      </c>
      <c r="B5456" t="str">
        <f t="shared" si="1811"/>
        <v>Westminster</v>
      </c>
      <c r="C5456" t="str">
        <f t="shared" si="1812"/>
        <v>Standard Class</v>
      </c>
      <c r="D5456" t="str">
        <f t="shared" si="1813"/>
        <v>Consumer</v>
      </c>
      <c r="E5456" t="s">
        <v>24</v>
      </c>
      <c r="F5456">
        <v>6</v>
      </c>
      <c r="G5456">
        <v>0.4</v>
      </c>
      <c r="H5456" s="2">
        <v>97.15979999999999</v>
      </c>
      <c r="I5456" s="2">
        <v>1178.2560000000001</v>
      </c>
    </row>
    <row r="5457" spans="1:9" x14ac:dyDescent="0.3">
      <c r="A5457" t="str">
        <f t="shared" si="1810"/>
        <v>United States</v>
      </c>
      <c r="B5457" t="s">
        <v>548</v>
      </c>
      <c r="C5457" t="s">
        <v>27</v>
      </c>
      <c r="D5457" t="s">
        <v>8</v>
      </c>
      <c r="E5457" t="s">
        <v>25</v>
      </c>
      <c r="F5457">
        <v>3</v>
      </c>
      <c r="G5457">
        <v>0.3</v>
      </c>
      <c r="H5457" s="2">
        <v>-76.953599999999994</v>
      </c>
      <c r="I5457" s="2">
        <v>673.34399999999994</v>
      </c>
    </row>
    <row r="5458" spans="1:9" x14ac:dyDescent="0.3">
      <c r="A5458" t="str">
        <f t="shared" si="1810"/>
        <v>United States</v>
      </c>
      <c r="B5458" t="str">
        <f t="shared" ref="B5458:B5462" si="1814">B5457</f>
        <v>Wheeling</v>
      </c>
      <c r="C5458" t="s">
        <v>22</v>
      </c>
      <c r="D5458" t="s">
        <v>8</v>
      </c>
      <c r="E5458" t="s">
        <v>19</v>
      </c>
      <c r="F5458">
        <v>4</v>
      </c>
      <c r="G5458">
        <v>0.2</v>
      </c>
      <c r="H5458" s="2">
        <v>15.191999999999979</v>
      </c>
      <c r="I5458" s="2">
        <v>121.536</v>
      </c>
    </row>
    <row r="5459" spans="1:9" x14ac:dyDescent="0.3">
      <c r="A5459" t="str">
        <f t="shared" si="1810"/>
        <v>United States</v>
      </c>
      <c r="B5459" t="str">
        <f t="shared" si="1814"/>
        <v>Wheeling</v>
      </c>
      <c r="C5459" t="str">
        <f t="shared" ref="C5459:C5462" si="1815">C5458</f>
        <v>Standard Class</v>
      </c>
      <c r="D5459" t="str">
        <f t="shared" ref="D5459:D5460" si="1816">D5458</f>
        <v>Consumer</v>
      </c>
      <c r="E5459" t="s">
        <v>21</v>
      </c>
      <c r="F5459">
        <v>2</v>
      </c>
      <c r="G5459">
        <v>0.6</v>
      </c>
      <c r="H5459" s="2">
        <v>-7.774799999999999</v>
      </c>
      <c r="I5459" s="2">
        <v>14.136000000000003</v>
      </c>
    </row>
    <row r="5460" spans="1:9" x14ac:dyDescent="0.3">
      <c r="A5460" t="str">
        <f t="shared" si="1810"/>
        <v>United States</v>
      </c>
      <c r="B5460" t="str">
        <f t="shared" si="1814"/>
        <v>Wheeling</v>
      </c>
      <c r="C5460" t="str">
        <f t="shared" si="1815"/>
        <v>Standard Class</v>
      </c>
      <c r="D5460" t="str">
        <f t="shared" si="1816"/>
        <v>Consumer</v>
      </c>
      <c r="E5460" t="s">
        <v>25</v>
      </c>
      <c r="F5460">
        <v>3</v>
      </c>
      <c r="G5460">
        <v>0.5</v>
      </c>
      <c r="H5460" s="2">
        <v>-300.73500000000001</v>
      </c>
      <c r="I5460" s="2">
        <v>601.47</v>
      </c>
    </row>
    <row r="5461" spans="1:9" x14ac:dyDescent="0.3">
      <c r="A5461" t="str">
        <f t="shared" si="1810"/>
        <v>United States</v>
      </c>
      <c r="B5461" t="str">
        <f t="shared" si="1814"/>
        <v>Wheeling</v>
      </c>
      <c r="C5461" t="str">
        <f t="shared" si="1815"/>
        <v>Standard Class</v>
      </c>
      <c r="D5461" t="s">
        <v>17</v>
      </c>
      <c r="E5461" t="s">
        <v>20</v>
      </c>
      <c r="F5461">
        <v>7</v>
      </c>
      <c r="G5461">
        <v>0</v>
      </c>
      <c r="H5461" s="2">
        <v>43.433600000000006</v>
      </c>
      <c r="I5461" s="2">
        <v>88.64</v>
      </c>
    </row>
    <row r="5462" spans="1:9" x14ac:dyDescent="0.3">
      <c r="A5462" t="str">
        <f t="shared" si="1810"/>
        <v>United States</v>
      </c>
      <c r="B5462" t="str">
        <f t="shared" si="1814"/>
        <v>Wheeling</v>
      </c>
      <c r="C5462" t="str">
        <f t="shared" si="1815"/>
        <v>Standard Class</v>
      </c>
      <c r="D5462" t="str">
        <f>D5461</f>
        <v>Home Office</v>
      </c>
      <c r="E5462" t="s">
        <v>16</v>
      </c>
      <c r="F5462">
        <v>8</v>
      </c>
      <c r="G5462">
        <v>0</v>
      </c>
      <c r="H5462" s="2">
        <v>219.44159999999999</v>
      </c>
      <c r="I5462" s="2">
        <v>447.84</v>
      </c>
    </row>
    <row r="5463" spans="1:9" x14ac:dyDescent="0.3">
      <c r="A5463" t="str">
        <f t="shared" si="1810"/>
        <v>United States</v>
      </c>
      <c r="B5463" t="s">
        <v>549</v>
      </c>
      <c r="C5463" t="s">
        <v>22</v>
      </c>
      <c r="D5463" t="s">
        <v>8</v>
      </c>
      <c r="E5463" t="s">
        <v>24</v>
      </c>
      <c r="F5463">
        <v>4</v>
      </c>
      <c r="G5463">
        <v>0.2</v>
      </c>
      <c r="H5463" s="2">
        <v>44.476800000000026</v>
      </c>
      <c r="I5463" s="2">
        <v>444.76800000000003</v>
      </c>
    </row>
    <row r="5464" spans="1:9" x14ac:dyDescent="0.3">
      <c r="A5464" t="str">
        <f t="shared" si="1810"/>
        <v>United States</v>
      </c>
      <c r="B5464" t="s">
        <v>550</v>
      </c>
      <c r="C5464" t="s">
        <v>11</v>
      </c>
      <c r="D5464" t="s">
        <v>8</v>
      </c>
      <c r="E5464" t="s">
        <v>24</v>
      </c>
      <c r="F5464">
        <v>5</v>
      </c>
      <c r="G5464">
        <v>0</v>
      </c>
      <c r="H5464" s="2">
        <v>62.929999999999993</v>
      </c>
      <c r="I5464" s="2">
        <v>224.75</v>
      </c>
    </row>
    <row r="5465" spans="1:9" x14ac:dyDescent="0.3">
      <c r="A5465" t="str">
        <f t="shared" si="1810"/>
        <v>United States</v>
      </c>
      <c r="B5465" t="str">
        <f t="shared" ref="B5465:B5470" si="1817">B5464</f>
        <v>Wichita</v>
      </c>
      <c r="C5465" t="s">
        <v>7</v>
      </c>
      <c r="D5465" t="s">
        <v>17</v>
      </c>
      <c r="E5465" t="s">
        <v>19</v>
      </c>
      <c r="F5465">
        <v>3</v>
      </c>
      <c r="G5465">
        <v>0</v>
      </c>
      <c r="H5465" s="2">
        <v>8.071200000000001</v>
      </c>
      <c r="I5465" s="2">
        <v>21.240000000000002</v>
      </c>
    </row>
    <row r="5466" spans="1:9" x14ac:dyDescent="0.3">
      <c r="A5466" t="str">
        <f t="shared" si="1810"/>
        <v>United States</v>
      </c>
      <c r="B5466" t="str">
        <f t="shared" si="1817"/>
        <v>Wichita</v>
      </c>
      <c r="C5466" t="str">
        <f>C5465</f>
        <v>Second Class</v>
      </c>
      <c r="D5466" t="str">
        <f>D5465</f>
        <v>Home Office</v>
      </c>
      <c r="E5466" t="s">
        <v>20</v>
      </c>
      <c r="F5466">
        <v>2</v>
      </c>
      <c r="G5466">
        <v>0</v>
      </c>
      <c r="H5466" s="2">
        <v>60.141199999999998</v>
      </c>
      <c r="I5466" s="2">
        <v>127.96</v>
      </c>
    </row>
    <row r="5467" spans="1:9" x14ac:dyDescent="0.3">
      <c r="A5467" t="str">
        <f t="shared" si="1810"/>
        <v>United States</v>
      </c>
      <c r="B5467" t="str">
        <f t="shared" si="1817"/>
        <v>Wichita</v>
      </c>
      <c r="C5467" t="s">
        <v>22</v>
      </c>
      <c r="D5467" t="s">
        <v>8</v>
      </c>
      <c r="E5467" t="s">
        <v>12</v>
      </c>
      <c r="F5467">
        <v>2</v>
      </c>
      <c r="G5467">
        <v>0</v>
      </c>
      <c r="H5467" s="2">
        <v>22.948799999999999</v>
      </c>
      <c r="I5467" s="2">
        <v>81.96</v>
      </c>
    </row>
    <row r="5468" spans="1:9" x14ac:dyDescent="0.3">
      <c r="A5468" t="str">
        <f t="shared" si="1810"/>
        <v>United States</v>
      </c>
      <c r="B5468" t="str">
        <f t="shared" si="1817"/>
        <v>Wichita</v>
      </c>
      <c r="C5468" t="str">
        <f t="shared" ref="C5468:C5470" si="1818">C5467</f>
        <v>Standard Class</v>
      </c>
      <c r="D5468" t="str">
        <f t="shared" ref="D5468:D5470" si="1819">D5467</f>
        <v>Consumer</v>
      </c>
      <c r="E5468" t="s">
        <v>21</v>
      </c>
      <c r="F5468">
        <v>6</v>
      </c>
      <c r="G5468">
        <v>0</v>
      </c>
      <c r="H5468" s="2">
        <v>23.990399999999994</v>
      </c>
      <c r="I5468" s="2">
        <v>70.56</v>
      </c>
    </row>
    <row r="5469" spans="1:9" x14ac:dyDescent="0.3">
      <c r="A5469" t="str">
        <f t="shared" si="1810"/>
        <v>United States</v>
      </c>
      <c r="B5469" t="str">
        <f t="shared" si="1817"/>
        <v>Wichita</v>
      </c>
      <c r="C5469" t="str">
        <f t="shared" si="1818"/>
        <v>Standard Class</v>
      </c>
      <c r="D5469" t="str">
        <f t="shared" si="1819"/>
        <v>Consumer</v>
      </c>
      <c r="E5469" t="s">
        <v>43</v>
      </c>
      <c r="F5469">
        <v>3</v>
      </c>
      <c r="G5469">
        <v>0</v>
      </c>
      <c r="H5469" s="2">
        <v>8.6939999999999991</v>
      </c>
      <c r="I5469" s="2">
        <v>18.899999999999999</v>
      </c>
    </row>
    <row r="5470" spans="1:9" x14ac:dyDescent="0.3">
      <c r="A5470" t="str">
        <f t="shared" si="1810"/>
        <v>United States</v>
      </c>
      <c r="B5470" t="str">
        <f t="shared" si="1817"/>
        <v>Wichita</v>
      </c>
      <c r="C5470" t="str">
        <f t="shared" si="1818"/>
        <v>Standard Class</v>
      </c>
      <c r="D5470" t="str">
        <f t="shared" si="1819"/>
        <v>Consumer</v>
      </c>
      <c r="E5470" t="s">
        <v>16</v>
      </c>
      <c r="F5470">
        <v>5</v>
      </c>
      <c r="G5470">
        <v>0</v>
      </c>
      <c r="H5470" s="2">
        <v>137.15100000000001</v>
      </c>
      <c r="I5470" s="2">
        <v>279.89999999999998</v>
      </c>
    </row>
    <row r="5471" spans="1:9" x14ac:dyDescent="0.3">
      <c r="A5471" t="str">
        <f t="shared" si="1810"/>
        <v>United States</v>
      </c>
      <c r="B5471" t="s">
        <v>551</v>
      </c>
      <c r="C5471" t="s">
        <v>11</v>
      </c>
      <c r="D5471" t="s">
        <v>8</v>
      </c>
      <c r="E5471" t="s">
        <v>20</v>
      </c>
      <c r="F5471">
        <v>6</v>
      </c>
      <c r="G5471">
        <v>0.7</v>
      </c>
      <c r="H5471" s="2">
        <v>11.2524</v>
      </c>
      <c r="I5471" s="2">
        <v>34.122</v>
      </c>
    </row>
    <row r="5472" spans="1:9" x14ac:dyDescent="0.3">
      <c r="A5472" t="str">
        <f t="shared" si="1810"/>
        <v>United States</v>
      </c>
      <c r="B5472" t="str">
        <f t="shared" ref="B5472:B5498" si="1820">B5471</f>
        <v>Wilmington</v>
      </c>
      <c r="C5472" t="str">
        <f t="shared" ref="C5472:C5479" si="1821">C5471</f>
        <v>First Class</v>
      </c>
      <c r="D5472" t="str">
        <f t="shared" ref="D5472:D5476" si="1822">D5471</f>
        <v>Consumer</v>
      </c>
      <c r="E5472" t="s">
        <v>38</v>
      </c>
      <c r="F5472">
        <v>9</v>
      </c>
      <c r="G5472">
        <v>0</v>
      </c>
      <c r="H5472" s="2">
        <v>51.758999999999993</v>
      </c>
      <c r="I5472" s="2">
        <v>115.02</v>
      </c>
    </row>
    <row r="5473" spans="1:9" x14ac:dyDescent="0.3">
      <c r="A5473" t="str">
        <f t="shared" si="1810"/>
        <v>United States</v>
      </c>
      <c r="B5473" t="str">
        <f t="shared" si="1820"/>
        <v>Wilmington</v>
      </c>
      <c r="C5473" t="str">
        <f t="shared" si="1821"/>
        <v>First Class</v>
      </c>
      <c r="D5473" t="str">
        <f t="shared" si="1822"/>
        <v>Consumer</v>
      </c>
      <c r="E5473" t="s">
        <v>21</v>
      </c>
      <c r="F5473">
        <v>3</v>
      </c>
      <c r="G5473">
        <v>0</v>
      </c>
      <c r="H5473" s="2">
        <v>18.345599999999997</v>
      </c>
      <c r="I5473" s="2">
        <v>47.04</v>
      </c>
    </row>
    <row r="5474" spans="1:9" x14ac:dyDescent="0.3">
      <c r="A5474" t="str">
        <f t="shared" si="1810"/>
        <v>United States</v>
      </c>
      <c r="B5474" t="str">
        <f t="shared" si="1820"/>
        <v>Wilmington</v>
      </c>
      <c r="C5474" t="str">
        <f t="shared" si="1821"/>
        <v>First Class</v>
      </c>
      <c r="D5474" t="str">
        <f t="shared" si="1822"/>
        <v>Consumer</v>
      </c>
      <c r="E5474" t="s">
        <v>16</v>
      </c>
      <c r="F5474">
        <v>4</v>
      </c>
      <c r="G5474">
        <v>0.2</v>
      </c>
      <c r="H5474" s="2">
        <v>3.5151999999999988</v>
      </c>
      <c r="I5474" s="2">
        <v>10.816000000000001</v>
      </c>
    </row>
    <row r="5475" spans="1:9" x14ac:dyDescent="0.3">
      <c r="A5475" t="str">
        <f t="shared" si="1810"/>
        <v>United States</v>
      </c>
      <c r="B5475" t="str">
        <f t="shared" si="1820"/>
        <v>Wilmington</v>
      </c>
      <c r="C5475" t="str">
        <f t="shared" si="1821"/>
        <v>First Class</v>
      </c>
      <c r="D5475" t="str">
        <f t="shared" si="1822"/>
        <v>Consumer</v>
      </c>
      <c r="E5475" t="s">
        <v>24</v>
      </c>
      <c r="F5475">
        <v>9</v>
      </c>
      <c r="G5475">
        <v>0</v>
      </c>
      <c r="H5475" s="2">
        <v>133.40579999999997</v>
      </c>
      <c r="I5475" s="2">
        <v>460.02000000000004</v>
      </c>
    </row>
    <row r="5476" spans="1:9" x14ac:dyDescent="0.3">
      <c r="A5476" t="str">
        <f t="shared" si="1810"/>
        <v>United States</v>
      </c>
      <c r="B5476" t="str">
        <f t="shared" si="1820"/>
        <v>Wilmington</v>
      </c>
      <c r="C5476" t="str">
        <f t="shared" si="1821"/>
        <v>First Class</v>
      </c>
      <c r="D5476" t="str">
        <f t="shared" si="1822"/>
        <v>Consumer</v>
      </c>
      <c r="E5476" t="s">
        <v>14</v>
      </c>
      <c r="F5476">
        <v>6</v>
      </c>
      <c r="G5476">
        <v>0</v>
      </c>
      <c r="H5476" s="2">
        <v>63.436800000000005</v>
      </c>
      <c r="I5476" s="2">
        <v>226.56</v>
      </c>
    </row>
    <row r="5477" spans="1:9" x14ac:dyDescent="0.3">
      <c r="A5477" t="str">
        <f t="shared" si="1810"/>
        <v>United States</v>
      </c>
      <c r="B5477" t="str">
        <f t="shared" si="1820"/>
        <v>Wilmington</v>
      </c>
      <c r="C5477" t="str">
        <f t="shared" si="1821"/>
        <v>First Class</v>
      </c>
      <c r="D5477" t="s">
        <v>15</v>
      </c>
      <c r="E5477" t="s">
        <v>20</v>
      </c>
      <c r="F5477">
        <v>7</v>
      </c>
      <c r="G5477">
        <v>0</v>
      </c>
      <c r="H5477" s="2">
        <v>103.89819999999997</v>
      </c>
      <c r="I5477" s="2">
        <v>221.06</v>
      </c>
    </row>
    <row r="5478" spans="1:9" x14ac:dyDescent="0.3">
      <c r="A5478" t="str">
        <f t="shared" si="1810"/>
        <v>United States</v>
      </c>
      <c r="B5478" t="str">
        <f t="shared" si="1820"/>
        <v>Wilmington</v>
      </c>
      <c r="C5478" t="str">
        <f t="shared" si="1821"/>
        <v>First Class</v>
      </c>
      <c r="D5478" t="str">
        <f t="shared" ref="D5478:D5479" si="1823">D5477</f>
        <v>Corporate</v>
      </c>
      <c r="E5478" t="s">
        <v>24</v>
      </c>
      <c r="F5478">
        <v>2</v>
      </c>
      <c r="G5478">
        <v>0</v>
      </c>
      <c r="H5478" s="2">
        <v>193.32000000000005</v>
      </c>
      <c r="I5478" s="2">
        <v>716</v>
      </c>
    </row>
    <row r="5479" spans="1:9" x14ac:dyDescent="0.3">
      <c r="A5479" t="str">
        <f t="shared" si="1810"/>
        <v>United States</v>
      </c>
      <c r="B5479" t="str">
        <f t="shared" si="1820"/>
        <v>Wilmington</v>
      </c>
      <c r="C5479" t="str">
        <f t="shared" si="1821"/>
        <v>First Class</v>
      </c>
      <c r="D5479" t="str">
        <f t="shared" si="1823"/>
        <v>Corporate</v>
      </c>
      <c r="E5479" t="s">
        <v>25</v>
      </c>
      <c r="F5479">
        <v>4</v>
      </c>
      <c r="G5479">
        <v>0.3</v>
      </c>
      <c r="H5479" s="2">
        <v>-37.112400000000036</v>
      </c>
      <c r="I5479" s="2">
        <v>199.83600000000001</v>
      </c>
    </row>
    <row r="5480" spans="1:9" x14ac:dyDescent="0.3">
      <c r="A5480" t="str">
        <f t="shared" si="1810"/>
        <v>United States</v>
      </c>
      <c r="B5480" t="str">
        <f t="shared" si="1820"/>
        <v>Wilmington</v>
      </c>
      <c r="C5480" t="s">
        <v>27</v>
      </c>
      <c r="D5480" t="s">
        <v>8</v>
      </c>
      <c r="E5480" t="s">
        <v>16</v>
      </c>
      <c r="F5480">
        <v>7</v>
      </c>
      <c r="G5480">
        <v>0.2</v>
      </c>
      <c r="H5480" s="2">
        <v>108.74079999999998</v>
      </c>
      <c r="I5480" s="2">
        <v>310.68799999999999</v>
      </c>
    </row>
    <row r="5481" spans="1:9" x14ac:dyDescent="0.3">
      <c r="A5481" t="str">
        <f t="shared" si="1810"/>
        <v>United States</v>
      </c>
      <c r="B5481" t="str">
        <f t="shared" si="1820"/>
        <v>Wilmington</v>
      </c>
      <c r="C5481" t="s">
        <v>7</v>
      </c>
      <c r="D5481" t="s">
        <v>8</v>
      </c>
      <c r="E5481" t="s">
        <v>19</v>
      </c>
      <c r="F5481">
        <v>8</v>
      </c>
      <c r="G5481">
        <v>0.2</v>
      </c>
      <c r="H5481" s="2">
        <v>9.0463999999999984</v>
      </c>
      <c r="I5481" s="2">
        <v>32.576000000000001</v>
      </c>
    </row>
    <row r="5482" spans="1:9" x14ac:dyDescent="0.3">
      <c r="A5482" t="str">
        <f t="shared" si="1810"/>
        <v>United States</v>
      </c>
      <c r="B5482" t="str">
        <f t="shared" si="1820"/>
        <v>Wilmington</v>
      </c>
      <c r="C5482" t="str">
        <f t="shared" ref="C5482:C5485" si="1824">C5481</f>
        <v>Second Class</v>
      </c>
      <c r="D5482" t="str">
        <f t="shared" ref="D5482:D5484" si="1825">D5481</f>
        <v>Consumer</v>
      </c>
      <c r="E5482" t="s">
        <v>38</v>
      </c>
      <c r="F5482">
        <v>2</v>
      </c>
      <c r="G5482">
        <v>0</v>
      </c>
      <c r="H5482" s="2">
        <v>7.783199999999999</v>
      </c>
      <c r="I5482" s="2">
        <v>16.559999999999999</v>
      </c>
    </row>
    <row r="5483" spans="1:9" x14ac:dyDescent="0.3">
      <c r="A5483" t="str">
        <f t="shared" si="1810"/>
        <v>United States</v>
      </c>
      <c r="B5483" t="str">
        <f t="shared" si="1820"/>
        <v>Wilmington</v>
      </c>
      <c r="C5483" t="str">
        <f t="shared" si="1824"/>
        <v>Second Class</v>
      </c>
      <c r="D5483" t="str">
        <f t="shared" si="1825"/>
        <v>Consumer</v>
      </c>
      <c r="E5483" t="s">
        <v>16</v>
      </c>
      <c r="F5483">
        <v>15</v>
      </c>
      <c r="G5483">
        <v>0.2</v>
      </c>
      <c r="H5483" s="2">
        <v>44.677799999999998</v>
      </c>
      <c r="I5483" s="2">
        <v>99.25200000000001</v>
      </c>
    </row>
    <row r="5484" spans="1:9" x14ac:dyDescent="0.3">
      <c r="A5484" t="str">
        <f t="shared" si="1810"/>
        <v>United States</v>
      </c>
      <c r="B5484" t="str">
        <f t="shared" si="1820"/>
        <v>Wilmington</v>
      </c>
      <c r="C5484" t="str">
        <f t="shared" si="1824"/>
        <v>Second Class</v>
      </c>
      <c r="D5484" t="str">
        <f t="shared" si="1825"/>
        <v>Consumer</v>
      </c>
      <c r="E5484" t="s">
        <v>24</v>
      </c>
      <c r="F5484">
        <v>2</v>
      </c>
      <c r="G5484">
        <v>0</v>
      </c>
      <c r="H5484" s="2">
        <v>89.314199999999971</v>
      </c>
      <c r="I5484" s="2">
        <v>307.98</v>
      </c>
    </row>
    <row r="5485" spans="1:9" x14ac:dyDescent="0.3">
      <c r="A5485" t="str">
        <f t="shared" si="1810"/>
        <v>United States</v>
      </c>
      <c r="B5485" t="str">
        <f t="shared" si="1820"/>
        <v>Wilmington</v>
      </c>
      <c r="C5485" t="str">
        <f t="shared" si="1824"/>
        <v>Second Class</v>
      </c>
      <c r="D5485" t="s">
        <v>15</v>
      </c>
      <c r="E5485" t="s">
        <v>14</v>
      </c>
      <c r="F5485">
        <v>5</v>
      </c>
      <c r="G5485">
        <v>0</v>
      </c>
      <c r="H5485" s="2">
        <v>21.714000000000002</v>
      </c>
      <c r="I5485" s="2">
        <v>77.55</v>
      </c>
    </row>
    <row r="5486" spans="1:9" x14ac:dyDescent="0.3">
      <c r="A5486" t="str">
        <f t="shared" si="1810"/>
        <v>United States</v>
      </c>
      <c r="B5486" t="str">
        <f t="shared" si="1820"/>
        <v>Wilmington</v>
      </c>
      <c r="C5486" t="s">
        <v>22</v>
      </c>
      <c r="D5486" t="s">
        <v>8</v>
      </c>
      <c r="E5486" t="s">
        <v>12</v>
      </c>
      <c r="F5486">
        <v>3</v>
      </c>
      <c r="G5486">
        <v>0.2</v>
      </c>
      <c r="H5486" s="2">
        <v>5.2650000000000006</v>
      </c>
      <c r="I5486" s="2">
        <v>28.08</v>
      </c>
    </row>
    <row r="5487" spans="1:9" x14ac:dyDescent="0.3">
      <c r="A5487" t="str">
        <f t="shared" si="1810"/>
        <v>United States</v>
      </c>
      <c r="B5487" t="str">
        <f t="shared" si="1820"/>
        <v>Wilmington</v>
      </c>
      <c r="C5487" t="str">
        <f t="shared" ref="C5487:C5498" si="1826">C5486</f>
        <v>Standard Class</v>
      </c>
      <c r="D5487" t="str">
        <f t="shared" ref="D5487:D5492" si="1827">D5486</f>
        <v>Consumer</v>
      </c>
      <c r="E5487" t="s">
        <v>19</v>
      </c>
      <c r="F5487">
        <v>7</v>
      </c>
      <c r="G5487">
        <v>0.2</v>
      </c>
      <c r="H5487" s="2">
        <v>3.2367999999999979</v>
      </c>
      <c r="I5487" s="2">
        <v>18.8</v>
      </c>
    </row>
    <row r="5488" spans="1:9" x14ac:dyDescent="0.3">
      <c r="A5488" t="str">
        <f t="shared" si="1810"/>
        <v>United States</v>
      </c>
      <c r="B5488" t="str">
        <f t="shared" si="1820"/>
        <v>Wilmington</v>
      </c>
      <c r="C5488" t="str">
        <f t="shared" si="1826"/>
        <v>Standard Class</v>
      </c>
      <c r="D5488" t="str">
        <f t="shared" si="1827"/>
        <v>Consumer</v>
      </c>
      <c r="E5488" t="s">
        <v>20</v>
      </c>
      <c r="F5488">
        <v>3</v>
      </c>
      <c r="G5488">
        <v>0</v>
      </c>
      <c r="H5488" s="2">
        <v>13.009499999999999</v>
      </c>
      <c r="I5488" s="2">
        <v>26.549999999999997</v>
      </c>
    </row>
    <row r="5489" spans="1:9" x14ac:dyDescent="0.3">
      <c r="A5489" t="str">
        <f t="shared" si="1810"/>
        <v>United States</v>
      </c>
      <c r="B5489" t="str">
        <f t="shared" si="1820"/>
        <v>Wilmington</v>
      </c>
      <c r="C5489" t="str">
        <f t="shared" si="1826"/>
        <v>Standard Class</v>
      </c>
      <c r="D5489" t="str">
        <f t="shared" si="1827"/>
        <v>Consumer</v>
      </c>
      <c r="E5489" t="s">
        <v>34</v>
      </c>
      <c r="F5489">
        <v>4</v>
      </c>
      <c r="G5489">
        <v>0</v>
      </c>
      <c r="H5489" s="2">
        <v>82.336799999999982</v>
      </c>
      <c r="I5489" s="2">
        <v>283.92</v>
      </c>
    </row>
    <row r="5490" spans="1:9" x14ac:dyDescent="0.3">
      <c r="A5490" t="str">
        <f t="shared" si="1810"/>
        <v>United States</v>
      </c>
      <c r="B5490" t="str">
        <f t="shared" si="1820"/>
        <v>Wilmington</v>
      </c>
      <c r="C5490" t="str">
        <f t="shared" si="1826"/>
        <v>Standard Class</v>
      </c>
      <c r="D5490" t="str">
        <f t="shared" si="1827"/>
        <v>Consumer</v>
      </c>
      <c r="E5490" t="s">
        <v>33</v>
      </c>
      <c r="F5490">
        <v>9</v>
      </c>
      <c r="G5490">
        <v>0</v>
      </c>
      <c r="H5490" s="2">
        <v>266.45219999999989</v>
      </c>
      <c r="I5490" s="2">
        <v>1268.82</v>
      </c>
    </row>
    <row r="5491" spans="1:9" x14ac:dyDescent="0.3">
      <c r="A5491" t="str">
        <f t="shared" si="1810"/>
        <v>United States</v>
      </c>
      <c r="B5491" t="str">
        <f t="shared" si="1820"/>
        <v>Wilmington</v>
      </c>
      <c r="C5491" t="str">
        <f t="shared" si="1826"/>
        <v>Standard Class</v>
      </c>
      <c r="D5491" t="str">
        <f t="shared" si="1827"/>
        <v>Consumer</v>
      </c>
      <c r="E5491" t="s">
        <v>24</v>
      </c>
      <c r="F5491">
        <v>3</v>
      </c>
      <c r="G5491">
        <v>0.2</v>
      </c>
      <c r="H5491" s="2">
        <v>37.796999999999997</v>
      </c>
      <c r="I5491" s="2">
        <v>302.37599999999998</v>
      </c>
    </row>
    <row r="5492" spans="1:9" x14ac:dyDescent="0.3">
      <c r="A5492" t="str">
        <f t="shared" si="1810"/>
        <v>United States</v>
      </c>
      <c r="B5492" t="str">
        <f t="shared" si="1820"/>
        <v>Wilmington</v>
      </c>
      <c r="C5492" t="str">
        <f t="shared" si="1826"/>
        <v>Standard Class</v>
      </c>
      <c r="D5492" t="str">
        <f t="shared" si="1827"/>
        <v>Consumer</v>
      </c>
      <c r="E5492" t="s">
        <v>25</v>
      </c>
      <c r="F5492">
        <v>3</v>
      </c>
      <c r="G5492">
        <v>0.3</v>
      </c>
      <c r="H5492" s="2">
        <v>-48.783900000000031</v>
      </c>
      <c r="I5492" s="2">
        <v>310.44300000000004</v>
      </c>
    </row>
    <row r="5493" spans="1:9" x14ac:dyDescent="0.3">
      <c r="A5493" t="str">
        <f t="shared" si="1810"/>
        <v>United States</v>
      </c>
      <c r="B5493" t="str">
        <f t="shared" si="1820"/>
        <v>Wilmington</v>
      </c>
      <c r="C5493" t="str">
        <f t="shared" si="1826"/>
        <v>Standard Class</v>
      </c>
      <c r="D5493" t="s">
        <v>15</v>
      </c>
      <c r="E5493" t="s">
        <v>19</v>
      </c>
      <c r="F5493">
        <v>6</v>
      </c>
      <c r="G5493">
        <v>0.2</v>
      </c>
      <c r="H5493" s="2">
        <v>9.7680000000000007</v>
      </c>
      <c r="I5493" s="2">
        <v>39.072000000000003</v>
      </c>
    </row>
    <row r="5494" spans="1:9" x14ac:dyDescent="0.3">
      <c r="A5494" t="str">
        <f t="shared" si="1810"/>
        <v>United States</v>
      </c>
      <c r="B5494" t="str">
        <f t="shared" si="1820"/>
        <v>Wilmington</v>
      </c>
      <c r="C5494" t="str">
        <f t="shared" si="1826"/>
        <v>Standard Class</v>
      </c>
      <c r="D5494" t="str">
        <f t="shared" ref="D5494:D5496" si="1828">D5493</f>
        <v>Corporate</v>
      </c>
      <c r="E5494" t="s">
        <v>20</v>
      </c>
      <c r="F5494">
        <v>7</v>
      </c>
      <c r="G5494">
        <v>0</v>
      </c>
      <c r="H5494" s="2">
        <v>102.2784</v>
      </c>
      <c r="I5494" s="2">
        <v>213.08</v>
      </c>
    </row>
    <row r="5495" spans="1:9" x14ac:dyDescent="0.3">
      <c r="A5495" t="str">
        <f t="shared" si="1810"/>
        <v>United States</v>
      </c>
      <c r="B5495" t="str">
        <f t="shared" si="1820"/>
        <v>Wilmington</v>
      </c>
      <c r="C5495" t="str">
        <f t="shared" si="1826"/>
        <v>Standard Class</v>
      </c>
      <c r="D5495" t="str">
        <f t="shared" si="1828"/>
        <v>Corporate</v>
      </c>
      <c r="E5495" t="s">
        <v>34</v>
      </c>
      <c r="F5495">
        <v>6</v>
      </c>
      <c r="G5495">
        <v>0</v>
      </c>
      <c r="H5495" s="2">
        <v>235.95240000000001</v>
      </c>
      <c r="I5495" s="2">
        <v>1025.8799999999999</v>
      </c>
    </row>
    <row r="5496" spans="1:9" x14ac:dyDescent="0.3">
      <c r="A5496" t="str">
        <f t="shared" si="1810"/>
        <v>United States</v>
      </c>
      <c r="B5496" t="str">
        <f t="shared" si="1820"/>
        <v>Wilmington</v>
      </c>
      <c r="C5496" t="str">
        <f t="shared" si="1826"/>
        <v>Standard Class</v>
      </c>
      <c r="D5496" t="str">
        <f t="shared" si="1828"/>
        <v>Corporate</v>
      </c>
      <c r="E5496" t="s">
        <v>43</v>
      </c>
      <c r="F5496">
        <v>8</v>
      </c>
      <c r="G5496">
        <v>0</v>
      </c>
      <c r="H5496" s="2">
        <v>15.381599999999999</v>
      </c>
      <c r="I5496" s="2">
        <v>32.46</v>
      </c>
    </row>
    <row r="5497" spans="1:9" x14ac:dyDescent="0.3">
      <c r="A5497" t="str">
        <f t="shared" si="1810"/>
        <v>United States</v>
      </c>
      <c r="B5497" t="str">
        <f t="shared" si="1820"/>
        <v>Wilmington</v>
      </c>
      <c r="C5497" t="str">
        <f t="shared" si="1826"/>
        <v>Standard Class</v>
      </c>
      <c r="D5497" t="s">
        <v>17</v>
      </c>
      <c r="E5497" t="s">
        <v>20</v>
      </c>
      <c r="F5497">
        <v>8</v>
      </c>
      <c r="G5497">
        <v>0</v>
      </c>
      <c r="H5497" s="2">
        <v>396.37189999999998</v>
      </c>
      <c r="I5497" s="2">
        <v>860.96</v>
      </c>
    </row>
    <row r="5498" spans="1:9" x14ac:dyDescent="0.3">
      <c r="A5498" t="str">
        <f t="shared" si="1810"/>
        <v>United States</v>
      </c>
      <c r="B5498" t="str">
        <f t="shared" si="1820"/>
        <v>Wilmington</v>
      </c>
      <c r="C5498" t="str">
        <f t="shared" si="1826"/>
        <v>Standard Class</v>
      </c>
      <c r="D5498" t="str">
        <f>D5497</f>
        <v>Home Office</v>
      </c>
      <c r="E5498" t="s">
        <v>16</v>
      </c>
      <c r="F5498">
        <v>1</v>
      </c>
      <c r="G5498">
        <v>0</v>
      </c>
      <c r="H5498" s="2">
        <v>5.5391999999999992</v>
      </c>
      <c r="I5498" s="2">
        <v>11.54</v>
      </c>
    </row>
    <row r="5499" spans="1:9" x14ac:dyDescent="0.3">
      <c r="A5499" t="str">
        <f t="shared" si="1810"/>
        <v>United States</v>
      </c>
      <c r="B5499" t="s">
        <v>552</v>
      </c>
      <c r="C5499" t="s">
        <v>22</v>
      </c>
      <c r="D5499" t="s">
        <v>8</v>
      </c>
      <c r="E5499" t="s">
        <v>20</v>
      </c>
      <c r="F5499">
        <v>4</v>
      </c>
      <c r="G5499">
        <v>0.7</v>
      </c>
      <c r="H5499" s="2">
        <v>-4.9127999999999989</v>
      </c>
      <c r="I5499" s="2">
        <v>6.4080000000000004</v>
      </c>
    </row>
    <row r="5500" spans="1:9" x14ac:dyDescent="0.3">
      <c r="A5500" t="str">
        <f t="shared" si="1810"/>
        <v>United States</v>
      </c>
      <c r="B5500" t="str">
        <f t="shared" ref="B5500:B5503" si="1829">B5499</f>
        <v>Wilson</v>
      </c>
      <c r="C5500" t="str">
        <f t="shared" ref="C5500:C5503" si="1830">C5499</f>
        <v>Standard Class</v>
      </c>
      <c r="D5500" t="str">
        <f>D5499</f>
        <v>Consumer</v>
      </c>
      <c r="E5500" t="s">
        <v>21</v>
      </c>
      <c r="F5500">
        <v>4</v>
      </c>
      <c r="G5500">
        <v>0.2</v>
      </c>
      <c r="H5500" s="2">
        <v>20.391999999999989</v>
      </c>
      <c r="I5500" s="2">
        <v>163.136</v>
      </c>
    </row>
    <row r="5501" spans="1:9" x14ac:dyDescent="0.3">
      <c r="A5501" t="str">
        <f t="shared" si="1810"/>
        <v>United States</v>
      </c>
      <c r="B5501" t="str">
        <f t="shared" si="1829"/>
        <v>Wilson</v>
      </c>
      <c r="C5501" t="str">
        <f t="shared" si="1830"/>
        <v>Standard Class</v>
      </c>
      <c r="D5501" t="s">
        <v>15</v>
      </c>
      <c r="E5501" t="s">
        <v>16</v>
      </c>
      <c r="F5501">
        <v>3</v>
      </c>
      <c r="G5501">
        <v>0.2</v>
      </c>
      <c r="H5501" s="2">
        <v>3.4668000000000001</v>
      </c>
      <c r="I5501" s="2">
        <v>10.272000000000002</v>
      </c>
    </row>
    <row r="5502" spans="1:9" x14ac:dyDescent="0.3">
      <c r="A5502" t="str">
        <f t="shared" si="1810"/>
        <v>United States</v>
      </c>
      <c r="B5502" t="str">
        <f t="shared" si="1829"/>
        <v>Wilson</v>
      </c>
      <c r="C5502" t="str">
        <f t="shared" si="1830"/>
        <v>Standard Class</v>
      </c>
      <c r="D5502" t="str">
        <f>D5501</f>
        <v>Corporate</v>
      </c>
      <c r="E5502" t="s">
        <v>14</v>
      </c>
      <c r="F5502">
        <v>4</v>
      </c>
      <c r="G5502">
        <v>0.4</v>
      </c>
      <c r="H5502" s="2">
        <v>-27.870000000000005</v>
      </c>
      <c r="I5502" s="2">
        <v>181.536</v>
      </c>
    </row>
    <row r="5503" spans="1:9" x14ac:dyDescent="0.3">
      <c r="A5503" t="str">
        <f t="shared" si="1810"/>
        <v>United States</v>
      </c>
      <c r="B5503" t="str">
        <f t="shared" si="1829"/>
        <v>Wilson</v>
      </c>
      <c r="C5503" t="str">
        <f t="shared" si="1830"/>
        <v>Standard Class</v>
      </c>
      <c r="D5503" t="s">
        <v>17</v>
      </c>
      <c r="E5503" t="s">
        <v>20</v>
      </c>
      <c r="F5503">
        <v>5</v>
      </c>
      <c r="G5503">
        <v>0.7</v>
      </c>
      <c r="H5503" s="2">
        <v>-5.4120000000000008</v>
      </c>
      <c r="I5503" s="2">
        <v>7.3800000000000008</v>
      </c>
    </row>
    <row r="5504" spans="1:9" x14ac:dyDescent="0.3">
      <c r="A5504" t="str">
        <f t="shared" si="1810"/>
        <v>United States</v>
      </c>
      <c r="B5504" t="s">
        <v>553</v>
      </c>
      <c r="C5504" t="s">
        <v>22</v>
      </c>
      <c r="D5504" t="s">
        <v>15</v>
      </c>
      <c r="E5504" t="s">
        <v>20</v>
      </c>
      <c r="F5504">
        <v>3</v>
      </c>
      <c r="G5504">
        <v>0</v>
      </c>
      <c r="H5504" s="2">
        <v>15.523199999999999</v>
      </c>
      <c r="I5504" s="2">
        <v>32.339999999999996</v>
      </c>
    </row>
    <row r="5505" spans="1:9" x14ac:dyDescent="0.3">
      <c r="A5505" t="str">
        <f t="shared" si="1810"/>
        <v>United States</v>
      </c>
      <c r="B5505" t="str">
        <f t="shared" ref="B5505:B5506" si="1831">B5504</f>
        <v>Woodbury</v>
      </c>
      <c r="C5505" t="str">
        <f t="shared" ref="C5505:C5506" si="1832">C5504</f>
        <v>Standard Class</v>
      </c>
      <c r="D5505" t="str">
        <f t="shared" ref="D5505:D5506" si="1833">D5504</f>
        <v>Corporate</v>
      </c>
      <c r="E5505" t="s">
        <v>16</v>
      </c>
      <c r="F5505">
        <v>5</v>
      </c>
      <c r="G5505">
        <v>0</v>
      </c>
      <c r="H5505" s="2">
        <v>19.950000000000003</v>
      </c>
      <c r="I5505" s="2">
        <v>39.900000000000006</v>
      </c>
    </row>
    <row r="5506" spans="1:9" x14ac:dyDescent="0.3">
      <c r="A5506" t="str">
        <f t="shared" si="1810"/>
        <v>United States</v>
      </c>
      <c r="B5506" t="str">
        <f t="shared" si="1831"/>
        <v>Woodbury</v>
      </c>
      <c r="C5506" t="str">
        <f t="shared" si="1832"/>
        <v>Standard Class</v>
      </c>
      <c r="D5506" t="str">
        <f t="shared" si="1833"/>
        <v>Corporate</v>
      </c>
      <c r="E5506" t="s">
        <v>14</v>
      </c>
      <c r="F5506">
        <v>3</v>
      </c>
      <c r="G5506">
        <v>0</v>
      </c>
      <c r="H5506" s="2">
        <v>160.62299999999993</v>
      </c>
      <c r="I5506" s="2">
        <v>535.41</v>
      </c>
    </row>
    <row r="5507" spans="1:9" x14ac:dyDescent="0.3">
      <c r="A5507" t="str">
        <f t="shared" si="1810"/>
        <v>United States</v>
      </c>
      <c r="B5507" t="s">
        <v>554</v>
      </c>
      <c r="C5507" t="s">
        <v>7</v>
      </c>
      <c r="D5507" t="s">
        <v>15</v>
      </c>
      <c r="E5507" t="s">
        <v>20</v>
      </c>
      <c r="F5507">
        <v>4</v>
      </c>
      <c r="G5507">
        <v>0.2</v>
      </c>
      <c r="H5507" s="2">
        <v>7.5864000000000003</v>
      </c>
      <c r="I5507" s="2">
        <v>20.928000000000001</v>
      </c>
    </row>
    <row r="5508" spans="1:9" x14ac:dyDescent="0.3">
      <c r="A5508" t="str">
        <f t="shared" ref="A5508:A5541" si="1834">A5507</f>
        <v>United States</v>
      </c>
      <c r="B5508" t="str">
        <f t="shared" ref="B5508:B5509" si="1835">B5507</f>
        <v>Woodland</v>
      </c>
      <c r="C5508" t="str">
        <f>C5507</f>
        <v>Second Class</v>
      </c>
      <c r="D5508" t="str">
        <f>D5507</f>
        <v>Corporate</v>
      </c>
      <c r="E5508" t="s">
        <v>43</v>
      </c>
      <c r="F5508">
        <v>1</v>
      </c>
      <c r="G5508">
        <v>0</v>
      </c>
      <c r="H5508" s="2">
        <v>1.7999999999999998</v>
      </c>
      <c r="I5508" s="2">
        <v>3.75</v>
      </c>
    </row>
    <row r="5509" spans="1:9" x14ac:dyDescent="0.3">
      <c r="A5509" t="str">
        <f t="shared" si="1834"/>
        <v>United States</v>
      </c>
      <c r="B5509" t="str">
        <f t="shared" si="1835"/>
        <v>Woodland</v>
      </c>
      <c r="C5509" t="s">
        <v>22</v>
      </c>
      <c r="D5509" t="s">
        <v>8</v>
      </c>
      <c r="E5509" t="s">
        <v>24</v>
      </c>
      <c r="F5509">
        <v>2</v>
      </c>
      <c r="G5509">
        <v>0.2</v>
      </c>
      <c r="H5509" s="2">
        <v>23.998400000000004</v>
      </c>
      <c r="I5509" s="2">
        <v>239.98400000000004</v>
      </c>
    </row>
    <row r="5510" spans="1:9" x14ac:dyDescent="0.3">
      <c r="A5510" t="str">
        <f t="shared" si="1834"/>
        <v>United States</v>
      </c>
      <c r="B5510" t="s">
        <v>555</v>
      </c>
      <c r="C5510" t="s">
        <v>11</v>
      </c>
      <c r="D5510" t="s">
        <v>8</v>
      </c>
      <c r="E5510" t="s">
        <v>23</v>
      </c>
      <c r="F5510">
        <v>13</v>
      </c>
      <c r="G5510">
        <v>0</v>
      </c>
      <c r="H5510" s="2">
        <v>98.139599999999987</v>
      </c>
      <c r="I5510" s="2">
        <v>272.61</v>
      </c>
    </row>
    <row r="5511" spans="1:9" x14ac:dyDescent="0.3">
      <c r="A5511" t="str">
        <f t="shared" si="1834"/>
        <v>United States</v>
      </c>
      <c r="B5511" t="str">
        <f t="shared" ref="B5511:B5514" si="1836">B5510</f>
        <v>Woodstock</v>
      </c>
      <c r="C5511" t="str">
        <f>C5510</f>
        <v>First Class</v>
      </c>
      <c r="D5511" t="str">
        <f>D5510</f>
        <v>Consumer</v>
      </c>
      <c r="E5511" t="s">
        <v>20</v>
      </c>
      <c r="F5511">
        <v>3</v>
      </c>
      <c r="G5511">
        <v>0</v>
      </c>
      <c r="H5511" s="2">
        <v>6.7392000000000003</v>
      </c>
      <c r="I5511" s="2">
        <v>14.04</v>
      </c>
    </row>
    <row r="5512" spans="1:9" x14ac:dyDescent="0.3">
      <c r="A5512" t="str">
        <f t="shared" si="1834"/>
        <v>United States</v>
      </c>
      <c r="B5512" t="str">
        <f t="shared" si="1836"/>
        <v>Woodstock</v>
      </c>
      <c r="C5512" t="s">
        <v>22</v>
      </c>
      <c r="D5512" t="s">
        <v>8</v>
      </c>
      <c r="E5512" t="s">
        <v>20</v>
      </c>
      <c r="F5512">
        <v>5</v>
      </c>
      <c r="G5512">
        <v>0.8</v>
      </c>
      <c r="H5512" s="2">
        <v>-13.717499999999998</v>
      </c>
      <c r="I5512" s="2">
        <v>8.8499999999999979</v>
      </c>
    </row>
    <row r="5513" spans="1:9" x14ac:dyDescent="0.3">
      <c r="A5513" t="str">
        <f t="shared" si="1834"/>
        <v>United States</v>
      </c>
      <c r="B5513" t="str">
        <f t="shared" si="1836"/>
        <v>Woodstock</v>
      </c>
      <c r="C5513" t="str">
        <f t="shared" ref="C5513:C5514" si="1837">C5512</f>
        <v>Standard Class</v>
      </c>
      <c r="D5513" t="s">
        <v>15</v>
      </c>
      <c r="E5513" t="s">
        <v>33</v>
      </c>
      <c r="F5513">
        <v>8</v>
      </c>
      <c r="G5513">
        <v>0.3</v>
      </c>
      <c r="H5513" s="2">
        <v>-12.078400000000101</v>
      </c>
      <c r="I5513" s="2">
        <v>845.48799999999994</v>
      </c>
    </row>
    <row r="5514" spans="1:9" x14ac:dyDescent="0.3">
      <c r="A5514" t="str">
        <f t="shared" si="1834"/>
        <v>United States</v>
      </c>
      <c r="B5514" t="str">
        <f t="shared" si="1836"/>
        <v>Woodstock</v>
      </c>
      <c r="C5514" t="str">
        <f t="shared" si="1837"/>
        <v>Standard Class</v>
      </c>
      <c r="D5514" t="s">
        <v>17</v>
      </c>
      <c r="E5514" t="s">
        <v>19</v>
      </c>
      <c r="F5514">
        <v>2</v>
      </c>
      <c r="G5514">
        <v>0.2</v>
      </c>
      <c r="H5514" s="2">
        <v>0.90999999999999981</v>
      </c>
      <c r="I5514" s="2">
        <v>2.9120000000000004</v>
      </c>
    </row>
    <row r="5515" spans="1:9" x14ac:dyDescent="0.3">
      <c r="A5515" t="str">
        <f t="shared" si="1834"/>
        <v>United States</v>
      </c>
      <c r="B5515" t="s">
        <v>556</v>
      </c>
      <c r="C5515" t="s">
        <v>11</v>
      </c>
      <c r="D5515" t="s">
        <v>15</v>
      </c>
      <c r="E5515" t="s">
        <v>20</v>
      </c>
      <c r="F5515">
        <v>3</v>
      </c>
      <c r="G5515">
        <v>0</v>
      </c>
      <c r="H5515" s="2">
        <v>22.89</v>
      </c>
      <c r="I5515" s="2">
        <v>45.78</v>
      </c>
    </row>
    <row r="5516" spans="1:9" x14ac:dyDescent="0.3">
      <c r="A5516" t="str">
        <f t="shared" si="1834"/>
        <v>United States</v>
      </c>
      <c r="B5516" t="str">
        <f t="shared" ref="B5516:B5518" si="1838">B5515</f>
        <v>Woonsocket</v>
      </c>
      <c r="C5516" t="str">
        <f>C5515</f>
        <v>First Class</v>
      </c>
      <c r="D5516" t="str">
        <f>D5515</f>
        <v>Corporate</v>
      </c>
      <c r="E5516" t="s">
        <v>16</v>
      </c>
      <c r="F5516">
        <v>7</v>
      </c>
      <c r="G5516">
        <v>0</v>
      </c>
      <c r="H5516" s="2">
        <v>21.772800000000004</v>
      </c>
      <c r="I5516" s="2">
        <v>45.36</v>
      </c>
    </row>
    <row r="5517" spans="1:9" x14ac:dyDescent="0.3">
      <c r="A5517" t="str">
        <f t="shared" si="1834"/>
        <v>United States</v>
      </c>
      <c r="B5517" t="str">
        <f t="shared" si="1838"/>
        <v>Woonsocket</v>
      </c>
      <c r="C5517" t="s">
        <v>7</v>
      </c>
      <c r="D5517" t="s">
        <v>8</v>
      </c>
      <c r="E5517" t="s">
        <v>21</v>
      </c>
      <c r="F5517">
        <v>2</v>
      </c>
      <c r="G5517">
        <v>0</v>
      </c>
      <c r="H5517" s="2">
        <v>20.1248</v>
      </c>
      <c r="I5517" s="2">
        <v>52.96</v>
      </c>
    </row>
    <row r="5518" spans="1:9" x14ac:dyDescent="0.3">
      <c r="A5518" t="str">
        <f t="shared" si="1834"/>
        <v>United States</v>
      </c>
      <c r="B5518" t="str">
        <f t="shared" si="1838"/>
        <v>Woonsocket</v>
      </c>
      <c r="C5518" t="s">
        <v>22</v>
      </c>
      <c r="D5518" t="s">
        <v>15</v>
      </c>
      <c r="E5518" t="s">
        <v>14</v>
      </c>
      <c r="F5518">
        <v>3</v>
      </c>
      <c r="G5518">
        <v>0</v>
      </c>
      <c r="H5518" s="2">
        <v>13.891499999999999</v>
      </c>
      <c r="I5518" s="2">
        <v>51.449999999999996</v>
      </c>
    </row>
    <row r="5519" spans="1:9" x14ac:dyDescent="0.3">
      <c r="A5519" t="str">
        <f t="shared" si="1834"/>
        <v>United States</v>
      </c>
      <c r="B5519" t="s">
        <v>557</v>
      </c>
      <c r="C5519" t="s">
        <v>7</v>
      </c>
      <c r="D5519" t="s">
        <v>8</v>
      </c>
      <c r="E5519" t="s">
        <v>23</v>
      </c>
      <c r="F5519">
        <v>3</v>
      </c>
      <c r="G5519">
        <v>0</v>
      </c>
      <c r="H5519" s="2">
        <v>177.58890000000002</v>
      </c>
      <c r="I5519" s="2">
        <v>479.97</v>
      </c>
    </row>
    <row r="5520" spans="1:9" x14ac:dyDescent="0.3">
      <c r="A5520" t="str">
        <f t="shared" si="1834"/>
        <v>United States</v>
      </c>
      <c r="B5520" t="str">
        <f t="shared" ref="B5520:B5532" si="1839">B5519</f>
        <v>Yonkers</v>
      </c>
      <c r="C5520" t="str">
        <f t="shared" ref="C5520:C5524" si="1840">C5519</f>
        <v>Second Class</v>
      </c>
      <c r="D5520" t="str">
        <f t="shared" ref="D5520:D5523" si="1841">D5519</f>
        <v>Consumer</v>
      </c>
      <c r="E5520" t="s">
        <v>19</v>
      </c>
      <c r="F5520">
        <v>3</v>
      </c>
      <c r="G5520">
        <v>0</v>
      </c>
      <c r="H5520" s="2">
        <v>15.475200000000001</v>
      </c>
      <c r="I5520" s="2">
        <v>59.519999999999996</v>
      </c>
    </row>
    <row r="5521" spans="1:9" x14ac:dyDescent="0.3">
      <c r="A5521" t="str">
        <f t="shared" si="1834"/>
        <v>United States</v>
      </c>
      <c r="B5521" t="str">
        <f t="shared" si="1839"/>
        <v>Yonkers</v>
      </c>
      <c r="C5521" t="str">
        <f t="shared" si="1840"/>
        <v>Second Class</v>
      </c>
      <c r="D5521" t="str">
        <f t="shared" si="1841"/>
        <v>Consumer</v>
      </c>
      <c r="E5521" t="s">
        <v>20</v>
      </c>
      <c r="F5521">
        <v>6</v>
      </c>
      <c r="G5521">
        <v>0.2</v>
      </c>
      <c r="H5521" s="2">
        <v>16.750799999999998</v>
      </c>
      <c r="I5521" s="2">
        <v>49.632000000000005</v>
      </c>
    </row>
    <row r="5522" spans="1:9" x14ac:dyDescent="0.3">
      <c r="A5522" t="str">
        <f t="shared" si="1834"/>
        <v>United States</v>
      </c>
      <c r="B5522" t="str">
        <f t="shared" si="1839"/>
        <v>Yonkers</v>
      </c>
      <c r="C5522" t="str">
        <f t="shared" si="1840"/>
        <v>Second Class</v>
      </c>
      <c r="D5522" t="str">
        <f t="shared" si="1841"/>
        <v>Consumer</v>
      </c>
      <c r="E5522" t="s">
        <v>16</v>
      </c>
      <c r="F5522">
        <v>2</v>
      </c>
      <c r="G5522">
        <v>0</v>
      </c>
      <c r="H5522" s="2">
        <v>45.975399999999993</v>
      </c>
      <c r="I5522" s="2">
        <v>97.82</v>
      </c>
    </row>
    <row r="5523" spans="1:9" x14ac:dyDescent="0.3">
      <c r="A5523" t="str">
        <f t="shared" si="1834"/>
        <v>United States</v>
      </c>
      <c r="B5523" t="str">
        <f t="shared" si="1839"/>
        <v>Yonkers</v>
      </c>
      <c r="C5523" t="str">
        <f t="shared" si="1840"/>
        <v>Second Class</v>
      </c>
      <c r="D5523" t="str">
        <f t="shared" si="1841"/>
        <v>Consumer</v>
      </c>
      <c r="E5523" t="s">
        <v>9</v>
      </c>
      <c r="F5523">
        <v>2</v>
      </c>
      <c r="G5523">
        <v>0</v>
      </c>
      <c r="H5523" s="2">
        <v>5.399799999999999</v>
      </c>
      <c r="I5523" s="2">
        <v>18.62</v>
      </c>
    </row>
    <row r="5524" spans="1:9" x14ac:dyDescent="0.3">
      <c r="A5524" t="str">
        <f t="shared" si="1834"/>
        <v>United States</v>
      </c>
      <c r="B5524" t="str">
        <f t="shared" si="1839"/>
        <v>Yonkers</v>
      </c>
      <c r="C5524" t="str">
        <f t="shared" si="1840"/>
        <v>Second Class</v>
      </c>
      <c r="D5524" t="s">
        <v>17</v>
      </c>
      <c r="E5524" t="s">
        <v>23</v>
      </c>
      <c r="F5524">
        <v>4</v>
      </c>
      <c r="G5524">
        <v>0</v>
      </c>
      <c r="H5524" s="2">
        <v>70.502800000000008</v>
      </c>
      <c r="I5524" s="2">
        <v>163.96</v>
      </c>
    </row>
    <row r="5525" spans="1:9" x14ac:dyDescent="0.3">
      <c r="A5525" t="str">
        <f t="shared" si="1834"/>
        <v>United States</v>
      </c>
      <c r="B5525" t="str">
        <f t="shared" si="1839"/>
        <v>Yonkers</v>
      </c>
      <c r="C5525" t="s">
        <v>22</v>
      </c>
      <c r="D5525" t="s">
        <v>8</v>
      </c>
      <c r="E5525" t="s">
        <v>20</v>
      </c>
      <c r="F5525">
        <v>6</v>
      </c>
      <c r="G5525">
        <v>0.4</v>
      </c>
      <c r="H5525" s="2">
        <v>18.513599999999997</v>
      </c>
      <c r="I5525" s="2">
        <v>51.072000000000003</v>
      </c>
    </row>
    <row r="5526" spans="1:9" x14ac:dyDescent="0.3">
      <c r="A5526" t="str">
        <f t="shared" si="1834"/>
        <v>United States</v>
      </c>
      <c r="B5526" t="str">
        <f t="shared" si="1839"/>
        <v>Yonkers</v>
      </c>
      <c r="C5526" t="str">
        <f t="shared" ref="C5526:C5532" si="1842">C5525</f>
        <v>Standard Class</v>
      </c>
      <c r="D5526" t="str">
        <f t="shared" ref="D5526:D5531" si="1843">D5525</f>
        <v>Consumer</v>
      </c>
      <c r="E5526" t="s">
        <v>21</v>
      </c>
      <c r="F5526">
        <v>1</v>
      </c>
      <c r="G5526">
        <v>0</v>
      </c>
      <c r="H5526" s="2">
        <v>4.0203000000000007</v>
      </c>
      <c r="I5526" s="2">
        <v>14.89</v>
      </c>
    </row>
    <row r="5527" spans="1:9" x14ac:dyDescent="0.3">
      <c r="A5527" t="str">
        <f t="shared" si="1834"/>
        <v>United States</v>
      </c>
      <c r="B5527" t="str">
        <f t="shared" si="1839"/>
        <v>Yonkers</v>
      </c>
      <c r="C5527" t="str">
        <f t="shared" si="1842"/>
        <v>Standard Class</v>
      </c>
      <c r="D5527" t="str">
        <f t="shared" si="1843"/>
        <v>Consumer</v>
      </c>
      <c r="E5527" t="s">
        <v>46</v>
      </c>
      <c r="F5527">
        <v>7</v>
      </c>
      <c r="G5527">
        <v>0</v>
      </c>
      <c r="H5527" s="2">
        <v>2400.9656999999997</v>
      </c>
      <c r="I5527" s="2">
        <v>4899.93</v>
      </c>
    </row>
    <row r="5528" spans="1:9" x14ac:dyDescent="0.3">
      <c r="A5528" t="str">
        <f t="shared" si="1834"/>
        <v>United States</v>
      </c>
      <c r="B5528" t="str">
        <f t="shared" si="1839"/>
        <v>Yonkers</v>
      </c>
      <c r="C5528" t="str">
        <f t="shared" si="1842"/>
        <v>Standard Class</v>
      </c>
      <c r="D5528" t="str">
        <f t="shared" si="1843"/>
        <v>Consumer</v>
      </c>
      <c r="E5528" t="s">
        <v>16</v>
      </c>
      <c r="F5528">
        <v>1</v>
      </c>
      <c r="G5528">
        <v>0</v>
      </c>
      <c r="H5528" s="2">
        <v>12.134799999999998</v>
      </c>
      <c r="I5528" s="2">
        <v>26.38</v>
      </c>
    </row>
    <row r="5529" spans="1:9" x14ac:dyDescent="0.3">
      <c r="A5529" t="str">
        <f t="shared" si="1834"/>
        <v>United States</v>
      </c>
      <c r="B5529" t="str">
        <f t="shared" si="1839"/>
        <v>Yonkers</v>
      </c>
      <c r="C5529" t="str">
        <f t="shared" si="1842"/>
        <v>Standard Class</v>
      </c>
      <c r="D5529" t="str">
        <f t="shared" si="1843"/>
        <v>Consumer</v>
      </c>
      <c r="E5529" t="s">
        <v>24</v>
      </c>
      <c r="F5529">
        <v>8</v>
      </c>
      <c r="G5529">
        <v>0</v>
      </c>
      <c r="H5529" s="2">
        <v>135.98000000000002</v>
      </c>
      <c r="I5529" s="2">
        <v>543.91999999999996</v>
      </c>
    </row>
    <row r="5530" spans="1:9" x14ac:dyDescent="0.3">
      <c r="A5530" t="str">
        <f t="shared" si="1834"/>
        <v>United States</v>
      </c>
      <c r="B5530" t="str">
        <f t="shared" si="1839"/>
        <v>Yonkers</v>
      </c>
      <c r="C5530" t="str">
        <f t="shared" si="1842"/>
        <v>Standard Class</v>
      </c>
      <c r="D5530" t="str">
        <f t="shared" si="1843"/>
        <v>Consumer</v>
      </c>
      <c r="E5530" t="s">
        <v>14</v>
      </c>
      <c r="F5530">
        <v>2</v>
      </c>
      <c r="G5530">
        <v>0</v>
      </c>
      <c r="H5530" s="2">
        <v>105.24679999999995</v>
      </c>
      <c r="I5530" s="2">
        <v>362.92</v>
      </c>
    </row>
    <row r="5531" spans="1:9" x14ac:dyDescent="0.3">
      <c r="A5531" t="str">
        <f t="shared" si="1834"/>
        <v>United States</v>
      </c>
      <c r="B5531" t="str">
        <f t="shared" si="1839"/>
        <v>Yonkers</v>
      </c>
      <c r="C5531" t="str">
        <f t="shared" si="1842"/>
        <v>Standard Class</v>
      </c>
      <c r="D5531" t="str">
        <f t="shared" si="1843"/>
        <v>Consumer</v>
      </c>
      <c r="E5531" t="s">
        <v>25</v>
      </c>
      <c r="F5531">
        <v>8</v>
      </c>
      <c r="G5531">
        <v>0.4</v>
      </c>
      <c r="H5531" s="2">
        <v>-264.92079999999999</v>
      </c>
      <c r="I5531" s="2">
        <v>836.59199999999998</v>
      </c>
    </row>
    <row r="5532" spans="1:9" x14ac:dyDescent="0.3">
      <c r="A5532" t="str">
        <f t="shared" si="1834"/>
        <v>United States</v>
      </c>
      <c r="B5532" t="str">
        <f t="shared" si="1839"/>
        <v>Yonkers</v>
      </c>
      <c r="C5532" t="str">
        <f t="shared" si="1842"/>
        <v>Standard Class</v>
      </c>
      <c r="D5532" t="s">
        <v>17</v>
      </c>
      <c r="E5532" t="s">
        <v>46</v>
      </c>
      <c r="F5532">
        <v>4</v>
      </c>
      <c r="G5532">
        <v>0</v>
      </c>
      <c r="H5532" s="2">
        <v>24.122399999999995</v>
      </c>
      <c r="I5532" s="2">
        <v>52.44</v>
      </c>
    </row>
    <row r="5533" spans="1:9" x14ac:dyDescent="0.3">
      <c r="A5533" t="str">
        <f t="shared" si="1834"/>
        <v>United States</v>
      </c>
      <c r="B5533" t="s">
        <v>558</v>
      </c>
      <c r="C5533" t="s">
        <v>22</v>
      </c>
      <c r="D5533" t="s">
        <v>15</v>
      </c>
      <c r="E5533" t="s">
        <v>20</v>
      </c>
      <c r="F5533">
        <v>8</v>
      </c>
      <c r="G5533">
        <v>1.4</v>
      </c>
      <c r="H5533" s="2">
        <v>-56.984799999999993</v>
      </c>
      <c r="I5533" s="2">
        <v>75.984000000000009</v>
      </c>
    </row>
    <row r="5534" spans="1:9" x14ac:dyDescent="0.3">
      <c r="A5534" t="str">
        <f t="shared" si="1834"/>
        <v>United States</v>
      </c>
      <c r="B5534" t="str">
        <f t="shared" ref="B5534:B5536" si="1844">B5533</f>
        <v>York</v>
      </c>
      <c r="C5534" t="str">
        <f t="shared" ref="C5534:C5536" si="1845">C5533</f>
        <v>Standard Class</v>
      </c>
      <c r="D5534" t="str">
        <f t="shared" ref="D5534:D5536" si="1846">D5533</f>
        <v>Corporate</v>
      </c>
      <c r="E5534" t="s">
        <v>33</v>
      </c>
      <c r="F5534">
        <v>3</v>
      </c>
      <c r="G5534">
        <v>0.3</v>
      </c>
      <c r="H5534" s="2">
        <v>-18.088200000000001</v>
      </c>
      <c r="I5534" s="2">
        <v>422.05799999999994</v>
      </c>
    </row>
    <row r="5535" spans="1:9" x14ac:dyDescent="0.3">
      <c r="A5535" t="str">
        <f t="shared" si="1834"/>
        <v>United States</v>
      </c>
      <c r="B5535" t="str">
        <f t="shared" si="1844"/>
        <v>York</v>
      </c>
      <c r="C5535" t="str">
        <f t="shared" si="1845"/>
        <v>Standard Class</v>
      </c>
      <c r="D5535" t="str">
        <f t="shared" si="1846"/>
        <v>Corporate</v>
      </c>
      <c r="E5535" t="s">
        <v>16</v>
      </c>
      <c r="F5535">
        <v>2</v>
      </c>
      <c r="G5535">
        <v>0.2</v>
      </c>
      <c r="H5535" s="2">
        <v>23.7742</v>
      </c>
      <c r="I5535" s="2">
        <v>65.584000000000003</v>
      </c>
    </row>
    <row r="5536" spans="1:9" x14ac:dyDescent="0.3">
      <c r="A5536" t="str">
        <f t="shared" si="1834"/>
        <v>United States</v>
      </c>
      <c r="B5536" t="str">
        <f t="shared" si="1844"/>
        <v>York</v>
      </c>
      <c r="C5536" t="str">
        <f t="shared" si="1845"/>
        <v>Standard Class</v>
      </c>
      <c r="D5536" t="str">
        <f t="shared" si="1846"/>
        <v>Corporate</v>
      </c>
      <c r="E5536" t="s">
        <v>14</v>
      </c>
      <c r="F5536">
        <v>6</v>
      </c>
      <c r="G5536">
        <v>0.2</v>
      </c>
      <c r="H5536" s="2">
        <v>-50.870400000000018</v>
      </c>
      <c r="I5536" s="2">
        <v>254.35200000000003</v>
      </c>
    </row>
    <row r="5537" spans="1:9" x14ac:dyDescent="0.3">
      <c r="A5537" t="str">
        <f t="shared" si="1834"/>
        <v>United States</v>
      </c>
      <c r="B5537" t="s">
        <v>559</v>
      </c>
      <c r="C5537" t="s">
        <v>22</v>
      </c>
      <c r="D5537" t="s">
        <v>15</v>
      </c>
      <c r="E5537" t="s">
        <v>19</v>
      </c>
      <c r="F5537">
        <v>5</v>
      </c>
      <c r="G5537">
        <v>0</v>
      </c>
      <c r="H5537" s="2">
        <v>13.208000000000002</v>
      </c>
      <c r="I5537" s="2">
        <v>50.8</v>
      </c>
    </row>
    <row r="5538" spans="1:9" x14ac:dyDescent="0.3">
      <c r="A5538" t="str">
        <f t="shared" si="1834"/>
        <v>United States</v>
      </c>
      <c r="B5538" t="s">
        <v>560</v>
      </c>
      <c r="C5538" t="s">
        <v>27</v>
      </c>
      <c r="D5538" t="s">
        <v>15</v>
      </c>
      <c r="E5538" t="s">
        <v>23</v>
      </c>
      <c r="F5538">
        <v>7</v>
      </c>
      <c r="G5538">
        <v>0.2</v>
      </c>
      <c r="H5538" s="2">
        <v>48.701099999999997</v>
      </c>
      <c r="I5538" s="2">
        <v>185.52800000000002</v>
      </c>
    </row>
    <row r="5539" spans="1:9" x14ac:dyDescent="0.3">
      <c r="A5539" t="str">
        <f t="shared" si="1834"/>
        <v>United States</v>
      </c>
      <c r="B5539" t="str">
        <f t="shared" ref="B5539:B5541" si="1847">B5538</f>
        <v>Yuma</v>
      </c>
      <c r="C5539" t="str">
        <f>C5538</f>
        <v>Same Day</v>
      </c>
      <c r="D5539" t="s">
        <v>17</v>
      </c>
      <c r="E5539" t="s">
        <v>20</v>
      </c>
      <c r="F5539">
        <v>6</v>
      </c>
      <c r="G5539">
        <v>0.7</v>
      </c>
      <c r="H5539" s="2">
        <v>-35.884799999999984</v>
      </c>
      <c r="I5539" s="2">
        <v>44.856000000000009</v>
      </c>
    </row>
    <row r="5540" spans="1:9" x14ac:dyDescent="0.3">
      <c r="A5540" t="str">
        <f t="shared" si="1834"/>
        <v>United States</v>
      </c>
      <c r="B5540" t="str">
        <f t="shared" si="1847"/>
        <v>Yuma</v>
      </c>
      <c r="C5540" t="s">
        <v>7</v>
      </c>
      <c r="D5540" t="s">
        <v>15</v>
      </c>
      <c r="E5540" t="s">
        <v>19</v>
      </c>
      <c r="F5540">
        <v>4</v>
      </c>
      <c r="G5540">
        <v>0.2</v>
      </c>
      <c r="H5540" s="2">
        <v>1.1807999999999983</v>
      </c>
      <c r="I5540" s="2">
        <v>10.496</v>
      </c>
    </row>
    <row r="5541" spans="1:9" x14ac:dyDescent="0.3">
      <c r="A5541" t="str">
        <f t="shared" si="1834"/>
        <v>United States</v>
      </c>
      <c r="B5541" t="str">
        <f t="shared" si="1847"/>
        <v>Yuma</v>
      </c>
      <c r="C5541" t="s">
        <v>22</v>
      </c>
      <c r="D5541" t="s">
        <v>17</v>
      </c>
      <c r="E5541" t="s">
        <v>46</v>
      </c>
      <c r="F5541">
        <v>5</v>
      </c>
      <c r="G5541">
        <v>0.7</v>
      </c>
      <c r="H5541" s="2">
        <v>-479.98799999999994</v>
      </c>
      <c r="I5541" s="2">
        <v>599.98500000000013</v>
      </c>
    </row>
    <row r="5542" spans="1:9" ht="18.600000000000001" thickBot="1" x14ac:dyDescent="0.4">
      <c r="A5542" s="3" t="s">
        <v>565</v>
      </c>
      <c r="B5542" s="3"/>
      <c r="C5542" s="3"/>
      <c r="D5542" s="3"/>
      <c r="E5542" s="3"/>
      <c r="F5542" s="3">
        <f>SUM(F3:F5541)</f>
        <v>37873</v>
      </c>
      <c r="G5542" s="3"/>
      <c r="H5542" s="4">
        <f>SUM(H3:H5541)</f>
        <v>286397.02169999934</v>
      </c>
      <c r="I5542" s="4">
        <f>SUM(I3:I5541)</f>
        <v>2297200.8602999877</v>
      </c>
    </row>
    <row r="5543" spans="1:9" ht="15" thickTop="1" x14ac:dyDescent="0.3"/>
  </sheetData>
  <mergeCells count="1">
    <mergeCell ref="A1:I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B9A3-9DEF-4465-9CB7-969CD87253ED}">
  <sheetPr>
    <tabColor rgb="FF92D050"/>
  </sheetPr>
  <dimension ref="A1:I5543"/>
  <sheetViews>
    <sheetView showGridLines="0" tabSelected="1" zoomScale="70" zoomScaleNormal="115" workbookViewId="0">
      <selection activeCell="T9" sqref="A1:XFD1048576"/>
    </sheetView>
  </sheetViews>
  <sheetFormatPr defaultRowHeight="14.4" x14ac:dyDescent="0.3"/>
  <sheetData>
    <row r="1" spans="1:9" ht="26.4" thickBot="1" x14ac:dyDescent="0.55000000000000004">
      <c r="A1" s="11" t="s">
        <v>566</v>
      </c>
      <c r="B1" s="11"/>
      <c r="C1" s="11"/>
      <c r="D1" s="11"/>
      <c r="E1" s="11"/>
      <c r="F1" s="11"/>
      <c r="G1" s="11"/>
      <c r="H1" s="11"/>
      <c r="I1" s="11"/>
    </row>
    <row r="2" spans="1:9" ht="16.2" thickTop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561</v>
      </c>
      <c r="G2" s="1" t="s">
        <v>562</v>
      </c>
      <c r="H2" s="1" t="s">
        <v>563</v>
      </c>
      <c r="I2" s="1" t="s">
        <v>564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3</v>
      </c>
      <c r="G3">
        <v>0</v>
      </c>
      <c r="H3" s="2">
        <v>6.63</v>
      </c>
      <c r="I3" s="2">
        <v>25.5</v>
      </c>
    </row>
    <row r="4" spans="1:9" x14ac:dyDescent="0.3">
      <c r="B4" t="s">
        <v>10</v>
      </c>
      <c r="C4" t="s">
        <v>11</v>
      </c>
      <c r="D4" t="s">
        <v>8</v>
      </c>
      <c r="E4" t="s">
        <v>12</v>
      </c>
      <c r="F4">
        <v>2</v>
      </c>
      <c r="G4">
        <v>0.8</v>
      </c>
      <c r="H4" s="2">
        <v>-3.7584000000000009</v>
      </c>
      <c r="I4" s="2">
        <v>1.3919999999999997</v>
      </c>
    </row>
    <row r="5" spans="1:9" x14ac:dyDescent="0.3">
      <c r="B5" t="s">
        <v>13</v>
      </c>
      <c r="C5" t="s">
        <v>11</v>
      </c>
      <c r="D5" t="s">
        <v>8</v>
      </c>
      <c r="E5" t="s">
        <v>14</v>
      </c>
      <c r="F5">
        <v>2</v>
      </c>
      <c r="G5">
        <v>0.2</v>
      </c>
      <c r="H5" s="2">
        <v>-55.256</v>
      </c>
      <c r="I5" s="2">
        <v>221.024</v>
      </c>
    </row>
    <row r="6" spans="1:9" x14ac:dyDescent="0.3">
      <c r="D6" t="s">
        <v>15</v>
      </c>
      <c r="E6" t="s">
        <v>16</v>
      </c>
      <c r="F6">
        <v>3</v>
      </c>
      <c r="G6">
        <v>0.2</v>
      </c>
      <c r="H6" s="2">
        <v>28.706399999999991</v>
      </c>
      <c r="I6" s="2">
        <v>85.055999999999997</v>
      </c>
    </row>
    <row r="7" spans="1:9" x14ac:dyDescent="0.3">
      <c r="D7" t="s">
        <v>17</v>
      </c>
      <c r="E7" t="s">
        <v>18</v>
      </c>
      <c r="F7">
        <v>6</v>
      </c>
      <c r="G7">
        <v>0.2</v>
      </c>
      <c r="H7" s="2">
        <v>6.2291999999999996</v>
      </c>
      <c r="I7" s="2">
        <v>17.184000000000001</v>
      </c>
    </row>
    <row r="8" spans="1:9" x14ac:dyDescent="0.3">
      <c r="C8" t="s">
        <v>7</v>
      </c>
      <c r="D8" t="s">
        <v>8</v>
      </c>
      <c r="E8" t="s">
        <v>19</v>
      </c>
      <c r="F8">
        <v>4</v>
      </c>
      <c r="G8">
        <v>0.2</v>
      </c>
      <c r="H8" s="2">
        <v>0.61920000000000019</v>
      </c>
      <c r="I8" s="2">
        <v>8.2560000000000002</v>
      </c>
    </row>
    <row r="9" spans="1:9" x14ac:dyDescent="0.3">
      <c r="E9" t="s">
        <v>20</v>
      </c>
      <c r="F9">
        <v>7</v>
      </c>
      <c r="G9">
        <v>1.4</v>
      </c>
      <c r="H9" s="2">
        <v>-23.505600000000001</v>
      </c>
      <c r="I9" s="2">
        <v>29.928000000000004</v>
      </c>
    </row>
    <row r="10" spans="1:9" x14ac:dyDescent="0.3">
      <c r="E10" t="s">
        <v>21</v>
      </c>
      <c r="F10">
        <v>3</v>
      </c>
      <c r="G10">
        <v>0.2</v>
      </c>
      <c r="H10" s="2">
        <v>3.7308000000000021</v>
      </c>
      <c r="I10" s="2">
        <v>149.232</v>
      </c>
    </row>
    <row r="11" spans="1:9" x14ac:dyDescent="0.3">
      <c r="E11" t="s">
        <v>16</v>
      </c>
      <c r="F11">
        <v>8</v>
      </c>
      <c r="G11">
        <v>0.4</v>
      </c>
      <c r="H11" s="2">
        <v>9.5208000000000013</v>
      </c>
      <c r="I11" s="2">
        <v>27.456000000000003</v>
      </c>
    </row>
    <row r="12" spans="1:9" x14ac:dyDescent="0.3">
      <c r="C12" t="s">
        <v>22</v>
      </c>
      <c r="D12" t="s">
        <v>8</v>
      </c>
      <c r="E12" t="s">
        <v>23</v>
      </c>
      <c r="F12">
        <v>3</v>
      </c>
      <c r="G12">
        <v>0.2</v>
      </c>
      <c r="H12" s="2">
        <v>0.89969999999999573</v>
      </c>
      <c r="I12" s="2">
        <v>71.975999999999999</v>
      </c>
    </row>
    <row r="13" spans="1:9" x14ac:dyDescent="0.3">
      <c r="E13" t="s">
        <v>19</v>
      </c>
      <c r="F13">
        <v>3</v>
      </c>
      <c r="G13">
        <v>0.2</v>
      </c>
      <c r="H13" s="2">
        <v>0.8969999999999998</v>
      </c>
      <c r="I13" s="2">
        <v>14.352000000000002</v>
      </c>
    </row>
    <row r="14" spans="1:9" x14ac:dyDescent="0.3">
      <c r="E14" t="s">
        <v>20</v>
      </c>
      <c r="F14">
        <v>4</v>
      </c>
      <c r="G14">
        <v>1.4</v>
      </c>
      <c r="H14" s="2">
        <v>-13.637999999999996</v>
      </c>
      <c r="I14" s="2">
        <v>17.238000000000003</v>
      </c>
    </row>
    <row r="15" spans="1:9" x14ac:dyDescent="0.3">
      <c r="E15" t="s">
        <v>16</v>
      </c>
      <c r="F15">
        <v>3</v>
      </c>
      <c r="G15">
        <v>0.2</v>
      </c>
      <c r="H15" s="2">
        <v>6.794999999999999</v>
      </c>
      <c r="I15" s="2">
        <v>21.744000000000003</v>
      </c>
    </row>
    <row r="16" spans="1:9" x14ac:dyDescent="0.3">
      <c r="E16" t="s">
        <v>24</v>
      </c>
      <c r="F16">
        <v>3</v>
      </c>
      <c r="G16">
        <v>0.4</v>
      </c>
      <c r="H16" s="2">
        <v>-80.995500000000021</v>
      </c>
      <c r="I16" s="2">
        <v>323.98199999999997</v>
      </c>
    </row>
    <row r="17" spans="2:9" x14ac:dyDescent="0.3">
      <c r="D17" t="s">
        <v>15</v>
      </c>
      <c r="E17" t="s">
        <v>23</v>
      </c>
      <c r="F17">
        <v>5</v>
      </c>
      <c r="G17">
        <v>0.2</v>
      </c>
      <c r="H17" s="2">
        <v>48.992999999999995</v>
      </c>
      <c r="I17" s="2">
        <v>279.95999999999998</v>
      </c>
    </row>
    <row r="18" spans="2:9" x14ac:dyDescent="0.3">
      <c r="E18" t="s">
        <v>24</v>
      </c>
      <c r="F18">
        <v>4</v>
      </c>
      <c r="G18">
        <v>0.8</v>
      </c>
      <c r="H18" s="2">
        <v>-105.7484</v>
      </c>
      <c r="I18" s="2">
        <v>507.084</v>
      </c>
    </row>
    <row r="19" spans="2:9" x14ac:dyDescent="0.3">
      <c r="E19" t="s">
        <v>14</v>
      </c>
      <c r="F19">
        <v>2</v>
      </c>
      <c r="G19">
        <v>0.2</v>
      </c>
      <c r="H19" s="2">
        <v>66.540799999999962</v>
      </c>
      <c r="I19" s="2">
        <v>665.40800000000002</v>
      </c>
    </row>
    <row r="20" spans="2:9" x14ac:dyDescent="0.3">
      <c r="E20" t="s">
        <v>25</v>
      </c>
      <c r="F20">
        <v>2</v>
      </c>
      <c r="G20">
        <v>0.4</v>
      </c>
      <c r="H20" s="2">
        <v>-75.830400000000054</v>
      </c>
      <c r="I20" s="2">
        <v>284.36399999999998</v>
      </c>
    </row>
    <row r="21" spans="2:9" x14ac:dyDescent="0.3">
      <c r="D21" t="s">
        <v>17</v>
      </c>
      <c r="E21" t="s">
        <v>20</v>
      </c>
      <c r="F21">
        <v>3</v>
      </c>
      <c r="G21">
        <v>0.7</v>
      </c>
      <c r="H21" s="2">
        <v>-4.5935999999999986</v>
      </c>
      <c r="I21" s="2">
        <v>5.7420000000000009</v>
      </c>
    </row>
    <row r="22" spans="2:9" x14ac:dyDescent="0.3">
      <c r="B22" t="s">
        <v>26</v>
      </c>
      <c r="C22" t="s">
        <v>27</v>
      </c>
      <c r="D22" t="s">
        <v>15</v>
      </c>
      <c r="E22" t="s">
        <v>19</v>
      </c>
      <c r="F22">
        <v>7</v>
      </c>
      <c r="G22">
        <v>0</v>
      </c>
      <c r="H22" s="2">
        <v>112.57400000000001</v>
      </c>
      <c r="I22" s="2">
        <v>255.84999999999997</v>
      </c>
    </row>
    <row r="23" spans="2:9" x14ac:dyDescent="0.3">
      <c r="C23" t="s">
        <v>7</v>
      </c>
      <c r="D23" t="s">
        <v>8</v>
      </c>
      <c r="E23" t="s">
        <v>24</v>
      </c>
      <c r="F23">
        <v>3</v>
      </c>
      <c r="G23">
        <v>0.2</v>
      </c>
      <c r="H23" s="2">
        <v>-5.694300000000001</v>
      </c>
      <c r="I23" s="2">
        <v>23.976000000000003</v>
      </c>
    </row>
    <row r="24" spans="2:9" x14ac:dyDescent="0.3">
      <c r="E24" t="s">
        <v>14</v>
      </c>
      <c r="F24">
        <v>1</v>
      </c>
      <c r="G24">
        <v>0</v>
      </c>
      <c r="H24" s="2">
        <v>7.9895999999999994</v>
      </c>
      <c r="I24" s="2">
        <v>33.29</v>
      </c>
    </row>
    <row r="25" spans="2:9" x14ac:dyDescent="0.3">
      <c r="D25" t="s">
        <v>17</v>
      </c>
      <c r="E25" t="s">
        <v>23</v>
      </c>
      <c r="F25">
        <v>5</v>
      </c>
      <c r="G25">
        <v>0</v>
      </c>
      <c r="H25" s="2">
        <v>88.129500000000007</v>
      </c>
      <c r="I25" s="2">
        <v>214.95000000000002</v>
      </c>
    </row>
    <row r="26" spans="2:9" x14ac:dyDescent="0.3">
      <c r="E26" t="s">
        <v>16</v>
      </c>
      <c r="F26">
        <v>13</v>
      </c>
      <c r="G26">
        <v>0</v>
      </c>
      <c r="H26" s="2">
        <v>160.12799999999999</v>
      </c>
      <c r="I26" s="2">
        <v>333.6</v>
      </c>
    </row>
    <row r="27" spans="2:9" x14ac:dyDescent="0.3">
      <c r="E27" t="s">
        <v>24</v>
      </c>
      <c r="F27">
        <v>8</v>
      </c>
      <c r="G27">
        <v>0.2</v>
      </c>
      <c r="H27" s="2">
        <v>49.257599999999996</v>
      </c>
      <c r="I27" s="2">
        <v>140.73599999999999</v>
      </c>
    </row>
    <row r="28" spans="2:9" x14ac:dyDescent="0.3">
      <c r="E28" t="s">
        <v>14</v>
      </c>
      <c r="F28">
        <v>8</v>
      </c>
      <c r="G28">
        <v>0</v>
      </c>
      <c r="H28" s="2">
        <v>25.424000000000007</v>
      </c>
      <c r="I28" s="2">
        <v>90.8</v>
      </c>
    </row>
    <row r="29" spans="2:9" x14ac:dyDescent="0.3">
      <c r="C29" t="s">
        <v>22</v>
      </c>
      <c r="D29" t="s">
        <v>8</v>
      </c>
      <c r="E29" t="s">
        <v>16</v>
      </c>
      <c r="F29">
        <v>1</v>
      </c>
      <c r="G29">
        <v>0</v>
      </c>
      <c r="H29" s="2">
        <v>1.9259999999999997</v>
      </c>
      <c r="I29" s="2">
        <v>4.28</v>
      </c>
    </row>
    <row r="30" spans="2:9" x14ac:dyDescent="0.3">
      <c r="E30" t="s">
        <v>14</v>
      </c>
      <c r="F30">
        <v>5</v>
      </c>
      <c r="G30">
        <v>0</v>
      </c>
      <c r="H30" s="2">
        <v>34.292499999999997</v>
      </c>
      <c r="I30" s="2">
        <v>118.25</v>
      </c>
    </row>
    <row r="31" spans="2:9" x14ac:dyDescent="0.3">
      <c r="D31" t="s">
        <v>15</v>
      </c>
      <c r="E31" t="s">
        <v>23</v>
      </c>
      <c r="F31">
        <v>5</v>
      </c>
      <c r="G31">
        <v>0</v>
      </c>
      <c r="H31" s="2">
        <v>95.200000000000031</v>
      </c>
      <c r="I31" s="2">
        <v>595</v>
      </c>
    </row>
    <row r="32" spans="2:9" x14ac:dyDescent="0.3">
      <c r="E32" t="s">
        <v>20</v>
      </c>
      <c r="F32">
        <v>3</v>
      </c>
      <c r="G32">
        <v>0.2</v>
      </c>
      <c r="H32" s="2">
        <v>29.951999999999998</v>
      </c>
      <c r="I32" s="2">
        <v>79.872000000000014</v>
      </c>
    </row>
    <row r="33" spans="2:9" x14ac:dyDescent="0.3">
      <c r="E33" t="s">
        <v>16</v>
      </c>
      <c r="F33">
        <v>3</v>
      </c>
      <c r="G33">
        <v>0</v>
      </c>
      <c r="H33" s="2">
        <v>12.231</v>
      </c>
      <c r="I33" s="2">
        <v>27.18</v>
      </c>
    </row>
    <row r="34" spans="2:9" x14ac:dyDescent="0.3">
      <c r="D34" t="s">
        <v>17</v>
      </c>
      <c r="E34" t="s">
        <v>24</v>
      </c>
      <c r="F34">
        <v>3</v>
      </c>
      <c r="G34">
        <v>0.2</v>
      </c>
      <c r="H34" s="2">
        <v>22.678200000000018</v>
      </c>
      <c r="I34" s="2">
        <v>302.37599999999998</v>
      </c>
    </row>
    <row r="35" spans="2:9" x14ac:dyDescent="0.3">
      <c r="B35" t="s">
        <v>28</v>
      </c>
      <c r="C35" t="s">
        <v>7</v>
      </c>
      <c r="D35" t="s">
        <v>8</v>
      </c>
      <c r="E35" t="s">
        <v>14</v>
      </c>
      <c r="F35">
        <v>5</v>
      </c>
      <c r="G35">
        <v>0</v>
      </c>
      <c r="H35" s="2">
        <v>12.18</v>
      </c>
      <c r="I35" s="2">
        <v>81.199999999999989</v>
      </c>
    </row>
    <row r="36" spans="2:9" x14ac:dyDescent="0.3">
      <c r="D36" t="s">
        <v>15</v>
      </c>
      <c r="E36" t="s">
        <v>19</v>
      </c>
      <c r="F36">
        <v>14</v>
      </c>
      <c r="G36">
        <v>0</v>
      </c>
      <c r="H36" s="2">
        <v>14.235199999999995</v>
      </c>
      <c r="I36" s="2">
        <v>45.919999999999995</v>
      </c>
    </row>
    <row r="37" spans="2:9" x14ac:dyDescent="0.3">
      <c r="E37" t="s">
        <v>16</v>
      </c>
      <c r="F37">
        <v>2</v>
      </c>
      <c r="G37">
        <v>0</v>
      </c>
      <c r="H37" s="2">
        <v>6.3504000000000005</v>
      </c>
      <c r="I37" s="2">
        <v>12.96</v>
      </c>
    </row>
    <row r="38" spans="2:9" x14ac:dyDescent="0.3">
      <c r="E38" t="s">
        <v>24</v>
      </c>
      <c r="F38">
        <v>1</v>
      </c>
      <c r="G38">
        <v>0</v>
      </c>
      <c r="H38" s="2">
        <v>8.4070999999999962</v>
      </c>
      <c r="I38" s="2">
        <v>28.99</v>
      </c>
    </row>
    <row r="39" spans="2:9" x14ac:dyDescent="0.3">
      <c r="E39" t="s">
        <v>9</v>
      </c>
      <c r="F39">
        <v>5</v>
      </c>
      <c r="G39">
        <v>0</v>
      </c>
      <c r="H39" s="2">
        <v>83.281000000000063</v>
      </c>
      <c r="I39" s="2">
        <v>4164.0499999999993</v>
      </c>
    </row>
    <row r="40" spans="2:9" x14ac:dyDescent="0.3">
      <c r="C40" t="s">
        <v>22</v>
      </c>
      <c r="D40" t="s">
        <v>8</v>
      </c>
      <c r="E40" t="s">
        <v>18</v>
      </c>
      <c r="F40">
        <v>7</v>
      </c>
      <c r="G40">
        <v>0</v>
      </c>
      <c r="H40" s="2">
        <v>12.530000000000001</v>
      </c>
      <c r="I40" s="2">
        <v>25.060000000000002</v>
      </c>
    </row>
    <row r="41" spans="2:9" x14ac:dyDescent="0.3">
      <c r="E41" t="s">
        <v>14</v>
      </c>
      <c r="F41">
        <v>2</v>
      </c>
      <c r="G41">
        <v>0</v>
      </c>
      <c r="H41" s="2">
        <v>6.8767999999999994</v>
      </c>
      <c r="I41" s="2">
        <v>24.56</v>
      </c>
    </row>
    <row r="42" spans="2:9" x14ac:dyDescent="0.3">
      <c r="D42" t="s">
        <v>15</v>
      </c>
      <c r="E42" t="s">
        <v>21</v>
      </c>
      <c r="F42">
        <v>14</v>
      </c>
      <c r="G42">
        <v>0</v>
      </c>
      <c r="H42" s="2">
        <v>69.199200000000005</v>
      </c>
      <c r="I42" s="2">
        <v>192.22</v>
      </c>
    </row>
    <row r="43" spans="2:9" x14ac:dyDescent="0.3">
      <c r="D43" t="s">
        <v>17</v>
      </c>
      <c r="E43" t="s">
        <v>21</v>
      </c>
      <c r="F43">
        <v>6</v>
      </c>
      <c r="G43">
        <v>0</v>
      </c>
      <c r="H43" s="2">
        <v>35.253</v>
      </c>
      <c r="I43" s="2">
        <v>75.240000000000009</v>
      </c>
    </row>
    <row r="44" spans="2:9" x14ac:dyDescent="0.3">
      <c r="E44" t="s">
        <v>16</v>
      </c>
      <c r="F44">
        <v>5</v>
      </c>
      <c r="G44">
        <v>0</v>
      </c>
      <c r="H44" s="2">
        <v>17.671199999999999</v>
      </c>
      <c r="I44" s="2">
        <v>36.120000000000005</v>
      </c>
    </row>
    <row r="45" spans="2:9" x14ac:dyDescent="0.3">
      <c r="E45" t="s">
        <v>24</v>
      </c>
      <c r="F45">
        <v>15</v>
      </c>
      <c r="G45">
        <v>0</v>
      </c>
      <c r="H45" s="2">
        <v>52.634399999999999</v>
      </c>
      <c r="I45" s="2">
        <v>343.33</v>
      </c>
    </row>
    <row r="46" spans="2:9" x14ac:dyDescent="0.3">
      <c r="E46" t="s">
        <v>14</v>
      </c>
      <c r="F46">
        <v>8</v>
      </c>
      <c r="G46">
        <v>0</v>
      </c>
      <c r="H46" s="2">
        <v>0</v>
      </c>
      <c r="I46" s="2">
        <v>489.92</v>
      </c>
    </row>
    <row r="47" spans="2:9" x14ac:dyDescent="0.3">
      <c r="B47" t="s">
        <v>29</v>
      </c>
      <c r="C47" t="s">
        <v>11</v>
      </c>
      <c r="D47" t="s">
        <v>8</v>
      </c>
      <c r="E47" t="s">
        <v>23</v>
      </c>
      <c r="F47">
        <v>3</v>
      </c>
      <c r="G47">
        <v>0.2</v>
      </c>
      <c r="H47" s="2">
        <v>-0.26850000000000307</v>
      </c>
      <c r="I47" s="2">
        <v>21.48</v>
      </c>
    </row>
    <row r="48" spans="2:9" x14ac:dyDescent="0.3">
      <c r="E48" t="s">
        <v>20</v>
      </c>
      <c r="F48">
        <v>4</v>
      </c>
      <c r="G48">
        <v>0.8</v>
      </c>
      <c r="H48" s="2">
        <v>-13.615200000000002</v>
      </c>
      <c r="I48" s="2">
        <v>8.7839999999999989</v>
      </c>
    </row>
    <row r="49" spans="2:9" x14ac:dyDescent="0.3">
      <c r="C49" t="s">
        <v>22</v>
      </c>
      <c r="D49" t="s">
        <v>8</v>
      </c>
      <c r="E49" t="s">
        <v>16</v>
      </c>
      <c r="F49">
        <v>4</v>
      </c>
      <c r="G49">
        <v>0.2</v>
      </c>
      <c r="H49" s="2">
        <v>5.378400000000001</v>
      </c>
      <c r="I49" s="2">
        <v>15.936000000000002</v>
      </c>
    </row>
    <row r="50" spans="2:9" x14ac:dyDescent="0.3">
      <c r="E50" t="s">
        <v>25</v>
      </c>
      <c r="F50">
        <v>2</v>
      </c>
      <c r="G50">
        <v>0.3</v>
      </c>
      <c r="H50" s="2">
        <v>-31.372200000000007</v>
      </c>
      <c r="I50" s="2">
        <v>244.00599999999997</v>
      </c>
    </row>
    <row r="51" spans="2:9" x14ac:dyDescent="0.3">
      <c r="B51" t="s">
        <v>30</v>
      </c>
      <c r="C51" t="s">
        <v>22</v>
      </c>
      <c r="D51" t="s">
        <v>8</v>
      </c>
      <c r="E51" t="s">
        <v>19</v>
      </c>
      <c r="F51">
        <v>2</v>
      </c>
      <c r="G51">
        <v>0.2</v>
      </c>
      <c r="H51" s="2">
        <v>0.36400000000000032</v>
      </c>
      <c r="I51" s="2">
        <v>4.16</v>
      </c>
    </row>
    <row r="52" spans="2:9" x14ac:dyDescent="0.3">
      <c r="E52" t="s">
        <v>21</v>
      </c>
      <c r="F52">
        <v>2</v>
      </c>
      <c r="G52">
        <v>0.2</v>
      </c>
      <c r="H52" s="2">
        <v>3.3488000000000011</v>
      </c>
      <c r="I52" s="2">
        <v>11.648000000000001</v>
      </c>
    </row>
    <row r="53" spans="2:9" x14ac:dyDescent="0.3">
      <c r="D53" t="s">
        <v>17</v>
      </c>
      <c r="E53" t="s">
        <v>23</v>
      </c>
      <c r="F53">
        <v>4</v>
      </c>
      <c r="G53">
        <v>0.2</v>
      </c>
      <c r="H53" s="2">
        <v>3.8024000000000004</v>
      </c>
      <c r="I53" s="2">
        <v>21.728000000000002</v>
      </c>
    </row>
    <row r="54" spans="2:9" x14ac:dyDescent="0.3">
      <c r="E54" t="s">
        <v>20</v>
      </c>
      <c r="F54">
        <v>2</v>
      </c>
      <c r="G54">
        <v>0.7</v>
      </c>
      <c r="H54" s="2">
        <v>-82.989999999999981</v>
      </c>
      <c r="I54" s="2">
        <v>99.588000000000008</v>
      </c>
    </row>
    <row r="55" spans="2:9" x14ac:dyDescent="0.3">
      <c r="E55" t="s">
        <v>16</v>
      </c>
      <c r="F55">
        <v>2</v>
      </c>
      <c r="G55">
        <v>0.2</v>
      </c>
      <c r="H55" s="2">
        <v>15.489999999999997</v>
      </c>
      <c r="I55" s="2">
        <v>49.568000000000005</v>
      </c>
    </row>
    <row r="56" spans="2:9" x14ac:dyDescent="0.3">
      <c r="E56" t="s">
        <v>14</v>
      </c>
      <c r="F56">
        <v>6</v>
      </c>
      <c r="G56">
        <v>0.2</v>
      </c>
      <c r="H56" s="2">
        <v>-165.768</v>
      </c>
      <c r="I56" s="2">
        <v>663.072</v>
      </c>
    </row>
    <row r="57" spans="2:9" x14ac:dyDescent="0.3">
      <c r="E57" t="s">
        <v>9</v>
      </c>
      <c r="F57">
        <v>2</v>
      </c>
      <c r="G57">
        <v>0.2</v>
      </c>
      <c r="H57" s="2">
        <v>-0.69760000000000066</v>
      </c>
      <c r="I57" s="2">
        <v>3.4880000000000004</v>
      </c>
    </row>
    <row r="58" spans="2:9" x14ac:dyDescent="0.3">
      <c r="B58" t="s">
        <v>31</v>
      </c>
      <c r="C58" t="s">
        <v>11</v>
      </c>
      <c r="D58" t="s">
        <v>15</v>
      </c>
      <c r="E58" t="s">
        <v>19</v>
      </c>
      <c r="F58">
        <v>6</v>
      </c>
      <c r="G58">
        <v>0.2</v>
      </c>
      <c r="H58" s="2">
        <v>2.2043999999999979</v>
      </c>
      <c r="I58" s="2">
        <v>16.032</v>
      </c>
    </row>
    <row r="59" spans="2:9" x14ac:dyDescent="0.3">
      <c r="E59" t="s">
        <v>20</v>
      </c>
      <c r="F59">
        <v>3</v>
      </c>
      <c r="G59">
        <v>0.7</v>
      </c>
      <c r="H59" s="2">
        <v>-3.3879000000000001</v>
      </c>
      <c r="I59" s="2">
        <v>4.4190000000000005</v>
      </c>
    </row>
    <row r="60" spans="2:9" x14ac:dyDescent="0.3">
      <c r="B60" t="s">
        <v>32</v>
      </c>
      <c r="C60" t="s">
        <v>27</v>
      </c>
      <c r="D60" t="s">
        <v>8</v>
      </c>
      <c r="E60" t="s">
        <v>23</v>
      </c>
      <c r="F60">
        <v>6</v>
      </c>
      <c r="G60">
        <v>0.4</v>
      </c>
      <c r="H60" s="2">
        <v>63.752400000000009</v>
      </c>
      <c r="I60" s="2">
        <v>343.392</v>
      </c>
    </row>
    <row r="61" spans="2:9" x14ac:dyDescent="0.3">
      <c r="E61" t="s">
        <v>33</v>
      </c>
      <c r="F61">
        <v>5</v>
      </c>
      <c r="G61">
        <v>0.3</v>
      </c>
      <c r="H61" s="2">
        <v>-350.4899999999999</v>
      </c>
      <c r="I61" s="2">
        <v>2453.4299999999998</v>
      </c>
    </row>
    <row r="62" spans="2:9" x14ac:dyDescent="0.3">
      <c r="E62" t="s">
        <v>16</v>
      </c>
      <c r="F62">
        <v>1</v>
      </c>
      <c r="G62">
        <v>0.2</v>
      </c>
      <c r="H62" s="2">
        <v>9.568799999999996</v>
      </c>
      <c r="I62" s="2">
        <v>28.352</v>
      </c>
    </row>
    <row r="63" spans="2:9" x14ac:dyDescent="0.3">
      <c r="C63" t="s">
        <v>7</v>
      </c>
      <c r="D63" t="s">
        <v>15</v>
      </c>
      <c r="E63" t="s">
        <v>16</v>
      </c>
      <c r="F63">
        <v>2</v>
      </c>
      <c r="G63">
        <v>0.2</v>
      </c>
      <c r="H63" s="2">
        <v>6.6311999999999989</v>
      </c>
      <c r="I63" s="2">
        <v>19.648</v>
      </c>
    </row>
    <row r="64" spans="2:9" x14ac:dyDescent="0.3">
      <c r="C64" t="s">
        <v>22</v>
      </c>
      <c r="D64" t="s">
        <v>8</v>
      </c>
      <c r="E64" t="s">
        <v>33</v>
      </c>
      <c r="F64">
        <v>4</v>
      </c>
      <c r="G64">
        <v>0.3</v>
      </c>
      <c r="H64" s="2">
        <v>-110.02320000000003</v>
      </c>
      <c r="I64" s="2">
        <v>366.74399999999997</v>
      </c>
    </row>
    <row r="65" spans="2:9" x14ac:dyDescent="0.3">
      <c r="E65" t="s">
        <v>21</v>
      </c>
      <c r="F65">
        <v>3</v>
      </c>
      <c r="G65">
        <v>0.6</v>
      </c>
      <c r="H65" s="2">
        <v>-10.961100000000002</v>
      </c>
      <c r="I65" s="2">
        <v>23.076000000000001</v>
      </c>
    </row>
    <row r="66" spans="2:9" x14ac:dyDescent="0.3">
      <c r="E66" t="s">
        <v>16</v>
      </c>
      <c r="F66">
        <v>5</v>
      </c>
      <c r="G66">
        <v>0.2</v>
      </c>
      <c r="H66" s="2">
        <v>9.0719999999999992</v>
      </c>
      <c r="I66" s="2">
        <v>25.920000000000005</v>
      </c>
    </row>
    <row r="67" spans="2:9" x14ac:dyDescent="0.3">
      <c r="E67" t="s">
        <v>24</v>
      </c>
      <c r="F67">
        <v>4</v>
      </c>
      <c r="G67">
        <v>0.2</v>
      </c>
      <c r="H67" s="2">
        <v>30.716800000000006</v>
      </c>
      <c r="I67" s="2">
        <v>307.16800000000001</v>
      </c>
    </row>
    <row r="68" spans="2:9" x14ac:dyDescent="0.3">
      <c r="D68" t="s">
        <v>15</v>
      </c>
      <c r="E68" t="s">
        <v>34</v>
      </c>
      <c r="F68">
        <v>2</v>
      </c>
      <c r="G68">
        <v>0.32</v>
      </c>
      <c r="H68" s="2">
        <v>-36.235200000000006</v>
      </c>
      <c r="I68" s="2">
        <v>205.33279999999996</v>
      </c>
    </row>
    <row r="69" spans="2:9" x14ac:dyDescent="0.3">
      <c r="B69" t="s">
        <v>35</v>
      </c>
      <c r="C69" t="s">
        <v>11</v>
      </c>
      <c r="D69" t="s">
        <v>15</v>
      </c>
      <c r="E69" t="s">
        <v>20</v>
      </c>
      <c r="F69">
        <v>3</v>
      </c>
      <c r="G69">
        <v>0.2</v>
      </c>
      <c r="H69" s="2">
        <v>7.822499999999998</v>
      </c>
      <c r="I69" s="2">
        <v>25.031999999999996</v>
      </c>
    </row>
    <row r="70" spans="2:9" x14ac:dyDescent="0.3">
      <c r="E70" t="s">
        <v>33</v>
      </c>
      <c r="F70">
        <v>3</v>
      </c>
      <c r="G70">
        <v>0.2</v>
      </c>
      <c r="H70" s="2">
        <v>71.77200000000002</v>
      </c>
      <c r="I70" s="2">
        <v>717.72</v>
      </c>
    </row>
    <row r="71" spans="2:9" x14ac:dyDescent="0.3">
      <c r="E71" t="s">
        <v>21</v>
      </c>
      <c r="F71">
        <v>15</v>
      </c>
      <c r="G71">
        <v>0</v>
      </c>
      <c r="H71" s="2">
        <v>92.332499999999996</v>
      </c>
      <c r="I71" s="2">
        <v>383.90000000000003</v>
      </c>
    </row>
    <row r="72" spans="2:9" x14ac:dyDescent="0.3">
      <c r="E72" t="s">
        <v>16</v>
      </c>
      <c r="F72">
        <v>2</v>
      </c>
      <c r="G72">
        <v>0</v>
      </c>
      <c r="H72" s="2">
        <v>100.65599999999999</v>
      </c>
      <c r="I72" s="2">
        <v>209.7</v>
      </c>
    </row>
    <row r="73" spans="2:9" x14ac:dyDescent="0.3">
      <c r="C73" t="s">
        <v>27</v>
      </c>
      <c r="D73" t="s">
        <v>8</v>
      </c>
      <c r="E73" t="s">
        <v>23</v>
      </c>
      <c r="F73">
        <v>4</v>
      </c>
      <c r="G73">
        <v>0</v>
      </c>
      <c r="H73" s="2">
        <v>25.191599999999994</v>
      </c>
      <c r="I73" s="2">
        <v>119.96</v>
      </c>
    </row>
    <row r="74" spans="2:9" x14ac:dyDescent="0.3">
      <c r="E74" t="s">
        <v>12</v>
      </c>
      <c r="F74">
        <v>2</v>
      </c>
      <c r="G74">
        <v>0</v>
      </c>
      <c r="H74" s="2">
        <v>24.191799999999994</v>
      </c>
      <c r="I74" s="2">
        <v>83.42</v>
      </c>
    </row>
    <row r="75" spans="2:9" x14ac:dyDescent="0.3">
      <c r="E75" t="s">
        <v>19</v>
      </c>
      <c r="F75">
        <v>2</v>
      </c>
      <c r="G75">
        <v>0</v>
      </c>
      <c r="H75" s="2">
        <v>6.0632000000000019</v>
      </c>
      <c r="I75" s="2">
        <v>23.32</v>
      </c>
    </row>
    <row r="76" spans="2:9" x14ac:dyDescent="0.3">
      <c r="E76" t="s">
        <v>20</v>
      </c>
      <c r="F76">
        <v>19</v>
      </c>
      <c r="G76">
        <v>0.8</v>
      </c>
      <c r="H76" s="2">
        <v>121.31219999999998</v>
      </c>
      <c r="I76" s="2">
        <v>373.96800000000002</v>
      </c>
    </row>
    <row r="77" spans="2:9" x14ac:dyDescent="0.3">
      <c r="E77" t="s">
        <v>33</v>
      </c>
      <c r="F77">
        <v>5</v>
      </c>
      <c r="G77">
        <v>0.2</v>
      </c>
      <c r="H77" s="2">
        <v>-31.843000000000018</v>
      </c>
      <c r="I77" s="2">
        <v>363.92</v>
      </c>
    </row>
    <row r="78" spans="2:9" x14ac:dyDescent="0.3">
      <c r="E78" t="s">
        <v>16</v>
      </c>
      <c r="F78">
        <v>1</v>
      </c>
      <c r="G78">
        <v>0</v>
      </c>
      <c r="H78" s="2">
        <v>13.940999999999999</v>
      </c>
      <c r="I78" s="2">
        <v>30.98</v>
      </c>
    </row>
    <row r="79" spans="2:9" x14ac:dyDescent="0.3">
      <c r="E79" t="s">
        <v>14</v>
      </c>
      <c r="F79">
        <v>3</v>
      </c>
      <c r="G79">
        <v>0</v>
      </c>
      <c r="H79" s="2">
        <v>2.0087999999999973</v>
      </c>
      <c r="I79" s="2">
        <v>50.22</v>
      </c>
    </row>
    <row r="80" spans="2:9" x14ac:dyDescent="0.3">
      <c r="E80" t="s">
        <v>25</v>
      </c>
      <c r="F80">
        <v>7</v>
      </c>
      <c r="G80">
        <v>0.2</v>
      </c>
      <c r="H80" s="2">
        <v>111.51699999999991</v>
      </c>
      <c r="I80" s="2">
        <v>892.13600000000008</v>
      </c>
    </row>
    <row r="81" spans="2:9" x14ac:dyDescent="0.3">
      <c r="D81" t="s">
        <v>15</v>
      </c>
      <c r="E81" t="s">
        <v>25</v>
      </c>
      <c r="F81">
        <v>7</v>
      </c>
      <c r="G81">
        <v>0.2</v>
      </c>
      <c r="H81" s="2">
        <v>80.843000000000075</v>
      </c>
      <c r="I81" s="2">
        <v>1293.4879999999998</v>
      </c>
    </row>
    <row r="82" spans="2:9" x14ac:dyDescent="0.3">
      <c r="C82" t="s">
        <v>7</v>
      </c>
      <c r="D82" t="s">
        <v>15</v>
      </c>
      <c r="E82" t="s">
        <v>14</v>
      </c>
      <c r="F82">
        <v>2</v>
      </c>
      <c r="G82">
        <v>0</v>
      </c>
      <c r="H82" s="2">
        <v>310.98720000000003</v>
      </c>
      <c r="I82" s="2">
        <v>1295.78</v>
      </c>
    </row>
    <row r="83" spans="2:9" x14ac:dyDescent="0.3">
      <c r="C83" t="s">
        <v>22</v>
      </c>
      <c r="D83" t="s">
        <v>8</v>
      </c>
      <c r="E83" t="s">
        <v>19</v>
      </c>
      <c r="F83">
        <v>2</v>
      </c>
      <c r="G83">
        <v>0</v>
      </c>
      <c r="H83" s="2">
        <v>0.87360000000000015</v>
      </c>
      <c r="I83" s="2">
        <v>3.36</v>
      </c>
    </row>
    <row r="84" spans="2:9" x14ac:dyDescent="0.3">
      <c r="E84" t="s">
        <v>20</v>
      </c>
      <c r="F84">
        <v>5</v>
      </c>
      <c r="G84">
        <v>0.2</v>
      </c>
      <c r="H84" s="2">
        <v>64.199999999999989</v>
      </c>
      <c r="I84" s="2">
        <v>171.20000000000002</v>
      </c>
    </row>
    <row r="85" spans="2:9" x14ac:dyDescent="0.3">
      <c r="E85" t="s">
        <v>24</v>
      </c>
      <c r="F85">
        <v>3</v>
      </c>
      <c r="G85">
        <v>0.2</v>
      </c>
      <c r="H85" s="2">
        <v>22.678200000000018</v>
      </c>
      <c r="I85" s="2">
        <v>302.37599999999998</v>
      </c>
    </row>
    <row r="86" spans="2:9" x14ac:dyDescent="0.3">
      <c r="E86" t="s">
        <v>14</v>
      </c>
      <c r="F86">
        <v>9</v>
      </c>
      <c r="G86">
        <v>0</v>
      </c>
      <c r="H86" s="2">
        <v>29.964600000000061</v>
      </c>
      <c r="I86" s="2">
        <v>998.82</v>
      </c>
    </row>
    <row r="87" spans="2:9" x14ac:dyDescent="0.3">
      <c r="E87" t="s">
        <v>9</v>
      </c>
      <c r="F87">
        <v>5</v>
      </c>
      <c r="G87">
        <v>0</v>
      </c>
      <c r="H87" s="2">
        <v>13.299000000000003</v>
      </c>
      <c r="I87" s="2">
        <v>51.150000000000006</v>
      </c>
    </row>
    <row r="88" spans="2:9" x14ac:dyDescent="0.3">
      <c r="D88" t="s">
        <v>15</v>
      </c>
      <c r="E88" t="s">
        <v>21</v>
      </c>
      <c r="F88">
        <v>8</v>
      </c>
      <c r="G88">
        <v>0</v>
      </c>
      <c r="H88" s="2">
        <v>37.414400000000001</v>
      </c>
      <c r="I88" s="2">
        <v>101.12</v>
      </c>
    </row>
    <row r="89" spans="2:9" x14ac:dyDescent="0.3">
      <c r="E89" t="s">
        <v>14</v>
      </c>
      <c r="F89">
        <v>4</v>
      </c>
      <c r="G89">
        <v>0</v>
      </c>
      <c r="H89" s="2">
        <v>125.14319999999998</v>
      </c>
      <c r="I89" s="2">
        <v>481.32</v>
      </c>
    </row>
    <row r="90" spans="2:9" x14ac:dyDescent="0.3">
      <c r="E90" t="s">
        <v>9</v>
      </c>
      <c r="F90">
        <v>1</v>
      </c>
      <c r="G90">
        <v>0</v>
      </c>
      <c r="H90" s="2">
        <v>3.6348000000000003</v>
      </c>
      <c r="I90" s="2">
        <v>13.98</v>
      </c>
    </row>
    <row r="91" spans="2:9" x14ac:dyDescent="0.3">
      <c r="B91" t="s">
        <v>36</v>
      </c>
      <c r="C91" t="s">
        <v>11</v>
      </c>
      <c r="D91" t="s">
        <v>8</v>
      </c>
      <c r="E91" t="s">
        <v>20</v>
      </c>
      <c r="F91">
        <v>4</v>
      </c>
      <c r="G91">
        <v>0</v>
      </c>
      <c r="H91" s="2">
        <v>23.309999999999995</v>
      </c>
      <c r="I91" s="2">
        <v>51.8</v>
      </c>
    </row>
    <row r="92" spans="2:9" x14ac:dyDescent="0.3">
      <c r="E92" t="s">
        <v>33</v>
      </c>
      <c r="F92">
        <v>5</v>
      </c>
      <c r="G92">
        <v>0</v>
      </c>
      <c r="H92" s="2">
        <v>88.725000000000023</v>
      </c>
      <c r="I92" s="2">
        <v>354.90000000000003</v>
      </c>
    </row>
    <row r="93" spans="2:9" x14ac:dyDescent="0.3">
      <c r="E93" t="s">
        <v>16</v>
      </c>
      <c r="F93">
        <v>3</v>
      </c>
      <c r="G93">
        <v>0</v>
      </c>
      <c r="H93" s="2">
        <v>8.7906000000000013</v>
      </c>
      <c r="I93" s="2">
        <v>17.940000000000001</v>
      </c>
    </row>
    <row r="94" spans="2:9" x14ac:dyDescent="0.3">
      <c r="E94" t="s">
        <v>14</v>
      </c>
      <c r="F94">
        <v>1</v>
      </c>
      <c r="G94">
        <v>0</v>
      </c>
      <c r="H94" s="2">
        <v>3.3629999999999995</v>
      </c>
      <c r="I94" s="2">
        <v>11.21</v>
      </c>
    </row>
    <row r="95" spans="2:9" x14ac:dyDescent="0.3">
      <c r="B95" t="s">
        <v>37</v>
      </c>
      <c r="C95" t="s">
        <v>11</v>
      </c>
      <c r="D95" t="s">
        <v>17</v>
      </c>
      <c r="E95" t="s">
        <v>20</v>
      </c>
      <c r="F95">
        <v>5</v>
      </c>
      <c r="G95">
        <v>0</v>
      </c>
      <c r="H95" s="2">
        <v>76.399999999999991</v>
      </c>
      <c r="I95" s="2">
        <v>152.79999999999998</v>
      </c>
    </row>
    <row r="96" spans="2:9" x14ac:dyDescent="0.3">
      <c r="C96" t="s">
        <v>7</v>
      </c>
      <c r="D96" t="s">
        <v>15</v>
      </c>
      <c r="E96" t="s">
        <v>23</v>
      </c>
      <c r="F96">
        <v>5</v>
      </c>
      <c r="G96">
        <v>0</v>
      </c>
      <c r="H96" s="2">
        <v>111.59099999999995</v>
      </c>
      <c r="I96" s="2">
        <v>619.94999999999993</v>
      </c>
    </row>
    <row r="97" spans="2:9" x14ac:dyDescent="0.3">
      <c r="E97" t="s">
        <v>12</v>
      </c>
      <c r="F97">
        <v>3</v>
      </c>
      <c r="G97">
        <v>0.1</v>
      </c>
      <c r="H97" s="2">
        <v>5.2272000000000007</v>
      </c>
      <c r="I97" s="2">
        <v>29.402999999999999</v>
      </c>
    </row>
    <row r="98" spans="2:9" x14ac:dyDescent="0.3">
      <c r="E98" t="s">
        <v>38</v>
      </c>
      <c r="F98">
        <v>7</v>
      </c>
      <c r="G98">
        <v>0</v>
      </c>
      <c r="H98" s="2">
        <v>27.241199999999996</v>
      </c>
      <c r="I98" s="2">
        <v>57.959999999999994</v>
      </c>
    </row>
    <row r="99" spans="2:9" x14ac:dyDescent="0.3">
      <c r="E99" t="s">
        <v>24</v>
      </c>
      <c r="F99">
        <v>3</v>
      </c>
      <c r="G99">
        <v>0</v>
      </c>
      <c r="H99" s="2">
        <v>8.4563999999999986</v>
      </c>
      <c r="I99" s="2">
        <v>29.160000000000004</v>
      </c>
    </row>
    <row r="100" spans="2:9" x14ac:dyDescent="0.3">
      <c r="B100" t="s">
        <v>39</v>
      </c>
      <c r="C100" t="s">
        <v>11</v>
      </c>
      <c r="D100" t="s">
        <v>15</v>
      </c>
      <c r="E100" t="s">
        <v>16</v>
      </c>
      <c r="F100">
        <v>3</v>
      </c>
      <c r="G100">
        <v>0</v>
      </c>
      <c r="H100" s="2">
        <v>9.3312000000000008</v>
      </c>
      <c r="I100" s="2">
        <v>19.440000000000001</v>
      </c>
    </row>
    <row r="101" spans="2:9" x14ac:dyDescent="0.3">
      <c r="B101" t="s">
        <v>40</v>
      </c>
      <c r="C101" t="s">
        <v>27</v>
      </c>
      <c r="D101" t="s">
        <v>8</v>
      </c>
      <c r="E101" t="s">
        <v>38</v>
      </c>
      <c r="F101">
        <v>7</v>
      </c>
      <c r="G101">
        <v>0.2</v>
      </c>
      <c r="H101" s="2">
        <v>16.518599999999999</v>
      </c>
      <c r="I101" s="2">
        <v>48.944000000000003</v>
      </c>
    </row>
    <row r="102" spans="2:9" x14ac:dyDescent="0.3">
      <c r="E102" t="s">
        <v>18</v>
      </c>
      <c r="F102">
        <v>5</v>
      </c>
      <c r="G102">
        <v>0.2</v>
      </c>
      <c r="H102" s="2">
        <v>5.1910000000000007</v>
      </c>
      <c r="I102" s="2">
        <v>14.320000000000002</v>
      </c>
    </row>
    <row r="103" spans="2:9" x14ac:dyDescent="0.3">
      <c r="E103" t="s">
        <v>21</v>
      </c>
      <c r="F103">
        <v>6</v>
      </c>
      <c r="G103">
        <v>0.2</v>
      </c>
      <c r="H103" s="2">
        <v>12.988799999999991</v>
      </c>
      <c r="I103" s="2">
        <v>129.88800000000001</v>
      </c>
    </row>
    <row r="104" spans="2:9" x14ac:dyDescent="0.3">
      <c r="C104" t="s">
        <v>22</v>
      </c>
      <c r="D104" t="s">
        <v>15</v>
      </c>
      <c r="E104" t="s">
        <v>20</v>
      </c>
      <c r="F104">
        <v>8</v>
      </c>
      <c r="G104">
        <v>1.4</v>
      </c>
      <c r="H104" s="2">
        <v>-23.77920000000001</v>
      </c>
      <c r="I104" s="2">
        <v>29.97000000000001</v>
      </c>
    </row>
    <row r="105" spans="2:9" x14ac:dyDescent="0.3">
      <c r="D105" t="s">
        <v>17</v>
      </c>
      <c r="E105" t="s">
        <v>12</v>
      </c>
      <c r="F105">
        <v>3</v>
      </c>
      <c r="G105">
        <v>0.2</v>
      </c>
      <c r="H105" s="2">
        <v>50.36579999999995</v>
      </c>
      <c r="I105" s="2">
        <v>671.5440000000001</v>
      </c>
    </row>
    <row r="106" spans="2:9" x14ac:dyDescent="0.3">
      <c r="E106" t="s">
        <v>20</v>
      </c>
      <c r="F106">
        <v>2</v>
      </c>
      <c r="G106">
        <v>0.7</v>
      </c>
      <c r="H106" s="2">
        <v>-6.921599999999998</v>
      </c>
      <c r="I106" s="2">
        <v>9.8880000000000017</v>
      </c>
    </row>
    <row r="107" spans="2:9" x14ac:dyDescent="0.3">
      <c r="B107" t="s">
        <v>41</v>
      </c>
      <c r="C107" t="s">
        <v>11</v>
      </c>
      <c r="D107" t="s">
        <v>17</v>
      </c>
      <c r="E107" t="s">
        <v>16</v>
      </c>
      <c r="F107">
        <v>2</v>
      </c>
      <c r="G107">
        <v>0</v>
      </c>
      <c r="H107" s="2">
        <v>6.2208000000000006</v>
      </c>
      <c r="I107" s="2">
        <v>12.96</v>
      </c>
    </row>
    <row r="108" spans="2:9" x14ac:dyDescent="0.3">
      <c r="E108" t="s">
        <v>24</v>
      </c>
      <c r="F108">
        <v>3</v>
      </c>
      <c r="G108">
        <v>0.2</v>
      </c>
      <c r="H108" s="2">
        <v>15.111599999999999</v>
      </c>
      <c r="I108" s="2">
        <v>43.176000000000002</v>
      </c>
    </row>
    <row r="109" spans="2:9" x14ac:dyDescent="0.3">
      <c r="C109" t="s">
        <v>7</v>
      </c>
      <c r="D109" t="s">
        <v>15</v>
      </c>
      <c r="E109" t="s">
        <v>34</v>
      </c>
      <c r="F109">
        <v>5</v>
      </c>
      <c r="G109">
        <v>0.15</v>
      </c>
      <c r="H109" s="2">
        <v>210.73499999999993</v>
      </c>
      <c r="I109" s="2">
        <v>1194.165</v>
      </c>
    </row>
    <row r="110" spans="2:9" x14ac:dyDescent="0.3">
      <c r="E110" t="s">
        <v>38</v>
      </c>
      <c r="F110">
        <v>5</v>
      </c>
      <c r="G110">
        <v>0</v>
      </c>
      <c r="H110" s="2">
        <v>28.95</v>
      </c>
      <c r="I110" s="2">
        <v>57.9</v>
      </c>
    </row>
    <row r="111" spans="2:9" x14ac:dyDescent="0.3">
      <c r="E111" t="s">
        <v>16</v>
      </c>
      <c r="F111">
        <v>5</v>
      </c>
      <c r="G111">
        <v>0</v>
      </c>
      <c r="H111" s="2">
        <v>15.552000000000001</v>
      </c>
      <c r="I111" s="2">
        <v>32.400000000000006</v>
      </c>
    </row>
    <row r="112" spans="2:9" x14ac:dyDescent="0.3">
      <c r="E112" t="s">
        <v>14</v>
      </c>
      <c r="F112">
        <v>2</v>
      </c>
      <c r="G112">
        <v>0</v>
      </c>
      <c r="H112" s="2">
        <v>0</v>
      </c>
      <c r="I112" s="2">
        <v>10.56</v>
      </c>
    </row>
    <row r="113" spans="2:9" x14ac:dyDescent="0.3">
      <c r="C113" t="s">
        <v>22</v>
      </c>
      <c r="D113" t="s">
        <v>8</v>
      </c>
      <c r="E113" t="s">
        <v>19</v>
      </c>
      <c r="F113">
        <v>3</v>
      </c>
      <c r="G113">
        <v>0</v>
      </c>
      <c r="H113" s="2">
        <v>2.5055999999999998</v>
      </c>
      <c r="I113" s="2">
        <v>8.64</v>
      </c>
    </row>
    <row r="114" spans="2:9" x14ac:dyDescent="0.3">
      <c r="E114" t="s">
        <v>33</v>
      </c>
      <c r="F114">
        <v>5</v>
      </c>
      <c r="G114">
        <v>0.2</v>
      </c>
      <c r="H114" s="2">
        <v>7.0489999999999498</v>
      </c>
      <c r="I114" s="2">
        <v>563.91999999999996</v>
      </c>
    </row>
    <row r="115" spans="2:9" x14ac:dyDescent="0.3">
      <c r="E115" t="s">
        <v>14</v>
      </c>
      <c r="F115">
        <v>2</v>
      </c>
      <c r="G115">
        <v>0</v>
      </c>
      <c r="H115" s="2">
        <v>6.4649999999999892</v>
      </c>
      <c r="I115" s="2">
        <v>129.30000000000001</v>
      </c>
    </row>
    <row r="116" spans="2:9" x14ac:dyDescent="0.3">
      <c r="B116" t="s">
        <v>42</v>
      </c>
      <c r="C116" t="s">
        <v>11</v>
      </c>
      <c r="D116" t="s">
        <v>17</v>
      </c>
      <c r="E116" t="s">
        <v>43</v>
      </c>
      <c r="F116">
        <v>7</v>
      </c>
      <c r="G116">
        <v>0</v>
      </c>
      <c r="H116" s="2">
        <v>10.348799999999999</v>
      </c>
      <c r="I116" s="2">
        <v>21.560000000000002</v>
      </c>
    </row>
    <row r="117" spans="2:9" x14ac:dyDescent="0.3">
      <c r="C117" t="s">
        <v>22</v>
      </c>
      <c r="D117" t="s">
        <v>8</v>
      </c>
      <c r="E117" t="s">
        <v>23</v>
      </c>
      <c r="F117">
        <v>5</v>
      </c>
      <c r="G117">
        <v>0</v>
      </c>
      <c r="H117" s="2">
        <v>544.41749999999979</v>
      </c>
      <c r="I117" s="2">
        <v>1649.75</v>
      </c>
    </row>
    <row r="118" spans="2:9" x14ac:dyDescent="0.3">
      <c r="B118" t="s">
        <v>44</v>
      </c>
      <c r="C118" t="s">
        <v>11</v>
      </c>
      <c r="D118" t="s">
        <v>8</v>
      </c>
      <c r="E118" t="s">
        <v>19</v>
      </c>
      <c r="F118">
        <v>9</v>
      </c>
      <c r="G118">
        <v>0.2</v>
      </c>
      <c r="H118" s="2">
        <v>20.600699999999996</v>
      </c>
      <c r="I118" s="2">
        <v>68.477999999999994</v>
      </c>
    </row>
    <row r="119" spans="2:9" x14ac:dyDescent="0.3">
      <c r="E119" t="s">
        <v>34</v>
      </c>
      <c r="F119">
        <v>3</v>
      </c>
      <c r="G119">
        <v>0</v>
      </c>
      <c r="H119" s="2">
        <v>79.193399999999968</v>
      </c>
      <c r="I119" s="2">
        <v>359.96999999999997</v>
      </c>
    </row>
    <row r="120" spans="2:9" x14ac:dyDescent="0.3">
      <c r="E120" t="s">
        <v>14</v>
      </c>
      <c r="F120">
        <v>2</v>
      </c>
      <c r="G120">
        <v>0.2</v>
      </c>
      <c r="H120" s="2">
        <v>-2.9739999999999966</v>
      </c>
      <c r="I120" s="2">
        <v>47.584000000000003</v>
      </c>
    </row>
    <row r="121" spans="2:9" x14ac:dyDescent="0.3">
      <c r="D121" t="s">
        <v>15</v>
      </c>
      <c r="E121" t="s">
        <v>12</v>
      </c>
      <c r="F121">
        <v>5</v>
      </c>
      <c r="G121">
        <v>0.8</v>
      </c>
      <c r="H121" s="2">
        <v>-90.774000000000029</v>
      </c>
      <c r="I121" s="2">
        <v>33.61999999999999</v>
      </c>
    </row>
    <row r="122" spans="2:9" x14ac:dyDescent="0.3">
      <c r="E122" t="s">
        <v>20</v>
      </c>
      <c r="F122">
        <v>9</v>
      </c>
      <c r="G122">
        <v>0.8</v>
      </c>
      <c r="H122" s="2">
        <v>-62.839600000000019</v>
      </c>
      <c r="I122" s="2">
        <v>54.495999999999995</v>
      </c>
    </row>
    <row r="123" spans="2:9" x14ac:dyDescent="0.3">
      <c r="E123" t="s">
        <v>33</v>
      </c>
      <c r="F123">
        <v>5</v>
      </c>
      <c r="G123">
        <v>0.3</v>
      </c>
      <c r="H123" s="2">
        <v>-39.636999999999993</v>
      </c>
      <c r="I123" s="2">
        <v>213.42999999999995</v>
      </c>
    </row>
    <row r="124" spans="2:9" x14ac:dyDescent="0.3">
      <c r="E124" t="s">
        <v>45</v>
      </c>
      <c r="F124">
        <v>2</v>
      </c>
      <c r="G124">
        <v>0.2</v>
      </c>
      <c r="H124" s="2">
        <v>107.99459999999999</v>
      </c>
      <c r="I124" s="2">
        <v>319.98400000000004</v>
      </c>
    </row>
    <row r="125" spans="2:9" x14ac:dyDescent="0.3">
      <c r="E125" t="s">
        <v>18</v>
      </c>
      <c r="F125">
        <v>5</v>
      </c>
      <c r="G125">
        <v>0.2</v>
      </c>
      <c r="H125" s="2">
        <v>15.498000000000001</v>
      </c>
      <c r="I125" s="2">
        <v>45.92</v>
      </c>
    </row>
    <row r="126" spans="2:9" x14ac:dyDescent="0.3">
      <c r="E126" t="s">
        <v>21</v>
      </c>
      <c r="F126">
        <v>2</v>
      </c>
      <c r="G126">
        <v>0.6</v>
      </c>
      <c r="H126" s="2">
        <v>-11.651199999999999</v>
      </c>
      <c r="I126" s="2">
        <v>21.184000000000001</v>
      </c>
    </row>
    <row r="127" spans="2:9" x14ac:dyDescent="0.3">
      <c r="E127" t="s">
        <v>16</v>
      </c>
      <c r="F127">
        <v>5</v>
      </c>
      <c r="G127">
        <v>0.2</v>
      </c>
      <c r="H127" s="2">
        <v>23.914399999999997</v>
      </c>
      <c r="I127" s="2">
        <v>56.176000000000002</v>
      </c>
    </row>
    <row r="128" spans="2:9" x14ac:dyDescent="0.3">
      <c r="E128" t="s">
        <v>14</v>
      </c>
      <c r="F128">
        <v>7</v>
      </c>
      <c r="G128">
        <v>0</v>
      </c>
      <c r="H128" s="2">
        <v>22.527000000000001</v>
      </c>
      <c r="I128" s="2">
        <v>87.85</v>
      </c>
    </row>
    <row r="129" spans="3:9" x14ac:dyDescent="0.3">
      <c r="D129" t="s">
        <v>17</v>
      </c>
      <c r="E129" t="s">
        <v>20</v>
      </c>
      <c r="F129">
        <v>1</v>
      </c>
      <c r="G129">
        <v>0</v>
      </c>
      <c r="H129" s="2">
        <v>4.8023999999999996</v>
      </c>
      <c r="I129" s="2">
        <v>10.44</v>
      </c>
    </row>
    <row r="130" spans="3:9" x14ac:dyDescent="0.3">
      <c r="C130" t="s">
        <v>7</v>
      </c>
      <c r="D130" t="s">
        <v>8</v>
      </c>
      <c r="E130" t="s">
        <v>20</v>
      </c>
      <c r="F130">
        <v>11</v>
      </c>
      <c r="G130">
        <v>0</v>
      </c>
      <c r="H130" s="2">
        <v>44.902999999999999</v>
      </c>
      <c r="I130" s="2">
        <v>94.45</v>
      </c>
    </row>
    <row r="131" spans="3:9" x14ac:dyDescent="0.3">
      <c r="E131" t="s">
        <v>21</v>
      </c>
      <c r="F131">
        <v>7</v>
      </c>
      <c r="G131">
        <v>0</v>
      </c>
      <c r="H131" s="2">
        <v>7.1021999999999998</v>
      </c>
      <c r="I131" s="2">
        <v>18.689999999999998</v>
      </c>
    </row>
    <row r="132" spans="3:9" x14ac:dyDescent="0.3">
      <c r="E132" t="s">
        <v>46</v>
      </c>
      <c r="F132">
        <v>5</v>
      </c>
      <c r="G132">
        <v>0</v>
      </c>
      <c r="H132" s="2">
        <v>2799.9839999999995</v>
      </c>
      <c r="I132" s="2">
        <v>8749.9500000000007</v>
      </c>
    </row>
    <row r="133" spans="3:9" x14ac:dyDescent="0.3">
      <c r="E133" t="s">
        <v>16</v>
      </c>
      <c r="F133">
        <v>11</v>
      </c>
      <c r="G133">
        <v>0</v>
      </c>
      <c r="H133" s="2">
        <v>34.214400000000005</v>
      </c>
      <c r="I133" s="2">
        <v>71.28</v>
      </c>
    </row>
    <row r="134" spans="3:9" x14ac:dyDescent="0.3">
      <c r="E134" t="s">
        <v>24</v>
      </c>
      <c r="F134">
        <v>6</v>
      </c>
      <c r="G134">
        <v>0</v>
      </c>
      <c r="H134" s="2">
        <v>50.442599999999977</v>
      </c>
      <c r="I134" s="2">
        <v>173.94</v>
      </c>
    </row>
    <row r="135" spans="3:9" x14ac:dyDescent="0.3">
      <c r="D135" t="s">
        <v>15</v>
      </c>
      <c r="E135" t="s">
        <v>19</v>
      </c>
      <c r="F135">
        <v>3</v>
      </c>
      <c r="G135">
        <v>0.2</v>
      </c>
      <c r="H135" s="2">
        <v>3.571200000000001</v>
      </c>
      <c r="I135" s="2">
        <v>47.616</v>
      </c>
    </row>
    <row r="136" spans="3:9" x14ac:dyDescent="0.3">
      <c r="E136" t="s">
        <v>24</v>
      </c>
      <c r="F136">
        <v>9</v>
      </c>
      <c r="G136">
        <v>0.2</v>
      </c>
      <c r="H136" s="2">
        <v>107.95499999999998</v>
      </c>
      <c r="I136" s="2">
        <v>863.6400000000001</v>
      </c>
    </row>
    <row r="137" spans="3:9" x14ac:dyDescent="0.3">
      <c r="D137" t="s">
        <v>17</v>
      </c>
      <c r="E137" t="s">
        <v>34</v>
      </c>
      <c r="F137">
        <v>2</v>
      </c>
      <c r="G137">
        <v>0</v>
      </c>
      <c r="H137" s="2">
        <v>4.3371999999999957</v>
      </c>
      <c r="I137" s="2">
        <v>61.96</v>
      </c>
    </row>
    <row r="138" spans="3:9" x14ac:dyDescent="0.3">
      <c r="E138" t="s">
        <v>21</v>
      </c>
      <c r="F138">
        <v>2</v>
      </c>
      <c r="G138">
        <v>0</v>
      </c>
      <c r="H138" s="2">
        <v>11.035399999999996</v>
      </c>
      <c r="I138" s="2">
        <v>47.98</v>
      </c>
    </row>
    <row r="139" spans="3:9" x14ac:dyDescent="0.3">
      <c r="E139" t="s">
        <v>16</v>
      </c>
      <c r="F139">
        <v>5</v>
      </c>
      <c r="G139">
        <v>0</v>
      </c>
      <c r="H139" s="2">
        <v>15.552000000000001</v>
      </c>
      <c r="I139" s="2">
        <v>32.400000000000006</v>
      </c>
    </row>
    <row r="140" spans="3:9" x14ac:dyDescent="0.3">
      <c r="C140" t="s">
        <v>22</v>
      </c>
      <c r="D140" t="s">
        <v>8</v>
      </c>
      <c r="E140" t="s">
        <v>12</v>
      </c>
      <c r="F140">
        <v>3</v>
      </c>
      <c r="G140">
        <v>0</v>
      </c>
      <c r="H140" s="2">
        <v>10.880999999999997</v>
      </c>
      <c r="I140" s="2">
        <v>36.269999999999996</v>
      </c>
    </row>
    <row r="141" spans="3:9" x14ac:dyDescent="0.3">
      <c r="E141" t="s">
        <v>19</v>
      </c>
      <c r="F141">
        <v>2</v>
      </c>
      <c r="G141">
        <v>0</v>
      </c>
      <c r="H141" s="2">
        <v>3.157</v>
      </c>
      <c r="I141" s="2">
        <v>7.7</v>
      </c>
    </row>
    <row r="142" spans="3:9" x14ac:dyDescent="0.3">
      <c r="E142" t="s">
        <v>20</v>
      </c>
      <c r="F142">
        <v>7</v>
      </c>
      <c r="G142">
        <v>0.8</v>
      </c>
      <c r="H142" s="2">
        <v>28.235400000000002</v>
      </c>
      <c r="I142" s="2">
        <v>70.343999999999994</v>
      </c>
    </row>
    <row r="143" spans="3:9" x14ac:dyDescent="0.3">
      <c r="E143" t="s">
        <v>33</v>
      </c>
      <c r="F143">
        <v>2</v>
      </c>
      <c r="G143">
        <v>0</v>
      </c>
      <c r="H143" s="2">
        <v>179.74880000000002</v>
      </c>
      <c r="I143" s="2">
        <v>641.96</v>
      </c>
    </row>
    <row r="144" spans="3:9" x14ac:dyDescent="0.3">
      <c r="E144" t="s">
        <v>21</v>
      </c>
      <c r="F144">
        <v>3</v>
      </c>
      <c r="G144">
        <v>0</v>
      </c>
      <c r="H144" s="2">
        <v>19.468799999999998</v>
      </c>
      <c r="I144" s="2">
        <v>60.84</v>
      </c>
    </row>
    <row r="145" spans="2:9" x14ac:dyDescent="0.3">
      <c r="E145" t="s">
        <v>16</v>
      </c>
      <c r="F145">
        <v>5</v>
      </c>
      <c r="G145">
        <v>0</v>
      </c>
      <c r="H145" s="2">
        <v>69.704999999999998</v>
      </c>
      <c r="I145" s="2">
        <v>154.9</v>
      </c>
    </row>
    <row r="146" spans="2:9" x14ac:dyDescent="0.3">
      <c r="E146" t="s">
        <v>24</v>
      </c>
      <c r="F146">
        <v>15</v>
      </c>
      <c r="G146">
        <v>0</v>
      </c>
      <c r="H146" s="2">
        <v>701.95499999999993</v>
      </c>
      <c r="I146" s="2">
        <v>2339.8500000000004</v>
      </c>
    </row>
    <row r="147" spans="2:9" x14ac:dyDescent="0.3">
      <c r="E147" t="s">
        <v>14</v>
      </c>
      <c r="F147">
        <v>28</v>
      </c>
      <c r="G147">
        <v>0.60000000000000009</v>
      </c>
      <c r="H147" s="2">
        <v>203.01459999999969</v>
      </c>
      <c r="I147" s="2">
        <v>2730.556</v>
      </c>
    </row>
    <row r="148" spans="2:9" x14ac:dyDescent="0.3">
      <c r="E148" t="s">
        <v>25</v>
      </c>
      <c r="F148">
        <v>5</v>
      </c>
      <c r="G148">
        <v>0.3</v>
      </c>
      <c r="H148" s="2">
        <v>-118.12950000000006</v>
      </c>
      <c r="I148" s="2">
        <v>918.78499999999985</v>
      </c>
    </row>
    <row r="149" spans="2:9" x14ac:dyDescent="0.3">
      <c r="D149" t="s">
        <v>15</v>
      </c>
      <c r="E149" t="s">
        <v>23</v>
      </c>
      <c r="F149">
        <v>8</v>
      </c>
      <c r="G149">
        <v>0.4</v>
      </c>
      <c r="H149" s="2">
        <v>20.665199999999992</v>
      </c>
      <c r="I149" s="2">
        <v>302.25200000000007</v>
      </c>
    </row>
    <row r="150" spans="2:9" x14ac:dyDescent="0.3">
      <c r="E150" t="s">
        <v>20</v>
      </c>
      <c r="F150">
        <v>8</v>
      </c>
      <c r="G150">
        <v>1.6</v>
      </c>
      <c r="H150" s="2">
        <v>-15.799200000000003</v>
      </c>
      <c r="I150" s="2">
        <v>9.6159999999999979</v>
      </c>
    </row>
    <row r="151" spans="2:9" x14ac:dyDescent="0.3">
      <c r="E151" t="s">
        <v>38</v>
      </c>
      <c r="F151">
        <v>9</v>
      </c>
      <c r="G151">
        <v>0</v>
      </c>
      <c r="H151" s="2">
        <v>12.744</v>
      </c>
      <c r="I151" s="2">
        <v>26.55</v>
      </c>
    </row>
    <row r="152" spans="2:9" x14ac:dyDescent="0.3">
      <c r="E152" t="s">
        <v>21</v>
      </c>
      <c r="F152">
        <v>10</v>
      </c>
      <c r="G152">
        <v>1.2</v>
      </c>
      <c r="H152" s="2">
        <v>-13.056800000000004</v>
      </c>
      <c r="I152" s="2">
        <v>18.64</v>
      </c>
    </row>
    <row r="153" spans="2:9" x14ac:dyDescent="0.3">
      <c r="E153" t="s">
        <v>43</v>
      </c>
      <c r="F153">
        <v>3</v>
      </c>
      <c r="G153">
        <v>0.4</v>
      </c>
      <c r="H153" s="2">
        <v>2.8746</v>
      </c>
      <c r="I153" s="2">
        <v>8.4239999999999995</v>
      </c>
    </row>
    <row r="154" spans="2:9" x14ac:dyDescent="0.3">
      <c r="E154" t="s">
        <v>16</v>
      </c>
      <c r="F154">
        <v>13</v>
      </c>
      <c r="G154">
        <v>0.4</v>
      </c>
      <c r="H154" s="2">
        <v>23.245199999999997</v>
      </c>
      <c r="I154" s="2">
        <v>67.536000000000016</v>
      </c>
    </row>
    <row r="155" spans="2:9" x14ac:dyDescent="0.3">
      <c r="E155" t="s">
        <v>25</v>
      </c>
      <c r="F155">
        <v>5</v>
      </c>
      <c r="G155">
        <v>0.3</v>
      </c>
      <c r="H155" s="2">
        <v>-121.87349999999992</v>
      </c>
      <c r="I155" s="2">
        <v>1218.7349999999997</v>
      </c>
    </row>
    <row r="156" spans="2:9" x14ac:dyDescent="0.3">
      <c r="D156" t="s">
        <v>17</v>
      </c>
      <c r="E156" t="s">
        <v>23</v>
      </c>
      <c r="F156">
        <v>3</v>
      </c>
      <c r="G156">
        <v>0</v>
      </c>
      <c r="H156" s="2">
        <v>16.2486</v>
      </c>
      <c r="I156" s="2">
        <v>47.79</v>
      </c>
    </row>
    <row r="157" spans="2:9" x14ac:dyDescent="0.3">
      <c r="E157" t="s">
        <v>20</v>
      </c>
      <c r="F157">
        <v>9</v>
      </c>
      <c r="G157">
        <v>0.8</v>
      </c>
      <c r="H157" s="2">
        <v>-17.469000000000005</v>
      </c>
      <c r="I157" s="2">
        <v>11.645999999999997</v>
      </c>
    </row>
    <row r="158" spans="2:9" x14ac:dyDescent="0.3">
      <c r="E158" t="s">
        <v>21</v>
      </c>
      <c r="F158">
        <v>5</v>
      </c>
      <c r="G158">
        <v>0</v>
      </c>
      <c r="H158" s="2">
        <v>18.329999999999991</v>
      </c>
      <c r="I158" s="2">
        <v>61.1</v>
      </c>
    </row>
    <row r="159" spans="2:9" x14ac:dyDescent="0.3">
      <c r="B159" t="s">
        <v>47</v>
      </c>
      <c r="C159" t="s">
        <v>22</v>
      </c>
      <c r="D159" t="s">
        <v>8</v>
      </c>
      <c r="E159" t="s">
        <v>19</v>
      </c>
      <c r="F159">
        <v>6</v>
      </c>
      <c r="G159">
        <v>0.2</v>
      </c>
      <c r="H159" s="2">
        <v>1.2348000000000008</v>
      </c>
      <c r="I159" s="2">
        <v>14.111999999999998</v>
      </c>
    </row>
    <row r="160" spans="2:9" x14ac:dyDescent="0.3">
      <c r="B160" t="s">
        <v>48</v>
      </c>
      <c r="C160" t="s">
        <v>7</v>
      </c>
      <c r="D160" t="s">
        <v>15</v>
      </c>
      <c r="E160" t="s">
        <v>33</v>
      </c>
      <c r="F160">
        <v>2</v>
      </c>
      <c r="G160">
        <v>0.2</v>
      </c>
      <c r="H160" s="2">
        <v>52.511399999999981</v>
      </c>
      <c r="I160" s="2">
        <v>466.76800000000003</v>
      </c>
    </row>
    <row r="161" spans="2:9" x14ac:dyDescent="0.3">
      <c r="E161" t="s">
        <v>21</v>
      </c>
      <c r="F161">
        <v>5</v>
      </c>
      <c r="G161">
        <v>0.4</v>
      </c>
      <c r="H161" s="2">
        <v>5.3083999999999989</v>
      </c>
      <c r="I161" s="2">
        <v>30.368000000000002</v>
      </c>
    </row>
    <row r="162" spans="2:9" x14ac:dyDescent="0.3">
      <c r="E162" t="s">
        <v>43</v>
      </c>
      <c r="F162">
        <v>3</v>
      </c>
      <c r="G162">
        <v>0.2</v>
      </c>
      <c r="H162" s="2">
        <v>2.0358000000000001</v>
      </c>
      <c r="I162" s="2">
        <v>6.2640000000000002</v>
      </c>
    </row>
    <row r="163" spans="2:9" x14ac:dyDescent="0.3">
      <c r="B163" t="s">
        <v>49</v>
      </c>
      <c r="C163" t="s">
        <v>27</v>
      </c>
      <c r="D163" t="s">
        <v>8</v>
      </c>
      <c r="E163" t="s">
        <v>24</v>
      </c>
      <c r="F163">
        <v>5</v>
      </c>
      <c r="G163">
        <v>0.2</v>
      </c>
      <c r="H163" s="2">
        <v>85.247500000000002</v>
      </c>
      <c r="I163" s="2">
        <v>1363.96</v>
      </c>
    </row>
    <row r="164" spans="2:9" x14ac:dyDescent="0.3">
      <c r="C164" t="s">
        <v>7</v>
      </c>
      <c r="D164" t="s">
        <v>15</v>
      </c>
      <c r="E164" t="s">
        <v>19</v>
      </c>
      <c r="F164">
        <v>3</v>
      </c>
      <c r="G164">
        <v>0.2</v>
      </c>
      <c r="H164" s="2">
        <v>0.88559999999999883</v>
      </c>
      <c r="I164" s="2">
        <v>7.8719999999999999</v>
      </c>
    </row>
    <row r="165" spans="2:9" x14ac:dyDescent="0.3">
      <c r="E165" t="s">
        <v>20</v>
      </c>
      <c r="F165">
        <v>8</v>
      </c>
      <c r="G165">
        <v>0.7</v>
      </c>
      <c r="H165" s="2">
        <v>-12.671999999999997</v>
      </c>
      <c r="I165" s="2">
        <v>19.008000000000003</v>
      </c>
    </row>
    <row r="166" spans="2:9" x14ac:dyDescent="0.3">
      <c r="C166" t="s">
        <v>22</v>
      </c>
      <c r="D166" t="s">
        <v>8</v>
      </c>
      <c r="E166" t="s">
        <v>12</v>
      </c>
      <c r="F166">
        <v>1</v>
      </c>
      <c r="G166">
        <v>0.2</v>
      </c>
      <c r="H166" s="2">
        <v>4.3584000000000032</v>
      </c>
      <c r="I166" s="2">
        <v>43.584000000000003</v>
      </c>
    </row>
    <row r="167" spans="2:9" x14ac:dyDescent="0.3">
      <c r="E167" t="s">
        <v>19</v>
      </c>
      <c r="F167">
        <v>10</v>
      </c>
      <c r="G167">
        <v>0.4</v>
      </c>
      <c r="H167" s="2">
        <v>3.5524999999999975</v>
      </c>
      <c r="I167" s="2">
        <v>24.68</v>
      </c>
    </row>
    <row r="168" spans="2:9" x14ac:dyDescent="0.3">
      <c r="D168" t="s">
        <v>15</v>
      </c>
      <c r="E168" t="s">
        <v>14</v>
      </c>
      <c r="F168">
        <v>1</v>
      </c>
      <c r="G168">
        <v>0.2</v>
      </c>
      <c r="H168" s="2">
        <v>-3.864600000000002</v>
      </c>
      <c r="I168" s="2">
        <v>16.272000000000002</v>
      </c>
    </row>
    <row r="169" spans="2:9" x14ac:dyDescent="0.3">
      <c r="B169" t="s">
        <v>50</v>
      </c>
      <c r="C169" t="s">
        <v>11</v>
      </c>
      <c r="D169" t="s">
        <v>15</v>
      </c>
      <c r="E169" t="s">
        <v>19</v>
      </c>
      <c r="F169">
        <v>3</v>
      </c>
      <c r="G169">
        <v>0</v>
      </c>
      <c r="H169" s="2">
        <v>5.2397999999999998</v>
      </c>
      <c r="I169" s="2">
        <v>12.78</v>
      </c>
    </row>
    <row r="170" spans="2:9" x14ac:dyDescent="0.3">
      <c r="C170" t="s">
        <v>27</v>
      </c>
      <c r="D170" t="s">
        <v>8</v>
      </c>
      <c r="E170" t="s">
        <v>43</v>
      </c>
      <c r="F170">
        <v>3</v>
      </c>
      <c r="G170">
        <v>0</v>
      </c>
      <c r="H170" s="2">
        <v>7.2176999999999998</v>
      </c>
      <c r="I170" s="2">
        <v>14.73</v>
      </c>
    </row>
    <row r="171" spans="2:9" x14ac:dyDescent="0.3">
      <c r="C171" t="s">
        <v>22</v>
      </c>
      <c r="D171" t="s">
        <v>8</v>
      </c>
      <c r="E171" t="s">
        <v>12</v>
      </c>
      <c r="F171">
        <v>5</v>
      </c>
      <c r="G171">
        <v>0</v>
      </c>
      <c r="H171" s="2">
        <v>40.274000000000001</v>
      </c>
      <c r="I171" s="2">
        <v>154.9</v>
      </c>
    </row>
    <row r="172" spans="2:9" x14ac:dyDescent="0.3">
      <c r="E172" t="s">
        <v>21</v>
      </c>
      <c r="F172">
        <v>3</v>
      </c>
      <c r="G172">
        <v>0</v>
      </c>
      <c r="H172" s="2">
        <v>41.038800000000002</v>
      </c>
      <c r="I172" s="2">
        <v>186.54</v>
      </c>
    </row>
    <row r="173" spans="2:9" x14ac:dyDescent="0.3">
      <c r="E173" t="s">
        <v>16</v>
      </c>
      <c r="F173">
        <v>3</v>
      </c>
      <c r="G173">
        <v>0</v>
      </c>
      <c r="H173" s="2">
        <v>7.1280000000000001</v>
      </c>
      <c r="I173" s="2">
        <v>15.84</v>
      </c>
    </row>
    <row r="174" spans="2:9" x14ac:dyDescent="0.3">
      <c r="E174" t="s">
        <v>24</v>
      </c>
      <c r="F174">
        <v>7</v>
      </c>
      <c r="G174">
        <v>0</v>
      </c>
      <c r="H174" s="2">
        <v>293.98040000000003</v>
      </c>
      <c r="I174" s="2">
        <v>1049.93</v>
      </c>
    </row>
    <row r="175" spans="2:9" x14ac:dyDescent="0.3">
      <c r="D175" t="s">
        <v>15</v>
      </c>
      <c r="E175" t="s">
        <v>23</v>
      </c>
      <c r="F175">
        <v>1</v>
      </c>
      <c r="G175">
        <v>0</v>
      </c>
      <c r="H175" s="2">
        <v>28.796399999999998</v>
      </c>
      <c r="I175" s="2">
        <v>79.989999999999995</v>
      </c>
    </row>
    <row r="176" spans="2:9" x14ac:dyDescent="0.3">
      <c r="E176" t="s">
        <v>24</v>
      </c>
      <c r="F176">
        <v>5</v>
      </c>
      <c r="G176">
        <v>0</v>
      </c>
      <c r="H176" s="2">
        <v>55.647000000000006</v>
      </c>
      <c r="I176" s="2">
        <v>206.1</v>
      </c>
    </row>
    <row r="177" spans="2:9" x14ac:dyDescent="0.3">
      <c r="B177" t="s">
        <v>51</v>
      </c>
      <c r="C177" t="s">
        <v>11</v>
      </c>
      <c r="D177" t="s">
        <v>8</v>
      </c>
      <c r="E177" t="s">
        <v>20</v>
      </c>
      <c r="F177">
        <v>4</v>
      </c>
      <c r="G177">
        <v>0</v>
      </c>
      <c r="H177" s="2">
        <v>7.4824000000000002</v>
      </c>
      <c r="I177" s="2">
        <v>15.92</v>
      </c>
    </row>
    <row r="178" spans="2:9" x14ac:dyDescent="0.3">
      <c r="E178" t="s">
        <v>14</v>
      </c>
      <c r="F178">
        <v>6</v>
      </c>
      <c r="G178">
        <v>0</v>
      </c>
      <c r="H178" s="2">
        <v>175.51560000000001</v>
      </c>
      <c r="I178" s="2">
        <v>1350.1200000000001</v>
      </c>
    </row>
    <row r="179" spans="2:9" x14ac:dyDescent="0.3">
      <c r="D179" t="s">
        <v>15</v>
      </c>
      <c r="E179" t="s">
        <v>16</v>
      </c>
      <c r="F179">
        <v>2</v>
      </c>
      <c r="G179">
        <v>0</v>
      </c>
      <c r="H179" s="2">
        <v>4.8804000000000007</v>
      </c>
      <c r="I179" s="2">
        <v>9.9600000000000009</v>
      </c>
    </row>
    <row r="180" spans="2:9" x14ac:dyDescent="0.3">
      <c r="C180" t="s">
        <v>27</v>
      </c>
      <c r="D180" t="s">
        <v>8</v>
      </c>
      <c r="E180" t="s">
        <v>16</v>
      </c>
      <c r="F180">
        <v>4</v>
      </c>
      <c r="G180">
        <v>0</v>
      </c>
      <c r="H180" s="2">
        <v>91.950799999999987</v>
      </c>
      <c r="I180" s="2">
        <v>195.64</v>
      </c>
    </row>
    <row r="181" spans="2:9" x14ac:dyDescent="0.3">
      <c r="C181" t="s">
        <v>7</v>
      </c>
      <c r="D181" t="s">
        <v>8</v>
      </c>
      <c r="E181" t="s">
        <v>23</v>
      </c>
      <c r="F181">
        <v>2</v>
      </c>
      <c r="G181">
        <v>0</v>
      </c>
      <c r="H181" s="2">
        <v>114.99540000000002</v>
      </c>
      <c r="I181" s="2">
        <v>499.98</v>
      </c>
    </row>
    <row r="182" spans="2:9" x14ac:dyDescent="0.3">
      <c r="E182" t="s">
        <v>19</v>
      </c>
      <c r="F182">
        <v>3</v>
      </c>
      <c r="G182">
        <v>0</v>
      </c>
      <c r="H182" s="2">
        <v>4.5836999999999994</v>
      </c>
      <c r="I182" s="2">
        <v>13.89</v>
      </c>
    </row>
    <row r="183" spans="2:9" x14ac:dyDescent="0.3">
      <c r="E183" t="s">
        <v>20</v>
      </c>
      <c r="F183">
        <v>2</v>
      </c>
      <c r="G183">
        <v>0</v>
      </c>
      <c r="H183" s="2">
        <v>3.8822000000000001</v>
      </c>
      <c r="I183" s="2">
        <v>8.26</v>
      </c>
    </row>
    <row r="184" spans="2:9" x14ac:dyDescent="0.3">
      <c r="E184" t="s">
        <v>16</v>
      </c>
      <c r="F184">
        <v>13</v>
      </c>
      <c r="G184">
        <v>0</v>
      </c>
      <c r="H184" s="2">
        <v>35.112899999999996</v>
      </c>
      <c r="I184" s="2">
        <v>72.09</v>
      </c>
    </row>
    <row r="185" spans="2:9" x14ac:dyDescent="0.3">
      <c r="D185" t="s">
        <v>15</v>
      </c>
      <c r="E185" t="s">
        <v>20</v>
      </c>
      <c r="F185">
        <v>5</v>
      </c>
      <c r="G185">
        <v>0</v>
      </c>
      <c r="H185" s="2">
        <v>48.047600000000003</v>
      </c>
      <c r="I185" s="2">
        <v>98.66</v>
      </c>
    </row>
    <row r="186" spans="2:9" x14ac:dyDescent="0.3">
      <c r="E186" t="s">
        <v>45</v>
      </c>
      <c r="F186">
        <v>5</v>
      </c>
      <c r="G186">
        <v>0</v>
      </c>
      <c r="H186" s="2">
        <v>1439.9760000000001</v>
      </c>
      <c r="I186" s="2">
        <v>2999.95</v>
      </c>
    </row>
    <row r="187" spans="2:9" x14ac:dyDescent="0.3">
      <c r="C187" t="s">
        <v>22</v>
      </c>
      <c r="D187" t="s">
        <v>8</v>
      </c>
      <c r="E187" t="s">
        <v>23</v>
      </c>
      <c r="F187">
        <v>13</v>
      </c>
      <c r="G187">
        <v>0</v>
      </c>
      <c r="H187" s="2">
        <v>51.93089999999998</v>
      </c>
      <c r="I187" s="2">
        <v>319.70999999999998</v>
      </c>
    </row>
    <row r="188" spans="2:9" x14ac:dyDescent="0.3">
      <c r="E188" t="s">
        <v>12</v>
      </c>
      <c r="F188">
        <v>6</v>
      </c>
      <c r="G188">
        <v>0</v>
      </c>
      <c r="H188" s="2">
        <v>158.74679999999998</v>
      </c>
      <c r="I188" s="2">
        <v>568.79999999999995</v>
      </c>
    </row>
    <row r="189" spans="2:9" x14ac:dyDescent="0.3">
      <c r="E189" t="s">
        <v>19</v>
      </c>
      <c r="F189">
        <v>4</v>
      </c>
      <c r="G189">
        <v>0</v>
      </c>
      <c r="H189" s="2">
        <v>2.9081999999999999</v>
      </c>
      <c r="I189" s="2">
        <v>11.08</v>
      </c>
    </row>
    <row r="190" spans="2:9" x14ac:dyDescent="0.3">
      <c r="E190" t="s">
        <v>20</v>
      </c>
      <c r="F190">
        <v>6</v>
      </c>
      <c r="G190">
        <v>0</v>
      </c>
      <c r="H190" s="2">
        <v>3178.8371999999999</v>
      </c>
      <c r="I190" s="2">
        <v>6357.73</v>
      </c>
    </row>
    <row r="191" spans="2:9" x14ac:dyDescent="0.3">
      <c r="E191" t="s">
        <v>34</v>
      </c>
      <c r="F191">
        <v>9</v>
      </c>
      <c r="G191">
        <v>0</v>
      </c>
      <c r="H191" s="2">
        <v>374.62859999999989</v>
      </c>
      <c r="I191" s="2">
        <v>1628.82</v>
      </c>
    </row>
    <row r="192" spans="2:9" x14ac:dyDescent="0.3">
      <c r="E192" t="s">
        <v>33</v>
      </c>
      <c r="F192">
        <v>2</v>
      </c>
      <c r="G192">
        <v>0</v>
      </c>
      <c r="H192" s="2">
        <v>18.327599999999997</v>
      </c>
      <c r="I192" s="2">
        <v>67.88</v>
      </c>
    </row>
    <row r="193" spans="2:9" x14ac:dyDescent="0.3">
      <c r="E193" t="s">
        <v>21</v>
      </c>
      <c r="F193">
        <v>6</v>
      </c>
      <c r="G193">
        <v>0</v>
      </c>
      <c r="H193" s="2">
        <v>22.248599999999989</v>
      </c>
      <c r="I193" s="2">
        <v>155.64000000000001</v>
      </c>
    </row>
    <row r="194" spans="2:9" x14ac:dyDescent="0.3">
      <c r="E194" t="s">
        <v>43</v>
      </c>
      <c r="F194">
        <v>16</v>
      </c>
      <c r="G194">
        <v>0</v>
      </c>
      <c r="H194" s="2">
        <v>80.791899999999984</v>
      </c>
      <c r="I194" s="2">
        <v>171.52999999999997</v>
      </c>
    </row>
    <row r="195" spans="2:9" x14ac:dyDescent="0.3">
      <c r="E195" t="s">
        <v>16</v>
      </c>
      <c r="F195">
        <v>26</v>
      </c>
      <c r="G195">
        <v>0</v>
      </c>
      <c r="H195" s="2">
        <v>325.59620000000001</v>
      </c>
      <c r="I195" s="2">
        <v>669.94</v>
      </c>
    </row>
    <row r="196" spans="2:9" x14ac:dyDescent="0.3">
      <c r="E196" t="s">
        <v>24</v>
      </c>
      <c r="F196">
        <v>4</v>
      </c>
      <c r="G196">
        <v>0</v>
      </c>
      <c r="H196" s="2">
        <v>137.6977</v>
      </c>
      <c r="I196" s="2">
        <v>513.91999999999996</v>
      </c>
    </row>
    <row r="197" spans="2:9" x14ac:dyDescent="0.3">
      <c r="E197" t="s">
        <v>14</v>
      </c>
      <c r="F197">
        <v>3</v>
      </c>
      <c r="G197">
        <v>0</v>
      </c>
      <c r="H197" s="2">
        <v>11.684999999999999</v>
      </c>
      <c r="I197" s="2">
        <v>46.74</v>
      </c>
    </row>
    <row r="198" spans="2:9" x14ac:dyDescent="0.3">
      <c r="D198" t="s">
        <v>15</v>
      </c>
      <c r="E198" t="s">
        <v>19</v>
      </c>
      <c r="F198">
        <v>3</v>
      </c>
      <c r="G198">
        <v>0</v>
      </c>
      <c r="H198" s="2">
        <v>3.7235999999999989</v>
      </c>
      <c r="I198" s="2">
        <v>12.84</v>
      </c>
    </row>
    <row r="199" spans="2:9" x14ac:dyDescent="0.3">
      <c r="E199" t="s">
        <v>43</v>
      </c>
      <c r="F199">
        <v>3</v>
      </c>
      <c r="G199">
        <v>0</v>
      </c>
      <c r="H199" s="2">
        <v>5.6993999999999998</v>
      </c>
      <c r="I199" s="2">
        <v>12.39</v>
      </c>
    </row>
    <row r="200" spans="2:9" x14ac:dyDescent="0.3">
      <c r="D200" t="s">
        <v>17</v>
      </c>
      <c r="E200" t="s">
        <v>20</v>
      </c>
      <c r="F200">
        <v>1</v>
      </c>
      <c r="G200">
        <v>0</v>
      </c>
      <c r="H200" s="2">
        <v>635.495</v>
      </c>
      <c r="I200" s="2">
        <v>1270.99</v>
      </c>
    </row>
    <row r="201" spans="2:9" x14ac:dyDescent="0.3">
      <c r="E201" t="s">
        <v>38</v>
      </c>
      <c r="F201">
        <v>8</v>
      </c>
      <c r="G201">
        <v>0</v>
      </c>
      <c r="H201" s="2">
        <v>58.919199999999989</v>
      </c>
      <c r="I201" s="2">
        <v>125.36</v>
      </c>
    </row>
    <row r="202" spans="2:9" x14ac:dyDescent="0.3">
      <c r="B202" t="s">
        <v>52</v>
      </c>
      <c r="C202" t="s">
        <v>7</v>
      </c>
      <c r="D202" t="s">
        <v>15</v>
      </c>
      <c r="E202" t="s">
        <v>38</v>
      </c>
      <c r="F202">
        <v>2</v>
      </c>
      <c r="G202">
        <v>0</v>
      </c>
      <c r="H202" s="2">
        <v>11.68</v>
      </c>
      <c r="I202" s="2">
        <v>23.36</v>
      </c>
    </row>
    <row r="203" spans="2:9" x14ac:dyDescent="0.3">
      <c r="B203" t="s">
        <v>53</v>
      </c>
      <c r="C203" t="s">
        <v>7</v>
      </c>
      <c r="D203" t="s">
        <v>8</v>
      </c>
      <c r="E203" t="s">
        <v>19</v>
      </c>
      <c r="F203">
        <v>15</v>
      </c>
      <c r="G203">
        <v>0</v>
      </c>
      <c r="H203" s="2">
        <v>97.501200000000011</v>
      </c>
      <c r="I203" s="2">
        <v>363.71999999999997</v>
      </c>
    </row>
    <row r="204" spans="2:9" x14ac:dyDescent="0.3">
      <c r="E204" t="s">
        <v>38</v>
      </c>
      <c r="F204">
        <v>2</v>
      </c>
      <c r="G204">
        <v>0</v>
      </c>
      <c r="H204" s="2">
        <v>3.3947999999999996</v>
      </c>
      <c r="I204" s="2">
        <v>7.38</v>
      </c>
    </row>
    <row r="205" spans="2:9" x14ac:dyDescent="0.3">
      <c r="E205" t="s">
        <v>18</v>
      </c>
      <c r="F205">
        <v>9</v>
      </c>
      <c r="G205">
        <v>0</v>
      </c>
      <c r="H205" s="2">
        <v>13.324499999999999</v>
      </c>
      <c r="I205" s="2">
        <v>29.61</v>
      </c>
    </row>
    <row r="206" spans="2:9" x14ac:dyDescent="0.3">
      <c r="E206" t="s">
        <v>43</v>
      </c>
      <c r="F206">
        <v>5</v>
      </c>
      <c r="G206">
        <v>0</v>
      </c>
      <c r="H206" s="2">
        <v>240.8595</v>
      </c>
      <c r="I206" s="2">
        <v>491.55</v>
      </c>
    </row>
    <row r="207" spans="2:9" x14ac:dyDescent="0.3">
      <c r="E207" t="s">
        <v>24</v>
      </c>
      <c r="F207">
        <v>4</v>
      </c>
      <c r="G207">
        <v>0</v>
      </c>
      <c r="H207" s="2">
        <v>9.1311999999999998</v>
      </c>
      <c r="I207" s="2">
        <v>35.119999999999997</v>
      </c>
    </row>
    <row r="208" spans="2:9" x14ac:dyDescent="0.3">
      <c r="E208" t="s">
        <v>14</v>
      </c>
      <c r="F208">
        <v>3</v>
      </c>
      <c r="G208">
        <v>0</v>
      </c>
      <c r="H208" s="2">
        <v>9.716399999999993</v>
      </c>
      <c r="I208" s="2">
        <v>161.94</v>
      </c>
    </row>
    <row r="209" spans="2:9" x14ac:dyDescent="0.3">
      <c r="D209" t="s">
        <v>15</v>
      </c>
      <c r="E209" t="s">
        <v>16</v>
      </c>
      <c r="F209">
        <v>8</v>
      </c>
      <c r="G209">
        <v>0</v>
      </c>
      <c r="H209" s="2">
        <v>22.540800000000001</v>
      </c>
      <c r="I209" s="2">
        <v>46.96</v>
      </c>
    </row>
    <row r="210" spans="2:9" x14ac:dyDescent="0.3">
      <c r="C210" t="s">
        <v>22</v>
      </c>
      <c r="D210" t="s">
        <v>8</v>
      </c>
      <c r="E210" t="s">
        <v>19</v>
      </c>
      <c r="F210">
        <v>2</v>
      </c>
      <c r="G210">
        <v>0</v>
      </c>
      <c r="H210" s="2">
        <v>3.0557999999999996</v>
      </c>
      <c r="I210" s="2">
        <v>9.26</v>
      </c>
    </row>
    <row r="211" spans="2:9" x14ac:dyDescent="0.3">
      <c r="E211" t="s">
        <v>20</v>
      </c>
      <c r="F211">
        <v>3</v>
      </c>
      <c r="G211">
        <v>0.2</v>
      </c>
      <c r="H211" s="2">
        <v>5.8230000000000004</v>
      </c>
      <c r="I211" s="2">
        <v>15.528</v>
      </c>
    </row>
    <row r="212" spans="2:9" x14ac:dyDescent="0.3">
      <c r="E212" t="s">
        <v>33</v>
      </c>
      <c r="F212">
        <v>1</v>
      </c>
      <c r="G212">
        <v>0</v>
      </c>
      <c r="H212" s="2">
        <v>84.23520000000002</v>
      </c>
      <c r="I212" s="2">
        <v>350.98</v>
      </c>
    </row>
    <row r="213" spans="2:9" x14ac:dyDescent="0.3">
      <c r="E213" t="s">
        <v>38</v>
      </c>
      <c r="F213">
        <v>1</v>
      </c>
      <c r="G213">
        <v>0</v>
      </c>
      <c r="H213" s="2">
        <v>12.7746</v>
      </c>
      <c r="I213" s="2">
        <v>27.18</v>
      </c>
    </row>
    <row r="214" spans="2:9" x14ac:dyDescent="0.3">
      <c r="E214" t="s">
        <v>18</v>
      </c>
      <c r="F214">
        <v>1</v>
      </c>
      <c r="G214">
        <v>0</v>
      </c>
      <c r="H214" s="2">
        <v>0.58279999999999998</v>
      </c>
      <c r="I214" s="2">
        <v>1.24</v>
      </c>
    </row>
    <row r="215" spans="2:9" x14ac:dyDescent="0.3">
      <c r="E215" t="s">
        <v>43</v>
      </c>
      <c r="F215">
        <v>2</v>
      </c>
      <c r="G215">
        <v>0</v>
      </c>
      <c r="H215" s="2">
        <v>9.9359999999999999</v>
      </c>
      <c r="I215" s="2">
        <v>20.7</v>
      </c>
    </row>
    <row r="216" spans="2:9" x14ac:dyDescent="0.3">
      <c r="E216" t="s">
        <v>16</v>
      </c>
      <c r="F216">
        <v>7</v>
      </c>
      <c r="G216">
        <v>0</v>
      </c>
      <c r="H216" s="2">
        <v>20.177800000000001</v>
      </c>
      <c r="I216" s="2">
        <v>41.980000000000004</v>
      </c>
    </row>
    <row r="217" spans="2:9" x14ac:dyDescent="0.3">
      <c r="E217" t="s">
        <v>14</v>
      </c>
      <c r="F217">
        <v>6</v>
      </c>
      <c r="G217">
        <v>0</v>
      </c>
      <c r="H217" s="2">
        <v>121.2496</v>
      </c>
      <c r="I217" s="2">
        <v>1006.0600000000001</v>
      </c>
    </row>
    <row r="218" spans="2:9" x14ac:dyDescent="0.3">
      <c r="D218" t="s">
        <v>15</v>
      </c>
      <c r="E218" t="s">
        <v>19</v>
      </c>
      <c r="F218">
        <v>3</v>
      </c>
      <c r="G218">
        <v>0</v>
      </c>
      <c r="H218" s="2">
        <v>5.2112999999999996</v>
      </c>
      <c r="I218" s="2">
        <v>17.97</v>
      </c>
    </row>
    <row r="219" spans="2:9" x14ac:dyDescent="0.3">
      <c r="E219" t="s">
        <v>21</v>
      </c>
      <c r="F219">
        <v>5</v>
      </c>
      <c r="G219">
        <v>0</v>
      </c>
      <c r="H219" s="2">
        <v>72.807000000000031</v>
      </c>
      <c r="I219" s="2">
        <v>520.05000000000007</v>
      </c>
    </row>
    <row r="220" spans="2:9" x14ac:dyDescent="0.3">
      <c r="D220" t="s">
        <v>17</v>
      </c>
      <c r="E220" t="s">
        <v>19</v>
      </c>
      <c r="F220">
        <v>2</v>
      </c>
      <c r="G220">
        <v>0</v>
      </c>
      <c r="H220" s="2">
        <v>1.0903999999999998</v>
      </c>
      <c r="I220" s="2">
        <v>3.76</v>
      </c>
    </row>
    <row r="221" spans="2:9" x14ac:dyDescent="0.3">
      <c r="E221" t="s">
        <v>21</v>
      </c>
      <c r="F221">
        <v>1</v>
      </c>
      <c r="G221">
        <v>0</v>
      </c>
      <c r="H221" s="2">
        <v>1.5047999999999999</v>
      </c>
      <c r="I221" s="2">
        <v>4.18</v>
      </c>
    </row>
    <row r="222" spans="2:9" x14ac:dyDescent="0.3">
      <c r="B222" t="s">
        <v>54</v>
      </c>
      <c r="C222" t="s">
        <v>11</v>
      </c>
      <c r="D222" t="s">
        <v>8</v>
      </c>
      <c r="E222" t="s">
        <v>16</v>
      </c>
      <c r="F222">
        <v>6</v>
      </c>
      <c r="G222">
        <v>0.2</v>
      </c>
      <c r="H222" s="2">
        <v>67.442399999999992</v>
      </c>
      <c r="I222" s="2">
        <v>186.048</v>
      </c>
    </row>
    <row r="223" spans="2:9" x14ac:dyDescent="0.3">
      <c r="E223" t="s">
        <v>24</v>
      </c>
      <c r="F223">
        <v>7</v>
      </c>
      <c r="G223">
        <v>0.2</v>
      </c>
      <c r="H223" s="2">
        <v>15.742999999999984</v>
      </c>
      <c r="I223" s="2">
        <v>125.944</v>
      </c>
    </row>
    <row r="224" spans="2:9" x14ac:dyDescent="0.3">
      <c r="D224" t="s">
        <v>15</v>
      </c>
      <c r="E224" t="s">
        <v>23</v>
      </c>
      <c r="F224">
        <v>7</v>
      </c>
      <c r="G224">
        <v>0.2</v>
      </c>
      <c r="H224" s="2">
        <v>-14.793099999999995</v>
      </c>
      <c r="I224" s="2">
        <v>169.06400000000002</v>
      </c>
    </row>
    <row r="225" spans="3:9" x14ac:dyDescent="0.3">
      <c r="E225" t="s">
        <v>12</v>
      </c>
      <c r="F225">
        <v>2</v>
      </c>
      <c r="G225">
        <v>0.2</v>
      </c>
      <c r="H225" s="2">
        <v>3.2432000000000016</v>
      </c>
      <c r="I225" s="2">
        <v>32.432000000000002</v>
      </c>
    </row>
    <row r="226" spans="3:9" x14ac:dyDescent="0.3">
      <c r="E226" t="s">
        <v>21</v>
      </c>
      <c r="F226">
        <v>4</v>
      </c>
      <c r="G226">
        <v>0.2</v>
      </c>
      <c r="H226" s="2">
        <v>4.0039999999999978</v>
      </c>
      <c r="I226" s="2">
        <v>24.64</v>
      </c>
    </row>
    <row r="227" spans="3:9" x14ac:dyDescent="0.3">
      <c r="E227" t="s">
        <v>16</v>
      </c>
      <c r="F227">
        <v>4</v>
      </c>
      <c r="G227">
        <v>0.2</v>
      </c>
      <c r="H227" s="2">
        <v>62.137599999999992</v>
      </c>
      <c r="I227" s="2">
        <v>177.536</v>
      </c>
    </row>
    <row r="228" spans="3:9" x14ac:dyDescent="0.3">
      <c r="E228" t="s">
        <v>24</v>
      </c>
      <c r="F228">
        <v>1</v>
      </c>
      <c r="G228">
        <v>0.2</v>
      </c>
      <c r="H228" s="2">
        <v>2.5973999999999995</v>
      </c>
      <c r="I228" s="2">
        <v>7.9920000000000009</v>
      </c>
    </row>
    <row r="229" spans="3:9" x14ac:dyDescent="0.3">
      <c r="E229" t="s">
        <v>14</v>
      </c>
      <c r="F229">
        <v>9</v>
      </c>
      <c r="G229">
        <v>0.2</v>
      </c>
      <c r="H229" s="2">
        <v>14.754599999999996</v>
      </c>
      <c r="I229" s="2">
        <v>168.624</v>
      </c>
    </row>
    <row r="230" spans="3:9" x14ac:dyDescent="0.3">
      <c r="D230" t="s">
        <v>17</v>
      </c>
      <c r="E230" t="s">
        <v>23</v>
      </c>
      <c r="F230">
        <v>2</v>
      </c>
      <c r="G230">
        <v>0.2</v>
      </c>
      <c r="H230" s="2">
        <v>1.359599999999995</v>
      </c>
      <c r="I230" s="2">
        <v>54.384000000000007</v>
      </c>
    </row>
    <row r="231" spans="3:9" x14ac:dyDescent="0.3">
      <c r="E231" t="s">
        <v>12</v>
      </c>
      <c r="F231">
        <v>2</v>
      </c>
      <c r="G231">
        <v>0.2</v>
      </c>
      <c r="H231" s="2">
        <v>26.22399999999999</v>
      </c>
      <c r="I231" s="2">
        <v>209.79200000000003</v>
      </c>
    </row>
    <row r="232" spans="3:9" x14ac:dyDescent="0.3">
      <c r="E232" t="s">
        <v>20</v>
      </c>
      <c r="F232">
        <v>4</v>
      </c>
      <c r="G232">
        <v>0.7</v>
      </c>
      <c r="H232" s="2">
        <v>-58.861599999999981</v>
      </c>
      <c r="I232" s="2">
        <v>76.77600000000001</v>
      </c>
    </row>
    <row r="233" spans="3:9" x14ac:dyDescent="0.3">
      <c r="E233" t="s">
        <v>21</v>
      </c>
      <c r="F233">
        <v>1</v>
      </c>
      <c r="G233">
        <v>0.2</v>
      </c>
      <c r="H233" s="2">
        <v>3.2776000000000014</v>
      </c>
      <c r="I233" s="2">
        <v>32.776000000000003</v>
      </c>
    </row>
    <row r="234" spans="3:9" x14ac:dyDescent="0.3">
      <c r="E234" t="s">
        <v>16</v>
      </c>
      <c r="F234">
        <v>3</v>
      </c>
      <c r="G234">
        <v>0.2</v>
      </c>
      <c r="H234" s="2">
        <v>5.2026000000000003</v>
      </c>
      <c r="I234" s="2">
        <v>14.352000000000002</v>
      </c>
    </row>
    <row r="235" spans="3:9" x14ac:dyDescent="0.3">
      <c r="E235" t="s">
        <v>14</v>
      </c>
      <c r="F235">
        <v>2</v>
      </c>
      <c r="G235">
        <v>0.2</v>
      </c>
      <c r="H235" s="2">
        <v>-29.436800000000012</v>
      </c>
      <c r="I235" s="2">
        <v>147.184</v>
      </c>
    </row>
    <row r="236" spans="3:9" x14ac:dyDescent="0.3">
      <c r="E236" t="s">
        <v>25</v>
      </c>
      <c r="F236">
        <v>7</v>
      </c>
      <c r="G236">
        <v>0.5</v>
      </c>
      <c r="H236" s="2">
        <v>-525.6405000000002</v>
      </c>
      <c r="I236" s="2">
        <v>796.42500000000007</v>
      </c>
    </row>
    <row r="237" spans="3:9" x14ac:dyDescent="0.3">
      <c r="C237" t="s">
        <v>27</v>
      </c>
      <c r="D237" t="s">
        <v>8</v>
      </c>
      <c r="E237" t="s">
        <v>33</v>
      </c>
      <c r="F237">
        <v>2</v>
      </c>
      <c r="G237">
        <v>0.3</v>
      </c>
      <c r="H237" s="2">
        <v>-14.870399999999961</v>
      </c>
      <c r="I237" s="2">
        <v>520.46399999999994</v>
      </c>
    </row>
    <row r="238" spans="3:9" x14ac:dyDescent="0.3">
      <c r="E238" t="s">
        <v>21</v>
      </c>
      <c r="F238">
        <v>1</v>
      </c>
      <c r="G238">
        <v>0.6</v>
      </c>
      <c r="H238" s="2">
        <v>-66.061999999999998</v>
      </c>
      <c r="I238" s="2">
        <v>77.720000000000013</v>
      </c>
    </row>
    <row r="239" spans="3:9" x14ac:dyDescent="0.3">
      <c r="E239" t="s">
        <v>16</v>
      </c>
      <c r="F239">
        <v>2</v>
      </c>
      <c r="G239">
        <v>0.2</v>
      </c>
      <c r="H239" s="2">
        <v>3.6288</v>
      </c>
      <c r="I239" s="2">
        <v>10.368000000000002</v>
      </c>
    </row>
    <row r="240" spans="3:9" x14ac:dyDescent="0.3">
      <c r="D240" t="s">
        <v>17</v>
      </c>
      <c r="E240" t="s">
        <v>12</v>
      </c>
      <c r="F240">
        <v>5</v>
      </c>
      <c r="G240">
        <v>0.8</v>
      </c>
      <c r="H240" s="2">
        <v>-191.619</v>
      </c>
      <c r="I240" s="2">
        <v>70.969999999999985</v>
      </c>
    </row>
    <row r="241" spans="3:9" x14ac:dyDescent="0.3">
      <c r="E241" t="s">
        <v>19</v>
      </c>
      <c r="F241">
        <v>2</v>
      </c>
      <c r="G241">
        <v>0.2</v>
      </c>
      <c r="H241" s="2">
        <v>3.6784000000000017</v>
      </c>
      <c r="I241" s="2">
        <v>36.783999999999999</v>
      </c>
    </row>
    <row r="242" spans="3:9" x14ac:dyDescent="0.3">
      <c r="E242" t="s">
        <v>20</v>
      </c>
      <c r="F242">
        <v>2</v>
      </c>
      <c r="G242">
        <v>0.8</v>
      </c>
      <c r="H242" s="2">
        <v>-3.4619999999999997</v>
      </c>
      <c r="I242" s="2">
        <v>2.3079999999999994</v>
      </c>
    </row>
    <row r="243" spans="3:9" x14ac:dyDescent="0.3">
      <c r="E243" t="s">
        <v>33</v>
      </c>
      <c r="F243">
        <v>2</v>
      </c>
      <c r="G243">
        <v>0.3</v>
      </c>
      <c r="H243" s="2">
        <v>-50.098000000000013</v>
      </c>
      <c r="I243" s="2">
        <v>701.37199999999996</v>
      </c>
    </row>
    <row r="244" spans="3:9" x14ac:dyDescent="0.3">
      <c r="C244" t="s">
        <v>7</v>
      </c>
      <c r="D244" t="s">
        <v>8</v>
      </c>
      <c r="E244" t="s">
        <v>23</v>
      </c>
      <c r="F244">
        <v>5</v>
      </c>
      <c r="G244">
        <v>0.2</v>
      </c>
      <c r="H244" s="2">
        <v>29.950000000000003</v>
      </c>
      <c r="I244" s="2">
        <v>119.80000000000001</v>
      </c>
    </row>
    <row r="245" spans="3:9" x14ac:dyDescent="0.3">
      <c r="E245" t="s">
        <v>20</v>
      </c>
      <c r="F245">
        <v>9</v>
      </c>
      <c r="G245">
        <v>1.4</v>
      </c>
      <c r="H245" s="2">
        <v>-10.796399999999998</v>
      </c>
      <c r="I245" s="2">
        <v>14.508000000000001</v>
      </c>
    </row>
    <row r="246" spans="3:9" x14ac:dyDescent="0.3">
      <c r="E246" t="s">
        <v>34</v>
      </c>
      <c r="F246">
        <v>6</v>
      </c>
      <c r="G246">
        <v>0.7</v>
      </c>
      <c r="H246" s="2">
        <v>-247.79879999999997</v>
      </c>
      <c r="I246" s="2">
        <v>145.76400000000001</v>
      </c>
    </row>
    <row r="247" spans="3:9" x14ac:dyDescent="0.3">
      <c r="E247" t="s">
        <v>24</v>
      </c>
      <c r="F247">
        <v>4</v>
      </c>
      <c r="G247">
        <v>0.2</v>
      </c>
      <c r="H247" s="2">
        <v>30.076800000000006</v>
      </c>
      <c r="I247" s="2">
        <v>300.76799999999997</v>
      </c>
    </row>
    <row r="248" spans="3:9" x14ac:dyDescent="0.3">
      <c r="E248" t="s">
        <v>14</v>
      </c>
      <c r="F248">
        <v>3</v>
      </c>
      <c r="G248">
        <v>0.2</v>
      </c>
      <c r="H248" s="2">
        <v>-51.719100000000012</v>
      </c>
      <c r="I248" s="2">
        <v>243.38400000000001</v>
      </c>
    </row>
    <row r="249" spans="3:9" x14ac:dyDescent="0.3">
      <c r="E249" t="s">
        <v>25</v>
      </c>
      <c r="F249">
        <v>3</v>
      </c>
      <c r="G249">
        <v>0.5</v>
      </c>
      <c r="H249" s="2">
        <v>-209.76929999999999</v>
      </c>
      <c r="I249" s="2">
        <v>268.935</v>
      </c>
    </row>
    <row r="250" spans="3:9" x14ac:dyDescent="0.3">
      <c r="D250" t="s">
        <v>15</v>
      </c>
      <c r="E250" t="s">
        <v>20</v>
      </c>
      <c r="F250">
        <v>11</v>
      </c>
      <c r="G250">
        <v>1.6</v>
      </c>
      <c r="H250" s="2">
        <v>-169.41840000000008</v>
      </c>
      <c r="I250" s="2">
        <v>97.055999999999983</v>
      </c>
    </row>
    <row r="251" spans="3:9" x14ac:dyDescent="0.3">
      <c r="E251" t="s">
        <v>33</v>
      </c>
      <c r="F251">
        <v>2</v>
      </c>
      <c r="G251">
        <v>0.3</v>
      </c>
      <c r="H251" s="2">
        <v>-14.478399999999993</v>
      </c>
      <c r="I251" s="2">
        <v>253.37199999999996</v>
      </c>
    </row>
    <row r="252" spans="3:9" x14ac:dyDescent="0.3">
      <c r="E252" t="s">
        <v>18</v>
      </c>
      <c r="F252">
        <v>1</v>
      </c>
      <c r="G252">
        <v>0.2</v>
      </c>
      <c r="H252" s="2">
        <v>0.8224999999999999</v>
      </c>
      <c r="I252" s="2">
        <v>2.6320000000000001</v>
      </c>
    </row>
    <row r="253" spans="3:9" x14ac:dyDescent="0.3">
      <c r="E253" t="s">
        <v>21</v>
      </c>
      <c r="F253">
        <v>8</v>
      </c>
      <c r="G253">
        <v>0.6</v>
      </c>
      <c r="H253" s="2">
        <v>-27.129599999999996</v>
      </c>
      <c r="I253" s="2">
        <v>60.288000000000004</v>
      </c>
    </row>
    <row r="254" spans="3:9" x14ac:dyDescent="0.3">
      <c r="E254" t="s">
        <v>16</v>
      </c>
      <c r="F254">
        <v>9</v>
      </c>
      <c r="G254">
        <v>0.2</v>
      </c>
      <c r="H254" s="2">
        <v>7.698599999999999</v>
      </c>
      <c r="I254" s="2">
        <v>23.688000000000002</v>
      </c>
    </row>
    <row r="255" spans="3:9" x14ac:dyDescent="0.3">
      <c r="D255" t="s">
        <v>17</v>
      </c>
      <c r="E255" t="s">
        <v>23</v>
      </c>
      <c r="F255">
        <v>7</v>
      </c>
      <c r="G255">
        <v>0.2</v>
      </c>
      <c r="H255" s="2">
        <v>-0.62650000000000716</v>
      </c>
      <c r="I255" s="2">
        <v>50.120000000000005</v>
      </c>
    </row>
    <row r="256" spans="3:9" x14ac:dyDescent="0.3">
      <c r="E256" t="s">
        <v>21</v>
      </c>
      <c r="F256">
        <v>4</v>
      </c>
      <c r="G256">
        <v>0.6</v>
      </c>
      <c r="H256" s="2">
        <v>-302.72000000000003</v>
      </c>
      <c r="I256" s="2">
        <v>242.17600000000004</v>
      </c>
    </row>
    <row r="257" spans="3:9" x14ac:dyDescent="0.3">
      <c r="C257" t="s">
        <v>22</v>
      </c>
      <c r="D257" t="s">
        <v>8</v>
      </c>
      <c r="E257" t="s">
        <v>23</v>
      </c>
      <c r="F257">
        <v>6</v>
      </c>
      <c r="G257">
        <v>0.2</v>
      </c>
      <c r="H257" s="2">
        <v>-26.875800000000012</v>
      </c>
      <c r="I257" s="2">
        <v>238.89600000000002</v>
      </c>
    </row>
    <row r="258" spans="3:9" x14ac:dyDescent="0.3">
      <c r="E258" t="s">
        <v>12</v>
      </c>
      <c r="F258">
        <v>3</v>
      </c>
      <c r="G258">
        <v>0.2</v>
      </c>
      <c r="H258" s="2">
        <v>12.232799999999997</v>
      </c>
      <c r="I258" s="2">
        <v>122.328</v>
      </c>
    </row>
    <row r="259" spans="3:9" x14ac:dyDescent="0.3">
      <c r="E259" t="s">
        <v>19</v>
      </c>
      <c r="F259">
        <v>2</v>
      </c>
      <c r="G259">
        <v>0.2</v>
      </c>
      <c r="H259" s="2">
        <v>3.1535999999999995</v>
      </c>
      <c r="I259" s="2">
        <v>9.3439999999999994</v>
      </c>
    </row>
    <row r="260" spans="3:9" x14ac:dyDescent="0.3">
      <c r="E260" t="s">
        <v>20</v>
      </c>
      <c r="F260">
        <v>8</v>
      </c>
      <c r="G260">
        <v>2.0999999999999996</v>
      </c>
      <c r="H260" s="2">
        <v>-40.456200000000003</v>
      </c>
      <c r="I260" s="2">
        <v>56.844000000000008</v>
      </c>
    </row>
    <row r="261" spans="3:9" x14ac:dyDescent="0.3">
      <c r="E261" t="s">
        <v>33</v>
      </c>
      <c r="F261">
        <v>6</v>
      </c>
      <c r="G261">
        <v>0.6</v>
      </c>
      <c r="H261" s="2">
        <v>-71.65379999999999</v>
      </c>
      <c r="I261" s="2">
        <v>367.416</v>
      </c>
    </row>
    <row r="262" spans="3:9" x14ac:dyDescent="0.3">
      <c r="E262" t="s">
        <v>38</v>
      </c>
      <c r="F262">
        <v>5</v>
      </c>
      <c r="G262">
        <v>0.4</v>
      </c>
      <c r="H262" s="2">
        <v>94.875299999999982</v>
      </c>
      <c r="I262" s="2">
        <v>281.11200000000002</v>
      </c>
    </row>
    <row r="263" spans="3:9" x14ac:dyDescent="0.3">
      <c r="E263" t="s">
        <v>18</v>
      </c>
      <c r="F263">
        <v>3</v>
      </c>
      <c r="G263">
        <v>0.2</v>
      </c>
      <c r="H263" s="2">
        <v>0.84599999999999964</v>
      </c>
      <c r="I263" s="2">
        <v>4.5120000000000005</v>
      </c>
    </row>
    <row r="264" spans="3:9" x14ac:dyDescent="0.3">
      <c r="E264" t="s">
        <v>21</v>
      </c>
      <c r="F264">
        <v>3</v>
      </c>
      <c r="G264">
        <v>0.2</v>
      </c>
      <c r="H264" s="2">
        <v>-3.8385000000000105</v>
      </c>
      <c r="I264" s="2">
        <v>102.35999999999999</v>
      </c>
    </row>
    <row r="265" spans="3:9" x14ac:dyDescent="0.3">
      <c r="E265" t="s">
        <v>24</v>
      </c>
      <c r="F265">
        <v>4</v>
      </c>
      <c r="G265">
        <v>0.2</v>
      </c>
      <c r="H265" s="2">
        <v>250.39599999999984</v>
      </c>
      <c r="I265" s="2">
        <v>2003.1680000000001</v>
      </c>
    </row>
    <row r="266" spans="3:9" x14ac:dyDescent="0.3">
      <c r="E266" t="s">
        <v>14</v>
      </c>
      <c r="F266">
        <v>2</v>
      </c>
      <c r="G266">
        <v>0.2</v>
      </c>
      <c r="H266" s="2">
        <v>-55.256</v>
      </c>
      <c r="I266" s="2">
        <v>221.024</v>
      </c>
    </row>
    <row r="267" spans="3:9" x14ac:dyDescent="0.3">
      <c r="E267" t="s">
        <v>9</v>
      </c>
      <c r="F267">
        <v>4</v>
      </c>
      <c r="G267">
        <v>0.2</v>
      </c>
      <c r="H267" s="2">
        <v>2.7719999999999994</v>
      </c>
      <c r="I267" s="2">
        <v>31.680000000000003</v>
      </c>
    </row>
    <row r="268" spans="3:9" x14ac:dyDescent="0.3">
      <c r="E268" t="s">
        <v>25</v>
      </c>
      <c r="F268">
        <v>1</v>
      </c>
      <c r="G268">
        <v>0.5</v>
      </c>
      <c r="H268" s="2">
        <v>-47.174999999999997</v>
      </c>
      <c r="I268" s="2">
        <v>69.375</v>
      </c>
    </row>
    <row r="269" spans="3:9" x14ac:dyDescent="0.3">
      <c r="D269" t="s">
        <v>15</v>
      </c>
      <c r="E269" t="s">
        <v>21</v>
      </c>
      <c r="F269">
        <v>3</v>
      </c>
      <c r="G269">
        <v>0.2</v>
      </c>
      <c r="H269" s="2">
        <v>4.3679999999999986</v>
      </c>
      <c r="I269" s="2">
        <v>24.96</v>
      </c>
    </row>
    <row r="270" spans="3:9" x14ac:dyDescent="0.3">
      <c r="E270" t="s">
        <v>14</v>
      </c>
      <c r="F270">
        <v>4</v>
      </c>
      <c r="G270">
        <v>0.2</v>
      </c>
      <c r="H270" s="2">
        <v>17.42799999999999</v>
      </c>
      <c r="I270" s="2">
        <v>139.42400000000001</v>
      </c>
    </row>
    <row r="271" spans="3:9" x14ac:dyDescent="0.3">
      <c r="E271" t="s">
        <v>25</v>
      </c>
      <c r="F271">
        <v>13</v>
      </c>
      <c r="G271">
        <v>1.5</v>
      </c>
      <c r="H271" s="2">
        <v>-938.83780000000024</v>
      </c>
      <c r="I271" s="2">
        <v>1446.5450000000001</v>
      </c>
    </row>
    <row r="272" spans="3:9" x14ac:dyDescent="0.3">
      <c r="D272" t="s">
        <v>17</v>
      </c>
      <c r="E272" t="s">
        <v>12</v>
      </c>
      <c r="F272">
        <v>5</v>
      </c>
      <c r="G272">
        <v>0.2</v>
      </c>
      <c r="H272" s="2">
        <v>3.2669999999999995</v>
      </c>
      <c r="I272" s="2">
        <v>43.560000000000009</v>
      </c>
    </row>
    <row r="273" spans="2:9" x14ac:dyDescent="0.3">
      <c r="E273" t="s">
        <v>19</v>
      </c>
      <c r="F273">
        <v>2</v>
      </c>
      <c r="G273">
        <v>0.2</v>
      </c>
      <c r="H273" s="2">
        <v>2.3685999999999989</v>
      </c>
      <c r="I273" s="2">
        <v>14.576000000000001</v>
      </c>
    </row>
    <row r="274" spans="2:9" x14ac:dyDescent="0.3">
      <c r="E274" t="s">
        <v>20</v>
      </c>
      <c r="F274">
        <v>7</v>
      </c>
      <c r="G274">
        <v>0.8</v>
      </c>
      <c r="H274" s="2">
        <v>-46.394600000000011</v>
      </c>
      <c r="I274" s="2">
        <v>29.931999999999992</v>
      </c>
    </row>
    <row r="275" spans="2:9" x14ac:dyDescent="0.3">
      <c r="E275" t="s">
        <v>21</v>
      </c>
      <c r="F275">
        <v>5</v>
      </c>
      <c r="G275">
        <v>0.8</v>
      </c>
      <c r="H275" s="2">
        <v>-82.744399999999985</v>
      </c>
      <c r="I275" s="2">
        <v>105.392</v>
      </c>
    </row>
    <row r="276" spans="2:9" x14ac:dyDescent="0.3">
      <c r="E276" t="s">
        <v>24</v>
      </c>
      <c r="F276">
        <v>4</v>
      </c>
      <c r="G276">
        <v>0.2</v>
      </c>
      <c r="H276" s="2">
        <v>3.8272000000000013</v>
      </c>
      <c r="I276" s="2">
        <v>38.272000000000006</v>
      </c>
    </row>
    <row r="277" spans="2:9" x14ac:dyDescent="0.3">
      <c r="E277" t="s">
        <v>14</v>
      </c>
      <c r="F277">
        <v>17</v>
      </c>
      <c r="G277">
        <v>0.60000000000000009</v>
      </c>
      <c r="H277" s="2">
        <v>-67.312200000000061</v>
      </c>
      <c r="I277" s="2">
        <v>833.47199999999998</v>
      </c>
    </row>
    <row r="278" spans="2:9" x14ac:dyDescent="0.3">
      <c r="E278" t="s">
        <v>9</v>
      </c>
      <c r="F278">
        <v>2</v>
      </c>
      <c r="G278">
        <v>0.2</v>
      </c>
      <c r="H278" s="2">
        <v>0.72999999999999954</v>
      </c>
      <c r="I278" s="2">
        <v>5.84</v>
      </c>
    </row>
    <row r="279" spans="2:9" x14ac:dyDescent="0.3">
      <c r="B279" t="s">
        <v>55</v>
      </c>
      <c r="C279" t="s">
        <v>11</v>
      </c>
      <c r="D279" t="s">
        <v>8</v>
      </c>
      <c r="E279" t="s">
        <v>23</v>
      </c>
      <c r="F279">
        <v>10</v>
      </c>
      <c r="G279">
        <v>0.4</v>
      </c>
      <c r="H279" s="2">
        <v>27.696000000000005</v>
      </c>
      <c r="I279" s="2">
        <v>110.57599999999999</v>
      </c>
    </row>
    <row r="280" spans="2:9" x14ac:dyDescent="0.3">
      <c r="E280" t="s">
        <v>20</v>
      </c>
      <c r="F280">
        <v>5</v>
      </c>
      <c r="G280">
        <v>1.6</v>
      </c>
      <c r="H280" s="2">
        <v>-59.082200000000007</v>
      </c>
      <c r="I280" s="2">
        <v>37.059999999999988</v>
      </c>
    </row>
    <row r="281" spans="2:9" x14ac:dyDescent="0.3">
      <c r="C281" t="s">
        <v>27</v>
      </c>
      <c r="D281" t="s">
        <v>8</v>
      </c>
      <c r="E281" t="s">
        <v>23</v>
      </c>
      <c r="F281">
        <v>3</v>
      </c>
      <c r="G281">
        <v>0.2</v>
      </c>
      <c r="H281" s="2">
        <v>20.343900000000001</v>
      </c>
      <c r="I281" s="2">
        <v>95.736000000000004</v>
      </c>
    </row>
    <row r="282" spans="2:9" x14ac:dyDescent="0.3">
      <c r="E282" t="s">
        <v>16</v>
      </c>
      <c r="F282">
        <v>2</v>
      </c>
      <c r="G282">
        <v>0.2</v>
      </c>
      <c r="H282" s="2">
        <v>3.6288</v>
      </c>
      <c r="I282" s="2">
        <v>10.368000000000002</v>
      </c>
    </row>
    <row r="283" spans="2:9" x14ac:dyDescent="0.3">
      <c r="C283" t="s">
        <v>7</v>
      </c>
      <c r="D283" t="s">
        <v>17</v>
      </c>
      <c r="E283" t="s">
        <v>20</v>
      </c>
      <c r="F283">
        <v>3</v>
      </c>
      <c r="G283">
        <v>0.8</v>
      </c>
      <c r="H283" s="2">
        <v>-5.8230000000000004</v>
      </c>
      <c r="I283" s="2">
        <v>3.8819999999999988</v>
      </c>
    </row>
    <row r="284" spans="2:9" x14ac:dyDescent="0.3">
      <c r="E284" t="s">
        <v>24</v>
      </c>
      <c r="F284">
        <v>6</v>
      </c>
      <c r="G284">
        <v>0.2</v>
      </c>
      <c r="H284" s="2">
        <v>265.42320000000001</v>
      </c>
      <c r="I284" s="2">
        <v>758.35200000000009</v>
      </c>
    </row>
    <row r="285" spans="2:9" x14ac:dyDescent="0.3">
      <c r="C285" t="s">
        <v>22</v>
      </c>
      <c r="D285" t="s">
        <v>8</v>
      </c>
      <c r="E285" t="s">
        <v>23</v>
      </c>
      <c r="F285">
        <v>5</v>
      </c>
      <c r="G285">
        <v>0.4</v>
      </c>
      <c r="H285" s="2">
        <v>4.3607999999999976</v>
      </c>
      <c r="I285" s="2">
        <v>77.568000000000012</v>
      </c>
    </row>
    <row r="286" spans="2:9" x14ac:dyDescent="0.3">
      <c r="E286" t="s">
        <v>20</v>
      </c>
      <c r="F286">
        <v>10</v>
      </c>
      <c r="G286">
        <v>1.6</v>
      </c>
      <c r="H286" s="2">
        <v>-19.982100000000003</v>
      </c>
      <c r="I286" s="2">
        <v>12.533999999999995</v>
      </c>
    </row>
    <row r="287" spans="2:9" x14ac:dyDescent="0.3">
      <c r="E287" t="s">
        <v>38</v>
      </c>
      <c r="F287">
        <v>2</v>
      </c>
      <c r="G287">
        <v>0.2</v>
      </c>
      <c r="H287" s="2">
        <v>6.3684000000000003</v>
      </c>
      <c r="I287" s="2">
        <v>17.568000000000001</v>
      </c>
    </row>
    <row r="288" spans="2:9" x14ac:dyDescent="0.3">
      <c r="E288" t="s">
        <v>18</v>
      </c>
      <c r="F288">
        <v>2</v>
      </c>
      <c r="G288">
        <v>0.2</v>
      </c>
      <c r="H288" s="2">
        <v>0.56679999999999997</v>
      </c>
      <c r="I288" s="2">
        <v>3.4880000000000004</v>
      </c>
    </row>
    <row r="289" spans="4:9" x14ac:dyDescent="0.3">
      <c r="E289" t="s">
        <v>16</v>
      </c>
      <c r="F289">
        <v>16</v>
      </c>
      <c r="G289">
        <v>0.60000000000000009</v>
      </c>
      <c r="H289" s="2">
        <v>192.95729999999998</v>
      </c>
      <c r="I289" s="2">
        <v>574.63200000000006</v>
      </c>
    </row>
    <row r="290" spans="4:9" x14ac:dyDescent="0.3">
      <c r="E290" t="s">
        <v>24</v>
      </c>
      <c r="F290">
        <v>1</v>
      </c>
      <c r="G290">
        <v>0.2</v>
      </c>
      <c r="H290" s="2">
        <v>5.5992000000000015</v>
      </c>
      <c r="I290" s="2">
        <v>55.991999999999997</v>
      </c>
    </row>
    <row r="291" spans="4:9" x14ac:dyDescent="0.3">
      <c r="E291" t="s">
        <v>14</v>
      </c>
      <c r="F291">
        <v>14</v>
      </c>
      <c r="G291">
        <v>1</v>
      </c>
      <c r="H291" s="2">
        <v>-133.2997</v>
      </c>
      <c r="I291" s="2">
        <v>1054.3920000000001</v>
      </c>
    </row>
    <row r="292" spans="4:9" x14ac:dyDescent="0.3">
      <c r="E292" t="s">
        <v>9</v>
      </c>
      <c r="F292">
        <v>2</v>
      </c>
      <c r="G292">
        <v>0.2</v>
      </c>
      <c r="H292" s="2">
        <v>-1.3248000000000004</v>
      </c>
      <c r="I292" s="2">
        <v>5.8880000000000008</v>
      </c>
    </row>
    <row r="293" spans="4:9" x14ac:dyDescent="0.3">
      <c r="D293" t="s">
        <v>15</v>
      </c>
      <c r="E293" t="s">
        <v>12</v>
      </c>
      <c r="F293">
        <v>4</v>
      </c>
      <c r="G293">
        <v>0.8</v>
      </c>
      <c r="H293" s="2">
        <v>-131.71680000000001</v>
      </c>
      <c r="I293" s="2">
        <v>48.783999999999985</v>
      </c>
    </row>
    <row r="294" spans="4:9" x14ac:dyDescent="0.3">
      <c r="E294" t="s">
        <v>20</v>
      </c>
      <c r="F294">
        <v>10</v>
      </c>
      <c r="G294">
        <v>1.6</v>
      </c>
      <c r="H294" s="2">
        <v>-48.227199999999996</v>
      </c>
      <c r="I294" s="2">
        <v>31.711999999999993</v>
      </c>
    </row>
    <row r="295" spans="4:9" x14ac:dyDescent="0.3">
      <c r="E295" t="s">
        <v>33</v>
      </c>
      <c r="F295">
        <v>8</v>
      </c>
      <c r="G295">
        <v>0.6</v>
      </c>
      <c r="H295" s="2">
        <v>-27.41279999999999</v>
      </c>
      <c r="I295" s="2">
        <v>527.68799999999999</v>
      </c>
    </row>
    <row r="296" spans="4:9" x14ac:dyDescent="0.3">
      <c r="E296" t="s">
        <v>18</v>
      </c>
      <c r="F296">
        <v>2</v>
      </c>
      <c r="G296">
        <v>0.2</v>
      </c>
      <c r="H296" s="2">
        <v>0.4705999999999998</v>
      </c>
      <c r="I296" s="2">
        <v>2.8960000000000004</v>
      </c>
    </row>
    <row r="297" spans="4:9" x14ac:dyDescent="0.3">
      <c r="E297" t="s">
        <v>46</v>
      </c>
      <c r="F297">
        <v>3</v>
      </c>
      <c r="G297">
        <v>0.4</v>
      </c>
      <c r="H297" s="2">
        <v>-263.99670000000026</v>
      </c>
      <c r="I297" s="2">
        <v>1439.982</v>
      </c>
    </row>
    <row r="298" spans="4:9" x14ac:dyDescent="0.3">
      <c r="E298" t="s">
        <v>16</v>
      </c>
      <c r="F298">
        <v>9</v>
      </c>
      <c r="G298">
        <v>0.4</v>
      </c>
      <c r="H298" s="2">
        <v>39.524799999999999</v>
      </c>
      <c r="I298" s="2">
        <v>112.92800000000001</v>
      </c>
    </row>
    <row r="299" spans="4:9" x14ac:dyDescent="0.3">
      <c r="E299" t="s">
        <v>24</v>
      </c>
      <c r="F299">
        <v>1</v>
      </c>
      <c r="G299">
        <v>0.2</v>
      </c>
      <c r="H299" s="2">
        <v>15.598999999999993</v>
      </c>
      <c r="I299" s="2">
        <v>124.79200000000002</v>
      </c>
    </row>
    <row r="300" spans="4:9" x14ac:dyDescent="0.3">
      <c r="E300" t="s">
        <v>14</v>
      </c>
      <c r="F300">
        <v>6</v>
      </c>
      <c r="G300">
        <v>0.2</v>
      </c>
      <c r="H300" s="2">
        <v>107.08199999999985</v>
      </c>
      <c r="I300" s="2">
        <v>856.65600000000006</v>
      </c>
    </row>
    <row r="301" spans="4:9" x14ac:dyDescent="0.3">
      <c r="D301" t="s">
        <v>17</v>
      </c>
      <c r="E301" t="s">
        <v>19</v>
      </c>
      <c r="F301">
        <v>2</v>
      </c>
      <c r="G301">
        <v>0.2</v>
      </c>
      <c r="H301" s="2">
        <v>0.59039999999999915</v>
      </c>
      <c r="I301" s="2">
        <v>5.2480000000000002</v>
      </c>
    </row>
    <row r="302" spans="4:9" x14ac:dyDescent="0.3">
      <c r="E302" t="s">
        <v>21</v>
      </c>
      <c r="F302">
        <v>1</v>
      </c>
      <c r="G302">
        <v>0.6</v>
      </c>
      <c r="H302" s="2">
        <v>-6.9964999999999993</v>
      </c>
      <c r="I302" s="2">
        <v>7.9959999999999996</v>
      </c>
    </row>
    <row r="303" spans="4:9" x14ac:dyDescent="0.3">
      <c r="E303" t="s">
        <v>16</v>
      </c>
      <c r="F303">
        <v>2</v>
      </c>
      <c r="G303">
        <v>0.2</v>
      </c>
      <c r="H303" s="2">
        <v>2.1399999999999992</v>
      </c>
      <c r="I303" s="2">
        <v>6.8480000000000008</v>
      </c>
    </row>
    <row r="304" spans="4:9" x14ac:dyDescent="0.3">
      <c r="E304" t="s">
        <v>14</v>
      </c>
      <c r="F304">
        <v>2</v>
      </c>
      <c r="G304">
        <v>0.2</v>
      </c>
      <c r="H304" s="2">
        <v>-14.883200000000002</v>
      </c>
      <c r="I304" s="2">
        <v>74.415999999999997</v>
      </c>
    </row>
    <row r="305" spans="2:9" x14ac:dyDescent="0.3">
      <c r="B305" t="s">
        <v>56</v>
      </c>
      <c r="C305" t="s">
        <v>7</v>
      </c>
      <c r="D305" t="s">
        <v>8</v>
      </c>
      <c r="E305" t="s">
        <v>23</v>
      </c>
      <c r="F305">
        <v>2</v>
      </c>
      <c r="G305">
        <v>0.2</v>
      </c>
      <c r="H305" s="2">
        <v>1.4499999999999993</v>
      </c>
      <c r="I305" s="2">
        <v>23.200000000000003</v>
      </c>
    </row>
    <row r="306" spans="2:9" x14ac:dyDescent="0.3">
      <c r="E306" t="s">
        <v>19</v>
      </c>
      <c r="F306">
        <v>9</v>
      </c>
      <c r="G306">
        <v>0.4</v>
      </c>
      <c r="H306" s="2">
        <v>4.2207999999999979</v>
      </c>
      <c r="I306" s="2">
        <v>31.04</v>
      </c>
    </row>
    <row r="307" spans="2:9" x14ac:dyDescent="0.3">
      <c r="E307" t="s">
        <v>24</v>
      </c>
      <c r="F307">
        <v>8</v>
      </c>
      <c r="G307">
        <v>0.2</v>
      </c>
      <c r="H307" s="2">
        <v>83.512799999999913</v>
      </c>
      <c r="I307" s="2">
        <v>742.33600000000001</v>
      </c>
    </row>
    <row r="308" spans="2:9" x14ac:dyDescent="0.3">
      <c r="C308" t="s">
        <v>22</v>
      </c>
      <c r="D308" t="s">
        <v>8</v>
      </c>
      <c r="E308" t="s">
        <v>23</v>
      </c>
      <c r="F308">
        <v>4</v>
      </c>
      <c r="G308">
        <v>0.2</v>
      </c>
      <c r="H308" s="2">
        <v>-16.614000000000004</v>
      </c>
      <c r="I308" s="2">
        <v>102.24000000000001</v>
      </c>
    </row>
    <row r="309" spans="2:9" x14ac:dyDescent="0.3">
      <c r="E309" t="s">
        <v>9</v>
      </c>
      <c r="F309">
        <v>7</v>
      </c>
      <c r="G309">
        <v>0.2</v>
      </c>
      <c r="H309" s="2">
        <v>3.5993999999999993</v>
      </c>
      <c r="I309" s="2">
        <v>47.992000000000004</v>
      </c>
    </row>
    <row r="310" spans="2:9" x14ac:dyDescent="0.3">
      <c r="B310" t="s">
        <v>57</v>
      </c>
      <c r="C310" t="s">
        <v>11</v>
      </c>
      <c r="D310" t="s">
        <v>8</v>
      </c>
      <c r="E310" t="s">
        <v>12</v>
      </c>
      <c r="F310">
        <v>2</v>
      </c>
      <c r="G310">
        <v>0</v>
      </c>
      <c r="H310" s="2">
        <v>25.438400000000001</v>
      </c>
      <c r="I310" s="2">
        <v>97.84</v>
      </c>
    </row>
    <row r="311" spans="2:9" x14ac:dyDescent="0.3">
      <c r="E311" t="s">
        <v>20</v>
      </c>
      <c r="F311">
        <v>2</v>
      </c>
      <c r="G311">
        <v>0.2</v>
      </c>
      <c r="H311" s="2">
        <v>16.3352</v>
      </c>
      <c r="I311" s="2">
        <v>46.672000000000004</v>
      </c>
    </row>
    <row r="312" spans="2:9" x14ac:dyDescent="0.3">
      <c r="E312" t="s">
        <v>33</v>
      </c>
      <c r="F312">
        <v>1</v>
      </c>
      <c r="G312">
        <v>0.2</v>
      </c>
      <c r="H312" s="2">
        <v>0</v>
      </c>
      <c r="I312" s="2">
        <v>72.784000000000006</v>
      </c>
    </row>
    <row r="313" spans="2:9" x14ac:dyDescent="0.3">
      <c r="E313" t="s">
        <v>18</v>
      </c>
      <c r="F313">
        <v>7</v>
      </c>
      <c r="G313">
        <v>0</v>
      </c>
      <c r="H313" s="2">
        <v>16.8</v>
      </c>
      <c r="I313" s="2">
        <v>35</v>
      </c>
    </row>
    <row r="314" spans="2:9" x14ac:dyDescent="0.3">
      <c r="E314" t="s">
        <v>21</v>
      </c>
      <c r="F314">
        <v>1</v>
      </c>
      <c r="G314">
        <v>0</v>
      </c>
      <c r="H314" s="2">
        <v>15.524999999999999</v>
      </c>
      <c r="I314" s="2">
        <v>51.75</v>
      </c>
    </row>
    <row r="315" spans="2:9" x14ac:dyDescent="0.3">
      <c r="C315" t="s">
        <v>7</v>
      </c>
      <c r="D315" t="s">
        <v>8</v>
      </c>
      <c r="E315" t="s">
        <v>34</v>
      </c>
      <c r="F315">
        <v>2</v>
      </c>
      <c r="G315">
        <v>0.15</v>
      </c>
      <c r="H315" s="2">
        <v>-13.797600000000017</v>
      </c>
      <c r="I315" s="2">
        <v>195.46600000000001</v>
      </c>
    </row>
    <row r="316" spans="2:9" x14ac:dyDescent="0.3">
      <c r="C316" t="s">
        <v>22</v>
      </c>
      <c r="D316" t="s">
        <v>8</v>
      </c>
      <c r="E316" t="s">
        <v>19</v>
      </c>
      <c r="F316">
        <v>5</v>
      </c>
      <c r="G316">
        <v>0</v>
      </c>
      <c r="H316" s="2">
        <v>2.7259999999999995</v>
      </c>
      <c r="I316" s="2">
        <v>9.3999999999999986</v>
      </c>
    </row>
    <row r="317" spans="2:9" x14ac:dyDescent="0.3">
      <c r="E317" t="s">
        <v>21</v>
      </c>
      <c r="F317">
        <v>4</v>
      </c>
      <c r="G317">
        <v>0</v>
      </c>
      <c r="H317" s="2">
        <v>14.143999999999998</v>
      </c>
      <c r="I317" s="2">
        <v>41.6</v>
      </c>
    </row>
    <row r="318" spans="2:9" x14ac:dyDescent="0.3">
      <c r="E318" t="s">
        <v>43</v>
      </c>
      <c r="F318">
        <v>5</v>
      </c>
      <c r="G318">
        <v>0</v>
      </c>
      <c r="H318" s="2">
        <v>37</v>
      </c>
      <c r="I318" s="2">
        <v>74</v>
      </c>
    </row>
    <row r="319" spans="2:9" x14ac:dyDescent="0.3">
      <c r="E319" t="s">
        <v>24</v>
      </c>
      <c r="F319">
        <v>2</v>
      </c>
      <c r="G319">
        <v>0.2</v>
      </c>
      <c r="H319" s="2">
        <v>12.599000000000004</v>
      </c>
      <c r="I319" s="2">
        <v>201.584</v>
      </c>
    </row>
    <row r="320" spans="2:9" x14ac:dyDescent="0.3">
      <c r="E320" t="s">
        <v>25</v>
      </c>
      <c r="F320">
        <v>4</v>
      </c>
      <c r="G320">
        <v>0.2</v>
      </c>
      <c r="H320" s="2">
        <v>36.477600000000024</v>
      </c>
      <c r="I320" s="2">
        <v>486.36800000000005</v>
      </c>
    </row>
    <row r="321" spans="2:9" x14ac:dyDescent="0.3">
      <c r="D321" t="s">
        <v>15</v>
      </c>
      <c r="E321" t="s">
        <v>20</v>
      </c>
      <c r="F321">
        <v>5</v>
      </c>
      <c r="G321">
        <v>0.2</v>
      </c>
      <c r="H321" s="2">
        <v>8.1199999999999974</v>
      </c>
      <c r="I321" s="2">
        <v>23.2</v>
      </c>
    </row>
    <row r="322" spans="2:9" x14ac:dyDescent="0.3">
      <c r="E322" t="s">
        <v>16</v>
      </c>
      <c r="F322">
        <v>2</v>
      </c>
      <c r="G322">
        <v>0</v>
      </c>
      <c r="H322" s="2">
        <v>6.2208000000000006</v>
      </c>
      <c r="I322" s="2">
        <v>12.96</v>
      </c>
    </row>
    <row r="323" spans="2:9" x14ac:dyDescent="0.3">
      <c r="D323" t="s">
        <v>17</v>
      </c>
      <c r="E323" t="s">
        <v>20</v>
      </c>
      <c r="F323">
        <v>4</v>
      </c>
      <c r="G323">
        <v>0.4</v>
      </c>
      <c r="H323" s="2">
        <v>8.0186000000000011</v>
      </c>
      <c r="I323" s="2">
        <v>23.936</v>
      </c>
    </row>
    <row r="324" spans="2:9" x14ac:dyDescent="0.3">
      <c r="E324" t="s">
        <v>16</v>
      </c>
      <c r="F324">
        <v>1</v>
      </c>
      <c r="G324">
        <v>0</v>
      </c>
      <c r="H324" s="2">
        <v>2.3177000000000003</v>
      </c>
      <c r="I324" s="2">
        <v>4.7300000000000004</v>
      </c>
    </row>
    <row r="325" spans="2:9" x14ac:dyDescent="0.3">
      <c r="B325" t="s">
        <v>58</v>
      </c>
      <c r="C325" t="s">
        <v>11</v>
      </c>
      <c r="D325" t="s">
        <v>8</v>
      </c>
      <c r="E325" t="s">
        <v>23</v>
      </c>
      <c r="F325">
        <v>6</v>
      </c>
      <c r="G325">
        <v>0</v>
      </c>
      <c r="H325" s="2">
        <v>9.8159999999999954</v>
      </c>
      <c r="I325" s="2">
        <v>98.16</v>
      </c>
    </row>
    <row r="326" spans="2:9" x14ac:dyDescent="0.3">
      <c r="E326" t="s">
        <v>12</v>
      </c>
      <c r="F326">
        <v>7</v>
      </c>
      <c r="G326">
        <v>0</v>
      </c>
      <c r="H326" s="2">
        <v>26.349399999999992</v>
      </c>
      <c r="I326" s="2">
        <v>90.86</v>
      </c>
    </row>
    <row r="327" spans="2:9" x14ac:dyDescent="0.3">
      <c r="E327" t="s">
        <v>20</v>
      </c>
      <c r="F327">
        <v>2</v>
      </c>
      <c r="G327">
        <v>0</v>
      </c>
      <c r="H327" s="2">
        <v>11.778199999999998</v>
      </c>
      <c r="I327" s="2">
        <v>25.06</v>
      </c>
    </row>
    <row r="328" spans="2:9" x14ac:dyDescent="0.3">
      <c r="E328" t="s">
        <v>33</v>
      </c>
      <c r="F328">
        <v>9</v>
      </c>
      <c r="G328">
        <v>0</v>
      </c>
      <c r="H328" s="2">
        <v>227.20500000000004</v>
      </c>
      <c r="I328" s="2">
        <v>908.82</v>
      </c>
    </row>
    <row r="329" spans="2:9" x14ac:dyDescent="0.3">
      <c r="E329" t="s">
        <v>16</v>
      </c>
      <c r="F329">
        <v>10</v>
      </c>
      <c r="G329">
        <v>0</v>
      </c>
      <c r="H329" s="2">
        <v>65.477999999999994</v>
      </c>
      <c r="I329" s="2">
        <v>134.75</v>
      </c>
    </row>
    <row r="330" spans="2:9" x14ac:dyDescent="0.3">
      <c r="D330" t="s">
        <v>15</v>
      </c>
      <c r="E330" t="s">
        <v>23</v>
      </c>
      <c r="F330">
        <v>3</v>
      </c>
      <c r="G330">
        <v>0</v>
      </c>
      <c r="H330" s="2">
        <v>18.893699999999995</v>
      </c>
      <c r="I330" s="2">
        <v>89.97</v>
      </c>
    </row>
    <row r="331" spans="2:9" x14ac:dyDescent="0.3">
      <c r="E331" t="s">
        <v>12</v>
      </c>
      <c r="F331">
        <v>9</v>
      </c>
      <c r="G331">
        <v>0</v>
      </c>
      <c r="H331" s="2">
        <v>20.1708</v>
      </c>
      <c r="I331" s="2">
        <v>77.58</v>
      </c>
    </row>
    <row r="332" spans="2:9" x14ac:dyDescent="0.3">
      <c r="E332" t="s">
        <v>19</v>
      </c>
      <c r="F332">
        <v>12</v>
      </c>
      <c r="G332">
        <v>0</v>
      </c>
      <c r="H332" s="2">
        <v>17.005400000000002</v>
      </c>
      <c r="I332" s="2">
        <v>55.660000000000004</v>
      </c>
    </row>
    <row r="333" spans="2:9" x14ac:dyDescent="0.3">
      <c r="E333" t="s">
        <v>33</v>
      </c>
      <c r="F333">
        <v>2</v>
      </c>
      <c r="G333">
        <v>0</v>
      </c>
      <c r="H333" s="2">
        <v>23.576399999999978</v>
      </c>
      <c r="I333" s="2">
        <v>261.95999999999998</v>
      </c>
    </row>
    <row r="334" spans="2:9" x14ac:dyDescent="0.3">
      <c r="E334" t="s">
        <v>43</v>
      </c>
      <c r="F334">
        <v>5</v>
      </c>
      <c r="G334">
        <v>0</v>
      </c>
      <c r="H334" s="2">
        <v>37</v>
      </c>
      <c r="I334" s="2">
        <v>74</v>
      </c>
    </row>
    <row r="335" spans="2:9" x14ac:dyDescent="0.3">
      <c r="C335" t="s">
        <v>7</v>
      </c>
      <c r="D335" t="s">
        <v>8</v>
      </c>
      <c r="E335" t="s">
        <v>20</v>
      </c>
      <c r="F335">
        <v>2</v>
      </c>
      <c r="G335">
        <v>0</v>
      </c>
      <c r="H335" s="2">
        <v>5.8695999999999993</v>
      </c>
      <c r="I335" s="2">
        <v>12.76</v>
      </c>
    </row>
    <row r="336" spans="2:9" x14ac:dyDescent="0.3">
      <c r="E336" t="s">
        <v>34</v>
      </c>
      <c r="F336">
        <v>3</v>
      </c>
      <c r="G336">
        <v>0</v>
      </c>
      <c r="H336" s="2">
        <v>31.044599999999974</v>
      </c>
      <c r="I336" s="2">
        <v>344.94</v>
      </c>
    </row>
    <row r="337" spans="3:9" x14ac:dyDescent="0.3">
      <c r="E337" t="s">
        <v>21</v>
      </c>
      <c r="F337">
        <v>2</v>
      </c>
      <c r="G337">
        <v>0</v>
      </c>
      <c r="H337" s="2">
        <v>4.2803999999999984</v>
      </c>
      <c r="I337" s="2">
        <v>14.76</v>
      </c>
    </row>
    <row r="338" spans="3:9" x14ac:dyDescent="0.3">
      <c r="E338" t="s">
        <v>43</v>
      </c>
      <c r="F338">
        <v>8</v>
      </c>
      <c r="G338">
        <v>0</v>
      </c>
      <c r="H338" s="2">
        <v>27.485599999999998</v>
      </c>
      <c r="I338" s="2">
        <v>58.48</v>
      </c>
    </row>
    <row r="339" spans="3:9" x14ac:dyDescent="0.3">
      <c r="E339" t="s">
        <v>16</v>
      </c>
      <c r="F339">
        <v>3</v>
      </c>
      <c r="G339">
        <v>0</v>
      </c>
      <c r="H339" s="2">
        <v>80.791200000000003</v>
      </c>
      <c r="I339" s="2">
        <v>164.88</v>
      </c>
    </row>
    <row r="340" spans="3:9" x14ac:dyDescent="0.3">
      <c r="D340" t="s">
        <v>15</v>
      </c>
      <c r="E340" t="s">
        <v>21</v>
      </c>
      <c r="F340">
        <v>4</v>
      </c>
      <c r="G340">
        <v>0</v>
      </c>
      <c r="H340" s="2">
        <v>85.181600000000003</v>
      </c>
      <c r="I340" s="2">
        <v>207.76</v>
      </c>
    </row>
    <row r="341" spans="3:9" x14ac:dyDescent="0.3">
      <c r="C341" t="s">
        <v>22</v>
      </c>
      <c r="D341" t="s">
        <v>8</v>
      </c>
      <c r="E341" t="s">
        <v>19</v>
      </c>
      <c r="F341">
        <v>6</v>
      </c>
      <c r="G341">
        <v>0</v>
      </c>
      <c r="H341" s="2">
        <v>5.0040000000000004</v>
      </c>
      <c r="I341" s="2">
        <v>18.93</v>
      </c>
    </row>
    <row r="342" spans="3:9" x14ac:dyDescent="0.3">
      <c r="E342" t="s">
        <v>16</v>
      </c>
      <c r="F342">
        <v>3</v>
      </c>
      <c r="G342">
        <v>0</v>
      </c>
      <c r="H342" s="2">
        <v>56.977199999999996</v>
      </c>
      <c r="I342" s="2">
        <v>116.28</v>
      </c>
    </row>
    <row r="343" spans="3:9" x14ac:dyDescent="0.3">
      <c r="E343" t="s">
        <v>24</v>
      </c>
      <c r="F343">
        <v>8</v>
      </c>
      <c r="G343">
        <v>0</v>
      </c>
      <c r="H343" s="2">
        <v>68.367599999999996</v>
      </c>
      <c r="I343" s="2">
        <v>179.92</v>
      </c>
    </row>
    <row r="344" spans="3:9" x14ac:dyDescent="0.3">
      <c r="E344" t="s">
        <v>9</v>
      </c>
      <c r="F344">
        <v>3</v>
      </c>
      <c r="G344">
        <v>0</v>
      </c>
      <c r="H344" s="2">
        <v>6.5052000000000003</v>
      </c>
      <c r="I344" s="2">
        <v>25.02</v>
      </c>
    </row>
    <row r="345" spans="3:9" x14ac:dyDescent="0.3">
      <c r="E345" t="s">
        <v>25</v>
      </c>
      <c r="F345">
        <v>2</v>
      </c>
      <c r="G345">
        <v>0.3</v>
      </c>
      <c r="H345" s="2">
        <v>-23.93719999999999</v>
      </c>
      <c r="I345" s="2">
        <v>239.37199999999996</v>
      </c>
    </row>
    <row r="346" spans="3:9" x14ac:dyDescent="0.3">
      <c r="D346" t="s">
        <v>15</v>
      </c>
      <c r="E346" t="s">
        <v>19</v>
      </c>
      <c r="F346">
        <v>11</v>
      </c>
      <c r="G346">
        <v>0</v>
      </c>
      <c r="H346" s="2">
        <v>10.797599999999999</v>
      </c>
      <c r="I346" s="2">
        <v>32.700000000000003</v>
      </c>
    </row>
    <row r="347" spans="3:9" x14ac:dyDescent="0.3">
      <c r="E347" t="s">
        <v>20</v>
      </c>
      <c r="F347">
        <v>2</v>
      </c>
      <c r="G347">
        <v>0</v>
      </c>
      <c r="H347" s="2">
        <v>9.3869999999999987</v>
      </c>
      <c r="I347" s="2">
        <v>20.86</v>
      </c>
    </row>
    <row r="348" spans="3:9" x14ac:dyDescent="0.3">
      <c r="E348" t="s">
        <v>33</v>
      </c>
      <c r="F348">
        <v>3</v>
      </c>
      <c r="G348">
        <v>0</v>
      </c>
      <c r="H348" s="2">
        <v>141.1644</v>
      </c>
      <c r="I348" s="2">
        <v>542.93999999999994</v>
      </c>
    </row>
    <row r="349" spans="3:9" x14ac:dyDescent="0.3">
      <c r="E349" t="s">
        <v>21</v>
      </c>
      <c r="F349">
        <v>10</v>
      </c>
      <c r="G349">
        <v>0</v>
      </c>
      <c r="H349" s="2">
        <v>112.422</v>
      </c>
      <c r="I349" s="2">
        <v>274.20000000000005</v>
      </c>
    </row>
    <row r="350" spans="3:9" x14ac:dyDescent="0.3">
      <c r="E350" t="s">
        <v>43</v>
      </c>
      <c r="F350">
        <v>1</v>
      </c>
      <c r="G350">
        <v>0</v>
      </c>
      <c r="H350" s="2">
        <v>1.512</v>
      </c>
      <c r="I350" s="2">
        <v>3.15</v>
      </c>
    </row>
    <row r="351" spans="3:9" x14ac:dyDescent="0.3">
      <c r="E351" t="s">
        <v>16</v>
      </c>
      <c r="F351">
        <v>10</v>
      </c>
      <c r="G351">
        <v>0</v>
      </c>
      <c r="H351" s="2">
        <v>33.256999999999991</v>
      </c>
      <c r="I351" s="2">
        <v>71.150000000000006</v>
      </c>
    </row>
    <row r="352" spans="3:9" x14ac:dyDescent="0.3">
      <c r="E352" t="s">
        <v>24</v>
      </c>
      <c r="F352">
        <v>1</v>
      </c>
      <c r="G352">
        <v>0</v>
      </c>
      <c r="H352" s="2">
        <v>36.447299999999998</v>
      </c>
      <c r="I352" s="2">
        <v>134.99</v>
      </c>
    </row>
    <row r="353" spans="2:9" x14ac:dyDescent="0.3">
      <c r="E353" t="s">
        <v>14</v>
      </c>
      <c r="F353">
        <v>9</v>
      </c>
      <c r="G353">
        <v>0</v>
      </c>
      <c r="H353" s="2">
        <v>129.37860000000001</v>
      </c>
      <c r="I353" s="2">
        <v>497.61</v>
      </c>
    </row>
    <row r="354" spans="2:9" x14ac:dyDescent="0.3">
      <c r="D354" t="s">
        <v>17</v>
      </c>
      <c r="E354" t="s">
        <v>19</v>
      </c>
      <c r="F354">
        <v>1</v>
      </c>
      <c r="G354">
        <v>0</v>
      </c>
      <c r="H354" s="2">
        <v>0.73799999999999988</v>
      </c>
      <c r="I354" s="2">
        <v>1.64</v>
      </c>
    </row>
    <row r="355" spans="2:9" x14ac:dyDescent="0.3">
      <c r="E355" t="s">
        <v>33</v>
      </c>
      <c r="F355">
        <v>1</v>
      </c>
      <c r="G355">
        <v>0</v>
      </c>
      <c r="H355" s="2">
        <v>43.784199999999984</v>
      </c>
      <c r="I355" s="2">
        <v>150.97999999999999</v>
      </c>
    </row>
    <row r="356" spans="2:9" x14ac:dyDescent="0.3">
      <c r="E356" t="s">
        <v>38</v>
      </c>
      <c r="F356">
        <v>9</v>
      </c>
      <c r="G356">
        <v>0</v>
      </c>
      <c r="H356" s="2">
        <v>63.134999999999991</v>
      </c>
      <c r="I356" s="2">
        <v>137.25</v>
      </c>
    </row>
    <row r="357" spans="2:9" x14ac:dyDescent="0.3">
      <c r="E357" t="s">
        <v>18</v>
      </c>
      <c r="F357">
        <v>4</v>
      </c>
      <c r="G357">
        <v>0</v>
      </c>
      <c r="H357" s="2">
        <v>5.4143999999999997</v>
      </c>
      <c r="I357" s="2">
        <v>11.52</v>
      </c>
    </row>
    <row r="358" spans="2:9" x14ac:dyDescent="0.3">
      <c r="E358" t="s">
        <v>21</v>
      </c>
      <c r="F358">
        <v>10</v>
      </c>
      <c r="G358">
        <v>0</v>
      </c>
      <c r="H358" s="2">
        <v>280.31600000000003</v>
      </c>
      <c r="I358" s="2">
        <v>1070.1000000000001</v>
      </c>
    </row>
    <row r="359" spans="2:9" x14ac:dyDescent="0.3">
      <c r="E359" t="s">
        <v>43</v>
      </c>
      <c r="F359">
        <v>3</v>
      </c>
      <c r="G359">
        <v>0</v>
      </c>
      <c r="H359" s="2">
        <v>3.6017999999999999</v>
      </c>
      <c r="I359" s="2">
        <v>7.83</v>
      </c>
    </row>
    <row r="360" spans="2:9" x14ac:dyDescent="0.3">
      <c r="B360" t="s">
        <v>59</v>
      </c>
      <c r="C360" t="s">
        <v>22</v>
      </c>
      <c r="D360" t="s">
        <v>15</v>
      </c>
      <c r="E360" t="s">
        <v>23</v>
      </c>
      <c r="F360">
        <v>9</v>
      </c>
      <c r="G360">
        <v>0</v>
      </c>
      <c r="H360" s="2">
        <v>104.7222</v>
      </c>
      <c r="I360" s="2">
        <v>255.42</v>
      </c>
    </row>
    <row r="361" spans="2:9" x14ac:dyDescent="0.3">
      <c r="E361" t="s">
        <v>12</v>
      </c>
      <c r="F361">
        <v>2</v>
      </c>
      <c r="G361">
        <v>0</v>
      </c>
      <c r="H361" s="2">
        <v>27.529200000000003</v>
      </c>
      <c r="I361" s="2">
        <v>101.96</v>
      </c>
    </row>
    <row r="362" spans="2:9" x14ac:dyDescent="0.3">
      <c r="E362" t="s">
        <v>21</v>
      </c>
      <c r="F362">
        <v>2</v>
      </c>
      <c r="G362">
        <v>0</v>
      </c>
      <c r="H362" s="2">
        <v>33.938800000000001</v>
      </c>
      <c r="I362" s="2">
        <v>109.48</v>
      </c>
    </row>
    <row r="363" spans="2:9" x14ac:dyDescent="0.3">
      <c r="E363" t="s">
        <v>16</v>
      </c>
      <c r="F363">
        <v>13</v>
      </c>
      <c r="G363">
        <v>0</v>
      </c>
      <c r="H363" s="2">
        <v>124.6752</v>
      </c>
      <c r="I363" s="2">
        <v>259.74</v>
      </c>
    </row>
    <row r="364" spans="2:9" x14ac:dyDescent="0.3">
      <c r="E364" t="s">
        <v>24</v>
      </c>
      <c r="F364">
        <v>3</v>
      </c>
      <c r="G364">
        <v>0</v>
      </c>
      <c r="H364" s="2">
        <v>131.35499999999996</v>
      </c>
      <c r="I364" s="2">
        <v>437.84999999999997</v>
      </c>
    </row>
    <row r="365" spans="2:9" x14ac:dyDescent="0.3">
      <c r="B365" t="s">
        <v>60</v>
      </c>
      <c r="C365" t="s">
        <v>22</v>
      </c>
      <c r="D365" t="s">
        <v>8</v>
      </c>
      <c r="E365" t="s">
        <v>9</v>
      </c>
      <c r="F365">
        <v>8</v>
      </c>
      <c r="G365">
        <v>0.2</v>
      </c>
      <c r="H365" s="2">
        <v>10.007999999999988</v>
      </c>
      <c r="I365" s="2">
        <v>88.960000000000008</v>
      </c>
    </row>
    <row r="366" spans="2:9" x14ac:dyDescent="0.3">
      <c r="B366" t="s">
        <v>61</v>
      </c>
      <c r="C366" t="s">
        <v>7</v>
      </c>
      <c r="D366" t="s">
        <v>17</v>
      </c>
      <c r="E366" t="s">
        <v>23</v>
      </c>
      <c r="F366">
        <v>4</v>
      </c>
      <c r="G366">
        <v>0</v>
      </c>
      <c r="H366" s="2">
        <v>19.827599999999997</v>
      </c>
      <c r="I366" s="2">
        <v>63.96</v>
      </c>
    </row>
    <row r="367" spans="2:9" x14ac:dyDescent="0.3">
      <c r="E367" t="s">
        <v>20</v>
      </c>
      <c r="F367">
        <v>3</v>
      </c>
      <c r="G367">
        <v>0</v>
      </c>
      <c r="H367" s="2">
        <v>7.0853999999999999</v>
      </c>
      <c r="I367" s="2">
        <v>14.46</v>
      </c>
    </row>
    <row r="368" spans="2:9" x14ac:dyDescent="0.3">
      <c r="E368" t="s">
        <v>24</v>
      </c>
      <c r="F368">
        <v>2</v>
      </c>
      <c r="G368">
        <v>0</v>
      </c>
      <c r="H368" s="2">
        <v>52.49</v>
      </c>
      <c r="I368" s="2">
        <v>104.98</v>
      </c>
    </row>
    <row r="369" spans="2:9" x14ac:dyDescent="0.3">
      <c r="B369" t="s">
        <v>62</v>
      </c>
      <c r="C369" t="s">
        <v>22</v>
      </c>
      <c r="D369" t="s">
        <v>15</v>
      </c>
      <c r="E369" t="s">
        <v>16</v>
      </c>
      <c r="F369">
        <v>2</v>
      </c>
      <c r="G369">
        <v>0.2</v>
      </c>
      <c r="H369" s="2">
        <v>3.6288</v>
      </c>
      <c r="I369" s="2">
        <v>10.368000000000002</v>
      </c>
    </row>
    <row r="370" spans="2:9" x14ac:dyDescent="0.3">
      <c r="B370" t="s">
        <v>63</v>
      </c>
      <c r="C370" t="s">
        <v>27</v>
      </c>
      <c r="D370" t="s">
        <v>15</v>
      </c>
      <c r="E370" t="s">
        <v>14</v>
      </c>
      <c r="F370">
        <v>2</v>
      </c>
      <c r="G370">
        <v>0.2</v>
      </c>
      <c r="H370" s="2">
        <v>0.95759999999999934</v>
      </c>
      <c r="I370" s="2">
        <v>12.768000000000001</v>
      </c>
    </row>
    <row r="371" spans="2:9" x14ac:dyDescent="0.3">
      <c r="C371" t="s">
        <v>7</v>
      </c>
      <c r="D371" t="s">
        <v>8</v>
      </c>
      <c r="E371" t="s">
        <v>23</v>
      </c>
      <c r="F371">
        <v>7</v>
      </c>
      <c r="G371">
        <v>0.4</v>
      </c>
      <c r="H371" s="2">
        <v>77.993999999999986</v>
      </c>
      <c r="I371" s="2">
        <v>439.94400000000002</v>
      </c>
    </row>
    <row r="372" spans="2:9" x14ac:dyDescent="0.3">
      <c r="E372" t="s">
        <v>20</v>
      </c>
      <c r="F372">
        <v>5</v>
      </c>
      <c r="G372">
        <v>0.8</v>
      </c>
      <c r="H372" s="2">
        <v>-17.248000000000008</v>
      </c>
      <c r="I372" s="2">
        <v>10.779999999999996</v>
      </c>
    </row>
    <row r="373" spans="2:9" x14ac:dyDescent="0.3">
      <c r="E373" t="s">
        <v>21</v>
      </c>
      <c r="F373">
        <v>7</v>
      </c>
      <c r="G373">
        <v>0.6</v>
      </c>
      <c r="H373" s="2">
        <v>-2.5872000000000011</v>
      </c>
      <c r="I373" s="2">
        <v>8.6240000000000023</v>
      </c>
    </row>
    <row r="374" spans="2:9" x14ac:dyDescent="0.3">
      <c r="B374" t="s">
        <v>64</v>
      </c>
      <c r="C374" t="s">
        <v>11</v>
      </c>
      <c r="D374" t="s">
        <v>15</v>
      </c>
      <c r="E374" t="s">
        <v>19</v>
      </c>
      <c r="F374">
        <v>7</v>
      </c>
      <c r="G374">
        <v>0.2</v>
      </c>
      <c r="H374" s="2">
        <v>2.8699999999999992</v>
      </c>
      <c r="I374" s="2">
        <v>9.1840000000000011</v>
      </c>
    </row>
    <row r="375" spans="2:9" x14ac:dyDescent="0.3">
      <c r="E375" t="s">
        <v>20</v>
      </c>
      <c r="F375">
        <v>8</v>
      </c>
      <c r="G375">
        <v>0.8</v>
      </c>
      <c r="H375" s="2">
        <v>-22.512</v>
      </c>
      <c r="I375" s="2">
        <v>12.863999999999995</v>
      </c>
    </row>
    <row r="376" spans="2:9" x14ac:dyDescent="0.3">
      <c r="E376" t="s">
        <v>16</v>
      </c>
      <c r="F376">
        <v>4</v>
      </c>
      <c r="G376">
        <v>0.2</v>
      </c>
      <c r="H376" s="2">
        <v>10.011599999999998</v>
      </c>
      <c r="I376" s="2">
        <v>29.664000000000001</v>
      </c>
    </row>
    <row r="377" spans="2:9" x14ac:dyDescent="0.3">
      <c r="E377" t="s">
        <v>24</v>
      </c>
      <c r="F377">
        <v>2</v>
      </c>
      <c r="G377">
        <v>0.2</v>
      </c>
      <c r="H377" s="2">
        <v>13.438599999999994</v>
      </c>
      <c r="I377" s="2">
        <v>153.584</v>
      </c>
    </row>
    <row r="378" spans="2:9" x14ac:dyDescent="0.3">
      <c r="C378" t="s">
        <v>22</v>
      </c>
      <c r="D378" t="s">
        <v>17</v>
      </c>
      <c r="E378" t="s">
        <v>16</v>
      </c>
      <c r="F378">
        <v>4</v>
      </c>
      <c r="G378">
        <v>0.2</v>
      </c>
      <c r="H378" s="2">
        <v>6.8119999999999994</v>
      </c>
      <c r="I378" s="2">
        <v>20.96</v>
      </c>
    </row>
    <row r="379" spans="2:9" x14ac:dyDescent="0.3">
      <c r="B379" t="s">
        <v>65</v>
      </c>
      <c r="C379" t="s">
        <v>22</v>
      </c>
      <c r="D379" t="s">
        <v>8</v>
      </c>
      <c r="E379" t="s">
        <v>23</v>
      </c>
      <c r="F379">
        <v>3</v>
      </c>
      <c r="G379">
        <v>0</v>
      </c>
      <c r="H379" s="2">
        <v>71.990999999999985</v>
      </c>
      <c r="I379" s="2">
        <v>239.96999999999997</v>
      </c>
    </row>
    <row r="380" spans="2:9" x14ac:dyDescent="0.3">
      <c r="E380" t="s">
        <v>33</v>
      </c>
      <c r="F380">
        <v>2</v>
      </c>
      <c r="G380">
        <v>0</v>
      </c>
      <c r="H380" s="2">
        <v>36.473600000000005</v>
      </c>
      <c r="I380" s="2">
        <v>227.96</v>
      </c>
    </row>
    <row r="381" spans="2:9" x14ac:dyDescent="0.3">
      <c r="E381" t="s">
        <v>43</v>
      </c>
      <c r="F381">
        <v>2</v>
      </c>
      <c r="G381">
        <v>0</v>
      </c>
      <c r="H381" s="2">
        <v>4.8117999999999999</v>
      </c>
      <c r="I381" s="2">
        <v>9.82</v>
      </c>
    </row>
    <row r="382" spans="2:9" x14ac:dyDescent="0.3">
      <c r="E382" t="s">
        <v>16</v>
      </c>
      <c r="F382">
        <v>4</v>
      </c>
      <c r="G382">
        <v>0</v>
      </c>
      <c r="H382" s="2">
        <v>72.086399999999998</v>
      </c>
      <c r="I382" s="2">
        <v>150.17999999999998</v>
      </c>
    </row>
    <row r="383" spans="2:9" x14ac:dyDescent="0.3">
      <c r="D383" t="s">
        <v>15</v>
      </c>
      <c r="E383" t="s">
        <v>20</v>
      </c>
      <c r="F383">
        <v>1</v>
      </c>
      <c r="G383">
        <v>0</v>
      </c>
      <c r="H383" s="2">
        <v>6.5687999999999995</v>
      </c>
      <c r="I383" s="2">
        <v>14.28</v>
      </c>
    </row>
    <row r="384" spans="2:9" x14ac:dyDescent="0.3">
      <c r="E384" t="s">
        <v>21</v>
      </c>
      <c r="F384">
        <v>4</v>
      </c>
      <c r="G384">
        <v>0</v>
      </c>
      <c r="H384" s="2">
        <v>38.023999999999994</v>
      </c>
      <c r="I384" s="2">
        <v>77.599999999999994</v>
      </c>
    </row>
    <row r="385" spans="2:9" x14ac:dyDescent="0.3">
      <c r="E385" t="s">
        <v>16</v>
      </c>
      <c r="F385">
        <v>8</v>
      </c>
      <c r="G385">
        <v>0</v>
      </c>
      <c r="H385" s="2">
        <v>42.8688</v>
      </c>
      <c r="I385" s="2">
        <v>89.31</v>
      </c>
    </row>
    <row r="386" spans="2:9" x14ac:dyDescent="0.3">
      <c r="E386" t="s">
        <v>14</v>
      </c>
      <c r="F386">
        <v>8</v>
      </c>
      <c r="G386">
        <v>0</v>
      </c>
      <c r="H386" s="2">
        <v>10.824800000000096</v>
      </c>
      <c r="I386" s="2">
        <v>1082.48</v>
      </c>
    </row>
    <row r="387" spans="2:9" x14ac:dyDescent="0.3">
      <c r="B387" t="s">
        <v>66</v>
      </c>
      <c r="C387" t="s">
        <v>22</v>
      </c>
      <c r="D387" t="s">
        <v>8</v>
      </c>
      <c r="E387" t="s">
        <v>20</v>
      </c>
      <c r="F387">
        <v>9</v>
      </c>
      <c r="G387">
        <v>0.4</v>
      </c>
      <c r="H387" s="2">
        <v>13.804199999999998</v>
      </c>
      <c r="I387" s="2">
        <v>39.792000000000002</v>
      </c>
    </row>
    <row r="388" spans="2:9" x14ac:dyDescent="0.3">
      <c r="E388" t="s">
        <v>21</v>
      </c>
      <c r="F388">
        <v>1</v>
      </c>
      <c r="G388">
        <v>0</v>
      </c>
      <c r="H388" s="2">
        <v>7.8935999999999993</v>
      </c>
      <c r="I388" s="2">
        <v>20.239999999999998</v>
      </c>
    </row>
    <row r="389" spans="2:9" x14ac:dyDescent="0.3">
      <c r="E389" t="s">
        <v>16</v>
      </c>
      <c r="F389">
        <v>2</v>
      </c>
      <c r="G389">
        <v>0</v>
      </c>
      <c r="H389" s="2">
        <v>6.2208000000000006</v>
      </c>
      <c r="I389" s="2">
        <v>12.96</v>
      </c>
    </row>
    <row r="390" spans="2:9" x14ac:dyDescent="0.3">
      <c r="D390" t="s">
        <v>15</v>
      </c>
      <c r="E390" t="s">
        <v>19</v>
      </c>
      <c r="F390">
        <v>3</v>
      </c>
      <c r="G390">
        <v>0</v>
      </c>
      <c r="H390" s="2">
        <v>1.5311999999999999</v>
      </c>
      <c r="I390" s="2">
        <v>5.28</v>
      </c>
    </row>
    <row r="391" spans="2:9" x14ac:dyDescent="0.3">
      <c r="D391" t="s">
        <v>17</v>
      </c>
      <c r="E391" t="s">
        <v>9</v>
      </c>
      <c r="F391">
        <v>3</v>
      </c>
      <c r="G391">
        <v>0</v>
      </c>
      <c r="H391" s="2">
        <v>7.6049999999999978</v>
      </c>
      <c r="I391" s="2">
        <v>25.349999999999998</v>
      </c>
    </row>
    <row r="392" spans="2:9" x14ac:dyDescent="0.3">
      <c r="B392" t="s">
        <v>67</v>
      </c>
      <c r="C392" t="s">
        <v>7</v>
      </c>
      <c r="D392" t="s">
        <v>8</v>
      </c>
      <c r="E392" t="s">
        <v>20</v>
      </c>
      <c r="F392">
        <v>5</v>
      </c>
      <c r="G392">
        <v>0.2</v>
      </c>
      <c r="H392" s="2">
        <v>7.8499999999999979</v>
      </c>
      <c r="I392" s="2">
        <v>25.120000000000005</v>
      </c>
    </row>
    <row r="393" spans="2:9" x14ac:dyDescent="0.3">
      <c r="E393" t="s">
        <v>25</v>
      </c>
      <c r="F393">
        <v>9</v>
      </c>
      <c r="G393">
        <v>0</v>
      </c>
      <c r="H393" s="2">
        <v>239.90580000000011</v>
      </c>
      <c r="I393" s="2">
        <v>2665.62</v>
      </c>
    </row>
    <row r="394" spans="2:9" x14ac:dyDescent="0.3">
      <c r="C394" t="s">
        <v>22</v>
      </c>
      <c r="D394" t="s">
        <v>15</v>
      </c>
      <c r="E394" t="s">
        <v>23</v>
      </c>
      <c r="F394">
        <v>10</v>
      </c>
      <c r="G394">
        <v>0</v>
      </c>
      <c r="H394" s="2">
        <v>362.83500000000004</v>
      </c>
      <c r="I394" s="2">
        <v>1099.5</v>
      </c>
    </row>
    <row r="395" spans="2:9" x14ac:dyDescent="0.3">
      <c r="B395" t="s">
        <v>68</v>
      </c>
      <c r="C395" t="s">
        <v>11</v>
      </c>
      <c r="D395" t="s">
        <v>8</v>
      </c>
      <c r="E395" t="s">
        <v>12</v>
      </c>
      <c r="F395">
        <v>3</v>
      </c>
      <c r="G395">
        <v>0.2</v>
      </c>
      <c r="H395" s="2">
        <v>0.7110000000000003</v>
      </c>
      <c r="I395" s="2">
        <v>9.48</v>
      </c>
    </row>
    <row r="396" spans="2:9" x14ac:dyDescent="0.3">
      <c r="E396" t="s">
        <v>20</v>
      </c>
      <c r="F396">
        <v>6</v>
      </c>
      <c r="G396">
        <v>0.7</v>
      </c>
      <c r="H396" s="2">
        <v>-913.17599999999993</v>
      </c>
      <c r="I396" s="2">
        <v>1369.7640000000001</v>
      </c>
    </row>
    <row r="397" spans="2:9" x14ac:dyDescent="0.3">
      <c r="E397" t="s">
        <v>34</v>
      </c>
      <c r="F397">
        <v>5</v>
      </c>
      <c r="G397">
        <v>0.5</v>
      </c>
      <c r="H397" s="2">
        <v>-78.078000000000003</v>
      </c>
      <c r="I397" s="2">
        <v>177.45000000000002</v>
      </c>
    </row>
    <row r="398" spans="2:9" x14ac:dyDescent="0.3">
      <c r="C398" t="s">
        <v>7</v>
      </c>
      <c r="D398" t="s">
        <v>15</v>
      </c>
      <c r="E398" t="s">
        <v>33</v>
      </c>
      <c r="F398">
        <v>2</v>
      </c>
      <c r="G398">
        <v>0.3</v>
      </c>
      <c r="H398" s="2">
        <v>-7.0979999999999919</v>
      </c>
      <c r="I398" s="2">
        <v>99.372</v>
      </c>
    </row>
    <row r="399" spans="2:9" x14ac:dyDescent="0.3">
      <c r="E399" t="s">
        <v>21</v>
      </c>
      <c r="F399">
        <v>2</v>
      </c>
      <c r="G399">
        <v>0.2</v>
      </c>
      <c r="H399" s="2">
        <v>-5.4548000000000041</v>
      </c>
      <c r="I399" s="2">
        <v>33.568000000000005</v>
      </c>
    </row>
    <row r="400" spans="2:9" x14ac:dyDescent="0.3">
      <c r="B400" t="s">
        <v>69</v>
      </c>
      <c r="C400" t="s">
        <v>22</v>
      </c>
      <c r="D400" t="s">
        <v>15</v>
      </c>
      <c r="E400" t="s">
        <v>12</v>
      </c>
      <c r="F400">
        <v>6</v>
      </c>
      <c r="G400">
        <v>0</v>
      </c>
      <c r="H400" s="2">
        <v>503.78219999999976</v>
      </c>
      <c r="I400" s="2">
        <v>1737.1799999999998</v>
      </c>
    </row>
    <row r="401" spans="2:9" x14ac:dyDescent="0.3">
      <c r="E401" t="s">
        <v>16</v>
      </c>
      <c r="F401">
        <v>4</v>
      </c>
      <c r="G401">
        <v>0</v>
      </c>
      <c r="H401" s="2">
        <v>66.627199999999988</v>
      </c>
      <c r="I401" s="2">
        <v>141.76</v>
      </c>
    </row>
    <row r="402" spans="2:9" x14ac:dyDescent="0.3">
      <c r="E402" t="s">
        <v>14</v>
      </c>
      <c r="F402">
        <v>5</v>
      </c>
      <c r="G402">
        <v>0</v>
      </c>
      <c r="H402" s="2">
        <v>84.51</v>
      </c>
      <c r="I402" s="2">
        <v>704.25</v>
      </c>
    </row>
    <row r="403" spans="2:9" x14ac:dyDescent="0.3">
      <c r="B403" t="s">
        <v>70</v>
      </c>
      <c r="C403" t="s">
        <v>27</v>
      </c>
      <c r="D403" t="s">
        <v>15</v>
      </c>
      <c r="E403" t="s">
        <v>20</v>
      </c>
      <c r="F403">
        <v>2</v>
      </c>
      <c r="G403">
        <v>0.2</v>
      </c>
      <c r="H403" s="2">
        <v>2.6935999999999991</v>
      </c>
      <c r="I403" s="2">
        <v>8.2880000000000003</v>
      </c>
    </row>
    <row r="404" spans="2:9" x14ac:dyDescent="0.3">
      <c r="B404" t="s">
        <v>71</v>
      </c>
      <c r="C404" t="s">
        <v>11</v>
      </c>
      <c r="D404" t="s">
        <v>15</v>
      </c>
      <c r="E404" t="s">
        <v>19</v>
      </c>
      <c r="F404">
        <v>4</v>
      </c>
      <c r="G404">
        <v>0.2</v>
      </c>
      <c r="H404" s="2">
        <v>5.4336000000000002</v>
      </c>
      <c r="I404" s="2">
        <v>54.336000000000006</v>
      </c>
    </row>
    <row r="405" spans="2:9" x14ac:dyDescent="0.3">
      <c r="C405" t="s">
        <v>7</v>
      </c>
      <c r="D405" t="s">
        <v>8</v>
      </c>
      <c r="E405" t="s">
        <v>24</v>
      </c>
      <c r="F405">
        <v>3</v>
      </c>
      <c r="G405">
        <v>0</v>
      </c>
      <c r="H405" s="2">
        <v>37.757999999999996</v>
      </c>
      <c r="I405" s="2">
        <v>134.85000000000002</v>
      </c>
    </row>
    <row r="406" spans="2:9" x14ac:dyDescent="0.3">
      <c r="C406" t="s">
        <v>22</v>
      </c>
      <c r="D406" t="s">
        <v>8</v>
      </c>
      <c r="E406" t="s">
        <v>23</v>
      </c>
      <c r="F406">
        <v>3</v>
      </c>
      <c r="G406">
        <v>0.2</v>
      </c>
      <c r="H406" s="2">
        <v>7.4654999999999987</v>
      </c>
      <c r="I406" s="2">
        <v>39.816000000000003</v>
      </c>
    </row>
    <row r="407" spans="2:9" x14ac:dyDescent="0.3">
      <c r="E407" t="s">
        <v>19</v>
      </c>
      <c r="F407">
        <v>5</v>
      </c>
      <c r="G407">
        <v>0.2</v>
      </c>
      <c r="H407" s="2">
        <v>1.4759999999999982</v>
      </c>
      <c r="I407" s="2">
        <v>13.120000000000001</v>
      </c>
    </row>
    <row r="408" spans="2:9" x14ac:dyDescent="0.3">
      <c r="E408" t="s">
        <v>20</v>
      </c>
      <c r="F408">
        <v>4</v>
      </c>
      <c r="G408">
        <v>0.8</v>
      </c>
      <c r="H408" s="2">
        <v>-7.7640000000000011</v>
      </c>
      <c r="I408" s="2">
        <v>5.1759999999999984</v>
      </c>
    </row>
    <row r="409" spans="2:9" x14ac:dyDescent="0.3">
      <c r="E409" t="s">
        <v>38</v>
      </c>
      <c r="F409">
        <v>2</v>
      </c>
      <c r="G409">
        <v>0.2</v>
      </c>
      <c r="H409" s="2">
        <v>4.4311999999999996</v>
      </c>
      <c r="I409" s="2">
        <v>12.224</v>
      </c>
    </row>
    <row r="410" spans="2:9" x14ac:dyDescent="0.3">
      <c r="E410" t="s">
        <v>21</v>
      </c>
      <c r="F410">
        <v>5</v>
      </c>
      <c r="G410">
        <v>0.6</v>
      </c>
      <c r="H410" s="2">
        <v>2.0142999999999915</v>
      </c>
      <c r="I410" s="2">
        <v>169.50199999999998</v>
      </c>
    </row>
    <row r="411" spans="2:9" x14ac:dyDescent="0.3">
      <c r="E411" t="s">
        <v>16</v>
      </c>
      <c r="F411">
        <v>5</v>
      </c>
      <c r="G411">
        <v>0</v>
      </c>
      <c r="H411" s="2">
        <v>15.552000000000001</v>
      </c>
      <c r="I411" s="2">
        <v>32.400000000000006</v>
      </c>
    </row>
    <row r="412" spans="2:9" x14ac:dyDescent="0.3">
      <c r="E412" t="s">
        <v>14</v>
      </c>
      <c r="F412">
        <v>1</v>
      </c>
      <c r="G412">
        <v>0.2</v>
      </c>
      <c r="H412" s="2">
        <v>-15.751400000000004</v>
      </c>
      <c r="I412" s="2">
        <v>180.01600000000002</v>
      </c>
    </row>
    <row r="413" spans="2:9" x14ac:dyDescent="0.3">
      <c r="E413" t="s">
        <v>25</v>
      </c>
      <c r="F413">
        <v>6</v>
      </c>
      <c r="G413">
        <v>0.5</v>
      </c>
      <c r="H413" s="2">
        <v>-407.68200000000013</v>
      </c>
      <c r="I413" s="2">
        <v>617.70000000000005</v>
      </c>
    </row>
    <row r="414" spans="2:9" x14ac:dyDescent="0.3">
      <c r="D414" t="s">
        <v>17</v>
      </c>
      <c r="E414" t="s">
        <v>20</v>
      </c>
      <c r="F414">
        <v>4</v>
      </c>
      <c r="G414">
        <v>0</v>
      </c>
      <c r="H414" s="2">
        <v>14.268800000000001</v>
      </c>
      <c r="I414" s="2">
        <v>29.12</v>
      </c>
    </row>
    <row r="415" spans="2:9" x14ac:dyDescent="0.3">
      <c r="E415" t="s">
        <v>38</v>
      </c>
      <c r="F415">
        <v>5</v>
      </c>
      <c r="G415">
        <v>0</v>
      </c>
      <c r="H415" s="2">
        <v>36.824499999999993</v>
      </c>
      <c r="I415" s="2">
        <v>78.349999999999994</v>
      </c>
    </row>
    <row r="416" spans="2:9" x14ac:dyDescent="0.3">
      <c r="E416" t="s">
        <v>16</v>
      </c>
      <c r="F416">
        <v>6</v>
      </c>
      <c r="G416">
        <v>0</v>
      </c>
      <c r="H416" s="2">
        <v>14.256</v>
      </c>
      <c r="I416" s="2">
        <v>31.68</v>
      </c>
    </row>
    <row r="417" spans="2:9" x14ac:dyDescent="0.3">
      <c r="E417" t="s">
        <v>14</v>
      </c>
      <c r="F417">
        <v>5</v>
      </c>
      <c r="G417">
        <v>0</v>
      </c>
      <c r="H417" s="2">
        <v>42.362499999999997</v>
      </c>
      <c r="I417" s="2">
        <v>169.45</v>
      </c>
    </row>
    <row r="418" spans="2:9" x14ac:dyDescent="0.3">
      <c r="B418" t="s">
        <v>72</v>
      </c>
      <c r="C418" t="s">
        <v>11</v>
      </c>
      <c r="D418" t="s">
        <v>8</v>
      </c>
      <c r="E418" t="s">
        <v>23</v>
      </c>
      <c r="F418">
        <v>2</v>
      </c>
      <c r="G418">
        <v>0.2</v>
      </c>
      <c r="H418" s="2">
        <v>2.3079999999999998</v>
      </c>
      <c r="I418" s="2">
        <v>18.463999999999999</v>
      </c>
    </row>
    <row r="419" spans="2:9" x14ac:dyDescent="0.3">
      <c r="E419" t="s">
        <v>20</v>
      </c>
      <c r="F419">
        <v>4</v>
      </c>
      <c r="G419">
        <v>0.7</v>
      </c>
      <c r="H419" s="2">
        <v>-26.623999999999995</v>
      </c>
      <c r="I419" s="2">
        <v>39.936000000000007</v>
      </c>
    </row>
    <row r="420" spans="2:9" x14ac:dyDescent="0.3">
      <c r="C420" t="s">
        <v>7</v>
      </c>
      <c r="D420" t="s">
        <v>8</v>
      </c>
      <c r="E420" t="s">
        <v>43</v>
      </c>
      <c r="F420">
        <v>2</v>
      </c>
      <c r="G420">
        <v>0.2</v>
      </c>
      <c r="H420" s="2">
        <v>1.6704000000000001</v>
      </c>
      <c r="I420" s="2">
        <v>4.6079999999999997</v>
      </c>
    </row>
    <row r="421" spans="2:9" x14ac:dyDescent="0.3">
      <c r="B421" t="s">
        <v>73</v>
      </c>
      <c r="C421" t="s">
        <v>11</v>
      </c>
      <c r="D421" t="s">
        <v>8</v>
      </c>
      <c r="E421" t="s">
        <v>23</v>
      </c>
      <c r="F421">
        <v>3</v>
      </c>
      <c r="G421">
        <v>0</v>
      </c>
      <c r="H421" s="2">
        <v>37.787400000000005</v>
      </c>
      <c r="I421" s="2">
        <v>89.97</v>
      </c>
    </row>
    <row r="422" spans="2:9" x14ac:dyDescent="0.3">
      <c r="C422" t="s">
        <v>22</v>
      </c>
      <c r="D422" t="s">
        <v>15</v>
      </c>
      <c r="E422" t="s">
        <v>20</v>
      </c>
      <c r="F422">
        <v>1</v>
      </c>
      <c r="G422">
        <v>0.2</v>
      </c>
      <c r="H422" s="2">
        <v>1.1151</v>
      </c>
      <c r="I422" s="2">
        <v>3.3040000000000003</v>
      </c>
    </row>
    <row r="423" spans="2:9" x14ac:dyDescent="0.3">
      <c r="E423" t="s">
        <v>24</v>
      </c>
      <c r="F423">
        <v>3</v>
      </c>
      <c r="G423">
        <v>0.2</v>
      </c>
      <c r="H423" s="2">
        <v>22.858199999999982</v>
      </c>
      <c r="I423" s="2">
        <v>304.77600000000001</v>
      </c>
    </row>
    <row r="424" spans="2:9" x14ac:dyDescent="0.3">
      <c r="E424" t="s">
        <v>25</v>
      </c>
      <c r="F424">
        <v>2</v>
      </c>
      <c r="G424">
        <v>0</v>
      </c>
      <c r="H424" s="2">
        <v>160.17660000000001</v>
      </c>
      <c r="I424" s="2">
        <v>696.42</v>
      </c>
    </row>
    <row r="425" spans="2:9" x14ac:dyDescent="0.3">
      <c r="B425" t="s">
        <v>74</v>
      </c>
      <c r="C425" t="s">
        <v>27</v>
      </c>
      <c r="D425" t="s">
        <v>8</v>
      </c>
      <c r="E425" t="s">
        <v>12</v>
      </c>
      <c r="F425">
        <v>2</v>
      </c>
      <c r="G425">
        <v>0.8</v>
      </c>
      <c r="H425" s="2">
        <v>-13.554800000000004</v>
      </c>
      <c r="I425" s="2">
        <v>5.7679999999999989</v>
      </c>
    </row>
    <row r="426" spans="2:9" x14ac:dyDescent="0.3">
      <c r="E426" t="s">
        <v>18</v>
      </c>
      <c r="F426">
        <v>8</v>
      </c>
      <c r="G426">
        <v>0.2</v>
      </c>
      <c r="H426" s="2">
        <v>2.2559999999999993</v>
      </c>
      <c r="I426" s="2">
        <v>12.032</v>
      </c>
    </row>
    <row r="427" spans="2:9" x14ac:dyDescent="0.3">
      <c r="E427" t="s">
        <v>16</v>
      </c>
      <c r="F427">
        <v>2</v>
      </c>
      <c r="G427">
        <v>0.2</v>
      </c>
      <c r="H427" s="2">
        <v>3.6288</v>
      </c>
      <c r="I427" s="2">
        <v>10.368000000000002</v>
      </c>
    </row>
    <row r="428" spans="2:9" x14ac:dyDescent="0.3">
      <c r="E428" t="s">
        <v>9</v>
      </c>
      <c r="F428">
        <v>4</v>
      </c>
      <c r="G428">
        <v>0.2</v>
      </c>
      <c r="H428" s="2">
        <v>2.7719999999999994</v>
      </c>
      <c r="I428" s="2">
        <v>31.680000000000003</v>
      </c>
    </row>
    <row r="429" spans="2:9" x14ac:dyDescent="0.3">
      <c r="C429" t="s">
        <v>22</v>
      </c>
      <c r="D429" t="s">
        <v>8</v>
      </c>
      <c r="E429" t="s">
        <v>24</v>
      </c>
      <c r="F429">
        <v>2</v>
      </c>
      <c r="G429">
        <v>0.2</v>
      </c>
      <c r="H429" s="2">
        <v>16.703999999999986</v>
      </c>
      <c r="I429" s="2">
        <v>148.47999999999999</v>
      </c>
    </row>
    <row r="430" spans="2:9" x14ac:dyDescent="0.3">
      <c r="D430" t="s">
        <v>17</v>
      </c>
      <c r="E430" t="s">
        <v>20</v>
      </c>
      <c r="F430">
        <v>5</v>
      </c>
      <c r="G430">
        <v>0.8</v>
      </c>
      <c r="H430" s="2">
        <v>-16.467000000000002</v>
      </c>
      <c r="I430" s="2">
        <v>9.9799999999999969</v>
      </c>
    </row>
    <row r="431" spans="2:9" x14ac:dyDescent="0.3">
      <c r="B431" t="s">
        <v>75</v>
      </c>
      <c r="C431" t="s">
        <v>7</v>
      </c>
      <c r="D431" t="s">
        <v>15</v>
      </c>
      <c r="E431" t="s">
        <v>23</v>
      </c>
      <c r="F431">
        <v>6</v>
      </c>
      <c r="G431">
        <v>0</v>
      </c>
      <c r="H431" s="2">
        <v>258.69600000000003</v>
      </c>
      <c r="I431" s="2">
        <v>646.74</v>
      </c>
    </row>
    <row r="432" spans="2:9" x14ac:dyDescent="0.3">
      <c r="E432" t="s">
        <v>20</v>
      </c>
      <c r="F432">
        <v>3</v>
      </c>
      <c r="G432">
        <v>0</v>
      </c>
      <c r="H432" s="2">
        <v>2.7071999999999994</v>
      </c>
      <c r="I432" s="2">
        <v>5.64</v>
      </c>
    </row>
    <row r="433" spans="2:9" x14ac:dyDescent="0.3">
      <c r="E433" t="s">
        <v>38</v>
      </c>
      <c r="F433">
        <v>5</v>
      </c>
      <c r="G433">
        <v>0</v>
      </c>
      <c r="H433" s="2">
        <v>30.809199999999997</v>
      </c>
      <c r="I433" s="2">
        <v>62.3</v>
      </c>
    </row>
    <row r="434" spans="2:9" x14ac:dyDescent="0.3">
      <c r="E434" t="s">
        <v>14</v>
      </c>
      <c r="F434">
        <v>6</v>
      </c>
      <c r="G434">
        <v>0</v>
      </c>
      <c r="H434" s="2">
        <v>34.354799999999955</v>
      </c>
      <c r="I434" s="2">
        <v>572.58000000000004</v>
      </c>
    </row>
    <row r="435" spans="2:9" x14ac:dyDescent="0.3">
      <c r="C435" t="s">
        <v>22</v>
      </c>
      <c r="D435" t="s">
        <v>15</v>
      </c>
      <c r="E435" t="s">
        <v>21</v>
      </c>
      <c r="F435">
        <v>4</v>
      </c>
      <c r="G435">
        <v>0</v>
      </c>
      <c r="H435" s="2">
        <v>10.393599999999992</v>
      </c>
      <c r="I435" s="2">
        <v>129.91999999999999</v>
      </c>
    </row>
    <row r="436" spans="2:9" x14ac:dyDescent="0.3">
      <c r="B436" t="s">
        <v>76</v>
      </c>
      <c r="C436" t="s">
        <v>11</v>
      </c>
      <c r="D436" t="s">
        <v>8</v>
      </c>
      <c r="E436" t="s">
        <v>23</v>
      </c>
      <c r="F436">
        <v>4</v>
      </c>
      <c r="G436">
        <v>0</v>
      </c>
      <c r="H436" s="2">
        <v>27.689999999999998</v>
      </c>
      <c r="I436" s="2">
        <v>71</v>
      </c>
    </row>
    <row r="437" spans="2:9" x14ac:dyDescent="0.3">
      <c r="C437" t="s">
        <v>7</v>
      </c>
      <c r="D437" t="s">
        <v>8</v>
      </c>
      <c r="E437" t="s">
        <v>43</v>
      </c>
      <c r="F437">
        <v>3</v>
      </c>
      <c r="G437">
        <v>0.2</v>
      </c>
      <c r="H437" s="2">
        <v>2.5056000000000003</v>
      </c>
      <c r="I437" s="2">
        <v>6.911999999999999</v>
      </c>
    </row>
    <row r="438" spans="2:9" x14ac:dyDescent="0.3">
      <c r="E438" t="s">
        <v>24</v>
      </c>
      <c r="F438">
        <v>3</v>
      </c>
      <c r="G438">
        <v>0.4</v>
      </c>
      <c r="H438" s="2">
        <v>4.0472999999999999</v>
      </c>
      <c r="I438" s="2">
        <v>26.981999999999999</v>
      </c>
    </row>
    <row r="439" spans="2:9" x14ac:dyDescent="0.3">
      <c r="E439" t="s">
        <v>14</v>
      </c>
      <c r="F439">
        <v>3</v>
      </c>
      <c r="G439">
        <v>0.2</v>
      </c>
      <c r="H439" s="2">
        <v>48.994199999999921</v>
      </c>
      <c r="I439" s="2">
        <v>435.50400000000002</v>
      </c>
    </row>
    <row r="440" spans="2:9" x14ac:dyDescent="0.3">
      <c r="C440" t="s">
        <v>22</v>
      </c>
      <c r="D440" t="s">
        <v>8</v>
      </c>
      <c r="E440" t="s">
        <v>20</v>
      </c>
      <c r="F440">
        <v>3</v>
      </c>
      <c r="G440">
        <v>0.7</v>
      </c>
      <c r="H440" s="2">
        <v>-4.0722000000000023</v>
      </c>
      <c r="I440" s="2">
        <v>5.5530000000000008</v>
      </c>
    </row>
    <row r="441" spans="2:9" x14ac:dyDescent="0.3">
      <c r="E441" t="s">
        <v>14</v>
      </c>
      <c r="F441">
        <v>2</v>
      </c>
      <c r="G441">
        <v>0.2</v>
      </c>
      <c r="H441" s="2">
        <v>19.823999999999998</v>
      </c>
      <c r="I441" s="2">
        <v>264.32</v>
      </c>
    </row>
    <row r="442" spans="2:9" x14ac:dyDescent="0.3">
      <c r="D442" t="s">
        <v>15</v>
      </c>
      <c r="E442" t="s">
        <v>23</v>
      </c>
      <c r="F442">
        <v>5</v>
      </c>
      <c r="G442">
        <v>0.2</v>
      </c>
      <c r="H442" s="2">
        <v>-1.7495000000000118</v>
      </c>
      <c r="I442" s="2">
        <v>139.96000000000004</v>
      </c>
    </row>
    <row r="443" spans="2:9" x14ac:dyDescent="0.3">
      <c r="E443" t="s">
        <v>19</v>
      </c>
      <c r="F443">
        <v>3</v>
      </c>
      <c r="G443">
        <v>0.2</v>
      </c>
      <c r="H443" s="2">
        <v>5.3969999999999914</v>
      </c>
      <c r="I443" s="2">
        <v>86.352000000000004</v>
      </c>
    </row>
    <row r="444" spans="2:9" x14ac:dyDescent="0.3">
      <c r="E444" t="s">
        <v>33</v>
      </c>
      <c r="F444">
        <v>1</v>
      </c>
      <c r="G444">
        <v>0</v>
      </c>
      <c r="H444" s="2">
        <v>39.4268</v>
      </c>
      <c r="I444" s="2">
        <v>140.81</v>
      </c>
    </row>
    <row r="445" spans="2:9" x14ac:dyDescent="0.3">
      <c r="E445" t="s">
        <v>45</v>
      </c>
      <c r="F445">
        <v>3</v>
      </c>
      <c r="G445">
        <v>0.4</v>
      </c>
      <c r="H445" s="2">
        <v>74.998499999999922</v>
      </c>
      <c r="I445" s="2">
        <v>899.98199999999997</v>
      </c>
    </row>
    <row r="446" spans="2:9" x14ac:dyDescent="0.3">
      <c r="B446" t="s">
        <v>77</v>
      </c>
      <c r="C446" t="s">
        <v>27</v>
      </c>
      <c r="D446" t="s">
        <v>8</v>
      </c>
      <c r="E446" t="s">
        <v>20</v>
      </c>
      <c r="F446">
        <v>5</v>
      </c>
      <c r="G446">
        <v>0.7</v>
      </c>
      <c r="H446" s="2">
        <v>-29.940000000000012</v>
      </c>
      <c r="I446" s="2">
        <v>37.425000000000004</v>
      </c>
    </row>
    <row r="447" spans="2:9" x14ac:dyDescent="0.3">
      <c r="E447" t="s">
        <v>21</v>
      </c>
      <c r="F447">
        <v>8</v>
      </c>
      <c r="G447">
        <v>0.60000000000000009</v>
      </c>
      <c r="H447" s="2">
        <v>55.048200000000008</v>
      </c>
      <c r="I447" s="2">
        <v>276.96800000000002</v>
      </c>
    </row>
    <row r="448" spans="2:9" x14ac:dyDescent="0.3">
      <c r="C448" t="s">
        <v>22</v>
      </c>
      <c r="D448" t="s">
        <v>8</v>
      </c>
      <c r="E448" t="s">
        <v>33</v>
      </c>
      <c r="F448">
        <v>2</v>
      </c>
      <c r="G448">
        <v>0.2</v>
      </c>
      <c r="H448" s="2">
        <v>6.0740000000000016</v>
      </c>
      <c r="I448" s="2">
        <v>97.184000000000012</v>
      </c>
    </row>
    <row r="449" spans="2:9" x14ac:dyDescent="0.3">
      <c r="E449" t="s">
        <v>16</v>
      </c>
      <c r="F449">
        <v>5</v>
      </c>
      <c r="G449">
        <v>0.4</v>
      </c>
      <c r="H449" s="2">
        <v>9.0719999999999992</v>
      </c>
      <c r="I449" s="2">
        <v>25.920000000000005</v>
      </c>
    </row>
    <row r="450" spans="2:9" x14ac:dyDescent="0.3">
      <c r="D450" t="s">
        <v>17</v>
      </c>
      <c r="E450" t="s">
        <v>19</v>
      </c>
      <c r="F450">
        <v>3</v>
      </c>
      <c r="G450">
        <v>0.2</v>
      </c>
      <c r="H450" s="2">
        <v>4.8524999999999991</v>
      </c>
      <c r="I450" s="2">
        <v>15.528</v>
      </c>
    </row>
    <row r="451" spans="2:9" x14ac:dyDescent="0.3">
      <c r="E451" t="s">
        <v>43</v>
      </c>
      <c r="F451">
        <v>5</v>
      </c>
      <c r="G451">
        <v>0.4</v>
      </c>
      <c r="H451" s="2">
        <v>5.5547999999999993</v>
      </c>
      <c r="I451" s="2">
        <v>16.560000000000002</v>
      </c>
    </row>
    <row r="452" spans="2:9" x14ac:dyDescent="0.3">
      <c r="B452" t="s">
        <v>78</v>
      </c>
      <c r="C452" t="s">
        <v>22</v>
      </c>
      <c r="D452" t="s">
        <v>17</v>
      </c>
      <c r="E452" t="s">
        <v>43</v>
      </c>
      <c r="F452">
        <v>2</v>
      </c>
      <c r="G452">
        <v>0</v>
      </c>
      <c r="H452" s="2">
        <v>6.8713999999999995</v>
      </c>
      <c r="I452" s="2">
        <v>14.62</v>
      </c>
    </row>
    <row r="453" spans="2:9" x14ac:dyDescent="0.3">
      <c r="E453" t="s">
        <v>16</v>
      </c>
      <c r="F453">
        <v>3</v>
      </c>
      <c r="G453">
        <v>0</v>
      </c>
      <c r="H453" s="2">
        <v>13.9392</v>
      </c>
      <c r="I453" s="2">
        <v>29.04</v>
      </c>
    </row>
    <row r="454" spans="2:9" x14ac:dyDescent="0.3">
      <c r="B454" t="s">
        <v>79</v>
      </c>
      <c r="C454" t="s">
        <v>7</v>
      </c>
      <c r="D454" t="s">
        <v>15</v>
      </c>
      <c r="E454" t="s">
        <v>12</v>
      </c>
      <c r="F454">
        <v>6</v>
      </c>
      <c r="G454">
        <v>0</v>
      </c>
      <c r="H454" s="2">
        <v>93.055199999999957</v>
      </c>
      <c r="I454" s="2">
        <v>320.88</v>
      </c>
    </row>
    <row r="455" spans="2:9" x14ac:dyDescent="0.3">
      <c r="E455" t="s">
        <v>21</v>
      </c>
      <c r="F455">
        <v>3</v>
      </c>
      <c r="G455">
        <v>0</v>
      </c>
      <c r="H455" s="2">
        <v>10.507200000000001</v>
      </c>
      <c r="I455" s="2">
        <v>23.88</v>
      </c>
    </row>
    <row r="456" spans="2:9" x14ac:dyDescent="0.3">
      <c r="E456" t="s">
        <v>16</v>
      </c>
      <c r="F456">
        <v>4</v>
      </c>
      <c r="G456">
        <v>0</v>
      </c>
      <c r="H456" s="2">
        <v>12.3096</v>
      </c>
      <c r="I456" s="2">
        <v>26.76</v>
      </c>
    </row>
    <row r="457" spans="2:9" x14ac:dyDescent="0.3">
      <c r="E457" t="s">
        <v>14</v>
      </c>
      <c r="F457">
        <v>1</v>
      </c>
      <c r="G457">
        <v>0</v>
      </c>
      <c r="H457" s="2">
        <v>2.8836000000000004</v>
      </c>
      <c r="I457" s="2">
        <v>10.68</v>
      </c>
    </row>
    <row r="458" spans="2:9" x14ac:dyDescent="0.3">
      <c r="D458" t="s">
        <v>17</v>
      </c>
      <c r="E458" t="s">
        <v>23</v>
      </c>
      <c r="F458">
        <v>3</v>
      </c>
      <c r="G458">
        <v>0</v>
      </c>
      <c r="H458" s="2">
        <v>13.793099999999999</v>
      </c>
      <c r="I458" s="2">
        <v>59.97</v>
      </c>
    </row>
    <row r="459" spans="2:9" x14ac:dyDescent="0.3">
      <c r="E459" t="s">
        <v>24</v>
      </c>
      <c r="F459">
        <v>7</v>
      </c>
      <c r="G459">
        <v>0.2</v>
      </c>
      <c r="H459" s="2">
        <v>66.635100000000023</v>
      </c>
      <c r="I459" s="2">
        <v>761.5440000000001</v>
      </c>
    </row>
    <row r="460" spans="2:9" x14ac:dyDescent="0.3">
      <c r="C460" t="s">
        <v>22</v>
      </c>
      <c r="D460" t="s">
        <v>8</v>
      </c>
      <c r="E460" t="s">
        <v>23</v>
      </c>
      <c r="F460">
        <v>2</v>
      </c>
      <c r="G460">
        <v>0</v>
      </c>
      <c r="H460" s="2">
        <v>35.156000000000006</v>
      </c>
      <c r="I460" s="2">
        <v>79.900000000000006</v>
      </c>
    </row>
    <row r="461" spans="2:9" x14ac:dyDescent="0.3">
      <c r="E461" t="s">
        <v>43</v>
      </c>
      <c r="F461">
        <v>6</v>
      </c>
      <c r="G461">
        <v>0</v>
      </c>
      <c r="H461" s="2">
        <v>44.400000000000006</v>
      </c>
      <c r="I461" s="2">
        <v>88.800000000000011</v>
      </c>
    </row>
    <row r="462" spans="2:9" x14ac:dyDescent="0.3">
      <c r="E462" t="s">
        <v>24</v>
      </c>
      <c r="F462">
        <v>4</v>
      </c>
      <c r="G462">
        <v>0.2</v>
      </c>
      <c r="H462" s="2">
        <v>35.996399999999952</v>
      </c>
      <c r="I462" s="2">
        <v>319.96800000000002</v>
      </c>
    </row>
    <row r="463" spans="2:9" x14ac:dyDescent="0.3">
      <c r="D463" t="s">
        <v>15</v>
      </c>
      <c r="E463" t="s">
        <v>12</v>
      </c>
      <c r="F463">
        <v>9</v>
      </c>
      <c r="G463">
        <v>0</v>
      </c>
      <c r="H463" s="2">
        <v>654.7553999999999</v>
      </c>
      <c r="I463" s="2">
        <v>2518.29</v>
      </c>
    </row>
    <row r="464" spans="2:9" x14ac:dyDescent="0.3">
      <c r="E464" t="s">
        <v>20</v>
      </c>
      <c r="F464">
        <v>11</v>
      </c>
      <c r="G464">
        <v>0.4</v>
      </c>
      <c r="H464" s="2">
        <v>82.241599999999991</v>
      </c>
      <c r="I464" s="2">
        <v>234.976</v>
      </c>
    </row>
    <row r="465" spans="2:9" x14ac:dyDescent="0.3">
      <c r="E465" t="s">
        <v>38</v>
      </c>
      <c r="F465">
        <v>2</v>
      </c>
      <c r="G465">
        <v>0</v>
      </c>
      <c r="H465" s="2">
        <v>11.68</v>
      </c>
      <c r="I465" s="2">
        <v>23.36</v>
      </c>
    </row>
    <row r="466" spans="2:9" x14ac:dyDescent="0.3">
      <c r="E466" t="s">
        <v>16</v>
      </c>
      <c r="F466">
        <v>2</v>
      </c>
      <c r="G466">
        <v>0</v>
      </c>
      <c r="H466" s="2">
        <v>3.8519999999999994</v>
      </c>
      <c r="I466" s="2">
        <v>8.56</v>
      </c>
    </row>
    <row r="467" spans="2:9" x14ac:dyDescent="0.3">
      <c r="E467" t="s">
        <v>24</v>
      </c>
      <c r="F467">
        <v>3</v>
      </c>
      <c r="G467">
        <v>0.2</v>
      </c>
      <c r="H467" s="2">
        <v>8.9969999999999892</v>
      </c>
      <c r="I467" s="2">
        <v>71.975999999999999</v>
      </c>
    </row>
    <row r="468" spans="2:9" x14ac:dyDescent="0.3">
      <c r="E468" t="s">
        <v>14</v>
      </c>
      <c r="F468">
        <v>3</v>
      </c>
      <c r="G468">
        <v>0</v>
      </c>
      <c r="H468" s="2">
        <v>140.54820000000001</v>
      </c>
      <c r="I468" s="2">
        <v>540.56999999999994</v>
      </c>
    </row>
    <row r="469" spans="2:9" x14ac:dyDescent="0.3">
      <c r="B469" t="s">
        <v>80</v>
      </c>
      <c r="C469" t="s">
        <v>22</v>
      </c>
      <c r="D469" t="s">
        <v>15</v>
      </c>
      <c r="E469" t="s">
        <v>12</v>
      </c>
      <c r="F469">
        <v>3</v>
      </c>
      <c r="G469">
        <v>0</v>
      </c>
      <c r="H469" s="2">
        <v>3.0342000000000002</v>
      </c>
      <c r="I469" s="2">
        <v>11.67</v>
      </c>
    </row>
    <row r="470" spans="2:9" x14ac:dyDescent="0.3">
      <c r="E470" t="s">
        <v>14</v>
      </c>
      <c r="F470">
        <v>3</v>
      </c>
      <c r="G470">
        <v>0</v>
      </c>
      <c r="H470" s="2">
        <v>0.4073999999999991</v>
      </c>
      <c r="I470" s="2">
        <v>40.74</v>
      </c>
    </row>
    <row r="471" spans="2:9" x14ac:dyDescent="0.3">
      <c r="B471" t="s">
        <v>81</v>
      </c>
      <c r="C471" t="s">
        <v>11</v>
      </c>
      <c r="D471" t="s">
        <v>15</v>
      </c>
      <c r="E471" t="s">
        <v>12</v>
      </c>
      <c r="F471">
        <v>2</v>
      </c>
      <c r="G471">
        <v>0</v>
      </c>
      <c r="H471" s="2">
        <v>60.552800000000005</v>
      </c>
      <c r="I471" s="2">
        <v>137.62</v>
      </c>
    </row>
    <row r="472" spans="2:9" x14ac:dyDescent="0.3">
      <c r="E472" t="s">
        <v>24</v>
      </c>
      <c r="F472">
        <v>1</v>
      </c>
      <c r="G472">
        <v>0</v>
      </c>
      <c r="H472" s="2">
        <v>25.122500000000002</v>
      </c>
      <c r="I472" s="2">
        <v>100.49</v>
      </c>
    </row>
    <row r="473" spans="2:9" x14ac:dyDescent="0.3">
      <c r="C473" t="s">
        <v>7</v>
      </c>
      <c r="D473" t="s">
        <v>17</v>
      </c>
      <c r="E473" t="s">
        <v>19</v>
      </c>
      <c r="F473">
        <v>3</v>
      </c>
      <c r="G473">
        <v>0.2</v>
      </c>
      <c r="H473" s="2">
        <v>8.4449999999999896</v>
      </c>
      <c r="I473" s="2">
        <v>67.56</v>
      </c>
    </row>
    <row r="474" spans="2:9" x14ac:dyDescent="0.3">
      <c r="C474" t="s">
        <v>22</v>
      </c>
      <c r="D474" t="s">
        <v>8</v>
      </c>
      <c r="E474" t="s">
        <v>20</v>
      </c>
      <c r="F474">
        <v>5</v>
      </c>
      <c r="G474">
        <v>0</v>
      </c>
      <c r="H474" s="2">
        <v>11.890999999999998</v>
      </c>
      <c r="I474" s="2">
        <v>25.299999999999997</v>
      </c>
    </row>
    <row r="475" spans="2:9" x14ac:dyDescent="0.3">
      <c r="E475" t="s">
        <v>14</v>
      </c>
      <c r="F475">
        <v>3</v>
      </c>
      <c r="G475">
        <v>0</v>
      </c>
      <c r="H475" s="2">
        <v>9.5940000000000012</v>
      </c>
      <c r="I475" s="2">
        <v>95.94</v>
      </c>
    </row>
    <row r="476" spans="2:9" x14ac:dyDescent="0.3">
      <c r="D476" t="s">
        <v>15</v>
      </c>
      <c r="E476" t="s">
        <v>20</v>
      </c>
      <c r="F476">
        <v>11</v>
      </c>
      <c r="G476">
        <v>2.0999999999999996</v>
      </c>
      <c r="H476" s="2">
        <v>-134.17879999999997</v>
      </c>
      <c r="I476" s="2">
        <v>223.38000000000002</v>
      </c>
    </row>
    <row r="477" spans="2:9" x14ac:dyDescent="0.3">
      <c r="E477" t="s">
        <v>33</v>
      </c>
      <c r="F477">
        <v>3</v>
      </c>
      <c r="G477">
        <v>0.2</v>
      </c>
      <c r="H477" s="2">
        <v>10.647000000000006</v>
      </c>
      <c r="I477" s="2">
        <v>170.35200000000003</v>
      </c>
    </row>
    <row r="478" spans="2:9" x14ac:dyDescent="0.3">
      <c r="E478" t="s">
        <v>24</v>
      </c>
      <c r="F478">
        <v>2</v>
      </c>
      <c r="G478">
        <v>0</v>
      </c>
      <c r="H478" s="2">
        <v>93.594800000000021</v>
      </c>
      <c r="I478" s="2">
        <v>359.98</v>
      </c>
    </row>
    <row r="479" spans="2:9" x14ac:dyDescent="0.3">
      <c r="E479" t="s">
        <v>25</v>
      </c>
      <c r="F479">
        <v>1</v>
      </c>
      <c r="G479">
        <v>0.3</v>
      </c>
      <c r="H479" s="2">
        <v>-4.032</v>
      </c>
      <c r="I479" s="2">
        <v>70.559999999999988</v>
      </c>
    </row>
    <row r="480" spans="2:9" x14ac:dyDescent="0.3">
      <c r="B480" t="s">
        <v>82</v>
      </c>
      <c r="C480" t="s">
        <v>11</v>
      </c>
      <c r="D480" t="s">
        <v>17</v>
      </c>
      <c r="E480" t="s">
        <v>24</v>
      </c>
      <c r="F480">
        <v>6</v>
      </c>
      <c r="G480">
        <v>0</v>
      </c>
      <c r="H480" s="2">
        <v>213.70440000000002</v>
      </c>
      <c r="I480" s="2">
        <v>821.94</v>
      </c>
    </row>
    <row r="481" spans="2:9" x14ac:dyDescent="0.3">
      <c r="C481" t="s">
        <v>22</v>
      </c>
      <c r="D481" t="s">
        <v>8</v>
      </c>
      <c r="E481" t="s">
        <v>20</v>
      </c>
      <c r="F481">
        <v>1</v>
      </c>
      <c r="G481">
        <v>0</v>
      </c>
      <c r="H481" s="2">
        <v>2.9347999999999996</v>
      </c>
      <c r="I481" s="2">
        <v>6.38</v>
      </c>
    </row>
    <row r="482" spans="2:9" x14ac:dyDescent="0.3">
      <c r="E482" t="s">
        <v>16</v>
      </c>
      <c r="F482">
        <v>1</v>
      </c>
      <c r="G482">
        <v>0</v>
      </c>
      <c r="H482" s="2">
        <v>3.1104000000000003</v>
      </c>
      <c r="I482" s="2">
        <v>6.48</v>
      </c>
    </row>
    <row r="483" spans="2:9" x14ac:dyDescent="0.3">
      <c r="D483" t="s">
        <v>15</v>
      </c>
      <c r="E483" t="s">
        <v>20</v>
      </c>
      <c r="F483">
        <v>2</v>
      </c>
      <c r="G483">
        <v>0</v>
      </c>
      <c r="H483" s="2">
        <v>5.3460000000000001</v>
      </c>
      <c r="I483" s="2">
        <v>11.88</v>
      </c>
    </row>
    <row r="484" spans="2:9" x14ac:dyDescent="0.3">
      <c r="E484" t="s">
        <v>25</v>
      </c>
      <c r="F484">
        <v>7</v>
      </c>
      <c r="G484">
        <v>0</v>
      </c>
      <c r="H484" s="2">
        <v>350.42700000000002</v>
      </c>
      <c r="I484" s="2">
        <v>1592.8500000000001</v>
      </c>
    </row>
    <row r="485" spans="2:9" x14ac:dyDescent="0.3">
      <c r="B485" t="s">
        <v>83</v>
      </c>
      <c r="C485" t="s">
        <v>22</v>
      </c>
      <c r="D485" t="s">
        <v>8</v>
      </c>
      <c r="E485" t="s">
        <v>20</v>
      </c>
      <c r="F485">
        <v>6</v>
      </c>
      <c r="G485">
        <v>1.4</v>
      </c>
      <c r="H485" s="2">
        <v>-19.427199999999999</v>
      </c>
      <c r="I485" s="2">
        <v>28.704000000000008</v>
      </c>
    </row>
    <row r="486" spans="2:9" x14ac:dyDescent="0.3">
      <c r="E486" t="s">
        <v>33</v>
      </c>
      <c r="F486">
        <v>3</v>
      </c>
      <c r="G486">
        <v>0.2</v>
      </c>
      <c r="H486" s="2">
        <v>74.573999999999955</v>
      </c>
      <c r="I486" s="2">
        <v>662.88</v>
      </c>
    </row>
    <row r="487" spans="2:9" x14ac:dyDescent="0.3">
      <c r="E487" t="s">
        <v>14</v>
      </c>
      <c r="F487">
        <v>7</v>
      </c>
      <c r="G487">
        <v>0.2</v>
      </c>
      <c r="H487" s="2">
        <v>-1.2558000000000051</v>
      </c>
      <c r="I487" s="2">
        <v>33.488000000000007</v>
      </c>
    </row>
    <row r="488" spans="2:9" x14ac:dyDescent="0.3">
      <c r="D488" t="s">
        <v>15</v>
      </c>
      <c r="E488" t="s">
        <v>21</v>
      </c>
      <c r="F488">
        <v>7</v>
      </c>
      <c r="G488">
        <v>0.2</v>
      </c>
      <c r="H488" s="2">
        <v>8.5539999999999878</v>
      </c>
      <c r="I488" s="2">
        <v>68.432000000000016</v>
      </c>
    </row>
    <row r="489" spans="2:9" x14ac:dyDescent="0.3">
      <c r="B489" t="s">
        <v>84</v>
      </c>
      <c r="C489" t="s">
        <v>11</v>
      </c>
      <c r="D489" t="s">
        <v>15</v>
      </c>
      <c r="E489" t="s">
        <v>16</v>
      </c>
      <c r="F489">
        <v>2</v>
      </c>
      <c r="G489">
        <v>0.2</v>
      </c>
      <c r="H489" s="2">
        <v>3.7407999999999997</v>
      </c>
      <c r="I489" s="2">
        <v>10.688000000000001</v>
      </c>
    </row>
    <row r="490" spans="2:9" x14ac:dyDescent="0.3">
      <c r="E490" t="s">
        <v>14</v>
      </c>
      <c r="F490">
        <v>3</v>
      </c>
      <c r="G490">
        <v>0.2</v>
      </c>
      <c r="H490" s="2">
        <v>20.745899999999985</v>
      </c>
      <c r="I490" s="2">
        <v>237.09600000000003</v>
      </c>
    </row>
    <row r="491" spans="2:9" x14ac:dyDescent="0.3">
      <c r="D491" t="s">
        <v>17</v>
      </c>
      <c r="E491" t="s">
        <v>33</v>
      </c>
      <c r="F491">
        <v>7</v>
      </c>
      <c r="G491">
        <v>0.3</v>
      </c>
      <c r="H491" s="2">
        <v>-9.0929999999999964</v>
      </c>
      <c r="I491" s="2">
        <v>127.30199999999999</v>
      </c>
    </row>
    <row r="492" spans="2:9" x14ac:dyDescent="0.3">
      <c r="E492" t="s">
        <v>38</v>
      </c>
      <c r="F492">
        <v>5</v>
      </c>
      <c r="G492">
        <v>0.2</v>
      </c>
      <c r="H492" s="2">
        <v>113.30549999999999</v>
      </c>
      <c r="I492" s="2">
        <v>335.72</v>
      </c>
    </row>
    <row r="493" spans="2:9" x14ac:dyDescent="0.3">
      <c r="E493" t="s">
        <v>24</v>
      </c>
      <c r="F493">
        <v>7</v>
      </c>
      <c r="G493">
        <v>0.2</v>
      </c>
      <c r="H493" s="2">
        <v>88.180399999999977</v>
      </c>
      <c r="I493" s="2">
        <v>251.94400000000002</v>
      </c>
    </row>
    <row r="494" spans="2:9" x14ac:dyDescent="0.3">
      <c r="C494" t="s">
        <v>7</v>
      </c>
      <c r="D494" t="s">
        <v>8</v>
      </c>
      <c r="E494" t="s">
        <v>9</v>
      </c>
      <c r="F494">
        <v>1</v>
      </c>
      <c r="G494">
        <v>0.2</v>
      </c>
      <c r="H494" s="2">
        <v>-0.34880000000000033</v>
      </c>
      <c r="I494" s="2">
        <v>1.7440000000000002</v>
      </c>
    </row>
    <row r="495" spans="2:9" x14ac:dyDescent="0.3">
      <c r="C495" t="s">
        <v>22</v>
      </c>
      <c r="D495" t="s">
        <v>8</v>
      </c>
      <c r="E495" t="s">
        <v>34</v>
      </c>
      <c r="F495">
        <v>2</v>
      </c>
      <c r="G495">
        <v>0.32</v>
      </c>
      <c r="H495" s="2">
        <v>-14.458800000000025</v>
      </c>
      <c r="I495" s="2">
        <v>327.73279999999994</v>
      </c>
    </row>
    <row r="496" spans="2:9" x14ac:dyDescent="0.3">
      <c r="B496" t="s">
        <v>85</v>
      </c>
      <c r="C496" t="s">
        <v>27</v>
      </c>
      <c r="D496" t="s">
        <v>17</v>
      </c>
      <c r="E496" t="s">
        <v>20</v>
      </c>
      <c r="F496">
        <v>12</v>
      </c>
      <c r="G496">
        <v>2.4000000000000004</v>
      </c>
      <c r="H496" s="2">
        <v>-21.934400000000011</v>
      </c>
      <c r="I496" s="2">
        <v>13.087999999999997</v>
      </c>
    </row>
    <row r="497" spans="2:9" x14ac:dyDescent="0.3">
      <c r="E497" t="s">
        <v>14</v>
      </c>
      <c r="F497">
        <v>3</v>
      </c>
      <c r="G497">
        <v>0.2</v>
      </c>
      <c r="H497" s="2">
        <v>-12.528600000000001</v>
      </c>
      <c r="I497" s="2">
        <v>52.751999999999995</v>
      </c>
    </row>
    <row r="498" spans="2:9" x14ac:dyDescent="0.3">
      <c r="C498" t="s">
        <v>22</v>
      </c>
      <c r="D498" t="s">
        <v>15</v>
      </c>
      <c r="E498" t="s">
        <v>20</v>
      </c>
      <c r="F498">
        <v>7</v>
      </c>
      <c r="G498">
        <v>0.8</v>
      </c>
      <c r="H498" s="2">
        <v>-35.817600000000013</v>
      </c>
      <c r="I498" s="2">
        <v>22.385999999999996</v>
      </c>
    </row>
    <row r="499" spans="2:9" x14ac:dyDescent="0.3">
      <c r="E499" t="s">
        <v>33</v>
      </c>
      <c r="F499">
        <v>5</v>
      </c>
      <c r="G499">
        <v>0.3</v>
      </c>
      <c r="H499" s="2">
        <v>-143.43099999999998</v>
      </c>
      <c r="I499" s="2">
        <v>528.42999999999995</v>
      </c>
    </row>
    <row r="500" spans="2:9" x14ac:dyDescent="0.3">
      <c r="B500" t="s">
        <v>86</v>
      </c>
      <c r="C500" t="s">
        <v>11</v>
      </c>
      <c r="D500" t="s">
        <v>8</v>
      </c>
      <c r="E500" t="s">
        <v>33</v>
      </c>
      <c r="F500">
        <v>1</v>
      </c>
      <c r="G500">
        <v>0.1</v>
      </c>
      <c r="H500" s="2">
        <v>10.647000000000004</v>
      </c>
      <c r="I500" s="2">
        <v>63.882000000000005</v>
      </c>
    </row>
    <row r="501" spans="2:9" x14ac:dyDescent="0.3">
      <c r="C501" t="s">
        <v>7</v>
      </c>
      <c r="D501" t="s">
        <v>8</v>
      </c>
      <c r="E501" t="s">
        <v>19</v>
      </c>
      <c r="F501">
        <v>2</v>
      </c>
      <c r="G501">
        <v>0</v>
      </c>
      <c r="H501" s="2">
        <v>0.72279999999999989</v>
      </c>
      <c r="I501" s="2">
        <v>2.78</v>
      </c>
    </row>
    <row r="502" spans="2:9" x14ac:dyDescent="0.3">
      <c r="E502" t="s">
        <v>38</v>
      </c>
      <c r="F502">
        <v>2</v>
      </c>
      <c r="G502">
        <v>0</v>
      </c>
      <c r="H502" s="2">
        <v>35.981999999999992</v>
      </c>
      <c r="I502" s="2">
        <v>79.959999999999994</v>
      </c>
    </row>
    <row r="503" spans="2:9" x14ac:dyDescent="0.3">
      <c r="D503" t="s">
        <v>15</v>
      </c>
      <c r="E503" t="s">
        <v>21</v>
      </c>
      <c r="F503">
        <v>3</v>
      </c>
      <c r="G503">
        <v>0</v>
      </c>
      <c r="H503" s="2">
        <v>30.989999999999995</v>
      </c>
      <c r="I503" s="2">
        <v>154.94999999999999</v>
      </c>
    </row>
    <row r="504" spans="2:9" x14ac:dyDescent="0.3">
      <c r="E504" t="s">
        <v>24</v>
      </c>
      <c r="F504">
        <v>4</v>
      </c>
      <c r="G504">
        <v>0</v>
      </c>
      <c r="H504" s="2">
        <v>12.208000000000002</v>
      </c>
      <c r="I504" s="2">
        <v>43.6</v>
      </c>
    </row>
    <row r="505" spans="2:9" x14ac:dyDescent="0.3">
      <c r="C505" t="s">
        <v>22</v>
      </c>
      <c r="D505" t="s">
        <v>8</v>
      </c>
      <c r="E505" t="s">
        <v>20</v>
      </c>
      <c r="F505">
        <v>3</v>
      </c>
      <c r="G505">
        <v>0.2</v>
      </c>
      <c r="H505" s="2">
        <v>726.56189999999981</v>
      </c>
      <c r="I505" s="2">
        <v>2152.7760000000003</v>
      </c>
    </row>
    <row r="506" spans="2:9" x14ac:dyDescent="0.3">
      <c r="E506" t="s">
        <v>34</v>
      </c>
      <c r="F506">
        <v>10</v>
      </c>
      <c r="G506">
        <v>0.2</v>
      </c>
      <c r="H506" s="2">
        <v>-50.098000000000297</v>
      </c>
      <c r="I506" s="2">
        <v>4007.8400000000006</v>
      </c>
    </row>
    <row r="507" spans="2:9" x14ac:dyDescent="0.3">
      <c r="E507" t="s">
        <v>9</v>
      </c>
      <c r="F507">
        <v>7</v>
      </c>
      <c r="G507">
        <v>0</v>
      </c>
      <c r="H507" s="2">
        <v>16.703400000000016</v>
      </c>
      <c r="I507" s="2">
        <v>835.17000000000007</v>
      </c>
    </row>
    <row r="508" spans="2:9" x14ac:dyDescent="0.3">
      <c r="D508" t="s">
        <v>15</v>
      </c>
      <c r="E508" t="s">
        <v>33</v>
      </c>
      <c r="F508">
        <v>9</v>
      </c>
      <c r="G508">
        <v>0.1</v>
      </c>
      <c r="H508" s="2">
        <v>169.18200000000004</v>
      </c>
      <c r="I508" s="2">
        <v>1522.6379999999999</v>
      </c>
    </row>
    <row r="509" spans="2:9" x14ac:dyDescent="0.3">
      <c r="E509" t="s">
        <v>21</v>
      </c>
      <c r="F509">
        <v>5</v>
      </c>
      <c r="G509">
        <v>0</v>
      </c>
      <c r="H509" s="2">
        <v>39.97999999999999</v>
      </c>
      <c r="I509" s="2">
        <v>199.89999999999998</v>
      </c>
    </row>
    <row r="510" spans="2:9" x14ac:dyDescent="0.3">
      <c r="B510" t="s">
        <v>87</v>
      </c>
      <c r="C510" t="s">
        <v>22</v>
      </c>
      <c r="D510" t="s">
        <v>8</v>
      </c>
      <c r="E510" t="s">
        <v>23</v>
      </c>
      <c r="F510">
        <v>7</v>
      </c>
      <c r="G510">
        <v>0.2</v>
      </c>
      <c r="H510" s="2">
        <v>95.188799999999972</v>
      </c>
      <c r="I510" s="2">
        <v>475.94400000000002</v>
      </c>
    </row>
    <row r="511" spans="2:9" x14ac:dyDescent="0.3">
      <c r="E511" t="s">
        <v>25</v>
      </c>
      <c r="F511">
        <v>3</v>
      </c>
      <c r="G511">
        <v>0.5</v>
      </c>
      <c r="H511" s="2">
        <v>-184.83660000000003</v>
      </c>
      <c r="I511" s="2">
        <v>355.45499999999998</v>
      </c>
    </row>
    <row r="512" spans="2:9" x14ac:dyDescent="0.3">
      <c r="B512" t="s">
        <v>88</v>
      </c>
      <c r="C512" t="s">
        <v>22</v>
      </c>
      <c r="D512" t="s">
        <v>8</v>
      </c>
      <c r="E512" t="s">
        <v>38</v>
      </c>
      <c r="F512">
        <v>1</v>
      </c>
      <c r="G512">
        <v>0.2</v>
      </c>
      <c r="H512" s="2">
        <v>2.7719999999999994</v>
      </c>
      <c r="I512" s="2">
        <v>7.9200000000000008</v>
      </c>
    </row>
    <row r="513" spans="2:9" x14ac:dyDescent="0.3">
      <c r="E513" t="s">
        <v>21</v>
      </c>
      <c r="F513">
        <v>2</v>
      </c>
      <c r="G513">
        <v>0.2</v>
      </c>
      <c r="H513" s="2">
        <v>3.9512</v>
      </c>
      <c r="I513" s="2">
        <v>14.368000000000002</v>
      </c>
    </row>
    <row r="514" spans="2:9" x14ac:dyDescent="0.3">
      <c r="B514" t="s">
        <v>89</v>
      </c>
      <c r="C514" t="s">
        <v>22</v>
      </c>
      <c r="D514" t="s">
        <v>17</v>
      </c>
      <c r="E514" t="s">
        <v>21</v>
      </c>
      <c r="F514">
        <v>2</v>
      </c>
      <c r="G514">
        <v>0</v>
      </c>
      <c r="H514" s="2">
        <v>14.430000000000007</v>
      </c>
      <c r="I514" s="2">
        <v>111</v>
      </c>
    </row>
    <row r="515" spans="2:9" x14ac:dyDescent="0.3">
      <c r="E515" t="s">
        <v>46</v>
      </c>
      <c r="F515">
        <v>4</v>
      </c>
      <c r="G515">
        <v>0.2</v>
      </c>
      <c r="H515" s="2">
        <v>415.98959999999994</v>
      </c>
      <c r="I515" s="2">
        <v>1279.9680000000001</v>
      </c>
    </row>
    <row r="516" spans="2:9" x14ac:dyDescent="0.3">
      <c r="E516" t="s">
        <v>14</v>
      </c>
      <c r="F516">
        <v>7</v>
      </c>
      <c r="G516">
        <v>0</v>
      </c>
      <c r="H516" s="2">
        <v>334.11419999999987</v>
      </c>
      <c r="I516" s="2">
        <v>1856.19</v>
      </c>
    </row>
    <row r="517" spans="2:9" x14ac:dyDescent="0.3">
      <c r="B517" t="s">
        <v>90</v>
      </c>
      <c r="C517" t="s">
        <v>11</v>
      </c>
      <c r="D517" t="s">
        <v>8</v>
      </c>
      <c r="E517" t="s">
        <v>19</v>
      </c>
      <c r="F517">
        <v>10</v>
      </c>
      <c r="G517">
        <v>0.4</v>
      </c>
      <c r="H517" s="2">
        <v>4.4918999999999958</v>
      </c>
      <c r="I517" s="2">
        <v>52.696000000000005</v>
      </c>
    </row>
    <row r="518" spans="2:9" x14ac:dyDescent="0.3">
      <c r="D518" t="s">
        <v>15</v>
      </c>
      <c r="E518" t="s">
        <v>19</v>
      </c>
      <c r="F518">
        <v>3</v>
      </c>
      <c r="G518">
        <v>0.2</v>
      </c>
      <c r="H518" s="2">
        <v>1.5521999999999991</v>
      </c>
      <c r="I518" s="2">
        <v>9.5519999999999996</v>
      </c>
    </row>
    <row r="519" spans="2:9" x14ac:dyDescent="0.3">
      <c r="C519" t="s">
        <v>27</v>
      </c>
      <c r="D519" t="s">
        <v>15</v>
      </c>
      <c r="E519" t="s">
        <v>12</v>
      </c>
      <c r="F519">
        <v>2</v>
      </c>
      <c r="G519">
        <v>0.2</v>
      </c>
      <c r="H519" s="2">
        <v>14.650999999999989</v>
      </c>
      <c r="I519" s="2">
        <v>167.44000000000003</v>
      </c>
    </row>
    <row r="520" spans="2:9" x14ac:dyDescent="0.3">
      <c r="E520" t="s">
        <v>46</v>
      </c>
      <c r="F520">
        <v>4</v>
      </c>
      <c r="G520">
        <v>0.5</v>
      </c>
      <c r="H520" s="2">
        <v>-3839.9903999999988</v>
      </c>
      <c r="I520" s="2">
        <v>7999.98</v>
      </c>
    </row>
    <row r="521" spans="2:9" x14ac:dyDescent="0.3">
      <c r="E521" t="s">
        <v>25</v>
      </c>
      <c r="F521">
        <v>4</v>
      </c>
      <c r="G521">
        <v>0.4</v>
      </c>
      <c r="H521" s="2">
        <v>-199.50760000000008</v>
      </c>
      <c r="I521" s="2">
        <v>630.024</v>
      </c>
    </row>
    <row r="522" spans="2:9" x14ac:dyDescent="0.3">
      <c r="C522" t="s">
        <v>7</v>
      </c>
      <c r="D522" t="s">
        <v>8</v>
      </c>
      <c r="E522" t="s">
        <v>33</v>
      </c>
      <c r="F522">
        <v>3</v>
      </c>
      <c r="G522">
        <v>0</v>
      </c>
      <c r="H522" s="2">
        <v>178.79999999999998</v>
      </c>
      <c r="I522" s="2">
        <v>715.2</v>
      </c>
    </row>
    <row r="523" spans="2:9" x14ac:dyDescent="0.3">
      <c r="D523" t="s">
        <v>17</v>
      </c>
      <c r="E523" t="s">
        <v>20</v>
      </c>
      <c r="F523">
        <v>3</v>
      </c>
      <c r="G523">
        <v>0</v>
      </c>
      <c r="H523" s="2">
        <v>2.5920000000000001</v>
      </c>
      <c r="I523" s="2">
        <v>5.4</v>
      </c>
    </row>
    <row r="524" spans="2:9" x14ac:dyDescent="0.3">
      <c r="E524" t="s">
        <v>38</v>
      </c>
      <c r="F524">
        <v>1</v>
      </c>
      <c r="G524">
        <v>0</v>
      </c>
      <c r="H524" s="2">
        <v>3.4944000000000002</v>
      </c>
      <c r="I524" s="2">
        <v>7.28</v>
      </c>
    </row>
    <row r="525" spans="2:9" x14ac:dyDescent="0.3">
      <c r="C525" t="s">
        <v>22</v>
      </c>
      <c r="D525" t="s">
        <v>8</v>
      </c>
      <c r="E525" t="s">
        <v>23</v>
      </c>
      <c r="F525">
        <v>3</v>
      </c>
      <c r="G525">
        <v>0.2</v>
      </c>
      <c r="H525" s="2">
        <v>81.59490000000001</v>
      </c>
      <c r="I525" s="2">
        <v>383.97600000000006</v>
      </c>
    </row>
    <row r="526" spans="2:9" x14ac:dyDescent="0.3">
      <c r="E526" t="s">
        <v>12</v>
      </c>
      <c r="F526">
        <v>3</v>
      </c>
      <c r="G526">
        <v>0</v>
      </c>
      <c r="H526" s="2">
        <v>152.02319999999997</v>
      </c>
      <c r="I526" s="2">
        <v>542.93999999999994</v>
      </c>
    </row>
    <row r="527" spans="2:9" x14ac:dyDescent="0.3">
      <c r="E527" t="s">
        <v>19</v>
      </c>
      <c r="F527">
        <v>9</v>
      </c>
      <c r="G527">
        <v>0.4</v>
      </c>
      <c r="H527" s="2">
        <v>2.5148999999999964</v>
      </c>
      <c r="I527" s="2">
        <v>22.744</v>
      </c>
    </row>
    <row r="528" spans="2:9" x14ac:dyDescent="0.3">
      <c r="E528" t="s">
        <v>38</v>
      </c>
      <c r="F528">
        <v>1</v>
      </c>
      <c r="G528">
        <v>0</v>
      </c>
      <c r="H528" s="2">
        <v>0.95879999999999987</v>
      </c>
      <c r="I528" s="2">
        <v>2.04</v>
      </c>
    </row>
    <row r="529" spans="2:9" x14ac:dyDescent="0.3">
      <c r="E529" t="s">
        <v>16</v>
      </c>
      <c r="F529">
        <v>10</v>
      </c>
      <c r="G529">
        <v>0</v>
      </c>
      <c r="H529" s="2">
        <v>63.91899999999999</v>
      </c>
      <c r="I529" s="2">
        <v>136.94999999999999</v>
      </c>
    </row>
    <row r="530" spans="2:9" x14ac:dyDescent="0.3">
      <c r="E530" t="s">
        <v>25</v>
      </c>
      <c r="F530">
        <v>7</v>
      </c>
      <c r="G530">
        <v>0.4</v>
      </c>
      <c r="H530" s="2">
        <v>-653.28340000000003</v>
      </c>
      <c r="I530" s="2">
        <v>1781.6819999999998</v>
      </c>
    </row>
    <row r="531" spans="2:9" x14ac:dyDescent="0.3">
      <c r="D531" t="s">
        <v>15</v>
      </c>
      <c r="E531" t="s">
        <v>23</v>
      </c>
      <c r="F531">
        <v>9</v>
      </c>
      <c r="G531">
        <v>0</v>
      </c>
      <c r="H531" s="2">
        <v>110.65129999999999</v>
      </c>
      <c r="I531" s="2">
        <v>305.01</v>
      </c>
    </row>
    <row r="532" spans="2:9" x14ac:dyDescent="0.3">
      <c r="E532" t="s">
        <v>19</v>
      </c>
      <c r="F532">
        <v>6</v>
      </c>
      <c r="G532">
        <v>0</v>
      </c>
      <c r="H532" s="2">
        <v>2.7336</v>
      </c>
      <c r="I532" s="2">
        <v>8.0400000000000009</v>
      </c>
    </row>
    <row r="533" spans="2:9" x14ac:dyDescent="0.3">
      <c r="E533" t="s">
        <v>34</v>
      </c>
      <c r="F533">
        <v>5</v>
      </c>
      <c r="G533">
        <v>0</v>
      </c>
      <c r="H533" s="2">
        <v>1013.1270000000001</v>
      </c>
      <c r="I533" s="2">
        <v>4404.8999999999996</v>
      </c>
    </row>
    <row r="534" spans="2:9" x14ac:dyDescent="0.3">
      <c r="E534" t="s">
        <v>14</v>
      </c>
      <c r="F534">
        <v>13</v>
      </c>
      <c r="G534">
        <v>0</v>
      </c>
      <c r="H534" s="2">
        <v>406.71539999999993</v>
      </c>
      <c r="I534" s="2">
        <v>1564.29</v>
      </c>
    </row>
    <row r="535" spans="2:9" x14ac:dyDescent="0.3">
      <c r="D535" t="s">
        <v>17</v>
      </c>
      <c r="E535" t="s">
        <v>20</v>
      </c>
      <c r="F535">
        <v>4</v>
      </c>
      <c r="G535">
        <v>0.7</v>
      </c>
      <c r="H535" s="2">
        <v>-1306.5504000000001</v>
      </c>
      <c r="I535" s="2">
        <v>1633.1880000000003</v>
      </c>
    </row>
    <row r="536" spans="2:9" x14ac:dyDescent="0.3">
      <c r="E536" t="s">
        <v>24</v>
      </c>
      <c r="F536">
        <v>5</v>
      </c>
      <c r="G536">
        <v>0</v>
      </c>
      <c r="H536" s="2">
        <v>336.63499999999999</v>
      </c>
      <c r="I536" s="2">
        <v>1294.75</v>
      </c>
    </row>
    <row r="537" spans="2:9" x14ac:dyDescent="0.3">
      <c r="B537" t="s">
        <v>91</v>
      </c>
      <c r="C537" t="s">
        <v>22</v>
      </c>
      <c r="D537" t="s">
        <v>15</v>
      </c>
      <c r="E537" t="s">
        <v>33</v>
      </c>
      <c r="F537">
        <v>3</v>
      </c>
      <c r="G537">
        <v>0.2</v>
      </c>
      <c r="H537" s="2">
        <v>4.2293999999999699</v>
      </c>
      <c r="I537" s="2">
        <v>338.35199999999998</v>
      </c>
    </row>
    <row r="538" spans="2:9" x14ac:dyDescent="0.3">
      <c r="E538" t="s">
        <v>16</v>
      </c>
      <c r="F538">
        <v>8</v>
      </c>
      <c r="G538">
        <v>0</v>
      </c>
      <c r="H538" s="2">
        <v>54.467199999999998</v>
      </c>
      <c r="I538" s="2">
        <v>117.28</v>
      </c>
    </row>
    <row r="539" spans="2:9" x14ac:dyDescent="0.3">
      <c r="B539" t="s">
        <v>92</v>
      </c>
      <c r="C539" t="s">
        <v>22</v>
      </c>
      <c r="D539" t="s">
        <v>8</v>
      </c>
      <c r="E539" t="s">
        <v>43</v>
      </c>
      <c r="F539">
        <v>3</v>
      </c>
      <c r="G539">
        <v>0</v>
      </c>
      <c r="H539" s="2">
        <v>7.2176999999999998</v>
      </c>
      <c r="I539" s="2">
        <v>14.73</v>
      </c>
    </row>
    <row r="540" spans="2:9" x14ac:dyDescent="0.3">
      <c r="D540" t="s">
        <v>15</v>
      </c>
      <c r="E540" t="s">
        <v>34</v>
      </c>
      <c r="F540">
        <v>5</v>
      </c>
      <c r="G540">
        <v>0.15</v>
      </c>
      <c r="H540" s="2">
        <v>41.996499999999941</v>
      </c>
      <c r="I540" s="2">
        <v>509.95749999999992</v>
      </c>
    </row>
    <row r="541" spans="2:9" x14ac:dyDescent="0.3">
      <c r="E541" t="s">
        <v>33</v>
      </c>
      <c r="F541">
        <v>5</v>
      </c>
      <c r="G541">
        <v>0.4</v>
      </c>
      <c r="H541" s="2">
        <v>75.166599999999917</v>
      </c>
      <c r="I541" s="2">
        <v>819.92000000000007</v>
      </c>
    </row>
    <row r="542" spans="2:9" x14ac:dyDescent="0.3">
      <c r="E542" t="s">
        <v>21</v>
      </c>
      <c r="F542">
        <v>3</v>
      </c>
      <c r="G542">
        <v>0</v>
      </c>
      <c r="H542" s="2">
        <v>34.414800000000007</v>
      </c>
      <c r="I542" s="2">
        <v>122.91</v>
      </c>
    </row>
    <row r="543" spans="2:9" x14ac:dyDescent="0.3">
      <c r="B543" t="s">
        <v>93</v>
      </c>
      <c r="C543" t="s">
        <v>7</v>
      </c>
      <c r="D543" t="s">
        <v>17</v>
      </c>
      <c r="E543" t="s">
        <v>19</v>
      </c>
      <c r="F543">
        <v>4</v>
      </c>
      <c r="G543">
        <v>0</v>
      </c>
      <c r="H543" s="2">
        <v>4.9647999999999985</v>
      </c>
      <c r="I543" s="2">
        <v>17.12</v>
      </c>
    </row>
    <row r="544" spans="2:9" x14ac:dyDescent="0.3">
      <c r="E544" t="s">
        <v>20</v>
      </c>
      <c r="F544">
        <v>5</v>
      </c>
      <c r="G544">
        <v>0</v>
      </c>
      <c r="H544" s="2">
        <v>10.327</v>
      </c>
      <c r="I544" s="2">
        <v>22.450000000000003</v>
      </c>
    </row>
    <row r="545" spans="2:9" x14ac:dyDescent="0.3">
      <c r="E545" t="s">
        <v>16</v>
      </c>
      <c r="F545">
        <v>3</v>
      </c>
      <c r="G545">
        <v>0</v>
      </c>
      <c r="H545" s="2">
        <v>28.171799999999998</v>
      </c>
      <c r="I545" s="2">
        <v>59.94</v>
      </c>
    </row>
    <row r="546" spans="2:9" x14ac:dyDescent="0.3">
      <c r="E546" t="s">
        <v>24</v>
      </c>
      <c r="F546">
        <v>2</v>
      </c>
      <c r="G546">
        <v>0</v>
      </c>
      <c r="H546" s="2">
        <v>93.593999999999994</v>
      </c>
      <c r="I546" s="2">
        <v>311.98</v>
      </c>
    </row>
    <row r="547" spans="2:9" x14ac:dyDescent="0.3">
      <c r="C547" t="s">
        <v>22</v>
      </c>
      <c r="D547" t="s">
        <v>17</v>
      </c>
      <c r="E547" t="s">
        <v>23</v>
      </c>
      <c r="F547">
        <v>4</v>
      </c>
      <c r="G547">
        <v>0</v>
      </c>
      <c r="H547" s="2">
        <v>24.913200000000003</v>
      </c>
      <c r="I547" s="2">
        <v>63.88</v>
      </c>
    </row>
    <row r="548" spans="2:9" x14ac:dyDescent="0.3">
      <c r="E548" t="s">
        <v>21</v>
      </c>
      <c r="F548">
        <v>1</v>
      </c>
      <c r="G548">
        <v>0</v>
      </c>
      <c r="H548" s="2">
        <v>11.756800000000002</v>
      </c>
      <c r="I548" s="2">
        <v>26.72</v>
      </c>
    </row>
    <row r="549" spans="2:9" x14ac:dyDescent="0.3">
      <c r="B549" t="s">
        <v>94</v>
      </c>
      <c r="C549" t="s">
        <v>7</v>
      </c>
      <c r="D549" t="s">
        <v>15</v>
      </c>
      <c r="E549" t="s">
        <v>20</v>
      </c>
      <c r="F549">
        <v>8</v>
      </c>
      <c r="G549">
        <v>0</v>
      </c>
      <c r="H549" s="2">
        <v>138.20160000000001</v>
      </c>
      <c r="I549" s="2">
        <v>287.92</v>
      </c>
    </row>
    <row r="550" spans="2:9" x14ac:dyDescent="0.3">
      <c r="E550" t="s">
        <v>21</v>
      </c>
      <c r="F550">
        <v>2</v>
      </c>
      <c r="G550">
        <v>0</v>
      </c>
      <c r="H550" s="2">
        <v>11.076000000000001</v>
      </c>
      <c r="I550" s="2">
        <v>28.4</v>
      </c>
    </row>
    <row r="551" spans="2:9" x14ac:dyDescent="0.3">
      <c r="D551" t="s">
        <v>17</v>
      </c>
      <c r="E551" t="s">
        <v>14</v>
      </c>
      <c r="F551">
        <v>3</v>
      </c>
      <c r="G551">
        <v>0</v>
      </c>
      <c r="H551" s="2">
        <v>0</v>
      </c>
      <c r="I551" s="2">
        <v>501.81000000000006</v>
      </c>
    </row>
    <row r="552" spans="2:9" x14ac:dyDescent="0.3">
      <c r="B552" t="s">
        <v>95</v>
      </c>
      <c r="C552" t="s">
        <v>22</v>
      </c>
      <c r="D552" t="s">
        <v>8</v>
      </c>
      <c r="E552" t="s">
        <v>20</v>
      </c>
      <c r="F552">
        <v>3</v>
      </c>
      <c r="G552">
        <v>0.2</v>
      </c>
      <c r="H552" s="2">
        <v>3.3674999999999984</v>
      </c>
      <c r="I552" s="2">
        <v>10.776000000000002</v>
      </c>
    </row>
    <row r="553" spans="2:9" x14ac:dyDescent="0.3">
      <c r="E553" t="s">
        <v>38</v>
      </c>
      <c r="F553">
        <v>5</v>
      </c>
      <c r="G553">
        <v>0</v>
      </c>
      <c r="H553" s="2">
        <v>13.347999999999997</v>
      </c>
      <c r="I553" s="2">
        <v>28.4</v>
      </c>
    </row>
    <row r="554" spans="2:9" x14ac:dyDescent="0.3">
      <c r="D554" t="s">
        <v>15</v>
      </c>
      <c r="E554" t="s">
        <v>19</v>
      </c>
      <c r="F554">
        <v>3</v>
      </c>
      <c r="G554">
        <v>0</v>
      </c>
      <c r="H554" s="2">
        <v>1.0841999999999998</v>
      </c>
      <c r="I554" s="2">
        <v>4.17</v>
      </c>
    </row>
    <row r="555" spans="2:9" x14ac:dyDescent="0.3">
      <c r="E555" t="s">
        <v>20</v>
      </c>
      <c r="F555">
        <v>3</v>
      </c>
      <c r="G555">
        <v>0.4</v>
      </c>
      <c r="H555" s="2">
        <v>8.2364999999999995</v>
      </c>
      <c r="I555" s="2">
        <v>24.904</v>
      </c>
    </row>
    <row r="556" spans="2:9" x14ac:dyDescent="0.3">
      <c r="E556" t="s">
        <v>43</v>
      </c>
      <c r="F556">
        <v>5</v>
      </c>
      <c r="G556">
        <v>0</v>
      </c>
      <c r="H556" s="2">
        <v>8.6715</v>
      </c>
      <c r="I556" s="2">
        <v>18.45</v>
      </c>
    </row>
    <row r="557" spans="2:9" x14ac:dyDescent="0.3">
      <c r="E557" t="s">
        <v>24</v>
      </c>
      <c r="F557">
        <v>4</v>
      </c>
      <c r="G557">
        <v>0.2</v>
      </c>
      <c r="H557" s="2">
        <v>6.7039999999999971</v>
      </c>
      <c r="I557" s="2">
        <v>67.040000000000006</v>
      </c>
    </row>
    <row r="558" spans="2:9" x14ac:dyDescent="0.3">
      <c r="E558" t="s">
        <v>14</v>
      </c>
      <c r="F558">
        <v>3</v>
      </c>
      <c r="G558">
        <v>0</v>
      </c>
      <c r="H558" s="2">
        <v>10.4496</v>
      </c>
      <c r="I558" s="2">
        <v>37.32</v>
      </c>
    </row>
    <row r="559" spans="2:9" x14ac:dyDescent="0.3">
      <c r="D559" t="s">
        <v>17</v>
      </c>
      <c r="E559" t="s">
        <v>16</v>
      </c>
      <c r="F559">
        <v>7</v>
      </c>
      <c r="G559">
        <v>0</v>
      </c>
      <c r="H559" s="2">
        <v>101.56799999999998</v>
      </c>
      <c r="I559" s="2">
        <v>211.6</v>
      </c>
    </row>
    <row r="560" spans="2:9" x14ac:dyDescent="0.3">
      <c r="E560" t="s">
        <v>9</v>
      </c>
      <c r="F560">
        <v>2</v>
      </c>
      <c r="G560">
        <v>0</v>
      </c>
      <c r="H560" s="2">
        <v>4.3368000000000002</v>
      </c>
      <c r="I560" s="2">
        <v>16.68</v>
      </c>
    </row>
    <row r="561" spans="2:9" x14ac:dyDescent="0.3">
      <c r="B561" t="s">
        <v>96</v>
      </c>
      <c r="C561" t="s">
        <v>22</v>
      </c>
      <c r="D561" t="s">
        <v>8</v>
      </c>
      <c r="E561" t="s">
        <v>33</v>
      </c>
      <c r="F561">
        <v>8</v>
      </c>
      <c r="G561">
        <v>0.6</v>
      </c>
      <c r="H561" s="2">
        <v>-98.63420000000005</v>
      </c>
      <c r="I561" s="2">
        <v>790.53800000000001</v>
      </c>
    </row>
    <row r="562" spans="2:9" x14ac:dyDescent="0.3">
      <c r="E562" t="s">
        <v>16</v>
      </c>
      <c r="F562">
        <v>2</v>
      </c>
      <c r="G562">
        <v>0.2</v>
      </c>
      <c r="H562" s="2">
        <v>3.7692000000000001</v>
      </c>
      <c r="I562" s="2">
        <v>11.168000000000001</v>
      </c>
    </row>
    <row r="563" spans="2:9" x14ac:dyDescent="0.3">
      <c r="E563" t="s">
        <v>14</v>
      </c>
      <c r="F563">
        <v>8</v>
      </c>
      <c r="G563">
        <v>0.4</v>
      </c>
      <c r="H563" s="2">
        <v>54.996699999999919</v>
      </c>
      <c r="I563" s="2">
        <v>504.10400000000004</v>
      </c>
    </row>
    <row r="564" spans="2:9" x14ac:dyDescent="0.3">
      <c r="B564" t="s">
        <v>97</v>
      </c>
      <c r="C564" t="s">
        <v>7</v>
      </c>
      <c r="D564" t="s">
        <v>8</v>
      </c>
      <c r="E564" t="s">
        <v>23</v>
      </c>
      <c r="F564">
        <v>7</v>
      </c>
      <c r="G564">
        <v>0.2</v>
      </c>
      <c r="H564" s="2">
        <v>52.497900000000016</v>
      </c>
      <c r="I564" s="2">
        <v>1399.9440000000002</v>
      </c>
    </row>
    <row r="565" spans="2:9" x14ac:dyDescent="0.3">
      <c r="E565" t="s">
        <v>19</v>
      </c>
      <c r="F565">
        <v>4</v>
      </c>
      <c r="G565">
        <v>0.2</v>
      </c>
      <c r="H565" s="2">
        <v>8.674399999999995</v>
      </c>
      <c r="I565" s="2">
        <v>99.13600000000001</v>
      </c>
    </row>
    <row r="566" spans="2:9" x14ac:dyDescent="0.3">
      <c r="E566" t="s">
        <v>21</v>
      </c>
      <c r="F566">
        <v>2</v>
      </c>
      <c r="G566">
        <v>0.6</v>
      </c>
      <c r="H566" s="2">
        <v>-13.992999999999999</v>
      </c>
      <c r="I566" s="2">
        <v>15.991999999999999</v>
      </c>
    </row>
    <row r="567" spans="2:9" x14ac:dyDescent="0.3">
      <c r="E567" t="s">
        <v>16</v>
      </c>
      <c r="F567">
        <v>4</v>
      </c>
      <c r="G567">
        <v>0.2</v>
      </c>
      <c r="H567" s="2">
        <v>5.2799999999999994</v>
      </c>
      <c r="I567" s="2">
        <v>16.896000000000001</v>
      </c>
    </row>
    <row r="568" spans="2:9" x14ac:dyDescent="0.3">
      <c r="E568" t="s">
        <v>9</v>
      </c>
      <c r="F568">
        <v>1</v>
      </c>
      <c r="G568">
        <v>0.2</v>
      </c>
      <c r="H568" s="2">
        <v>0.50039999999999996</v>
      </c>
      <c r="I568" s="2">
        <v>6.6720000000000006</v>
      </c>
    </row>
    <row r="569" spans="2:9" x14ac:dyDescent="0.3">
      <c r="C569" t="s">
        <v>22</v>
      </c>
      <c r="D569" t="s">
        <v>8</v>
      </c>
      <c r="E569" t="s">
        <v>23</v>
      </c>
      <c r="F569">
        <v>3</v>
      </c>
      <c r="G569">
        <v>0.4</v>
      </c>
      <c r="H569" s="2">
        <v>22.602799999999995</v>
      </c>
      <c r="I569" s="2">
        <v>175.88800000000001</v>
      </c>
    </row>
    <row r="570" spans="2:9" x14ac:dyDescent="0.3">
      <c r="E570" t="s">
        <v>12</v>
      </c>
      <c r="F570">
        <v>2</v>
      </c>
      <c r="G570">
        <v>0.8</v>
      </c>
      <c r="H570" s="2">
        <v>-52.833600000000004</v>
      </c>
      <c r="I570" s="2">
        <v>19.567999999999998</v>
      </c>
    </row>
    <row r="571" spans="2:9" x14ac:dyDescent="0.3">
      <c r="E571" t="s">
        <v>20</v>
      </c>
      <c r="F571">
        <v>6</v>
      </c>
      <c r="G571">
        <v>1.6</v>
      </c>
      <c r="H571" s="2">
        <v>-516.54280000000017</v>
      </c>
      <c r="I571" s="2">
        <v>312.90399999999994</v>
      </c>
    </row>
    <row r="572" spans="2:9" x14ac:dyDescent="0.3">
      <c r="E572" t="s">
        <v>18</v>
      </c>
      <c r="F572">
        <v>9</v>
      </c>
      <c r="G572">
        <v>0.2</v>
      </c>
      <c r="H572" s="2">
        <v>6.1307999999999998</v>
      </c>
      <c r="I572" s="2">
        <v>18.864000000000001</v>
      </c>
    </row>
    <row r="573" spans="2:9" x14ac:dyDescent="0.3">
      <c r="E573" t="s">
        <v>21</v>
      </c>
      <c r="F573">
        <v>3</v>
      </c>
      <c r="G573">
        <v>0.6</v>
      </c>
      <c r="H573" s="2">
        <v>-6.9101999999999997</v>
      </c>
      <c r="I573" s="2">
        <v>25.128000000000004</v>
      </c>
    </row>
    <row r="574" spans="2:9" x14ac:dyDescent="0.3">
      <c r="D574" t="s">
        <v>15</v>
      </c>
      <c r="E574" t="s">
        <v>23</v>
      </c>
      <c r="F574">
        <v>4</v>
      </c>
      <c r="G574">
        <v>0.2</v>
      </c>
      <c r="H574" s="2">
        <v>26.391200000000001</v>
      </c>
      <c r="I574" s="2">
        <v>95.968000000000004</v>
      </c>
    </row>
    <row r="575" spans="2:9" x14ac:dyDescent="0.3">
      <c r="E575" t="s">
        <v>20</v>
      </c>
      <c r="F575">
        <v>3</v>
      </c>
      <c r="G575">
        <v>0.8</v>
      </c>
      <c r="H575" s="2">
        <v>-5.6406000000000018</v>
      </c>
      <c r="I575" s="2">
        <v>3.3179999999999996</v>
      </c>
    </row>
    <row r="576" spans="2:9" x14ac:dyDescent="0.3">
      <c r="E576" t="s">
        <v>16</v>
      </c>
      <c r="F576">
        <v>2</v>
      </c>
      <c r="G576">
        <v>0.2</v>
      </c>
      <c r="H576" s="2">
        <v>3.6288</v>
      </c>
      <c r="I576" s="2">
        <v>10.368000000000002</v>
      </c>
    </row>
    <row r="577" spans="2:9" x14ac:dyDescent="0.3">
      <c r="B577" t="s">
        <v>98</v>
      </c>
      <c r="C577" t="s">
        <v>7</v>
      </c>
      <c r="D577" t="s">
        <v>15</v>
      </c>
      <c r="E577" t="s">
        <v>12</v>
      </c>
      <c r="F577">
        <v>5</v>
      </c>
      <c r="G577">
        <v>0.2</v>
      </c>
      <c r="H577" s="2">
        <v>5.0960000000000001</v>
      </c>
      <c r="I577" s="2">
        <v>58.240000000000009</v>
      </c>
    </row>
    <row r="578" spans="2:9" x14ac:dyDescent="0.3">
      <c r="E578" t="s">
        <v>18</v>
      </c>
      <c r="F578">
        <v>3</v>
      </c>
      <c r="G578">
        <v>0.2</v>
      </c>
      <c r="H578" s="2">
        <v>2.7222</v>
      </c>
      <c r="I578" s="2">
        <v>8.3760000000000012</v>
      </c>
    </row>
    <row r="579" spans="2:9" x14ac:dyDescent="0.3">
      <c r="C579" t="s">
        <v>22</v>
      </c>
      <c r="D579" t="s">
        <v>15</v>
      </c>
      <c r="E579" t="s">
        <v>23</v>
      </c>
      <c r="F579">
        <v>1</v>
      </c>
      <c r="G579">
        <v>0.2</v>
      </c>
      <c r="H579" s="2">
        <v>2.2823999999999991</v>
      </c>
      <c r="I579" s="2">
        <v>15.216000000000001</v>
      </c>
    </row>
    <row r="580" spans="2:9" x14ac:dyDescent="0.3">
      <c r="E580" t="s">
        <v>12</v>
      </c>
      <c r="F580">
        <v>5</v>
      </c>
      <c r="G580">
        <v>0.2</v>
      </c>
      <c r="H580" s="2">
        <v>18.769499999999987</v>
      </c>
      <c r="I580" s="2">
        <v>166.84</v>
      </c>
    </row>
    <row r="581" spans="2:9" x14ac:dyDescent="0.3">
      <c r="E581" t="s">
        <v>16</v>
      </c>
      <c r="F581">
        <v>2</v>
      </c>
      <c r="G581">
        <v>0.2</v>
      </c>
      <c r="H581" s="2">
        <v>3.6288</v>
      </c>
      <c r="I581" s="2">
        <v>10.368000000000002</v>
      </c>
    </row>
    <row r="582" spans="2:9" x14ac:dyDescent="0.3">
      <c r="E582" t="s">
        <v>24</v>
      </c>
      <c r="F582">
        <v>3</v>
      </c>
      <c r="G582">
        <v>0.2</v>
      </c>
      <c r="H582" s="2">
        <v>21.539699999999996</v>
      </c>
      <c r="I582" s="2">
        <v>246.16800000000001</v>
      </c>
    </row>
    <row r="583" spans="2:9" x14ac:dyDescent="0.3">
      <c r="B583" t="s">
        <v>99</v>
      </c>
      <c r="C583" t="s">
        <v>22</v>
      </c>
      <c r="D583" t="s">
        <v>8</v>
      </c>
      <c r="E583" t="s">
        <v>38</v>
      </c>
      <c r="F583">
        <v>3</v>
      </c>
      <c r="G583">
        <v>0.2</v>
      </c>
      <c r="H583" s="2">
        <v>2.4779999999999989</v>
      </c>
      <c r="I583" s="2">
        <v>7.080000000000001</v>
      </c>
    </row>
    <row r="584" spans="2:9" x14ac:dyDescent="0.3">
      <c r="D584" t="s">
        <v>15</v>
      </c>
      <c r="E584" t="s">
        <v>16</v>
      </c>
      <c r="F584">
        <v>3</v>
      </c>
      <c r="G584">
        <v>0.2</v>
      </c>
      <c r="H584" s="2">
        <v>40.353599999999986</v>
      </c>
      <c r="I584" s="2">
        <v>115.29600000000001</v>
      </c>
    </row>
    <row r="585" spans="2:9" x14ac:dyDescent="0.3">
      <c r="B585" t="s">
        <v>100</v>
      </c>
      <c r="C585" t="s">
        <v>11</v>
      </c>
      <c r="D585" t="s">
        <v>8</v>
      </c>
      <c r="E585" t="s">
        <v>24</v>
      </c>
      <c r="F585">
        <v>3</v>
      </c>
      <c r="G585">
        <v>0</v>
      </c>
      <c r="H585" s="2">
        <v>80.735999999999976</v>
      </c>
      <c r="I585" s="2">
        <v>278.39999999999998</v>
      </c>
    </row>
    <row r="586" spans="2:9" x14ac:dyDescent="0.3">
      <c r="B586" t="s">
        <v>101</v>
      </c>
      <c r="C586" t="s">
        <v>22</v>
      </c>
      <c r="D586" t="s">
        <v>8</v>
      </c>
      <c r="E586" t="s">
        <v>21</v>
      </c>
      <c r="F586">
        <v>5</v>
      </c>
      <c r="G586">
        <v>0.6</v>
      </c>
      <c r="H586" s="2">
        <v>-182.35200000000003</v>
      </c>
      <c r="I586" s="2">
        <v>151.96</v>
      </c>
    </row>
    <row r="587" spans="2:9" x14ac:dyDescent="0.3">
      <c r="B587" t="s">
        <v>102</v>
      </c>
      <c r="C587" t="s">
        <v>27</v>
      </c>
      <c r="D587" t="s">
        <v>15</v>
      </c>
      <c r="E587" t="s">
        <v>16</v>
      </c>
      <c r="F587">
        <v>1</v>
      </c>
      <c r="G587">
        <v>0.2</v>
      </c>
      <c r="H587" s="2">
        <v>29.357999999999997</v>
      </c>
      <c r="I587" s="2">
        <v>83.88</v>
      </c>
    </row>
    <row r="588" spans="2:9" x14ac:dyDescent="0.3">
      <c r="C588" t="s">
        <v>22</v>
      </c>
      <c r="D588" t="s">
        <v>8</v>
      </c>
      <c r="E588" t="s">
        <v>19</v>
      </c>
      <c r="F588">
        <v>6</v>
      </c>
      <c r="G588">
        <v>0.4</v>
      </c>
      <c r="H588" s="2">
        <v>2.5359999999999996</v>
      </c>
      <c r="I588" s="2">
        <v>18.239999999999998</v>
      </c>
    </row>
    <row r="589" spans="2:9" x14ac:dyDescent="0.3">
      <c r="D589" t="s">
        <v>15</v>
      </c>
      <c r="E589" t="s">
        <v>25</v>
      </c>
      <c r="F589">
        <v>1</v>
      </c>
      <c r="G589">
        <v>0.5</v>
      </c>
      <c r="H589" s="2">
        <v>-45.827300000000008</v>
      </c>
      <c r="I589" s="2">
        <v>73.915000000000006</v>
      </c>
    </row>
    <row r="590" spans="2:9" x14ac:dyDescent="0.3">
      <c r="D590" t="s">
        <v>17</v>
      </c>
      <c r="E590" t="s">
        <v>33</v>
      </c>
      <c r="F590">
        <v>3</v>
      </c>
      <c r="G590">
        <v>0.2</v>
      </c>
      <c r="H590" s="2">
        <v>105.29699999999988</v>
      </c>
      <c r="I590" s="2">
        <v>842.37600000000009</v>
      </c>
    </row>
    <row r="591" spans="2:9" x14ac:dyDescent="0.3">
      <c r="E591" t="s">
        <v>18</v>
      </c>
      <c r="F591">
        <v>8</v>
      </c>
      <c r="G591">
        <v>0.2</v>
      </c>
      <c r="H591" s="2">
        <v>-11.825600000000001</v>
      </c>
      <c r="I591" s="2">
        <v>49.792000000000002</v>
      </c>
    </row>
    <row r="592" spans="2:9" x14ac:dyDescent="0.3">
      <c r="E592" t="s">
        <v>21</v>
      </c>
      <c r="F592">
        <v>4</v>
      </c>
      <c r="G592">
        <v>0.2</v>
      </c>
      <c r="H592" s="2">
        <v>1.9223999999999997</v>
      </c>
      <c r="I592" s="2">
        <v>8.5440000000000005</v>
      </c>
    </row>
    <row r="593" spans="2:9" x14ac:dyDescent="0.3">
      <c r="B593" t="s">
        <v>103</v>
      </c>
      <c r="C593" t="s">
        <v>22</v>
      </c>
      <c r="D593" t="s">
        <v>15</v>
      </c>
      <c r="E593" t="s">
        <v>19</v>
      </c>
      <c r="F593">
        <v>3</v>
      </c>
      <c r="G593">
        <v>0.2</v>
      </c>
      <c r="H593" s="2">
        <v>4.7303999999999995</v>
      </c>
      <c r="I593" s="2">
        <v>14.015999999999998</v>
      </c>
    </row>
    <row r="594" spans="2:9" x14ac:dyDescent="0.3">
      <c r="B594" t="s">
        <v>104</v>
      </c>
      <c r="C594" t="s">
        <v>11</v>
      </c>
      <c r="D594" t="s">
        <v>8</v>
      </c>
      <c r="E594" t="s">
        <v>19</v>
      </c>
      <c r="F594">
        <v>9</v>
      </c>
      <c r="G594">
        <v>0.2</v>
      </c>
      <c r="H594" s="2">
        <v>1.4255999999999993</v>
      </c>
      <c r="I594" s="2">
        <v>12.672000000000001</v>
      </c>
    </row>
    <row r="595" spans="2:9" x14ac:dyDescent="0.3">
      <c r="E595" t="s">
        <v>24</v>
      </c>
      <c r="F595">
        <v>5</v>
      </c>
      <c r="G595">
        <v>0.2</v>
      </c>
      <c r="H595" s="2">
        <v>16.997500000000016</v>
      </c>
      <c r="I595" s="2">
        <v>271.95999999999998</v>
      </c>
    </row>
    <row r="596" spans="2:9" x14ac:dyDescent="0.3">
      <c r="C596" t="s">
        <v>27</v>
      </c>
      <c r="D596" t="s">
        <v>8</v>
      </c>
      <c r="E596" t="s">
        <v>23</v>
      </c>
      <c r="F596">
        <v>3</v>
      </c>
      <c r="G596">
        <v>0.2</v>
      </c>
      <c r="H596" s="2">
        <v>4.9877999999999982</v>
      </c>
      <c r="I596" s="2">
        <v>23.472000000000001</v>
      </c>
    </row>
    <row r="597" spans="2:9" x14ac:dyDescent="0.3">
      <c r="E597" t="s">
        <v>20</v>
      </c>
      <c r="F597">
        <v>11</v>
      </c>
      <c r="G597">
        <v>0.7</v>
      </c>
      <c r="H597" s="2">
        <v>-52.548099999999991</v>
      </c>
      <c r="I597" s="2">
        <v>68.541000000000011</v>
      </c>
    </row>
    <row r="598" spans="2:9" x14ac:dyDescent="0.3">
      <c r="E598" t="s">
        <v>43</v>
      </c>
      <c r="F598">
        <v>5</v>
      </c>
      <c r="G598">
        <v>0.2</v>
      </c>
      <c r="H598" s="2">
        <v>39.689000000000007</v>
      </c>
      <c r="I598" s="2">
        <v>122.12000000000002</v>
      </c>
    </row>
    <row r="599" spans="2:9" x14ac:dyDescent="0.3">
      <c r="E599" t="s">
        <v>24</v>
      </c>
      <c r="F599">
        <v>4</v>
      </c>
      <c r="G599">
        <v>0.2</v>
      </c>
      <c r="H599" s="2">
        <v>70.55639999999994</v>
      </c>
      <c r="I599" s="2">
        <v>627.16800000000012</v>
      </c>
    </row>
    <row r="600" spans="2:9" x14ac:dyDescent="0.3">
      <c r="C600" t="s">
        <v>7</v>
      </c>
      <c r="D600" t="s">
        <v>15</v>
      </c>
      <c r="E600" t="s">
        <v>14</v>
      </c>
      <c r="F600">
        <v>2</v>
      </c>
      <c r="G600">
        <v>0.2</v>
      </c>
      <c r="H600" s="2">
        <v>3.9591999999999992</v>
      </c>
      <c r="I600" s="2">
        <v>45.248000000000005</v>
      </c>
    </row>
    <row r="601" spans="2:9" x14ac:dyDescent="0.3">
      <c r="E601" t="s">
        <v>9</v>
      </c>
      <c r="F601">
        <v>2</v>
      </c>
      <c r="G601">
        <v>0.2</v>
      </c>
      <c r="H601" s="2">
        <v>-34.758000000000017</v>
      </c>
      <c r="I601" s="2">
        <v>185.376</v>
      </c>
    </row>
    <row r="602" spans="2:9" x14ac:dyDescent="0.3">
      <c r="E602" t="s">
        <v>25</v>
      </c>
      <c r="F602">
        <v>10</v>
      </c>
      <c r="G602">
        <v>0.4</v>
      </c>
      <c r="H602" s="2">
        <v>-292.10000000000014</v>
      </c>
      <c r="I602" s="2">
        <v>876.30000000000007</v>
      </c>
    </row>
    <row r="603" spans="2:9" x14ac:dyDescent="0.3">
      <c r="D603" t="s">
        <v>17</v>
      </c>
      <c r="E603" t="s">
        <v>23</v>
      </c>
      <c r="F603">
        <v>8</v>
      </c>
      <c r="G603">
        <v>0.2</v>
      </c>
      <c r="H603" s="2">
        <v>76.704000000000008</v>
      </c>
      <c r="I603" s="2">
        <v>255.68000000000004</v>
      </c>
    </row>
    <row r="604" spans="2:9" x14ac:dyDescent="0.3">
      <c r="E604" t="s">
        <v>20</v>
      </c>
      <c r="F604">
        <v>3</v>
      </c>
      <c r="G604">
        <v>0.7</v>
      </c>
      <c r="H604" s="2">
        <v>-20.446799999999996</v>
      </c>
      <c r="I604" s="2">
        <v>27.882000000000005</v>
      </c>
    </row>
    <row r="605" spans="2:9" x14ac:dyDescent="0.3">
      <c r="E605" t="s">
        <v>14</v>
      </c>
      <c r="F605">
        <v>3</v>
      </c>
      <c r="G605">
        <v>0.2</v>
      </c>
      <c r="H605" s="2">
        <v>-47.254199999999997</v>
      </c>
      <c r="I605" s="2">
        <v>540.048</v>
      </c>
    </row>
    <row r="606" spans="2:9" x14ac:dyDescent="0.3">
      <c r="C606" t="s">
        <v>22</v>
      </c>
      <c r="D606" t="s">
        <v>8</v>
      </c>
      <c r="E606" t="s">
        <v>23</v>
      </c>
      <c r="F606">
        <v>16</v>
      </c>
      <c r="G606">
        <v>0.60000000000000009</v>
      </c>
      <c r="H606" s="2">
        <v>429.19560000000001</v>
      </c>
      <c r="I606" s="2">
        <v>1517.9520000000002</v>
      </c>
    </row>
    <row r="607" spans="2:9" x14ac:dyDescent="0.3">
      <c r="E607" t="s">
        <v>12</v>
      </c>
      <c r="F607">
        <v>9</v>
      </c>
      <c r="G607">
        <v>0.2</v>
      </c>
      <c r="H607" s="2">
        <v>34.813799999999944</v>
      </c>
      <c r="I607" s="2">
        <v>309.45600000000002</v>
      </c>
    </row>
    <row r="608" spans="2:9" x14ac:dyDescent="0.3">
      <c r="E608" t="s">
        <v>19</v>
      </c>
      <c r="F608">
        <v>5</v>
      </c>
      <c r="G608">
        <v>0.4</v>
      </c>
      <c r="H608" s="2">
        <v>4.4785999999999984</v>
      </c>
      <c r="I608" s="2">
        <v>22.760000000000005</v>
      </c>
    </row>
    <row r="609" spans="4:9" x14ac:dyDescent="0.3">
      <c r="E609" t="s">
        <v>20</v>
      </c>
      <c r="F609">
        <v>15</v>
      </c>
      <c r="G609">
        <v>2.0999999999999996</v>
      </c>
      <c r="H609" s="2">
        <v>-50.283499999999989</v>
      </c>
      <c r="I609" s="2">
        <v>67.527000000000015</v>
      </c>
    </row>
    <row r="610" spans="4:9" x14ac:dyDescent="0.3">
      <c r="E610" t="s">
        <v>33</v>
      </c>
      <c r="F610">
        <v>3</v>
      </c>
      <c r="G610">
        <v>0.2</v>
      </c>
      <c r="H610" s="2">
        <v>15.147000000000006</v>
      </c>
      <c r="I610" s="2">
        <v>242.35200000000003</v>
      </c>
    </row>
    <row r="611" spans="4:9" x14ac:dyDescent="0.3">
      <c r="E611" t="s">
        <v>43</v>
      </c>
      <c r="F611">
        <v>2</v>
      </c>
      <c r="G611">
        <v>0.2</v>
      </c>
      <c r="H611" s="2">
        <v>1.764</v>
      </c>
      <c r="I611" s="2">
        <v>5.04</v>
      </c>
    </row>
    <row r="612" spans="4:9" x14ac:dyDescent="0.3">
      <c r="E612" t="s">
        <v>46</v>
      </c>
      <c r="F612">
        <v>3</v>
      </c>
      <c r="G612">
        <v>0.5</v>
      </c>
      <c r="H612" s="2">
        <v>-944.99460000000045</v>
      </c>
      <c r="I612" s="2">
        <v>2624.9850000000001</v>
      </c>
    </row>
    <row r="613" spans="4:9" x14ac:dyDescent="0.3">
      <c r="E613" t="s">
        <v>16</v>
      </c>
      <c r="F613">
        <v>12</v>
      </c>
      <c r="G613">
        <v>0.4</v>
      </c>
      <c r="H613" s="2">
        <v>161.13999999999999</v>
      </c>
      <c r="I613" s="2">
        <v>460.40000000000003</v>
      </c>
    </row>
    <row r="614" spans="4:9" x14ac:dyDescent="0.3">
      <c r="E614" t="s">
        <v>24</v>
      </c>
      <c r="F614">
        <v>1</v>
      </c>
      <c r="G614">
        <v>0.2</v>
      </c>
      <c r="H614" s="2">
        <v>2.0993999999999993</v>
      </c>
      <c r="I614" s="2">
        <v>27.992000000000004</v>
      </c>
    </row>
    <row r="615" spans="4:9" x14ac:dyDescent="0.3">
      <c r="E615" t="s">
        <v>14</v>
      </c>
      <c r="F615">
        <v>16</v>
      </c>
      <c r="G615">
        <v>0.60000000000000009</v>
      </c>
      <c r="H615" s="2">
        <v>-33.846300000000085</v>
      </c>
      <c r="I615" s="2">
        <v>1159.8240000000001</v>
      </c>
    </row>
    <row r="616" spans="4:9" x14ac:dyDescent="0.3">
      <c r="E616" t="s">
        <v>25</v>
      </c>
      <c r="F616">
        <v>3</v>
      </c>
      <c r="G616">
        <v>0.4</v>
      </c>
      <c r="H616" s="2">
        <v>-149.63070000000005</v>
      </c>
      <c r="I616" s="2">
        <v>472.51800000000003</v>
      </c>
    </row>
    <row r="617" spans="4:9" x14ac:dyDescent="0.3">
      <c r="D617" t="s">
        <v>15</v>
      </c>
      <c r="E617" t="s">
        <v>12</v>
      </c>
      <c r="F617">
        <v>1</v>
      </c>
      <c r="G617">
        <v>0.2</v>
      </c>
      <c r="H617" s="2">
        <v>10.224499999999994</v>
      </c>
      <c r="I617" s="2">
        <v>62.920000000000009</v>
      </c>
    </row>
    <row r="618" spans="4:9" x14ac:dyDescent="0.3">
      <c r="E618" t="s">
        <v>19</v>
      </c>
      <c r="F618">
        <v>3</v>
      </c>
      <c r="G618">
        <v>0.2</v>
      </c>
      <c r="H618" s="2">
        <v>0.89880000000000004</v>
      </c>
      <c r="I618" s="2">
        <v>10.272000000000002</v>
      </c>
    </row>
    <row r="619" spans="4:9" x14ac:dyDescent="0.3">
      <c r="E619" t="s">
        <v>20</v>
      </c>
      <c r="F619">
        <v>7</v>
      </c>
      <c r="G619">
        <v>0.7</v>
      </c>
      <c r="H619" s="2">
        <v>-12.431999999999999</v>
      </c>
      <c r="I619" s="2">
        <v>18.648000000000003</v>
      </c>
    </row>
    <row r="620" spans="4:9" x14ac:dyDescent="0.3">
      <c r="E620" t="s">
        <v>45</v>
      </c>
      <c r="F620">
        <v>4</v>
      </c>
      <c r="G620">
        <v>0.2</v>
      </c>
      <c r="H620" s="2">
        <v>119.99599999999992</v>
      </c>
      <c r="I620" s="2">
        <v>959.96800000000007</v>
      </c>
    </row>
    <row r="621" spans="4:9" x14ac:dyDescent="0.3">
      <c r="E621" t="s">
        <v>18</v>
      </c>
      <c r="F621">
        <v>5</v>
      </c>
      <c r="G621">
        <v>0.2</v>
      </c>
      <c r="H621" s="2">
        <v>1.4099999999999997</v>
      </c>
      <c r="I621" s="2">
        <v>7.52</v>
      </c>
    </row>
    <row r="622" spans="4:9" x14ac:dyDescent="0.3">
      <c r="E622" t="s">
        <v>21</v>
      </c>
      <c r="F622">
        <v>6</v>
      </c>
      <c r="G622">
        <v>0.4</v>
      </c>
      <c r="H622" s="2">
        <v>12.874400000000001</v>
      </c>
      <c r="I622" s="2">
        <v>49.055999999999997</v>
      </c>
    </row>
    <row r="623" spans="4:9" x14ac:dyDescent="0.3">
      <c r="E623" t="s">
        <v>43</v>
      </c>
      <c r="F623">
        <v>18</v>
      </c>
      <c r="G623">
        <v>0.60000000000000009</v>
      </c>
      <c r="H623" s="2">
        <v>25.730399999999996</v>
      </c>
      <c r="I623" s="2">
        <v>77.13600000000001</v>
      </c>
    </row>
    <row r="624" spans="4:9" x14ac:dyDescent="0.3">
      <c r="E624" t="s">
        <v>16</v>
      </c>
      <c r="F624">
        <v>7</v>
      </c>
      <c r="G624">
        <v>0.4</v>
      </c>
      <c r="H624" s="2">
        <v>40.688999999999993</v>
      </c>
      <c r="I624" s="2">
        <v>114.54400000000001</v>
      </c>
    </row>
    <row r="625" spans="2:9" x14ac:dyDescent="0.3">
      <c r="E625" t="s">
        <v>24</v>
      </c>
      <c r="F625">
        <v>9</v>
      </c>
      <c r="G625">
        <v>0.2</v>
      </c>
      <c r="H625" s="2">
        <v>110.1194999999999</v>
      </c>
      <c r="I625" s="2">
        <v>978.83999999999992</v>
      </c>
    </row>
    <row r="626" spans="2:9" x14ac:dyDescent="0.3">
      <c r="D626" t="s">
        <v>17</v>
      </c>
      <c r="E626" t="s">
        <v>20</v>
      </c>
      <c r="F626">
        <v>13</v>
      </c>
      <c r="G626">
        <v>1.4</v>
      </c>
      <c r="H626" s="2">
        <v>-62.263200000000005</v>
      </c>
      <c r="I626" s="2">
        <v>86.238000000000014</v>
      </c>
    </row>
    <row r="627" spans="2:9" x14ac:dyDescent="0.3">
      <c r="E627" t="s">
        <v>18</v>
      </c>
      <c r="F627">
        <v>3</v>
      </c>
      <c r="G627">
        <v>0.2</v>
      </c>
      <c r="H627" s="2">
        <v>5.9174999999999986</v>
      </c>
      <c r="I627" s="2">
        <v>18.936</v>
      </c>
    </row>
    <row r="628" spans="2:9" x14ac:dyDescent="0.3">
      <c r="E628" t="s">
        <v>24</v>
      </c>
      <c r="F628">
        <v>3</v>
      </c>
      <c r="G628">
        <v>0.4</v>
      </c>
      <c r="H628" s="2">
        <v>20.274799999999992</v>
      </c>
      <c r="I628" s="2">
        <v>258.34399999999999</v>
      </c>
    </row>
    <row r="629" spans="2:9" x14ac:dyDescent="0.3">
      <c r="E629" t="s">
        <v>14</v>
      </c>
      <c r="F629">
        <v>11</v>
      </c>
      <c r="G629">
        <v>0.4</v>
      </c>
      <c r="H629" s="2">
        <v>95.793799999999919</v>
      </c>
      <c r="I629" s="2">
        <v>928.88</v>
      </c>
    </row>
    <row r="630" spans="2:9" x14ac:dyDescent="0.3">
      <c r="E630" t="s">
        <v>25</v>
      </c>
      <c r="F630">
        <v>3</v>
      </c>
      <c r="G630">
        <v>0.4</v>
      </c>
      <c r="H630" s="2">
        <v>-36.11160000000001</v>
      </c>
      <c r="I630" s="2">
        <v>154.76400000000001</v>
      </c>
    </row>
    <row r="631" spans="2:9" x14ac:dyDescent="0.3">
      <c r="B631" t="s">
        <v>105</v>
      </c>
      <c r="C631" t="s">
        <v>11</v>
      </c>
      <c r="D631" t="s">
        <v>8</v>
      </c>
      <c r="E631" t="s">
        <v>19</v>
      </c>
      <c r="F631">
        <v>3</v>
      </c>
      <c r="G631">
        <v>0</v>
      </c>
      <c r="H631" s="2">
        <v>10.395</v>
      </c>
      <c r="I631" s="2">
        <v>34.650000000000006</v>
      </c>
    </row>
    <row r="632" spans="2:9" x14ac:dyDescent="0.3">
      <c r="C632" t="s">
        <v>22</v>
      </c>
      <c r="D632" t="s">
        <v>17</v>
      </c>
      <c r="E632" t="s">
        <v>21</v>
      </c>
      <c r="F632">
        <v>4</v>
      </c>
      <c r="G632">
        <v>0</v>
      </c>
      <c r="H632" s="2">
        <v>12.232799999999997</v>
      </c>
      <c r="I632" s="2">
        <v>67.959999999999994</v>
      </c>
    </row>
    <row r="633" spans="2:9" x14ac:dyDescent="0.3">
      <c r="B633" t="s">
        <v>106</v>
      </c>
      <c r="C633" t="s">
        <v>7</v>
      </c>
      <c r="D633" t="s">
        <v>17</v>
      </c>
      <c r="E633" t="s">
        <v>46</v>
      </c>
      <c r="F633">
        <v>1</v>
      </c>
      <c r="G633">
        <v>0.5</v>
      </c>
      <c r="H633" s="2">
        <v>-1.8294999999999959</v>
      </c>
      <c r="I633" s="2">
        <v>91.474999999999994</v>
      </c>
    </row>
    <row r="634" spans="2:9" x14ac:dyDescent="0.3">
      <c r="C634" t="s">
        <v>22</v>
      </c>
      <c r="D634" t="s">
        <v>8</v>
      </c>
      <c r="E634" t="s">
        <v>23</v>
      </c>
      <c r="F634">
        <v>3</v>
      </c>
      <c r="G634">
        <v>0.2</v>
      </c>
      <c r="H634" s="2">
        <v>15.596099999999996</v>
      </c>
      <c r="I634" s="2">
        <v>95.976000000000013</v>
      </c>
    </row>
    <row r="635" spans="2:9" x14ac:dyDescent="0.3">
      <c r="E635" t="s">
        <v>20</v>
      </c>
      <c r="F635">
        <v>2</v>
      </c>
      <c r="G635">
        <v>0.7</v>
      </c>
      <c r="H635" s="2">
        <v>-2.9700000000000006</v>
      </c>
      <c r="I635" s="2">
        <v>3.5640000000000009</v>
      </c>
    </row>
    <row r="636" spans="2:9" x14ac:dyDescent="0.3">
      <c r="E636" t="s">
        <v>33</v>
      </c>
      <c r="F636">
        <v>2</v>
      </c>
      <c r="G636">
        <v>0.2</v>
      </c>
      <c r="H636" s="2">
        <v>48.795999999999978</v>
      </c>
      <c r="I636" s="2">
        <v>390.36799999999999</v>
      </c>
    </row>
    <row r="637" spans="2:9" x14ac:dyDescent="0.3">
      <c r="E637" t="s">
        <v>21</v>
      </c>
      <c r="F637">
        <v>10</v>
      </c>
      <c r="G637">
        <v>0.4</v>
      </c>
      <c r="H637" s="2">
        <v>22.378999999999991</v>
      </c>
      <c r="I637" s="2">
        <v>118.24000000000001</v>
      </c>
    </row>
    <row r="638" spans="2:9" x14ac:dyDescent="0.3">
      <c r="E638" t="s">
        <v>43</v>
      </c>
      <c r="F638">
        <v>2</v>
      </c>
      <c r="G638">
        <v>0.2</v>
      </c>
      <c r="H638" s="2">
        <v>1.7247999999999997</v>
      </c>
      <c r="I638" s="2">
        <v>4.9280000000000008</v>
      </c>
    </row>
    <row r="639" spans="2:9" x14ac:dyDescent="0.3">
      <c r="E639" t="s">
        <v>24</v>
      </c>
      <c r="F639">
        <v>9</v>
      </c>
      <c r="G639">
        <v>0.2</v>
      </c>
      <c r="H639" s="2">
        <v>-32.383800000000008</v>
      </c>
      <c r="I639" s="2">
        <v>143.928</v>
      </c>
    </row>
    <row r="640" spans="2:9" x14ac:dyDescent="0.3">
      <c r="D640" t="s">
        <v>15</v>
      </c>
      <c r="E640" t="s">
        <v>20</v>
      </c>
      <c r="F640">
        <v>5</v>
      </c>
      <c r="G640">
        <v>0.7</v>
      </c>
      <c r="H640" s="2">
        <v>-5.9399999999999977</v>
      </c>
      <c r="I640" s="2">
        <v>8.1000000000000014</v>
      </c>
    </row>
    <row r="641" spans="2:9" x14ac:dyDescent="0.3">
      <c r="E641" t="s">
        <v>21</v>
      </c>
      <c r="F641">
        <v>4</v>
      </c>
      <c r="G641">
        <v>0.2</v>
      </c>
      <c r="H641" s="2">
        <v>-18.180799999999998</v>
      </c>
      <c r="I641" s="2">
        <v>132.22400000000002</v>
      </c>
    </row>
    <row r="642" spans="2:9" x14ac:dyDescent="0.3">
      <c r="B642" t="s">
        <v>107</v>
      </c>
      <c r="C642" t="s">
        <v>11</v>
      </c>
      <c r="D642" t="s">
        <v>8</v>
      </c>
      <c r="E642" t="s">
        <v>12</v>
      </c>
      <c r="F642">
        <v>4</v>
      </c>
      <c r="G642">
        <v>0</v>
      </c>
      <c r="H642" s="2">
        <v>55.36160000000001</v>
      </c>
      <c r="I642" s="2">
        <v>197.72</v>
      </c>
    </row>
    <row r="643" spans="2:9" x14ac:dyDescent="0.3">
      <c r="D643" t="s">
        <v>15</v>
      </c>
      <c r="E643" t="s">
        <v>43</v>
      </c>
      <c r="F643">
        <v>4</v>
      </c>
      <c r="G643">
        <v>0</v>
      </c>
      <c r="H643" s="2">
        <v>7.1999999999999993</v>
      </c>
      <c r="I643" s="2">
        <v>15</v>
      </c>
    </row>
    <row r="644" spans="2:9" x14ac:dyDescent="0.3">
      <c r="E644" t="s">
        <v>24</v>
      </c>
      <c r="F644">
        <v>6</v>
      </c>
      <c r="G644">
        <v>0</v>
      </c>
      <c r="H644" s="2">
        <v>84.054099999999991</v>
      </c>
      <c r="I644" s="2">
        <v>306.56</v>
      </c>
    </row>
    <row r="645" spans="2:9" x14ac:dyDescent="0.3">
      <c r="C645" t="s">
        <v>22</v>
      </c>
      <c r="D645" t="s">
        <v>8</v>
      </c>
      <c r="E645" t="s">
        <v>23</v>
      </c>
      <c r="F645">
        <v>3</v>
      </c>
      <c r="G645">
        <v>0</v>
      </c>
      <c r="H645" s="2">
        <v>103.15800000000003</v>
      </c>
      <c r="I645" s="2">
        <v>234.45000000000002</v>
      </c>
    </row>
    <row r="646" spans="2:9" x14ac:dyDescent="0.3">
      <c r="E646" t="s">
        <v>12</v>
      </c>
      <c r="F646">
        <v>4</v>
      </c>
      <c r="G646">
        <v>0</v>
      </c>
      <c r="H646" s="2">
        <v>55.058400000000006</v>
      </c>
      <c r="I646" s="2">
        <v>203.92</v>
      </c>
    </row>
    <row r="647" spans="2:9" x14ac:dyDescent="0.3">
      <c r="E647" t="s">
        <v>20</v>
      </c>
      <c r="F647">
        <v>2</v>
      </c>
      <c r="G647">
        <v>0</v>
      </c>
      <c r="H647" s="2">
        <v>8.2061999999999991</v>
      </c>
      <c r="I647" s="2">
        <v>17.46</v>
      </c>
    </row>
    <row r="648" spans="2:9" x14ac:dyDescent="0.3">
      <c r="E648" t="s">
        <v>33</v>
      </c>
      <c r="F648">
        <v>5</v>
      </c>
      <c r="G648">
        <v>0</v>
      </c>
      <c r="H648" s="2">
        <v>80.78400000000002</v>
      </c>
      <c r="I648" s="2">
        <v>504.90000000000003</v>
      </c>
    </row>
    <row r="649" spans="2:9" x14ac:dyDescent="0.3">
      <c r="E649" t="s">
        <v>18</v>
      </c>
      <c r="F649">
        <v>9</v>
      </c>
      <c r="G649">
        <v>0</v>
      </c>
      <c r="H649" s="2">
        <v>21.599999999999998</v>
      </c>
      <c r="I649" s="2">
        <v>45</v>
      </c>
    </row>
    <row r="650" spans="2:9" x14ac:dyDescent="0.3">
      <c r="E650" t="s">
        <v>43</v>
      </c>
      <c r="F650">
        <v>2</v>
      </c>
      <c r="G650">
        <v>0</v>
      </c>
      <c r="H650" s="2">
        <v>11.778199999999998</v>
      </c>
      <c r="I650" s="2">
        <v>25.06</v>
      </c>
    </row>
    <row r="651" spans="2:9" x14ac:dyDescent="0.3">
      <c r="E651" t="s">
        <v>46</v>
      </c>
      <c r="F651">
        <v>3</v>
      </c>
      <c r="G651">
        <v>0</v>
      </c>
      <c r="H651" s="2">
        <v>90.287100000000009</v>
      </c>
      <c r="I651" s="2">
        <v>209.96999999999997</v>
      </c>
    </row>
    <row r="652" spans="2:9" x14ac:dyDescent="0.3">
      <c r="E652" t="s">
        <v>16</v>
      </c>
      <c r="F652">
        <v>5</v>
      </c>
      <c r="G652">
        <v>0</v>
      </c>
      <c r="H652" s="2">
        <v>15.552000000000001</v>
      </c>
      <c r="I652" s="2">
        <v>32.400000000000006</v>
      </c>
    </row>
    <row r="653" spans="2:9" x14ac:dyDescent="0.3">
      <c r="E653" t="s">
        <v>24</v>
      </c>
      <c r="F653">
        <v>4</v>
      </c>
      <c r="G653">
        <v>0</v>
      </c>
      <c r="H653" s="2">
        <v>7.9812000000000012</v>
      </c>
      <c r="I653" s="2">
        <v>29.56</v>
      </c>
    </row>
    <row r="654" spans="2:9" x14ac:dyDescent="0.3">
      <c r="E654" t="s">
        <v>25</v>
      </c>
      <c r="F654">
        <v>9</v>
      </c>
      <c r="G654">
        <v>0</v>
      </c>
      <c r="H654" s="2">
        <v>389.4317999999999</v>
      </c>
      <c r="I654" s="2">
        <v>2909.16</v>
      </c>
    </row>
    <row r="655" spans="2:9" x14ac:dyDescent="0.3">
      <c r="D655" t="s">
        <v>15</v>
      </c>
      <c r="E655" t="s">
        <v>20</v>
      </c>
      <c r="F655">
        <v>4</v>
      </c>
      <c r="G655">
        <v>0</v>
      </c>
      <c r="H655" s="2">
        <v>30.700800000000001</v>
      </c>
      <c r="I655" s="2">
        <v>63.96</v>
      </c>
    </row>
    <row r="656" spans="2:9" x14ac:dyDescent="0.3">
      <c r="E656" t="s">
        <v>14</v>
      </c>
      <c r="F656">
        <v>4</v>
      </c>
      <c r="G656">
        <v>0</v>
      </c>
      <c r="H656" s="2">
        <v>16.653600000000004</v>
      </c>
      <c r="I656" s="2">
        <v>61.68</v>
      </c>
    </row>
    <row r="657" spans="2:9" x14ac:dyDescent="0.3">
      <c r="D657" t="s">
        <v>17</v>
      </c>
      <c r="E657" t="s">
        <v>33</v>
      </c>
      <c r="F657">
        <v>4</v>
      </c>
      <c r="G657">
        <v>0</v>
      </c>
      <c r="H657" s="2">
        <v>284.98</v>
      </c>
      <c r="I657" s="2">
        <v>1139.92</v>
      </c>
    </row>
    <row r="658" spans="2:9" x14ac:dyDescent="0.3">
      <c r="B658" t="s">
        <v>108</v>
      </c>
      <c r="C658" t="s">
        <v>11</v>
      </c>
      <c r="D658" t="s">
        <v>15</v>
      </c>
      <c r="E658" t="s">
        <v>20</v>
      </c>
      <c r="F658">
        <v>5</v>
      </c>
      <c r="G658">
        <v>0.7</v>
      </c>
      <c r="H658" s="2">
        <v>-6.3030000000000008</v>
      </c>
      <c r="I658" s="2">
        <v>8.5950000000000024</v>
      </c>
    </row>
    <row r="659" spans="2:9" x14ac:dyDescent="0.3">
      <c r="E659" t="s">
        <v>9</v>
      </c>
      <c r="F659">
        <v>2</v>
      </c>
      <c r="G659">
        <v>0.2</v>
      </c>
      <c r="H659" s="2">
        <v>-42.951599999999999</v>
      </c>
      <c r="I659" s="2">
        <v>190.89600000000002</v>
      </c>
    </row>
    <row r="660" spans="2:9" x14ac:dyDescent="0.3">
      <c r="D660" t="s">
        <v>17</v>
      </c>
      <c r="E660" t="s">
        <v>19</v>
      </c>
      <c r="F660">
        <v>9</v>
      </c>
      <c r="G660">
        <v>0.4</v>
      </c>
      <c r="H660" s="2">
        <v>18.157599999999992</v>
      </c>
      <c r="I660" s="2">
        <v>200.96800000000002</v>
      </c>
    </row>
    <row r="661" spans="2:9" x14ac:dyDescent="0.3">
      <c r="E661" t="s">
        <v>20</v>
      </c>
      <c r="F661">
        <v>5</v>
      </c>
      <c r="G661">
        <v>1.4</v>
      </c>
      <c r="H661" s="2">
        <v>-17.058399999999999</v>
      </c>
      <c r="I661" s="2">
        <v>23.484000000000005</v>
      </c>
    </row>
    <row r="662" spans="2:9" x14ac:dyDescent="0.3">
      <c r="E662" t="s">
        <v>38</v>
      </c>
      <c r="F662">
        <v>7</v>
      </c>
      <c r="G662">
        <v>0.2</v>
      </c>
      <c r="H662" s="2">
        <v>62.807499999999976</v>
      </c>
      <c r="I662" s="2">
        <v>200.98400000000004</v>
      </c>
    </row>
    <row r="663" spans="2:9" x14ac:dyDescent="0.3">
      <c r="E663" t="s">
        <v>43</v>
      </c>
      <c r="F663">
        <v>8</v>
      </c>
      <c r="G663">
        <v>0.4</v>
      </c>
      <c r="H663" s="2">
        <v>49.511200000000002</v>
      </c>
      <c r="I663" s="2">
        <v>145.05600000000001</v>
      </c>
    </row>
    <row r="664" spans="2:9" x14ac:dyDescent="0.3">
      <c r="C664" t="s">
        <v>22</v>
      </c>
      <c r="D664" t="s">
        <v>8</v>
      </c>
      <c r="E664" t="s">
        <v>33</v>
      </c>
      <c r="F664">
        <v>8</v>
      </c>
      <c r="G664">
        <v>0.6</v>
      </c>
      <c r="H664" s="2">
        <v>-4.858799999999988</v>
      </c>
      <c r="I664" s="2">
        <v>1023.9879999999998</v>
      </c>
    </row>
    <row r="665" spans="2:9" x14ac:dyDescent="0.3">
      <c r="E665" t="s">
        <v>24</v>
      </c>
      <c r="F665">
        <v>3</v>
      </c>
      <c r="G665">
        <v>0.4</v>
      </c>
      <c r="H665" s="2">
        <v>-15.176700000000004</v>
      </c>
      <c r="I665" s="2">
        <v>82.782000000000011</v>
      </c>
    </row>
    <row r="666" spans="2:9" x14ac:dyDescent="0.3">
      <c r="D666" t="s">
        <v>17</v>
      </c>
      <c r="E666" t="s">
        <v>19</v>
      </c>
      <c r="F666">
        <v>2</v>
      </c>
      <c r="G666">
        <v>0.2</v>
      </c>
      <c r="H666" s="2">
        <v>0.59039999999999915</v>
      </c>
      <c r="I666" s="2">
        <v>5.2480000000000002</v>
      </c>
    </row>
    <row r="667" spans="2:9" x14ac:dyDescent="0.3">
      <c r="E667" t="s">
        <v>21</v>
      </c>
      <c r="F667">
        <v>3</v>
      </c>
      <c r="G667">
        <v>0.4</v>
      </c>
      <c r="H667" s="2">
        <v>12.018599999999999</v>
      </c>
      <c r="I667" s="2">
        <v>50.568000000000005</v>
      </c>
    </row>
    <row r="668" spans="2:9" x14ac:dyDescent="0.3">
      <c r="E668" t="s">
        <v>24</v>
      </c>
      <c r="F668">
        <v>3</v>
      </c>
      <c r="G668">
        <v>0.4</v>
      </c>
      <c r="H668" s="2">
        <v>-8.3790000000000031</v>
      </c>
      <c r="I668" s="2">
        <v>35.909999999999997</v>
      </c>
    </row>
    <row r="669" spans="2:9" x14ac:dyDescent="0.3">
      <c r="B669" t="s">
        <v>109</v>
      </c>
      <c r="C669" t="s">
        <v>22</v>
      </c>
      <c r="D669" t="s">
        <v>17</v>
      </c>
      <c r="E669" t="s">
        <v>33</v>
      </c>
      <c r="F669">
        <v>4</v>
      </c>
      <c r="G669">
        <v>0.2</v>
      </c>
      <c r="H669" s="2">
        <v>100.19599999999997</v>
      </c>
      <c r="I669" s="2">
        <v>1603.1360000000002</v>
      </c>
    </row>
    <row r="670" spans="2:9" x14ac:dyDescent="0.3">
      <c r="B670" t="s">
        <v>110</v>
      </c>
      <c r="C670" t="s">
        <v>11</v>
      </c>
      <c r="D670" t="s">
        <v>8</v>
      </c>
      <c r="E670" t="s">
        <v>12</v>
      </c>
      <c r="F670">
        <v>1</v>
      </c>
      <c r="G670">
        <v>0.8</v>
      </c>
      <c r="H670" s="2">
        <v>-6.344100000000001</v>
      </c>
      <c r="I670" s="2">
        <v>2.3939999999999997</v>
      </c>
    </row>
    <row r="671" spans="2:9" x14ac:dyDescent="0.3">
      <c r="E671" t="s">
        <v>19</v>
      </c>
      <c r="F671">
        <v>7</v>
      </c>
      <c r="G671">
        <v>0.4</v>
      </c>
      <c r="H671" s="2">
        <v>3.8449999999999998</v>
      </c>
      <c r="I671" s="2">
        <v>12.303999999999998</v>
      </c>
    </row>
    <row r="672" spans="2:9" x14ac:dyDescent="0.3">
      <c r="E672" t="s">
        <v>20</v>
      </c>
      <c r="F672">
        <v>9</v>
      </c>
      <c r="G672">
        <v>2.4000000000000004</v>
      </c>
      <c r="H672" s="2">
        <v>-57.943500000000014</v>
      </c>
      <c r="I672" s="2">
        <v>35.429999999999993</v>
      </c>
    </row>
    <row r="673" spans="4:9" x14ac:dyDescent="0.3">
      <c r="E673" t="s">
        <v>34</v>
      </c>
      <c r="F673">
        <v>7</v>
      </c>
      <c r="G673">
        <v>0.6</v>
      </c>
      <c r="H673" s="2">
        <v>-107.16439999999997</v>
      </c>
      <c r="I673" s="2">
        <v>676.80199999999991</v>
      </c>
    </row>
    <row r="674" spans="4:9" x14ac:dyDescent="0.3">
      <c r="E674" t="s">
        <v>33</v>
      </c>
      <c r="F674">
        <v>2</v>
      </c>
      <c r="G674">
        <v>0.3</v>
      </c>
      <c r="H674" s="2">
        <v>-14.870399999999961</v>
      </c>
      <c r="I674" s="2">
        <v>520.46399999999994</v>
      </c>
    </row>
    <row r="675" spans="4:9" x14ac:dyDescent="0.3">
      <c r="E675" t="s">
        <v>18</v>
      </c>
      <c r="F675">
        <v>3</v>
      </c>
      <c r="G675">
        <v>0.2</v>
      </c>
      <c r="H675" s="2">
        <v>2.4674999999999994</v>
      </c>
      <c r="I675" s="2">
        <v>7.8960000000000008</v>
      </c>
    </row>
    <row r="676" spans="4:9" x14ac:dyDescent="0.3">
      <c r="E676" t="s">
        <v>21</v>
      </c>
      <c r="F676">
        <v>6</v>
      </c>
      <c r="G676">
        <v>1.2</v>
      </c>
      <c r="H676" s="2">
        <v>-22.924799999999994</v>
      </c>
      <c r="I676" s="2">
        <v>46.896000000000001</v>
      </c>
    </row>
    <row r="677" spans="4:9" x14ac:dyDescent="0.3">
      <c r="E677" t="s">
        <v>43</v>
      </c>
      <c r="F677">
        <v>5</v>
      </c>
      <c r="G677">
        <v>0.2</v>
      </c>
      <c r="H677" s="2">
        <v>4.1760000000000002</v>
      </c>
      <c r="I677" s="2">
        <v>11.52</v>
      </c>
    </row>
    <row r="678" spans="4:9" x14ac:dyDescent="0.3">
      <c r="E678" t="s">
        <v>16</v>
      </c>
      <c r="F678">
        <v>11</v>
      </c>
      <c r="G678">
        <v>0.4</v>
      </c>
      <c r="H678" s="2">
        <v>13.252799999999997</v>
      </c>
      <c r="I678" s="2">
        <v>41.951999999999998</v>
      </c>
    </row>
    <row r="679" spans="4:9" x14ac:dyDescent="0.3">
      <c r="E679" t="s">
        <v>24</v>
      </c>
      <c r="F679">
        <v>13</v>
      </c>
      <c r="G679">
        <v>0.8</v>
      </c>
      <c r="H679" s="2">
        <v>371.71649999999971</v>
      </c>
      <c r="I679" s="2">
        <v>3167.0320000000002</v>
      </c>
    </row>
    <row r="680" spans="4:9" x14ac:dyDescent="0.3">
      <c r="D680" t="s">
        <v>15</v>
      </c>
      <c r="E680" t="s">
        <v>12</v>
      </c>
      <c r="F680">
        <v>9</v>
      </c>
      <c r="G680">
        <v>0.8</v>
      </c>
      <c r="H680" s="2">
        <v>-146.16000000000003</v>
      </c>
      <c r="I680" s="2">
        <v>58.463999999999977</v>
      </c>
    </row>
    <row r="681" spans="4:9" x14ac:dyDescent="0.3">
      <c r="E681" t="s">
        <v>19</v>
      </c>
      <c r="F681">
        <v>8</v>
      </c>
      <c r="G681">
        <v>0.4</v>
      </c>
      <c r="H681" s="2">
        <v>3.8475000000000001</v>
      </c>
      <c r="I681" s="2">
        <v>15.751999999999999</v>
      </c>
    </row>
    <row r="682" spans="4:9" x14ac:dyDescent="0.3">
      <c r="E682" t="s">
        <v>20</v>
      </c>
      <c r="F682">
        <v>8</v>
      </c>
      <c r="G682">
        <v>1.6</v>
      </c>
      <c r="H682" s="2">
        <v>-39.543999999999997</v>
      </c>
      <c r="I682" s="2">
        <v>25.293999999999997</v>
      </c>
    </row>
    <row r="683" spans="4:9" x14ac:dyDescent="0.3">
      <c r="E683" t="s">
        <v>34</v>
      </c>
      <c r="F683">
        <v>11</v>
      </c>
      <c r="G683">
        <v>0.6</v>
      </c>
      <c r="H683" s="2">
        <v>-132.01919999999998</v>
      </c>
      <c r="I683" s="2">
        <v>966.54599999999994</v>
      </c>
    </row>
    <row r="684" spans="4:9" x14ac:dyDescent="0.3">
      <c r="E684" t="s">
        <v>21</v>
      </c>
      <c r="F684">
        <v>6</v>
      </c>
      <c r="G684">
        <v>0.6</v>
      </c>
      <c r="H684" s="2">
        <v>-8.532</v>
      </c>
      <c r="I684" s="2">
        <v>22.752000000000002</v>
      </c>
    </row>
    <row r="685" spans="4:9" x14ac:dyDescent="0.3">
      <c r="E685" t="s">
        <v>16</v>
      </c>
      <c r="F685">
        <v>3</v>
      </c>
      <c r="G685">
        <v>0.2</v>
      </c>
      <c r="H685" s="2">
        <v>5.55</v>
      </c>
      <c r="I685" s="2">
        <v>17.760000000000002</v>
      </c>
    </row>
    <row r="686" spans="4:9" x14ac:dyDescent="0.3">
      <c r="D686" t="s">
        <v>17</v>
      </c>
      <c r="E686" t="s">
        <v>33</v>
      </c>
      <c r="F686">
        <v>7</v>
      </c>
      <c r="G686">
        <v>0.3</v>
      </c>
      <c r="H686" s="2">
        <v>-87.341800000000035</v>
      </c>
      <c r="I686" s="2">
        <v>470.30199999999996</v>
      </c>
    </row>
    <row r="687" spans="4:9" x14ac:dyDescent="0.3">
      <c r="E687" t="s">
        <v>21</v>
      </c>
      <c r="F687">
        <v>2</v>
      </c>
      <c r="G687">
        <v>0.6</v>
      </c>
      <c r="H687" s="2">
        <v>-75.844800000000006</v>
      </c>
      <c r="I687" s="2">
        <v>84.272000000000006</v>
      </c>
    </row>
    <row r="688" spans="4:9" x14ac:dyDescent="0.3">
      <c r="E688" t="s">
        <v>46</v>
      </c>
      <c r="F688">
        <v>2</v>
      </c>
      <c r="G688">
        <v>0.3</v>
      </c>
      <c r="H688" s="2">
        <v>156.04699999999997</v>
      </c>
      <c r="I688" s="2">
        <v>574.91</v>
      </c>
    </row>
    <row r="689" spans="3:9" x14ac:dyDescent="0.3">
      <c r="E689" t="s">
        <v>16</v>
      </c>
      <c r="F689">
        <v>2</v>
      </c>
      <c r="G689">
        <v>0.2</v>
      </c>
      <c r="H689" s="2">
        <v>2.6399999999999997</v>
      </c>
      <c r="I689" s="2">
        <v>8.4480000000000004</v>
      </c>
    </row>
    <row r="690" spans="3:9" x14ac:dyDescent="0.3">
      <c r="E690" t="s">
        <v>24</v>
      </c>
      <c r="F690">
        <v>2</v>
      </c>
      <c r="G690">
        <v>0.2</v>
      </c>
      <c r="H690" s="2">
        <v>5.9979999999999922</v>
      </c>
      <c r="I690" s="2">
        <v>47.984000000000002</v>
      </c>
    </row>
    <row r="691" spans="3:9" x14ac:dyDescent="0.3">
      <c r="E691" t="s">
        <v>14</v>
      </c>
      <c r="F691">
        <v>7</v>
      </c>
      <c r="G691">
        <v>0.4</v>
      </c>
      <c r="H691" s="2">
        <v>-88.079700000000003</v>
      </c>
      <c r="I691" s="2">
        <v>395.11199999999997</v>
      </c>
    </row>
    <row r="692" spans="3:9" x14ac:dyDescent="0.3">
      <c r="C692" t="s">
        <v>27</v>
      </c>
      <c r="D692" t="s">
        <v>8</v>
      </c>
      <c r="E692" t="s">
        <v>19</v>
      </c>
      <c r="F692">
        <v>2</v>
      </c>
      <c r="G692">
        <v>0.2</v>
      </c>
      <c r="H692" s="2">
        <v>1.1969999999999992</v>
      </c>
      <c r="I692" s="2">
        <v>19.152000000000001</v>
      </c>
    </row>
    <row r="693" spans="3:9" x14ac:dyDescent="0.3">
      <c r="E693" t="s">
        <v>21</v>
      </c>
      <c r="F693">
        <v>9</v>
      </c>
      <c r="G693">
        <v>0.6</v>
      </c>
      <c r="H693" s="2">
        <v>-7.4357999999999969</v>
      </c>
      <c r="I693" s="2">
        <v>17.496000000000002</v>
      </c>
    </row>
    <row r="694" spans="3:9" x14ac:dyDescent="0.3">
      <c r="E694" t="s">
        <v>24</v>
      </c>
      <c r="F694">
        <v>1</v>
      </c>
      <c r="G694">
        <v>0.2</v>
      </c>
      <c r="H694" s="2">
        <v>4.1390999999999991</v>
      </c>
      <c r="I694" s="2">
        <v>36.792000000000002</v>
      </c>
    </row>
    <row r="695" spans="3:9" x14ac:dyDescent="0.3">
      <c r="E695" t="s">
        <v>14</v>
      </c>
      <c r="F695">
        <v>2</v>
      </c>
      <c r="G695">
        <v>0.2</v>
      </c>
      <c r="H695" s="2">
        <v>32.662799999999947</v>
      </c>
      <c r="I695" s="2">
        <v>290.33600000000001</v>
      </c>
    </row>
    <row r="696" spans="3:9" x14ac:dyDescent="0.3">
      <c r="D696" t="s">
        <v>17</v>
      </c>
      <c r="E696" t="s">
        <v>19</v>
      </c>
      <c r="F696">
        <v>9</v>
      </c>
      <c r="G696">
        <v>0.4</v>
      </c>
      <c r="H696" s="2">
        <v>4.0487999999999964</v>
      </c>
      <c r="I696" s="2">
        <v>49.216000000000008</v>
      </c>
    </row>
    <row r="697" spans="3:9" x14ac:dyDescent="0.3">
      <c r="E697" t="s">
        <v>33</v>
      </c>
      <c r="F697">
        <v>1</v>
      </c>
      <c r="G697">
        <v>0.3</v>
      </c>
      <c r="H697" s="2">
        <v>-2.5647999999999982</v>
      </c>
      <c r="I697" s="2">
        <v>89.768000000000001</v>
      </c>
    </row>
    <row r="698" spans="3:9" x14ac:dyDescent="0.3">
      <c r="E698" t="s">
        <v>45</v>
      </c>
      <c r="F698">
        <v>2</v>
      </c>
      <c r="G698">
        <v>0.2</v>
      </c>
      <c r="H698" s="2">
        <v>335.99440000000004</v>
      </c>
      <c r="I698" s="2">
        <v>959.98400000000004</v>
      </c>
    </row>
    <row r="699" spans="3:9" x14ac:dyDescent="0.3">
      <c r="E699" t="s">
        <v>46</v>
      </c>
      <c r="F699">
        <v>2</v>
      </c>
      <c r="G699">
        <v>0.3</v>
      </c>
      <c r="H699" s="2">
        <v>8.9993999999999801</v>
      </c>
      <c r="I699" s="2">
        <v>209.98599999999999</v>
      </c>
    </row>
    <row r="700" spans="3:9" x14ac:dyDescent="0.3">
      <c r="E700" t="s">
        <v>16</v>
      </c>
      <c r="F700">
        <v>3</v>
      </c>
      <c r="G700">
        <v>0.2</v>
      </c>
      <c r="H700" s="2">
        <v>5.6375999999999999</v>
      </c>
      <c r="I700" s="2">
        <v>15.552000000000003</v>
      </c>
    </row>
    <row r="701" spans="3:9" x14ac:dyDescent="0.3">
      <c r="E701" t="s">
        <v>24</v>
      </c>
      <c r="F701">
        <v>1</v>
      </c>
      <c r="G701">
        <v>0.2</v>
      </c>
      <c r="H701" s="2">
        <v>-7.3015000000000025</v>
      </c>
      <c r="I701" s="2">
        <v>34.360000000000007</v>
      </c>
    </row>
    <row r="702" spans="3:9" x14ac:dyDescent="0.3">
      <c r="C702" t="s">
        <v>7</v>
      </c>
      <c r="D702" t="s">
        <v>8</v>
      </c>
      <c r="E702" t="s">
        <v>23</v>
      </c>
      <c r="F702">
        <v>7</v>
      </c>
      <c r="G702">
        <v>0.4</v>
      </c>
      <c r="H702" s="2">
        <v>57.272600000000004</v>
      </c>
      <c r="I702" s="2">
        <v>263.81600000000003</v>
      </c>
    </row>
    <row r="703" spans="3:9" x14ac:dyDescent="0.3">
      <c r="E703" t="s">
        <v>12</v>
      </c>
      <c r="F703">
        <v>5</v>
      </c>
      <c r="G703">
        <v>0.8</v>
      </c>
      <c r="H703" s="2">
        <v>-470.548</v>
      </c>
      <c r="I703" s="2">
        <v>180.97999999999996</v>
      </c>
    </row>
    <row r="704" spans="3:9" x14ac:dyDescent="0.3">
      <c r="E704" t="s">
        <v>19</v>
      </c>
      <c r="F704">
        <v>5</v>
      </c>
      <c r="G704">
        <v>0.4</v>
      </c>
      <c r="H704" s="2">
        <v>1.8949999999999998</v>
      </c>
      <c r="I704" s="2">
        <v>14.32</v>
      </c>
    </row>
    <row r="705" spans="4:9" x14ac:dyDescent="0.3">
      <c r="E705" t="s">
        <v>20</v>
      </c>
      <c r="F705">
        <v>27</v>
      </c>
      <c r="G705">
        <v>4</v>
      </c>
      <c r="H705" s="2">
        <v>-118.78780000000003</v>
      </c>
      <c r="I705" s="2">
        <v>74.011999999999986</v>
      </c>
    </row>
    <row r="706" spans="4:9" x14ac:dyDescent="0.3">
      <c r="E706" t="s">
        <v>33</v>
      </c>
      <c r="F706">
        <v>15</v>
      </c>
      <c r="G706">
        <v>0.89999999999999991</v>
      </c>
      <c r="H706" s="2">
        <v>-23.647700000000071</v>
      </c>
      <c r="I706" s="2">
        <v>975.05100000000004</v>
      </c>
    </row>
    <row r="707" spans="4:9" x14ac:dyDescent="0.3">
      <c r="E707" t="s">
        <v>38</v>
      </c>
      <c r="F707">
        <v>1</v>
      </c>
      <c r="G707">
        <v>0.2</v>
      </c>
      <c r="H707" s="2">
        <v>2.9339999999999997</v>
      </c>
      <c r="I707" s="2">
        <v>7.8239999999999998</v>
      </c>
    </row>
    <row r="708" spans="4:9" x14ac:dyDescent="0.3">
      <c r="E708" t="s">
        <v>18</v>
      </c>
      <c r="F708">
        <v>4</v>
      </c>
      <c r="G708">
        <v>0.2</v>
      </c>
      <c r="H708" s="2">
        <v>3.2899999999999996</v>
      </c>
      <c r="I708" s="2">
        <v>10.528</v>
      </c>
    </row>
    <row r="709" spans="4:9" x14ac:dyDescent="0.3">
      <c r="E709" t="s">
        <v>21</v>
      </c>
      <c r="F709">
        <v>17</v>
      </c>
      <c r="G709">
        <v>3.6</v>
      </c>
      <c r="H709" s="2">
        <v>-375.11619999999999</v>
      </c>
      <c r="I709" s="2">
        <v>456.74</v>
      </c>
    </row>
    <row r="710" spans="4:9" x14ac:dyDescent="0.3">
      <c r="E710" t="s">
        <v>16</v>
      </c>
      <c r="F710">
        <v>25</v>
      </c>
      <c r="G710">
        <v>1</v>
      </c>
      <c r="H710" s="2">
        <v>54.699600000000004</v>
      </c>
      <c r="I710" s="2">
        <v>155.23200000000003</v>
      </c>
    </row>
    <row r="711" spans="4:9" x14ac:dyDescent="0.3">
      <c r="E711" t="s">
        <v>24</v>
      </c>
      <c r="F711">
        <v>18</v>
      </c>
      <c r="G711">
        <v>1</v>
      </c>
      <c r="H711" s="2">
        <v>167.08799999999997</v>
      </c>
      <c r="I711" s="2">
        <v>1737.152</v>
      </c>
    </row>
    <row r="712" spans="4:9" x14ac:dyDescent="0.3">
      <c r="E712" t="s">
        <v>14</v>
      </c>
      <c r="F712">
        <v>5</v>
      </c>
      <c r="G712">
        <v>0.4</v>
      </c>
      <c r="H712" s="2">
        <v>-23.301999999999992</v>
      </c>
      <c r="I712" s="2">
        <v>183.96799999999999</v>
      </c>
    </row>
    <row r="713" spans="4:9" x14ac:dyDescent="0.3">
      <c r="E713" t="s">
        <v>9</v>
      </c>
      <c r="F713">
        <v>5</v>
      </c>
      <c r="G713">
        <v>0.2</v>
      </c>
      <c r="H713" s="2">
        <v>3.0690000000000026</v>
      </c>
      <c r="I713" s="2">
        <v>40.92</v>
      </c>
    </row>
    <row r="714" spans="4:9" x14ac:dyDescent="0.3">
      <c r="E714" t="s">
        <v>25</v>
      </c>
      <c r="F714">
        <v>12</v>
      </c>
      <c r="G714">
        <v>1</v>
      </c>
      <c r="H714" s="2">
        <v>-687.07549999999992</v>
      </c>
      <c r="I714" s="2">
        <v>942.85</v>
      </c>
    </row>
    <row r="715" spans="4:9" x14ac:dyDescent="0.3">
      <c r="D715" t="s">
        <v>15</v>
      </c>
      <c r="E715" t="s">
        <v>23</v>
      </c>
      <c r="F715">
        <v>10</v>
      </c>
      <c r="G715">
        <v>0.4</v>
      </c>
      <c r="H715" s="2">
        <v>18.071999999999992</v>
      </c>
      <c r="I715" s="2">
        <v>81.440000000000012</v>
      </c>
    </row>
    <row r="716" spans="4:9" x14ac:dyDescent="0.3">
      <c r="E716" t="s">
        <v>12</v>
      </c>
      <c r="F716">
        <v>2</v>
      </c>
      <c r="G716">
        <v>0.8</v>
      </c>
      <c r="H716" s="2">
        <v>-11.761200000000002</v>
      </c>
      <c r="I716" s="2">
        <v>4.355999999999999</v>
      </c>
    </row>
    <row r="717" spans="4:9" x14ac:dyDescent="0.3">
      <c r="E717" t="s">
        <v>19</v>
      </c>
      <c r="F717">
        <v>3</v>
      </c>
      <c r="G717">
        <v>0.2</v>
      </c>
      <c r="H717" s="2">
        <v>0.88559999999999883</v>
      </c>
      <c r="I717" s="2">
        <v>7.8719999999999999</v>
      </c>
    </row>
    <row r="718" spans="4:9" x14ac:dyDescent="0.3">
      <c r="E718" t="s">
        <v>20</v>
      </c>
      <c r="F718">
        <v>9</v>
      </c>
      <c r="G718">
        <v>2.4000000000000004</v>
      </c>
      <c r="H718" s="2">
        <v>-29.520000000000003</v>
      </c>
      <c r="I718" s="2">
        <v>18.491999999999997</v>
      </c>
    </row>
    <row r="719" spans="4:9" x14ac:dyDescent="0.3">
      <c r="E719" t="s">
        <v>33</v>
      </c>
      <c r="F719">
        <v>3</v>
      </c>
      <c r="G719">
        <v>0.3</v>
      </c>
      <c r="H719" s="2">
        <v>-29.007299999999994</v>
      </c>
      <c r="I719" s="2">
        <v>106.869</v>
      </c>
    </row>
    <row r="720" spans="4:9" x14ac:dyDescent="0.3">
      <c r="E720" t="s">
        <v>18</v>
      </c>
      <c r="F720">
        <v>5</v>
      </c>
      <c r="G720">
        <v>0.2</v>
      </c>
      <c r="H720" s="2">
        <v>4.9139999999999988</v>
      </c>
      <c r="I720" s="2">
        <v>15.120000000000001</v>
      </c>
    </row>
    <row r="721" spans="4:9" x14ac:dyDescent="0.3">
      <c r="E721" t="s">
        <v>21</v>
      </c>
      <c r="F721">
        <v>2</v>
      </c>
      <c r="G721">
        <v>0.6</v>
      </c>
      <c r="H721" s="2">
        <v>-61.872</v>
      </c>
      <c r="I721" s="2">
        <v>51.56</v>
      </c>
    </row>
    <row r="722" spans="4:9" x14ac:dyDescent="0.3">
      <c r="E722" t="s">
        <v>43</v>
      </c>
      <c r="F722">
        <v>5</v>
      </c>
      <c r="G722">
        <v>0.4</v>
      </c>
      <c r="H722" s="2">
        <v>5.8769999999999989</v>
      </c>
      <c r="I722" s="2">
        <v>17.856000000000002</v>
      </c>
    </row>
    <row r="723" spans="4:9" x14ac:dyDescent="0.3">
      <c r="E723" t="s">
        <v>16</v>
      </c>
      <c r="F723">
        <v>7</v>
      </c>
      <c r="G723">
        <v>0.2</v>
      </c>
      <c r="H723" s="2">
        <v>54.214999999999982</v>
      </c>
      <c r="I723" s="2">
        <v>173.48800000000003</v>
      </c>
    </row>
    <row r="724" spans="4:9" x14ac:dyDescent="0.3">
      <c r="E724" t="s">
        <v>24</v>
      </c>
      <c r="F724">
        <v>2</v>
      </c>
      <c r="G724">
        <v>0.2</v>
      </c>
      <c r="H724" s="2">
        <v>4.9615999999999989</v>
      </c>
      <c r="I724" s="2">
        <v>49.616000000000007</v>
      </c>
    </row>
    <row r="725" spans="4:9" x14ac:dyDescent="0.3">
      <c r="E725" t="s">
        <v>14</v>
      </c>
      <c r="F725">
        <v>11</v>
      </c>
      <c r="G725">
        <v>0.4</v>
      </c>
      <c r="H725" s="2">
        <v>-8.8540000000000205</v>
      </c>
      <c r="I725" s="2">
        <v>348.25599999999997</v>
      </c>
    </row>
    <row r="726" spans="4:9" x14ac:dyDescent="0.3">
      <c r="E726" t="s">
        <v>9</v>
      </c>
      <c r="F726">
        <v>8</v>
      </c>
      <c r="G726">
        <v>0.4</v>
      </c>
      <c r="H726" s="2">
        <v>-0.20140000000000136</v>
      </c>
      <c r="I726" s="2">
        <v>29.288000000000004</v>
      </c>
    </row>
    <row r="727" spans="4:9" x14ac:dyDescent="0.3">
      <c r="D727" t="s">
        <v>17</v>
      </c>
      <c r="E727" t="s">
        <v>23</v>
      </c>
      <c r="F727">
        <v>4</v>
      </c>
      <c r="G727">
        <v>0.2</v>
      </c>
      <c r="H727" s="2">
        <v>71.992800000000003</v>
      </c>
      <c r="I727" s="2">
        <v>319.96800000000002</v>
      </c>
    </row>
    <row r="728" spans="4:9" x14ac:dyDescent="0.3">
      <c r="E728" t="s">
        <v>19</v>
      </c>
      <c r="F728">
        <v>5</v>
      </c>
      <c r="G728">
        <v>0.4</v>
      </c>
      <c r="H728" s="2">
        <v>2.5144000000000002</v>
      </c>
      <c r="I728" s="2">
        <v>10.591999999999999</v>
      </c>
    </row>
    <row r="729" spans="4:9" x14ac:dyDescent="0.3">
      <c r="E729" t="s">
        <v>20</v>
      </c>
      <c r="F729">
        <v>1</v>
      </c>
      <c r="G729">
        <v>0.8</v>
      </c>
      <c r="H729" s="2">
        <v>-14.759400000000003</v>
      </c>
      <c r="I729" s="2">
        <v>8.6819999999999968</v>
      </c>
    </row>
    <row r="730" spans="4:9" x14ac:dyDescent="0.3">
      <c r="E730" t="s">
        <v>33</v>
      </c>
      <c r="F730">
        <v>9</v>
      </c>
      <c r="G730">
        <v>0.6</v>
      </c>
      <c r="H730" s="2">
        <v>-215.02320000000006</v>
      </c>
      <c r="I730" s="2">
        <v>1413.174</v>
      </c>
    </row>
    <row r="731" spans="4:9" x14ac:dyDescent="0.3">
      <c r="E731" t="s">
        <v>18</v>
      </c>
      <c r="F731">
        <v>4</v>
      </c>
      <c r="G731">
        <v>0.2</v>
      </c>
      <c r="H731" s="2">
        <v>5.6</v>
      </c>
      <c r="I731" s="2">
        <v>16</v>
      </c>
    </row>
    <row r="732" spans="4:9" x14ac:dyDescent="0.3">
      <c r="E732" t="s">
        <v>21</v>
      </c>
      <c r="F732">
        <v>3</v>
      </c>
      <c r="G732">
        <v>1.2</v>
      </c>
      <c r="H732" s="2">
        <v>-36.397399999999998</v>
      </c>
      <c r="I732" s="2">
        <v>36.424000000000007</v>
      </c>
    </row>
    <row r="733" spans="4:9" x14ac:dyDescent="0.3">
      <c r="E733" t="s">
        <v>43</v>
      </c>
      <c r="F733">
        <v>1</v>
      </c>
      <c r="G733">
        <v>0.2</v>
      </c>
      <c r="H733" s="2">
        <v>7.9378000000000002</v>
      </c>
      <c r="I733" s="2">
        <v>24.424000000000003</v>
      </c>
    </row>
    <row r="734" spans="4:9" x14ac:dyDescent="0.3">
      <c r="E734" t="s">
        <v>46</v>
      </c>
      <c r="F734">
        <v>3</v>
      </c>
      <c r="G734">
        <v>0.3</v>
      </c>
      <c r="H734" s="2">
        <v>43.199100000000044</v>
      </c>
      <c r="I734" s="2">
        <v>1007.979</v>
      </c>
    </row>
    <row r="735" spans="4:9" x14ac:dyDescent="0.3">
      <c r="E735" t="s">
        <v>16</v>
      </c>
      <c r="F735">
        <v>21</v>
      </c>
      <c r="G735">
        <v>1.4</v>
      </c>
      <c r="H735" s="2">
        <v>306.54279999999994</v>
      </c>
      <c r="I735" s="2">
        <v>862.24</v>
      </c>
    </row>
    <row r="736" spans="4:9" x14ac:dyDescent="0.3">
      <c r="E736" t="s">
        <v>24</v>
      </c>
      <c r="F736">
        <v>14</v>
      </c>
      <c r="G736">
        <v>0.8</v>
      </c>
      <c r="H736" s="2">
        <v>204.87079999999989</v>
      </c>
      <c r="I736" s="2">
        <v>2063.8879999999999</v>
      </c>
    </row>
    <row r="737" spans="3:9" x14ac:dyDescent="0.3">
      <c r="E737" t="s">
        <v>14</v>
      </c>
      <c r="F737">
        <v>3</v>
      </c>
      <c r="G737">
        <v>0.2</v>
      </c>
      <c r="H737" s="2">
        <v>31.582499999999953</v>
      </c>
      <c r="I737" s="2">
        <v>505.32000000000005</v>
      </c>
    </row>
    <row r="738" spans="3:9" x14ac:dyDescent="0.3">
      <c r="C738" t="s">
        <v>22</v>
      </c>
      <c r="D738" t="s">
        <v>8</v>
      </c>
      <c r="E738" t="s">
        <v>23</v>
      </c>
      <c r="F738">
        <v>38</v>
      </c>
      <c r="G738">
        <v>1.9999999999999998</v>
      </c>
      <c r="H738" s="2">
        <v>140.52379999999997</v>
      </c>
      <c r="I738" s="2">
        <v>935.68000000000006</v>
      </c>
    </row>
    <row r="739" spans="3:9" x14ac:dyDescent="0.3">
      <c r="E739" t="s">
        <v>12</v>
      </c>
      <c r="F739">
        <v>29</v>
      </c>
      <c r="G739">
        <v>6.3999999999999995</v>
      </c>
      <c r="H739" s="2">
        <v>-1037.8408000000002</v>
      </c>
      <c r="I739" s="2">
        <v>411.7399999999999</v>
      </c>
    </row>
    <row r="740" spans="3:9" x14ac:dyDescent="0.3">
      <c r="E740" t="s">
        <v>19</v>
      </c>
      <c r="F740">
        <v>37</v>
      </c>
      <c r="G740">
        <v>1.5999999999999999</v>
      </c>
      <c r="H740" s="2">
        <v>24.915399999999995</v>
      </c>
      <c r="I740" s="2">
        <v>165.21600000000001</v>
      </c>
    </row>
    <row r="741" spans="3:9" x14ac:dyDescent="0.3">
      <c r="E741" t="s">
        <v>20</v>
      </c>
      <c r="F741">
        <v>69</v>
      </c>
      <c r="G741">
        <v>16.800000000000004</v>
      </c>
      <c r="H741" s="2">
        <v>-225.65330000000003</v>
      </c>
      <c r="I741" s="2">
        <v>134.91799999999998</v>
      </c>
    </row>
    <row r="742" spans="3:9" x14ac:dyDescent="0.3">
      <c r="E742" t="s">
        <v>34</v>
      </c>
      <c r="F742">
        <v>7</v>
      </c>
      <c r="G742">
        <v>0.6</v>
      </c>
      <c r="H742" s="2">
        <v>-71.811600000000027</v>
      </c>
      <c r="I742" s="2">
        <v>557.80199999999991</v>
      </c>
    </row>
    <row r="743" spans="3:9" x14ac:dyDescent="0.3">
      <c r="E743" t="s">
        <v>33</v>
      </c>
      <c r="F743">
        <v>22</v>
      </c>
      <c r="G743">
        <v>2.1</v>
      </c>
      <c r="H743" s="2">
        <v>-235.51819999999998</v>
      </c>
      <c r="I743" s="2">
        <v>2838.9199999999996</v>
      </c>
    </row>
    <row r="744" spans="3:9" x14ac:dyDescent="0.3">
      <c r="E744" t="s">
        <v>38</v>
      </c>
      <c r="F744">
        <v>10</v>
      </c>
      <c r="G744">
        <v>0.60000000000000009</v>
      </c>
      <c r="H744" s="2">
        <v>27.950400000000002</v>
      </c>
      <c r="I744" s="2">
        <v>76.640000000000015</v>
      </c>
    </row>
    <row r="745" spans="3:9" x14ac:dyDescent="0.3">
      <c r="E745" t="s">
        <v>18</v>
      </c>
      <c r="F745">
        <v>8</v>
      </c>
      <c r="G745">
        <v>0.4</v>
      </c>
      <c r="H745" s="2">
        <v>2.9569999999999994</v>
      </c>
      <c r="I745" s="2">
        <v>10</v>
      </c>
    </row>
    <row r="746" spans="3:9" x14ac:dyDescent="0.3">
      <c r="E746" t="s">
        <v>21</v>
      </c>
      <c r="F746">
        <v>32</v>
      </c>
      <c r="G746">
        <v>6.5999999999999988</v>
      </c>
      <c r="H746" s="2">
        <v>-377.31859999999995</v>
      </c>
      <c r="I746" s="2">
        <v>374.63200000000001</v>
      </c>
    </row>
    <row r="747" spans="3:9" x14ac:dyDescent="0.3">
      <c r="E747" t="s">
        <v>43</v>
      </c>
      <c r="F747">
        <v>16</v>
      </c>
      <c r="G747">
        <v>0.8</v>
      </c>
      <c r="H747" s="2">
        <v>19.265700000000002</v>
      </c>
      <c r="I747" s="2">
        <v>56.007999999999996</v>
      </c>
    </row>
    <row r="748" spans="3:9" x14ac:dyDescent="0.3">
      <c r="E748" t="s">
        <v>46</v>
      </c>
      <c r="F748">
        <v>3</v>
      </c>
      <c r="G748">
        <v>0.3</v>
      </c>
      <c r="H748" s="2">
        <v>-19.470000000000141</v>
      </c>
      <c r="I748" s="2">
        <v>1362.8999999999999</v>
      </c>
    </row>
    <row r="749" spans="3:9" x14ac:dyDescent="0.3">
      <c r="E749" t="s">
        <v>16</v>
      </c>
      <c r="F749">
        <v>49</v>
      </c>
      <c r="G749">
        <v>2.1999999999999997</v>
      </c>
      <c r="H749" s="2">
        <v>228.52099999999996</v>
      </c>
      <c r="I749" s="2">
        <v>687.952</v>
      </c>
    </row>
    <row r="750" spans="3:9" x14ac:dyDescent="0.3">
      <c r="E750" t="s">
        <v>24</v>
      </c>
      <c r="F750">
        <v>28</v>
      </c>
      <c r="G750">
        <v>1.5999999999999999</v>
      </c>
      <c r="H750" s="2">
        <v>229.80969999999991</v>
      </c>
      <c r="I750" s="2">
        <v>3100.64</v>
      </c>
    </row>
    <row r="751" spans="3:9" x14ac:dyDescent="0.3">
      <c r="E751" t="s">
        <v>14</v>
      </c>
      <c r="F751">
        <v>41</v>
      </c>
      <c r="G751">
        <v>2.8000000000000003</v>
      </c>
      <c r="H751" s="2">
        <v>146.8314</v>
      </c>
      <c r="I751" s="2">
        <v>3797.2720000000008</v>
      </c>
    </row>
    <row r="752" spans="3:9" x14ac:dyDescent="0.3">
      <c r="E752" t="s">
        <v>9</v>
      </c>
      <c r="F752">
        <v>3</v>
      </c>
      <c r="G752">
        <v>0.2</v>
      </c>
      <c r="H752" s="2">
        <v>2.5136999999999983</v>
      </c>
      <c r="I752" s="2">
        <v>22.344000000000001</v>
      </c>
    </row>
    <row r="753" spans="4:9" x14ac:dyDescent="0.3">
      <c r="E753" t="s">
        <v>25</v>
      </c>
      <c r="F753">
        <v>11</v>
      </c>
      <c r="G753">
        <v>2</v>
      </c>
      <c r="H753" s="2">
        <v>-418.62690000000003</v>
      </c>
      <c r="I753" s="2">
        <v>671.28000000000009</v>
      </c>
    </row>
    <row r="754" spans="4:9" x14ac:dyDescent="0.3">
      <c r="D754" t="s">
        <v>15</v>
      </c>
      <c r="E754" t="s">
        <v>23</v>
      </c>
      <c r="F754">
        <v>6</v>
      </c>
      <c r="G754">
        <v>0.4</v>
      </c>
      <c r="H754" s="2">
        <v>22.619599999999995</v>
      </c>
      <c r="I754" s="2">
        <v>196.76800000000003</v>
      </c>
    </row>
    <row r="755" spans="4:9" x14ac:dyDescent="0.3">
      <c r="E755" t="s">
        <v>12</v>
      </c>
      <c r="F755">
        <v>15</v>
      </c>
      <c r="G755">
        <v>4</v>
      </c>
      <c r="H755" s="2">
        <v>-551.63240000000019</v>
      </c>
      <c r="I755" s="2">
        <v>219.27999999999997</v>
      </c>
    </row>
    <row r="756" spans="4:9" x14ac:dyDescent="0.3">
      <c r="E756" t="s">
        <v>19</v>
      </c>
      <c r="F756">
        <v>7</v>
      </c>
      <c r="G756">
        <v>0.4</v>
      </c>
      <c r="H756" s="2">
        <v>3.6864999999999997</v>
      </c>
      <c r="I756" s="2">
        <v>18.872</v>
      </c>
    </row>
    <row r="757" spans="4:9" x14ac:dyDescent="0.3">
      <c r="E757" t="s">
        <v>20</v>
      </c>
      <c r="F757">
        <v>34</v>
      </c>
      <c r="G757">
        <v>5.6</v>
      </c>
      <c r="H757" s="2">
        <v>-3039.6570000000006</v>
      </c>
      <c r="I757" s="2">
        <v>1961.6879999999996</v>
      </c>
    </row>
    <row r="758" spans="4:9" x14ac:dyDescent="0.3">
      <c r="E758" t="s">
        <v>33</v>
      </c>
      <c r="F758">
        <v>5</v>
      </c>
      <c r="G758">
        <v>0.6</v>
      </c>
      <c r="H758" s="2">
        <v>-4.754999999999999</v>
      </c>
      <c r="I758" s="2">
        <v>110.94999999999999</v>
      </c>
    </row>
    <row r="759" spans="4:9" x14ac:dyDescent="0.3">
      <c r="E759" t="s">
        <v>45</v>
      </c>
      <c r="F759">
        <v>8</v>
      </c>
      <c r="G759">
        <v>0.4</v>
      </c>
      <c r="H759" s="2">
        <v>1009.9829999999998</v>
      </c>
      <c r="I759" s="2">
        <v>3519.9360000000006</v>
      </c>
    </row>
    <row r="760" spans="4:9" x14ac:dyDescent="0.3">
      <c r="E760" t="s">
        <v>38</v>
      </c>
      <c r="F760">
        <v>3</v>
      </c>
      <c r="G760">
        <v>0.2</v>
      </c>
      <c r="H760" s="2">
        <v>3.2213999999999996</v>
      </c>
      <c r="I760" s="2">
        <v>9.9120000000000008</v>
      </c>
    </row>
    <row r="761" spans="4:9" x14ac:dyDescent="0.3">
      <c r="E761" t="s">
        <v>18</v>
      </c>
      <c r="F761">
        <v>8</v>
      </c>
      <c r="G761">
        <v>0.4</v>
      </c>
      <c r="H761" s="2">
        <v>7.4312000000000005</v>
      </c>
      <c r="I761" s="2">
        <v>22.975999999999999</v>
      </c>
    </row>
    <row r="762" spans="4:9" x14ac:dyDescent="0.3">
      <c r="E762" t="s">
        <v>21</v>
      </c>
      <c r="F762">
        <v>27</v>
      </c>
      <c r="G762">
        <v>4.2</v>
      </c>
      <c r="H762" s="2">
        <v>-97.271699999999967</v>
      </c>
      <c r="I762" s="2">
        <v>190.26400000000001</v>
      </c>
    </row>
    <row r="763" spans="4:9" x14ac:dyDescent="0.3">
      <c r="E763" t="s">
        <v>43</v>
      </c>
      <c r="F763">
        <v>4</v>
      </c>
      <c r="G763">
        <v>0.2</v>
      </c>
      <c r="H763" s="2">
        <v>6.5519999999999987</v>
      </c>
      <c r="I763" s="2">
        <v>20.16</v>
      </c>
    </row>
    <row r="764" spans="4:9" x14ac:dyDescent="0.3">
      <c r="E764" t="s">
        <v>16</v>
      </c>
      <c r="F764">
        <v>26</v>
      </c>
      <c r="G764">
        <v>1.7999999999999998</v>
      </c>
      <c r="H764" s="2">
        <v>116.69259999999997</v>
      </c>
      <c r="I764" s="2">
        <v>347.08</v>
      </c>
    </row>
    <row r="765" spans="4:9" x14ac:dyDescent="0.3">
      <c r="E765" t="s">
        <v>24</v>
      </c>
      <c r="F765">
        <v>18</v>
      </c>
      <c r="G765">
        <v>0.8</v>
      </c>
      <c r="H765" s="2">
        <v>135.41849999999994</v>
      </c>
      <c r="I765" s="2">
        <v>1577.6080000000002</v>
      </c>
    </row>
    <row r="766" spans="4:9" x14ac:dyDescent="0.3">
      <c r="E766" t="s">
        <v>14</v>
      </c>
      <c r="F766">
        <v>25</v>
      </c>
      <c r="G766">
        <v>1.4</v>
      </c>
      <c r="H766" s="2">
        <v>-197.7234</v>
      </c>
      <c r="I766" s="2">
        <v>1022.7040000000001</v>
      </c>
    </row>
    <row r="767" spans="4:9" x14ac:dyDescent="0.3">
      <c r="E767" t="s">
        <v>9</v>
      </c>
      <c r="F767">
        <v>2</v>
      </c>
      <c r="G767">
        <v>0.2</v>
      </c>
      <c r="H767" s="2">
        <v>2.5019999999999971</v>
      </c>
      <c r="I767" s="2">
        <v>22.240000000000002</v>
      </c>
    </row>
    <row r="768" spans="4:9" x14ac:dyDescent="0.3">
      <c r="D768" t="s">
        <v>17</v>
      </c>
      <c r="E768" t="s">
        <v>23</v>
      </c>
      <c r="F768">
        <v>15</v>
      </c>
      <c r="G768">
        <v>0.8</v>
      </c>
      <c r="H768" s="2">
        <v>99.118199999999931</v>
      </c>
      <c r="I768" s="2">
        <v>758.18399999999997</v>
      </c>
    </row>
    <row r="769" spans="2:9" x14ac:dyDescent="0.3">
      <c r="E769" t="s">
        <v>19</v>
      </c>
      <c r="F769">
        <v>8</v>
      </c>
      <c r="G769">
        <v>0.4</v>
      </c>
      <c r="H769" s="2">
        <v>2.7057999999999982</v>
      </c>
      <c r="I769" s="2">
        <v>22.928000000000004</v>
      </c>
    </row>
    <row r="770" spans="2:9" x14ac:dyDescent="0.3">
      <c r="E770" t="s">
        <v>20</v>
      </c>
      <c r="F770">
        <v>25</v>
      </c>
      <c r="G770">
        <v>4</v>
      </c>
      <c r="H770" s="2">
        <v>-1385.4994000000002</v>
      </c>
      <c r="I770" s="2">
        <v>909.81399999999985</v>
      </c>
    </row>
    <row r="771" spans="2:9" x14ac:dyDescent="0.3">
      <c r="E771" t="s">
        <v>33</v>
      </c>
      <c r="F771">
        <v>5</v>
      </c>
      <c r="G771">
        <v>0.3</v>
      </c>
      <c r="H771" s="2">
        <v>-15.222500000000011</v>
      </c>
      <c r="I771" s="2">
        <v>213.11499999999998</v>
      </c>
    </row>
    <row r="772" spans="2:9" x14ac:dyDescent="0.3">
      <c r="E772" t="s">
        <v>21</v>
      </c>
      <c r="F772">
        <v>6</v>
      </c>
      <c r="G772">
        <v>1.7999999999999998</v>
      </c>
      <c r="H772" s="2">
        <v>-67.87639999999999</v>
      </c>
      <c r="I772" s="2">
        <v>70.408000000000001</v>
      </c>
    </row>
    <row r="773" spans="2:9" x14ac:dyDescent="0.3">
      <c r="E773" t="s">
        <v>16</v>
      </c>
      <c r="F773">
        <v>27</v>
      </c>
      <c r="G773">
        <v>0.8</v>
      </c>
      <c r="H773" s="2">
        <v>66.122199999999992</v>
      </c>
      <c r="I773" s="2">
        <v>191.45599999999999</v>
      </c>
    </row>
    <row r="774" spans="2:9" x14ac:dyDescent="0.3">
      <c r="E774" t="s">
        <v>24</v>
      </c>
      <c r="F774">
        <v>4</v>
      </c>
      <c r="G774">
        <v>0.4</v>
      </c>
      <c r="H774" s="2">
        <v>30.674299999999995</v>
      </c>
      <c r="I774" s="2">
        <v>177.47200000000001</v>
      </c>
    </row>
    <row r="775" spans="2:9" x14ac:dyDescent="0.3">
      <c r="E775" t="s">
        <v>14</v>
      </c>
      <c r="F775">
        <v>3</v>
      </c>
      <c r="G775">
        <v>0.2</v>
      </c>
      <c r="H775" s="2">
        <v>-3.1680000000000001</v>
      </c>
      <c r="I775" s="2">
        <v>12.672000000000001</v>
      </c>
    </row>
    <row r="776" spans="2:9" x14ac:dyDescent="0.3">
      <c r="E776" t="s">
        <v>25</v>
      </c>
      <c r="F776">
        <v>4</v>
      </c>
      <c r="G776">
        <v>1</v>
      </c>
      <c r="H776" s="2">
        <v>-341.22810000000004</v>
      </c>
      <c r="I776" s="2">
        <v>589.88499999999999</v>
      </c>
    </row>
    <row r="777" spans="2:9" x14ac:dyDescent="0.3">
      <c r="B777" t="s">
        <v>111</v>
      </c>
      <c r="C777" t="s">
        <v>7</v>
      </c>
      <c r="D777" t="s">
        <v>8</v>
      </c>
      <c r="E777" t="s">
        <v>19</v>
      </c>
      <c r="F777">
        <v>1</v>
      </c>
      <c r="G777">
        <v>0</v>
      </c>
      <c r="H777" s="2">
        <v>0.59670000000000001</v>
      </c>
      <c r="I777" s="2">
        <v>2.21</v>
      </c>
    </row>
    <row r="778" spans="2:9" x14ac:dyDescent="0.3">
      <c r="E778" t="s">
        <v>38</v>
      </c>
      <c r="F778">
        <v>4</v>
      </c>
      <c r="G778">
        <v>0</v>
      </c>
      <c r="H778" s="2">
        <v>7.4496000000000002</v>
      </c>
      <c r="I778" s="2">
        <v>15.52</v>
      </c>
    </row>
    <row r="779" spans="2:9" x14ac:dyDescent="0.3">
      <c r="E779" t="s">
        <v>16</v>
      </c>
      <c r="F779">
        <v>4</v>
      </c>
      <c r="G779">
        <v>0</v>
      </c>
      <c r="H779" s="2">
        <v>16.397999999999996</v>
      </c>
      <c r="I779" s="2">
        <v>36.44</v>
      </c>
    </row>
    <row r="780" spans="2:9" x14ac:dyDescent="0.3">
      <c r="D780" t="s">
        <v>17</v>
      </c>
      <c r="E780" t="s">
        <v>33</v>
      </c>
      <c r="F780">
        <v>4</v>
      </c>
      <c r="G780">
        <v>0.2</v>
      </c>
      <c r="H780" s="2">
        <v>102.95279999999988</v>
      </c>
      <c r="I780" s="2">
        <v>915.13600000000008</v>
      </c>
    </row>
    <row r="781" spans="2:9" x14ac:dyDescent="0.3">
      <c r="E781" t="s">
        <v>21</v>
      </c>
      <c r="F781">
        <v>8</v>
      </c>
      <c r="G781">
        <v>0</v>
      </c>
      <c r="H781" s="2">
        <v>91.772800000000018</v>
      </c>
      <c r="I781" s="2">
        <v>327.76</v>
      </c>
    </row>
    <row r="782" spans="2:9" x14ac:dyDescent="0.3">
      <c r="C782" t="s">
        <v>22</v>
      </c>
      <c r="D782" t="s">
        <v>15</v>
      </c>
      <c r="E782" t="s">
        <v>12</v>
      </c>
      <c r="F782">
        <v>4</v>
      </c>
      <c r="G782">
        <v>0</v>
      </c>
      <c r="H782" s="2">
        <v>4.1080000000000005</v>
      </c>
      <c r="I782" s="2">
        <v>15.8</v>
      </c>
    </row>
    <row r="783" spans="2:9" x14ac:dyDescent="0.3">
      <c r="E783" t="s">
        <v>33</v>
      </c>
      <c r="F783">
        <v>4</v>
      </c>
      <c r="G783">
        <v>0.2</v>
      </c>
      <c r="H783" s="2">
        <v>-59.835600000000042</v>
      </c>
      <c r="I783" s="2">
        <v>435.16800000000006</v>
      </c>
    </row>
    <row r="784" spans="2:9" x14ac:dyDescent="0.3">
      <c r="E784" t="s">
        <v>18</v>
      </c>
      <c r="F784">
        <v>5</v>
      </c>
      <c r="G784">
        <v>0</v>
      </c>
      <c r="H784" s="2">
        <v>6.8539999999999992</v>
      </c>
      <c r="I784" s="2">
        <v>14.9</v>
      </c>
    </row>
    <row r="785" spans="2:9" x14ac:dyDescent="0.3">
      <c r="E785" t="s">
        <v>21</v>
      </c>
      <c r="F785">
        <v>5</v>
      </c>
      <c r="G785">
        <v>0</v>
      </c>
      <c r="H785" s="2">
        <v>26.973000000000003</v>
      </c>
      <c r="I785" s="2">
        <v>72.900000000000006</v>
      </c>
    </row>
    <row r="786" spans="2:9" x14ac:dyDescent="0.3">
      <c r="E786" t="s">
        <v>24</v>
      </c>
      <c r="F786">
        <v>1</v>
      </c>
      <c r="G786">
        <v>0.2</v>
      </c>
      <c r="H786" s="2">
        <v>2.6972999999999994</v>
      </c>
      <c r="I786" s="2">
        <v>7.9920000000000009</v>
      </c>
    </row>
    <row r="787" spans="2:9" x14ac:dyDescent="0.3">
      <c r="E787" t="s">
        <v>25</v>
      </c>
      <c r="F787">
        <v>3</v>
      </c>
      <c r="G787">
        <v>0.2</v>
      </c>
      <c r="H787" s="2">
        <v>5.1587999999999852</v>
      </c>
      <c r="I787" s="2">
        <v>206.35200000000003</v>
      </c>
    </row>
    <row r="788" spans="2:9" x14ac:dyDescent="0.3">
      <c r="B788" t="s">
        <v>112</v>
      </c>
      <c r="C788" t="s">
        <v>27</v>
      </c>
      <c r="D788" t="s">
        <v>8</v>
      </c>
      <c r="E788" t="s">
        <v>19</v>
      </c>
      <c r="F788">
        <v>4</v>
      </c>
      <c r="G788">
        <v>0</v>
      </c>
      <c r="H788" s="2">
        <v>55.911999999999978</v>
      </c>
      <c r="I788" s="2">
        <v>192.8</v>
      </c>
    </row>
    <row r="789" spans="2:9" x14ac:dyDescent="0.3">
      <c r="C789" t="s">
        <v>22</v>
      </c>
      <c r="D789" t="s">
        <v>8</v>
      </c>
      <c r="E789" t="s">
        <v>38</v>
      </c>
      <c r="F789">
        <v>3</v>
      </c>
      <c r="G789">
        <v>0</v>
      </c>
      <c r="H789" s="2">
        <v>85.981799999999993</v>
      </c>
      <c r="I789" s="2">
        <v>182.94</v>
      </c>
    </row>
    <row r="790" spans="2:9" x14ac:dyDescent="0.3">
      <c r="D790" t="s">
        <v>17</v>
      </c>
      <c r="E790" t="s">
        <v>21</v>
      </c>
      <c r="F790">
        <v>6</v>
      </c>
      <c r="G790">
        <v>0</v>
      </c>
      <c r="H790" s="2">
        <v>106.54079999999999</v>
      </c>
      <c r="I790" s="2">
        <v>665.88</v>
      </c>
    </row>
    <row r="791" spans="2:9" x14ac:dyDescent="0.3">
      <c r="B791" t="s">
        <v>113</v>
      </c>
      <c r="C791" t="s">
        <v>11</v>
      </c>
      <c r="D791" t="s">
        <v>8</v>
      </c>
      <c r="E791" t="s">
        <v>23</v>
      </c>
      <c r="F791">
        <v>3</v>
      </c>
      <c r="G791">
        <v>0.2</v>
      </c>
      <c r="H791" s="2">
        <v>-4.6409999999999982</v>
      </c>
      <c r="I791" s="2">
        <v>53.040000000000006</v>
      </c>
    </row>
    <row r="792" spans="2:9" x14ac:dyDescent="0.3">
      <c r="E792" t="s">
        <v>19</v>
      </c>
      <c r="F792">
        <v>1</v>
      </c>
      <c r="G792">
        <v>0.2</v>
      </c>
      <c r="H792" s="2">
        <v>0.42639999999999978</v>
      </c>
      <c r="I792" s="2">
        <v>2.6240000000000001</v>
      </c>
    </row>
    <row r="793" spans="2:9" x14ac:dyDescent="0.3">
      <c r="E793" t="s">
        <v>20</v>
      </c>
      <c r="F793">
        <v>5</v>
      </c>
      <c r="G793">
        <v>1.4</v>
      </c>
      <c r="H793" s="2">
        <v>-12.506999999999998</v>
      </c>
      <c r="I793" s="2">
        <v>17.055000000000003</v>
      </c>
    </row>
    <row r="794" spans="2:9" x14ac:dyDescent="0.3">
      <c r="E794" t="s">
        <v>16</v>
      </c>
      <c r="F794">
        <v>3</v>
      </c>
      <c r="G794">
        <v>0.2</v>
      </c>
      <c r="H794" s="2">
        <v>5.1011999999999995</v>
      </c>
      <c r="I794" s="2">
        <v>15.696000000000002</v>
      </c>
    </row>
    <row r="795" spans="2:9" x14ac:dyDescent="0.3">
      <c r="D795" t="s">
        <v>15</v>
      </c>
      <c r="E795" t="s">
        <v>20</v>
      </c>
      <c r="F795">
        <v>8</v>
      </c>
      <c r="G795">
        <v>0.7</v>
      </c>
      <c r="H795" s="2">
        <v>-12.287999999999997</v>
      </c>
      <c r="I795" s="2">
        <v>18.432000000000002</v>
      </c>
    </row>
    <row r="796" spans="2:9" x14ac:dyDescent="0.3">
      <c r="E796" t="s">
        <v>45</v>
      </c>
      <c r="F796">
        <v>2</v>
      </c>
      <c r="G796">
        <v>0.4</v>
      </c>
      <c r="H796" s="2">
        <v>69.99899999999991</v>
      </c>
      <c r="I796" s="2">
        <v>839.98799999999994</v>
      </c>
    </row>
    <row r="797" spans="2:9" x14ac:dyDescent="0.3">
      <c r="C797" t="s">
        <v>27</v>
      </c>
      <c r="D797" t="s">
        <v>8</v>
      </c>
      <c r="E797" t="s">
        <v>21</v>
      </c>
      <c r="F797">
        <v>1</v>
      </c>
      <c r="G797">
        <v>0.2</v>
      </c>
      <c r="H797" s="2">
        <v>29.768999999999998</v>
      </c>
      <c r="I797" s="2">
        <v>79.384000000000015</v>
      </c>
    </row>
    <row r="798" spans="2:9" x14ac:dyDescent="0.3">
      <c r="C798" t="s">
        <v>7</v>
      </c>
      <c r="D798" t="s">
        <v>8</v>
      </c>
      <c r="E798" t="s">
        <v>23</v>
      </c>
      <c r="F798">
        <v>5</v>
      </c>
      <c r="G798">
        <v>0.2</v>
      </c>
      <c r="H798" s="2">
        <v>35.988000000000007</v>
      </c>
      <c r="I798" s="2">
        <v>119.96000000000001</v>
      </c>
    </row>
    <row r="799" spans="2:9" x14ac:dyDescent="0.3">
      <c r="E799" t="s">
        <v>19</v>
      </c>
      <c r="F799">
        <v>6</v>
      </c>
      <c r="G799">
        <v>0.2</v>
      </c>
      <c r="H799" s="2">
        <v>0.92819999999999991</v>
      </c>
      <c r="I799" s="2">
        <v>10.608000000000001</v>
      </c>
    </row>
    <row r="800" spans="2:9" x14ac:dyDescent="0.3">
      <c r="C800" t="s">
        <v>22</v>
      </c>
      <c r="D800" t="s">
        <v>8</v>
      </c>
      <c r="E800" t="s">
        <v>19</v>
      </c>
      <c r="F800">
        <v>7</v>
      </c>
      <c r="G800">
        <v>0.2</v>
      </c>
      <c r="H800" s="2">
        <v>3.6854999999999958</v>
      </c>
      <c r="I800" s="2">
        <v>32.76</v>
      </c>
    </row>
    <row r="801" spans="2:9" x14ac:dyDescent="0.3">
      <c r="E801" t="s">
        <v>20</v>
      </c>
      <c r="F801">
        <v>3</v>
      </c>
      <c r="G801">
        <v>0.7</v>
      </c>
      <c r="H801" s="2">
        <v>-4.1831999999999976</v>
      </c>
      <c r="I801" s="2">
        <v>5.2290000000000001</v>
      </c>
    </row>
    <row r="802" spans="2:9" x14ac:dyDescent="0.3">
      <c r="E802" t="s">
        <v>43</v>
      </c>
      <c r="F802">
        <v>2</v>
      </c>
      <c r="G802">
        <v>0.2</v>
      </c>
      <c r="H802" s="2">
        <v>1.9925999999999999</v>
      </c>
      <c r="I802" s="2">
        <v>5.9039999999999999</v>
      </c>
    </row>
    <row r="803" spans="2:9" x14ac:dyDescent="0.3">
      <c r="E803" t="s">
        <v>14</v>
      </c>
      <c r="F803">
        <v>2</v>
      </c>
      <c r="G803">
        <v>0.2</v>
      </c>
      <c r="H803" s="2">
        <v>35.69399999999996</v>
      </c>
      <c r="I803" s="2">
        <v>285.55200000000002</v>
      </c>
    </row>
    <row r="804" spans="2:9" x14ac:dyDescent="0.3">
      <c r="D804" t="s">
        <v>15</v>
      </c>
      <c r="E804" t="s">
        <v>38</v>
      </c>
      <c r="F804">
        <v>3</v>
      </c>
      <c r="G804">
        <v>0.2</v>
      </c>
      <c r="H804" s="2">
        <v>21.591000000000001</v>
      </c>
      <c r="I804" s="2">
        <v>57.576000000000001</v>
      </c>
    </row>
    <row r="805" spans="2:9" x14ac:dyDescent="0.3">
      <c r="E805" t="s">
        <v>16</v>
      </c>
      <c r="F805">
        <v>6</v>
      </c>
      <c r="G805">
        <v>0.2</v>
      </c>
      <c r="H805" s="2">
        <v>11.223000000000001</v>
      </c>
      <c r="I805" s="2">
        <v>30.96</v>
      </c>
    </row>
    <row r="806" spans="2:9" x14ac:dyDescent="0.3">
      <c r="E806" t="s">
        <v>14</v>
      </c>
      <c r="F806">
        <v>1</v>
      </c>
      <c r="G806">
        <v>0.2</v>
      </c>
      <c r="H806" s="2">
        <v>-7.4416000000000011</v>
      </c>
      <c r="I806" s="2">
        <v>37.207999999999998</v>
      </c>
    </row>
    <row r="807" spans="2:9" x14ac:dyDescent="0.3">
      <c r="B807" t="s">
        <v>114</v>
      </c>
      <c r="C807" t="s">
        <v>22</v>
      </c>
      <c r="D807" t="s">
        <v>8</v>
      </c>
      <c r="E807" t="s">
        <v>21</v>
      </c>
      <c r="F807">
        <v>3</v>
      </c>
      <c r="G807">
        <v>0</v>
      </c>
      <c r="H807" s="2">
        <v>54.343800000000009</v>
      </c>
      <c r="I807" s="2">
        <v>129.39000000000001</v>
      </c>
    </row>
    <row r="808" spans="2:9" x14ac:dyDescent="0.3">
      <c r="B808" t="s">
        <v>115</v>
      </c>
      <c r="C808" t="s">
        <v>7</v>
      </c>
      <c r="D808" t="s">
        <v>8</v>
      </c>
      <c r="E808" t="s">
        <v>19</v>
      </c>
      <c r="F808">
        <v>4</v>
      </c>
      <c r="G808">
        <v>0.2</v>
      </c>
      <c r="H808" s="2">
        <v>12.011999999999999</v>
      </c>
      <c r="I808" s="2">
        <v>36.96</v>
      </c>
    </row>
    <row r="809" spans="2:9" x14ac:dyDescent="0.3">
      <c r="E809" t="s">
        <v>20</v>
      </c>
      <c r="F809">
        <v>7</v>
      </c>
      <c r="G809">
        <v>0.7</v>
      </c>
      <c r="H809" s="2">
        <v>-1065.3719999999998</v>
      </c>
      <c r="I809" s="2">
        <v>1598.0580000000002</v>
      </c>
    </row>
    <row r="810" spans="2:9" x14ac:dyDescent="0.3">
      <c r="C810" t="s">
        <v>22</v>
      </c>
      <c r="D810" t="s">
        <v>8</v>
      </c>
      <c r="E810" t="s">
        <v>12</v>
      </c>
      <c r="F810">
        <v>6</v>
      </c>
      <c r="G810">
        <v>0.2</v>
      </c>
      <c r="H810" s="2">
        <v>11.247599999999995</v>
      </c>
      <c r="I810" s="2">
        <v>69.216000000000008</v>
      </c>
    </row>
    <row r="811" spans="2:9" x14ac:dyDescent="0.3">
      <c r="D811" t="s">
        <v>17</v>
      </c>
      <c r="E811" t="s">
        <v>23</v>
      </c>
      <c r="F811">
        <v>2</v>
      </c>
      <c r="G811">
        <v>0.2</v>
      </c>
      <c r="H811" s="2">
        <v>11.919599999999999</v>
      </c>
      <c r="I811" s="2">
        <v>45.408000000000001</v>
      </c>
    </row>
    <row r="812" spans="2:9" x14ac:dyDescent="0.3">
      <c r="E812" t="s">
        <v>34</v>
      </c>
      <c r="F812">
        <v>4</v>
      </c>
      <c r="G812">
        <v>0.2</v>
      </c>
      <c r="H812" s="2">
        <v>-14.51760000000003</v>
      </c>
      <c r="I812" s="2">
        <v>387.13600000000002</v>
      </c>
    </row>
    <row r="813" spans="2:9" x14ac:dyDescent="0.3">
      <c r="E813" t="s">
        <v>21</v>
      </c>
      <c r="F813">
        <v>3</v>
      </c>
      <c r="G813">
        <v>0.2</v>
      </c>
      <c r="H813" s="2">
        <v>-11.692800000000005</v>
      </c>
      <c r="I813" s="2">
        <v>77.951999999999998</v>
      </c>
    </row>
    <row r="814" spans="2:9" x14ac:dyDescent="0.3">
      <c r="E814" t="s">
        <v>43</v>
      </c>
      <c r="F814">
        <v>1</v>
      </c>
      <c r="G814">
        <v>0.2</v>
      </c>
      <c r="H814" s="2">
        <v>1.0499999999999998</v>
      </c>
      <c r="I814" s="2">
        <v>3</v>
      </c>
    </row>
    <row r="815" spans="2:9" x14ac:dyDescent="0.3">
      <c r="B815" t="s">
        <v>116</v>
      </c>
      <c r="C815" t="s">
        <v>11</v>
      </c>
      <c r="D815" t="s">
        <v>8</v>
      </c>
      <c r="E815" t="s">
        <v>21</v>
      </c>
      <c r="F815">
        <v>5</v>
      </c>
      <c r="G815">
        <v>0.2</v>
      </c>
      <c r="H815" s="2">
        <v>8.7285000000000004</v>
      </c>
      <c r="I815" s="2">
        <v>30.36</v>
      </c>
    </row>
    <row r="816" spans="2:9" x14ac:dyDescent="0.3">
      <c r="E816" t="s">
        <v>14</v>
      </c>
      <c r="F816">
        <v>2</v>
      </c>
      <c r="G816">
        <v>0.2</v>
      </c>
      <c r="H816" s="2">
        <v>1.9271999999999991</v>
      </c>
      <c r="I816" s="2">
        <v>25.695999999999998</v>
      </c>
    </row>
    <row r="817" spans="3:9" x14ac:dyDescent="0.3">
      <c r="D817" t="s">
        <v>17</v>
      </c>
      <c r="E817" t="s">
        <v>23</v>
      </c>
      <c r="F817">
        <v>5</v>
      </c>
      <c r="G817">
        <v>0.2</v>
      </c>
      <c r="H817" s="2">
        <v>-22.743500000000004</v>
      </c>
      <c r="I817" s="2">
        <v>139.96000000000004</v>
      </c>
    </row>
    <row r="818" spans="3:9" x14ac:dyDescent="0.3">
      <c r="E818" t="s">
        <v>20</v>
      </c>
      <c r="F818">
        <v>5</v>
      </c>
      <c r="G818">
        <v>0.7</v>
      </c>
      <c r="H818" s="2">
        <v>-6.379999999999999</v>
      </c>
      <c r="I818" s="2">
        <v>8.7000000000000011</v>
      </c>
    </row>
    <row r="819" spans="3:9" x14ac:dyDescent="0.3">
      <c r="E819" t="s">
        <v>38</v>
      </c>
      <c r="F819">
        <v>3</v>
      </c>
      <c r="G819">
        <v>0.2</v>
      </c>
      <c r="H819" s="2">
        <v>15.281999999999998</v>
      </c>
      <c r="I819" s="2">
        <v>40.752000000000002</v>
      </c>
    </row>
    <row r="820" spans="3:9" x14ac:dyDescent="0.3">
      <c r="E820" t="s">
        <v>16</v>
      </c>
      <c r="F820">
        <v>3</v>
      </c>
      <c r="G820">
        <v>0.2</v>
      </c>
      <c r="H820" s="2">
        <v>28.706399999999991</v>
      </c>
      <c r="I820" s="2">
        <v>85.055999999999997</v>
      </c>
    </row>
    <row r="821" spans="3:9" x14ac:dyDescent="0.3">
      <c r="E821" t="s">
        <v>24</v>
      </c>
      <c r="F821">
        <v>3</v>
      </c>
      <c r="G821">
        <v>0.4</v>
      </c>
      <c r="H821" s="2">
        <v>-24.476399999999998</v>
      </c>
      <c r="I821" s="2">
        <v>122.38199999999999</v>
      </c>
    </row>
    <row r="822" spans="3:9" x14ac:dyDescent="0.3">
      <c r="E822" t="s">
        <v>14</v>
      </c>
      <c r="F822">
        <v>4</v>
      </c>
      <c r="G822">
        <v>0.2</v>
      </c>
      <c r="H822" s="2">
        <v>-21.213600000000099</v>
      </c>
      <c r="I822" s="2">
        <v>848.5440000000001</v>
      </c>
    </row>
    <row r="823" spans="3:9" x14ac:dyDescent="0.3">
      <c r="C823" t="s">
        <v>27</v>
      </c>
      <c r="D823" t="s">
        <v>8</v>
      </c>
      <c r="E823" t="s">
        <v>23</v>
      </c>
      <c r="F823">
        <v>2</v>
      </c>
      <c r="G823">
        <v>0.2</v>
      </c>
      <c r="H823" s="2">
        <v>7.263999999999994</v>
      </c>
      <c r="I823" s="2">
        <v>58.112000000000002</v>
      </c>
    </row>
    <row r="824" spans="3:9" x14ac:dyDescent="0.3">
      <c r="E824" t="s">
        <v>16</v>
      </c>
      <c r="F824">
        <v>4</v>
      </c>
      <c r="G824">
        <v>0.4</v>
      </c>
      <c r="H824" s="2">
        <v>7.3696000000000002</v>
      </c>
      <c r="I824" s="2">
        <v>21.056000000000004</v>
      </c>
    </row>
    <row r="825" spans="3:9" x14ac:dyDescent="0.3">
      <c r="E825" t="s">
        <v>14</v>
      </c>
      <c r="F825">
        <v>5</v>
      </c>
      <c r="G825">
        <v>0.4</v>
      </c>
      <c r="H825" s="2">
        <v>89.599900000000062</v>
      </c>
      <c r="I825" s="2">
        <v>1031.1759999999999</v>
      </c>
    </row>
    <row r="826" spans="3:9" x14ac:dyDescent="0.3">
      <c r="D826" t="s">
        <v>17</v>
      </c>
      <c r="E826" t="s">
        <v>16</v>
      </c>
      <c r="F826">
        <v>4</v>
      </c>
      <c r="G826">
        <v>0.2</v>
      </c>
      <c r="H826" s="2">
        <v>7.2576000000000001</v>
      </c>
      <c r="I826" s="2">
        <v>20.736000000000004</v>
      </c>
    </row>
    <row r="827" spans="3:9" x14ac:dyDescent="0.3">
      <c r="C827" t="s">
        <v>7</v>
      </c>
      <c r="D827" t="s">
        <v>8</v>
      </c>
      <c r="E827" t="s">
        <v>19</v>
      </c>
      <c r="F827">
        <v>2</v>
      </c>
      <c r="G827">
        <v>0.2</v>
      </c>
      <c r="H827" s="2">
        <v>1.6324000000000014</v>
      </c>
      <c r="I827" s="2">
        <v>18.656000000000002</v>
      </c>
    </row>
    <row r="828" spans="3:9" x14ac:dyDescent="0.3">
      <c r="E828" t="s">
        <v>20</v>
      </c>
      <c r="F828">
        <v>6</v>
      </c>
      <c r="G828">
        <v>0.7</v>
      </c>
      <c r="H828" s="2">
        <v>-34.38000000000001</v>
      </c>
      <c r="I828" s="2">
        <v>41.256000000000007</v>
      </c>
    </row>
    <row r="829" spans="3:9" x14ac:dyDescent="0.3">
      <c r="E829" t="s">
        <v>34</v>
      </c>
      <c r="F829">
        <v>3</v>
      </c>
      <c r="G829">
        <v>0.5</v>
      </c>
      <c r="H829" s="2">
        <v>-241.17600000000002</v>
      </c>
      <c r="I829" s="2">
        <v>301.46999999999997</v>
      </c>
    </row>
    <row r="830" spans="3:9" x14ac:dyDescent="0.3">
      <c r="E830" t="s">
        <v>33</v>
      </c>
      <c r="F830">
        <v>2</v>
      </c>
      <c r="G830">
        <v>0.3</v>
      </c>
      <c r="H830" s="2">
        <v>-54.595799999999997</v>
      </c>
      <c r="I830" s="2">
        <v>181.98599999999999</v>
      </c>
    </row>
    <row r="831" spans="3:9" x14ac:dyDescent="0.3">
      <c r="E831" t="s">
        <v>21</v>
      </c>
      <c r="F831">
        <v>8</v>
      </c>
      <c r="G831">
        <v>0.4</v>
      </c>
      <c r="H831" s="2">
        <v>-15.771200000000022</v>
      </c>
      <c r="I831" s="2">
        <v>200.27200000000005</v>
      </c>
    </row>
    <row r="832" spans="3:9" x14ac:dyDescent="0.3">
      <c r="E832" t="s">
        <v>24</v>
      </c>
      <c r="F832">
        <v>5</v>
      </c>
      <c r="G832">
        <v>0.8</v>
      </c>
      <c r="H832" s="2">
        <v>-137.04739999999998</v>
      </c>
      <c r="I832" s="2">
        <v>587.346</v>
      </c>
    </row>
    <row r="833" spans="3:9" x14ac:dyDescent="0.3">
      <c r="E833" t="s">
        <v>14</v>
      </c>
      <c r="F833">
        <v>2</v>
      </c>
      <c r="G833">
        <v>0.2</v>
      </c>
      <c r="H833" s="2">
        <v>-25.108999999999988</v>
      </c>
      <c r="I833" s="2">
        <v>118.16</v>
      </c>
    </row>
    <row r="834" spans="3:9" x14ac:dyDescent="0.3">
      <c r="C834" t="s">
        <v>22</v>
      </c>
      <c r="D834" t="s">
        <v>8</v>
      </c>
      <c r="E834" t="s">
        <v>23</v>
      </c>
      <c r="F834">
        <v>2</v>
      </c>
      <c r="G834">
        <v>0.2</v>
      </c>
      <c r="H834" s="2">
        <v>4.4603999999999999</v>
      </c>
      <c r="I834" s="2">
        <v>25.488</v>
      </c>
    </row>
    <row r="835" spans="3:9" x14ac:dyDescent="0.3">
      <c r="E835" t="s">
        <v>12</v>
      </c>
      <c r="F835">
        <v>1</v>
      </c>
      <c r="G835">
        <v>0.2</v>
      </c>
      <c r="H835" s="2">
        <v>17.890999999999977</v>
      </c>
      <c r="I835" s="2">
        <v>286.25600000000003</v>
      </c>
    </row>
    <row r="836" spans="3:9" x14ac:dyDescent="0.3">
      <c r="E836" t="s">
        <v>19</v>
      </c>
      <c r="F836">
        <v>5</v>
      </c>
      <c r="G836">
        <v>0.2</v>
      </c>
      <c r="H836" s="2">
        <v>3.8879999999999972</v>
      </c>
      <c r="I836" s="2">
        <v>25.920000000000005</v>
      </c>
    </row>
    <row r="837" spans="3:9" x14ac:dyDescent="0.3">
      <c r="E837" t="s">
        <v>20</v>
      </c>
      <c r="F837">
        <v>12</v>
      </c>
      <c r="G837">
        <v>1.4</v>
      </c>
      <c r="H837" s="2">
        <v>-92.469300000000018</v>
      </c>
      <c r="I837" s="2">
        <v>118.08300000000003</v>
      </c>
    </row>
    <row r="838" spans="3:9" x14ac:dyDescent="0.3">
      <c r="E838" t="s">
        <v>21</v>
      </c>
      <c r="F838">
        <v>2</v>
      </c>
      <c r="G838">
        <v>0.2</v>
      </c>
      <c r="H838" s="2">
        <v>-9.0903999999999989</v>
      </c>
      <c r="I838" s="2">
        <v>66.112000000000009</v>
      </c>
    </row>
    <row r="839" spans="3:9" x14ac:dyDescent="0.3">
      <c r="E839" t="s">
        <v>43</v>
      </c>
      <c r="F839">
        <v>2</v>
      </c>
      <c r="G839">
        <v>0.2</v>
      </c>
      <c r="H839" s="2">
        <v>1.764</v>
      </c>
      <c r="I839" s="2">
        <v>5.04</v>
      </c>
    </row>
    <row r="840" spans="3:9" x14ac:dyDescent="0.3">
      <c r="E840" t="s">
        <v>16</v>
      </c>
      <c r="F840">
        <v>1</v>
      </c>
      <c r="G840">
        <v>0.2</v>
      </c>
      <c r="H840" s="2">
        <v>7.7449999999999983</v>
      </c>
      <c r="I840" s="2">
        <v>24.784000000000002</v>
      </c>
    </row>
    <row r="841" spans="3:9" x14ac:dyDescent="0.3">
      <c r="E841" t="s">
        <v>24</v>
      </c>
      <c r="F841">
        <v>2</v>
      </c>
      <c r="G841">
        <v>0.4</v>
      </c>
      <c r="H841" s="2">
        <v>-168.95579999999995</v>
      </c>
      <c r="I841" s="2">
        <v>779.79600000000005</v>
      </c>
    </row>
    <row r="842" spans="3:9" x14ac:dyDescent="0.3">
      <c r="E842" t="s">
        <v>14</v>
      </c>
      <c r="F842">
        <v>5</v>
      </c>
      <c r="G842">
        <v>0.4</v>
      </c>
      <c r="H842" s="2">
        <v>-87.728800000000007</v>
      </c>
      <c r="I842" s="2">
        <v>355.76</v>
      </c>
    </row>
    <row r="843" spans="3:9" x14ac:dyDescent="0.3">
      <c r="D843" t="s">
        <v>15</v>
      </c>
      <c r="E843" t="s">
        <v>34</v>
      </c>
      <c r="F843">
        <v>4</v>
      </c>
      <c r="G843">
        <v>0.5</v>
      </c>
      <c r="H843" s="2">
        <v>-64.937599999999989</v>
      </c>
      <c r="I843" s="2">
        <v>115.96</v>
      </c>
    </row>
    <row r="844" spans="3:9" x14ac:dyDescent="0.3">
      <c r="E844" t="s">
        <v>21</v>
      </c>
      <c r="F844">
        <v>3</v>
      </c>
      <c r="G844">
        <v>0.2</v>
      </c>
      <c r="H844" s="2">
        <v>4.1448</v>
      </c>
      <c r="I844" s="2">
        <v>15.072000000000003</v>
      </c>
    </row>
    <row r="845" spans="3:9" x14ac:dyDescent="0.3">
      <c r="E845" t="s">
        <v>16</v>
      </c>
      <c r="F845">
        <v>3</v>
      </c>
      <c r="G845">
        <v>0.2</v>
      </c>
      <c r="H845" s="2">
        <v>5.0286000000000008</v>
      </c>
      <c r="I845" s="2">
        <v>13.872000000000002</v>
      </c>
    </row>
    <row r="846" spans="3:9" x14ac:dyDescent="0.3">
      <c r="D846" t="s">
        <v>17</v>
      </c>
      <c r="E846" t="s">
        <v>23</v>
      </c>
      <c r="F846">
        <v>3</v>
      </c>
      <c r="G846">
        <v>0.2</v>
      </c>
      <c r="H846" s="2">
        <v>15.863099999999999</v>
      </c>
      <c r="I846" s="2">
        <v>55.176000000000002</v>
      </c>
    </row>
    <row r="847" spans="3:9" x14ac:dyDescent="0.3">
      <c r="E847" t="s">
        <v>20</v>
      </c>
      <c r="F847">
        <v>3</v>
      </c>
      <c r="G847">
        <v>0.7</v>
      </c>
      <c r="H847" s="2">
        <v>-22.619999999999997</v>
      </c>
      <c r="I847" s="2">
        <v>33.930000000000007</v>
      </c>
    </row>
    <row r="848" spans="3:9" x14ac:dyDescent="0.3">
      <c r="E848" t="s">
        <v>24</v>
      </c>
      <c r="F848">
        <v>10</v>
      </c>
      <c r="G848">
        <v>0.8</v>
      </c>
      <c r="H848" s="2">
        <v>-72.876599999999996</v>
      </c>
      <c r="I848" s="2">
        <v>320.94000000000005</v>
      </c>
    </row>
    <row r="849" spans="2:9" x14ac:dyDescent="0.3">
      <c r="E849" t="s">
        <v>14</v>
      </c>
      <c r="F849">
        <v>7</v>
      </c>
      <c r="G849">
        <v>0.2</v>
      </c>
      <c r="H849" s="2">
        <v>25.010999999999967</v>
      </c>
      <c r="I849" s="2">
        <v>222.32000000000005</v>
      </c>
    </row>
    <row r="850" spans="2:9" x14ac:dyDescent="0.3">
      <c r="B850" t="s">
        <v>117</v>
      </c>
      <c r="C850" t="s">
        <v>11</v>
      </c>
      <c r="D850" t="s">
        <v>8</v>
      </c>
      <c r="E850" t="s">
        <v>12</v>
      </c>
      <c r="F850">
        <v>4</v>
      </c>
      <c r="G850">
        <v>0</v>
      </c>
      <c r="H850" s="2">
        <v>22.118400000000001</v>
      </c>
      <c r="I850" s="2">
        <v>81.92</v>
      </c>
    </row>
    <row r="851" spans="2:9" x14ac:dyDescent="0.3">
      <c r="E851" t="s">
        <v>21</v>
      </c>
      <c r="F851">
        <v>5</v>
      </c>
      <c r="G851">
        <v>0</v>
      </c>
      <c r="H851" s="2">
        <v>76.469999999999985</v>
      </c>
      <c r="I851" s="2">
        <v>254.89999999999998</v>
      </c>
    </row>
    <row r="852" spans="2:9" x14ac:dyDescent="0.3">
      <c r="B852" t="s">
        <v>118</v>
      </c>
      <c r="C852" t="s">
        <v>11</v>
      </c>
      <c r="D852" t="s">
        <v>8</v>
      </c>
      <c r="E852" t="s">
        <v>19</v>
      </c>
      <c r="F852">
        <v>3</v>
      </c>
      <c r="G852">
        <v>0</v>
      </c>
      <c r="H852" s="2">
        <v>2.0747999999999998</v>
      </c>
      <c r="I852" s="2">
        <v>7.98</v>
      </c>
    </row>
    <row r="853" spans="2:9" x14ac:dyDescent="0.3">
      <c r="E853" t="s">
        <v>21</v>
      </c>
      <c r="F853">
        <v>6</v>
      </c>
      <c r="G853">
        <v>0</v>
      </c>
      <c r="H853" s="2">
        <v>4.6464000000000008</v>
      </c>
      <c r="I853" s="2">
        <v>10.56</v>
      </c>
    </row>
    <row r="854" spans="2:9" x14ac:dyDescent="0.3">
      <c r="E854" t="s">
        <v>16</v>
      </c>
      <c r="F854">
        <v>5</v>
      </c>
      <c r="G854">
        <v>0</v>
      </c>
      <c r="H854" s="2">
        <v>13.475300000000001</v>
      </c>
      <c r="I854" s="2">
        <v>27.89</v>
      </c>
    </row>
    <row r="855" spans="2:9" x14ac:dyDescent="0.3">
      <c r="E855" t="s">
        <v>25</v>
      </c>
      <c r="F855">
        <v>3</v>
      </c>
      <c r="G855">
        <v>0.3</v>
      </c>
      <c r="H855" s="2">
        <v>-47.179800000000029</v>
      </c>
      <c r="I855" s="2">
        <v>550.43100000000004</v>
      </c>
    </row>
    <row r="856" spans="2:9" x14ac:dyDescent="0.3">
      <c r="C856" t="s">
        <v>27</v>
      </c>
      <c r="D856" t="s">
        <v>15</v>
      </c>
      <c r="E856" t="s">
        <v>14</v>
      </c>
      <c r="F856">
        <v>6</v>
      </c>
      <c r="G856">
        <v>0</v>
      </c>
      <c r="H856" s="2">
        <v>25.149600000000007</v>
      </c>
      <c r="I856" s="2">
        <v>89.820000000000007</v>
      </c>
    </row>
    <row r="857" spans="2:9" x14ac:dyDescent="0.3">
      <c r="C857" t="s">
        <v>7</v>
      </c>
      <c r="D857" t="s">
        <v>15</v>
      </c>
      <c r="E857" t="s">
        <v>33</v>
      </c>
      <c r="F857">
        <v>3</v>
      </c>
      <c r="G857">
        <v>0</v>
      </c>
      <c r="H857" s="2">
        <v>43.675200000000018</v>
      </c>
      <c r="I857" s="2">
        <v>272.96999999999997</v>
      </c>
    </row>
    <row r="858" spans="2:9" x14ac:dyDescent="0.3">
      <c r="C858" t="s">
        <v>22</v>
      </c>
      <c r="D858" t="s">
        <v>8</v>
      </c>
      <c r="E858" t="s">
        <v>19</v>
      </c>
      <c r="F858">
        <v>4</v>
      </c>
      <c r="G858">
        <v>0</v>
      </c>
      <c r="H858" s="2">
        <v>32.537600000000005</v>
      </c>
      <c r="I858" s="2">
        <v>79.36</v>
      </c>
    </row>
    <row r="859" spans="2:9" x14ac:dyDescent="0.3">
      <c r="E859" t="s">
        <v>20</v>
      </c>
      <c r="F859">
        <v>18</v>
      </c>
      <c r="G859">
        <v>0</v>
      </c>
      <c r="H859" s="2">
        <v>133.99379999999999</v>
      </c>
      <c r="I859" s="2">
        <v>281.13</v>
      </c>
    </row>
    <row r="860" spans="2:9" x14ac:dyDescent="0.3">
      <c r="E860" t="s">
        <v>18</v>
      </c>
      <c r="F860">
        <v>4</v>
      </c>
      <c r="G860">
        <v>0</v>
      </c>
      <c r="H860" s="2">
        <v>5.0559999999999992</v>
      </c>
      <c r="I860" s="2">
        <v>15.8</v>
      </c>
    </row>
    <row r="861" spans="2:9" x14ac:dyDescent="0.3">
      <c r="E861" t="s">
        <v>21</v>
      </c>
      <c r="F861">
        <v>2</v>
      </c>
      <c r="G861">
        <v>0</v>
      </c>
      <c r="H861" s="2">
        <v>20.015600000000006</v>
      </c>
      <c r="I861" s="2">
        <v>181.96</v>
      </c>
    </row>
    <row r="862" spans="2:9" x14ac:dyDescent="0.3">
      <c r="E862" t="s">
        <v>43</v>
      </c>
      <c r="F862">
        <v>3</v>
      </c>
      <c r="G862">
        <v>0</v>
      </c>
      <c r="H862" s="2">
        <v>5.6993999999999998</v>
      </c>
      <c r="I862" s="2">
        <v>12.39</v>
      </c>
    </row>
    <row r="863" spans="2:9" x14ac:dyDescent="0.3">
      <c r="E863" t="s">
        <v>46</v>
      </c>
      <c r="F863">
        <v>3</v>
      </c>
      <c r="G863">
        <v>0</v>
      </c>
      <c r="H863" s="2">
        <v>209.23649999999998</v>
      </c>
      <c r="I863" s="2">
        <v>464.97</v>
      </c>
    </row>
    <row r="864" spans="2:9" x14ac:dyDescent="0.3">
      <c r="E864" t="s">
        <v>14</v>
      </c>
      <c r="F864">
        <v>7</v>
      </c>
      <c r="G864">
        <v>0</v>
      </c>
      <c r="H864" s="2">
        <v>28.480899999999984</v>
      </c>
      <c r="I864" s="2">
        <v>98.21</v>
      </c>
    </row>
    <row r="865" spans="2:9" x14ac:dyDescent="0.3">
      <c r="D865" t="s">
        <v>15</v>
      </c>
      <c r="E865" t="s">
        <v>20</v>
      </c>
      <c r="F865">
        <v>4</v>
      </c>
      <c r="G865">
        <v>0</v>
      </c>
      <c r="H865" s="2">
        <v>31.889199999999995</v>
      </c>
      <c r="I865" s="2">
        <v>65.08</v>
      </c>
    </row>
    <row r="866" spans="2:9" x14ac:dyDescent="0.3">
      <c r="E866" t="s">
        <v>33</v>
      </c>
      <c r="F866">
        <v>8</v>
      </c>
      <c r="G866">
        <v>0</v>
      </c>
      <c r="H866" s="2">
        <v>64.756799999999998</v>
      </c>
      <c r="I866" s="2">
        <v>239.84</v>
      </c>
    </row>
    <row r="867" spans="2:9" x14ac:dyDescent="0.3">
      <c r="E867" t="s">
        <v>21</v>
      </c>
      <c r="F867">
        <v>3</v>
      </c>
      <c r="G867">
        <v>0</v>
      </c>
      <c r="H867" s="2">
        <v>23.680799999999998</v>
      </c>
      <c r="I867" s="2">
        <v>60.72</v>
      </c>
    </row>
    <row r="868" spans="2:9" x14ac:dyDescent="0.3">
      <c r="E868" t="s">
        <v>43</v>
      </c>
      <c r="F868">
        <v>6</v>
      </c>
      <c r="G868">
        <v>0</v>
      </c>
      <c r="H868" s="2">
        <v>7.2035999999999998</v>
      </c>
      <c r="I868" s="2">
        <v>15.66</v>
      </c>
    </row>
    <row r="869" spans="2:9" x14ac:dyDescent="0.3">
      <c r="E869" t="s">
        <v>16</v>
      </c>
      <c r="F869">
        <v>3</v>
      </c>
      <c r="G869">
        <v>0</v>
      </c>
      <c r="H869" s="2">
        <v>73.41</v>
      </c>
      <c r="I869" s="2">
        <v>146.82</v>
      </c>
    </row>
    <row r="870" spans="2:9" x14ac:dyDescent="0.3">
      <c r="E870" t="s">
        <v>24</v>
      </c>
      <c r="F870">
        <v>8</v>
      </c>
      <c r="G870">
        <v>0</v>
      </c>
      <c r="H870" s="2">
        <v>457.57920000000007</v>
      </c>
      <c r="I870" s="2">
        <v>1759.92</v>
      </c>
    </row>
    <row r="871" spans="2:9" x14ac:dyDescent="0.3">
      <c r="E871" t="s">
        <v>14</v>
      </c>
      <c r="F871">
        <v>9</v>
      </c>
      <c r="G871">
        <v>0</v>
      </c>
      <c r="H871" s="2">
        <v>7.9724000000000004</v>
      </c>
      <c r="I871" s="2">
        <v>678.82</v>
      </c>
    </row>
    <row r="872" spans="2:9" x14ac:dyDescent="0.3">
      <c r="D872" t="s">
        <v>17</v>
      </c>
      <c r="E872" t="s">
        <v>23</v>
      </c>
      <c r="F872">
        <v>3</v>
      </c>
      <c r="G872">
        <v>0</v>
      </c>
      <c r="H872" s="2">
        <v>4.9079999999999977</v>
      </c>
      <c r="I872" s="2">
        <v>49.08</v>
      </c>
    </row>
    <row r="873" spans="2:9" x14ac:dyDescent="0.3">
      <c r="E873" t="s">
        <v>12</v>
      </c>
      <c r="F873">
        <v>2</v>
      </c>
      <c r="G873">
        <v>0</v>
      </c>
      <c r="H873" s="2">
        <v>103.22839999999997</v>
      </c>
      <c r="I873" s="2">
        <v>355.96</v>
      </c>
    </row>
    <row r="874" spans="2:9" x14ac:dyDescent="0.3">
      <c r="E874" t="s">
        <v>21</v>
      </c>
      <c r="F874">
        <v>1</v>
      </c>
      <c r="G874">
        <v>0</v>
      </c>
      <c r="H874" s="2">
        <v>8.5914000000000019</v>
      </c>
      <c r="I874" s="2">
        <v>19.98</v>
      </c>
    </row>
    <row r="875" spans="2:9" x14ac:dyDescent="0.3">
      <c r="E875" t="s">
        <v>16</v>
      </c>
      <c r="F875">
        <v>5</v>
      </c>
      <c r="G875">
        <v>0</v>
      </c>
      <c r="H875" s="2">
        <v>14.161000000000001</v>
      </c>
      <c r="I875" s="2">
        <v>28.900000000000002</v>
      </c>
    </row>
    <row r="876" spans="2:9" x14ac:dyDescent="0.3">
      <c r="B876" t="s">
        <v>119</v>
      </c>
      <c r="C876" t="s">
        <v>22</v>
      </c>
      <c r="D876" t="s">
        <v>8</v>
      </c>
      <c r="E876" t="s">
        <v>23</v>
      </c>
      <c r="F876">
        <v>3</v>
      </c>
      <c r="G876">
        <v>0</v>
      </c>
      <c r="H876" s="2">
        <v>8.1071999999999917</v>
      </c>
      <c r="I876" s="2">
        <v>101.34</v>
      </c>
    </row>
    <row r="877" spans="2:9" x14ac:dyDescent="0.3">
      <c r="E877" t="s">
        <v>20</v>
      </c>
      <c r="F877">
        <v>7</v>
      </c>
      <c r="G877">
        <v>0.2</v>
      </c>
      <c r="H877" s="2">
        <v>3.5279999999999996</v>
      </c>
      <c r="I877" s="2">
        <v>10.080000000000002</v>
      </c>
    </row>
    <row r="878" spans="2:9" x14ac:dyDescent="0.3">
      <c r="B878" t="s">
        <v>120</v>
      </c>
      <c r="C878" t="s">
        <v>22</v>
      </c>
      <c r="D878" t="s">
        <v>15</v>
      </c>
      <c r="E878" t="s">
        <v>23</v>
      </c>
      <c r="F878">
        <v>1</v>
      </c>
      <c r="G878">
        <v>0</v>
      </c>
      <c r="H878" s="2">
        <v>43.995600000000003</v>
      </c>
      <c r="I878" s="2">
        <v>99.99</v>
      </c>
    </row>
    <row r="879" spans="2:9" x14ac:dyDescent="0.3">
      <c r="E879" t="s">
        <v>14</v>
      </c>
      <c r="F879">
        <v>2</v>
      </c>
      <c r="G879">
        <v>0</v>
      </c>
      <c r="H879" s="2">
        <v>3.1779999999999973</v>
      </c>
      <c r="I879" s="2">
        <v>63.56</v>
      </c>
    </row>
    <row r="880" spans="2:9" x14ac:dyDescent="0.3">
      <c r="B880" t="s">
        <v>121</v>
      </c>
      <c r="C880" t="s">
        <v>7</v>
      </c>
      <c r="D880" t="s">
        <v>8</v>
      </c>
      <c r="E880" t="s">
        <v>12</v>
      </c>
      <c r="F880">
        <v>8</v>
      </c>
      <c r="G880">
        <v>0.8</v>
      </c>
      <c r="H880" s="2">
        <v>-74.74560000000001</v>
      </c>
      <c r="I880" s="2">
        <v>29.311999999999994</v>
      </c>
    </row>
    <row r="881" spans="2:9" x14ac:dyDescent="0.3">
      <c r="E881" t="s">
        <v>16</v>
      </c>
      <c r="F881">
        <v>8</v>
      </c>
      <c r="G881">
        <v>0.2</v>
      </c>
      <c r="H881" s="2">
        <v>10.393600000000001</v>
      </c>
      <c r="I881" s="2">
        <v>28.672000000000004</v>
      </c>
    </row>
    <row r="882" spans="2:9" x14ac:dyDescent="0.3">
      <c r="C882" t="s">
        <v>22</v>
      </c>
      <c r="D882" t="s">
        <v>8</v>
      </c>
      <c r="E882" t="s">
        <v>33</v>
      </c>
      <c r="F882">
        <v>3</v>
      </c>
      <c r="G882">
        <v>0.3</v>
      </c>
      <c r="H882" s="2">
        <v>-53.270399999999995</v>
      </c>
      <c r="I882" s="2">
        <v>233.05799999999999</v>
      </c>
    </row>
    <row r="883" spans="2:9" x14ac:dyDescent="0.3">
      <c r="B883" t="s">
        <v>122</v>
      </c>
      <c r="C883" t="s">
        <v>11</v>
      </c>
      <c r="D883" t="s">
        <v>8</v>
      </c>
      <c r="E883" t="s">
        <v>19</v>
      </c>
      <c r="F883">
        <v>2</v>
      </c>
      <c r="G883">
        <v>0.2</v>
      </c>
      <c r="H883" s="2">
        <v>2.5488000000000004</v>
      </c>
      <c r="I883" s="2">
        <v>11.328000000000001</v>
      </c>
    </row>
    <row r="884" spans="2:9" x14ac:dyDescent="0.3">
      <c r="D884" t="s">
        <v>15</v>
      </c>
      <c r="E884" t="s">
        <v>20</v>
      </c>
      <c r="F884">
        <v>5</v>
      </c>
      <c r="G884">
        <v>0.7</v>
      </c>
      <c r="H884" s="2">
        <v>-62.88000000000001</v>
      </c>
      <c r="I884" s="2">
        <v>78.600000000000009</v>
      </c>
    </row>
    <row r="885" spans="2:9" x14ac:dyDescent="0.3">
      <c r="E885" t="s">
        <v>33</v>
      </c>
      <c r="F885">
        <v>3</v>
      </c>
      <c r="G885">
        <v>0.2</v>
      </c>
      <c r="H885" s="2">
        <v>20.155800000000013</v>
      </c>
      <c r="I885" s="2">
        <v>230.35200000000003</v>
      </c>
    </row>
    <row r="886" spans="2:9" x14ac:dyDescent="0.3">
      <c r="E886" t="s">
        <v>18</v>
      </c>
      <c r="F886">
        <v>3</v>
      </c>
      <c r="G886">
        <v>0.2</v>
      </c>
      <c r="H886" s="2">
        <v>9.2987999999999964</v>
      </c>
      <c r="I886" s="2">
        <v>27.552000000000003</v>
      </c>
    </row>
    <row r="887" spans="2:9" x14ac:dyDescent="0.3">
      <c r="E887" t="s">
        <v>21</v>
      </c>
      <c r="F887">
        <v>11</v>
      </c>
      <c r="G887">
        <v>0.4</v>
      </c>
      <c r="H887" s="2">
        <v>54.294600000000003</v>
      </c>
      <c r="I887" s="2">
        <v>518.76800000000003</v>
      </c>
    </row>
    <row r="888" spans="2:9" x14ac:dyDescent="0.3">
      <c r="D888" t="s">
        <v>17</v>
      </c>
      <c r="E888" t="s">
        <v>20</v>
      </c>
      <c r="F888">
        <v>7</v>
      </c>
      <c r="G888">
        <v>0.7</v>
      </c>
      <c r="H888" s="2">
        <v>-32.507999999999996</v>
      </c>
      <c r="I888" s="2">
        <v>40.635000000000012</v>
      </c>
    </row>
    <row r="889" spans="2:9" x14ac:dyDescent="0.3">
      <c r="C889" t="s">
        <v>22</v>
      </c>
      <c r="D889" t="s">
        <v>8</v>
      </c>
      <c r="E889" t="s">
        <v>23</v>
      </c>
      <c r="F889">
        <v>4</v>
      </c>
      <c r="G889">
        <v>0.2</v>
      </c>
      <c r="H889" s="2">
        <v>-6.5339999999999954</v>
      </c>
      <c r="I889" s="2">
        <v>58.08</v>
      </c>
    </row>
    <row r="890" spans="2:9" x14ac:dyDescent="0.3">
      <c r="E890" t="s">
        <v>19</v>
      </c>
      <c r="F890">
        <v>11</v>
      </c>
      <c r="G890">
        <v>0.60000000000000009</v>
      </c>
      <c r="H890" s="2">
        <v>3.2026999999999992</v>
      </c>
      <c r="I890" s="2">
        <v>31.384</v>
      </c>
    </row>
    <row r="891" spans="2:9" x14ac:dyDescent="0.3">
      <c r="E891" t="s">
        <v>34</v>
      </c>
      <c r="F891">
        <v>11</v>
      </c>
      <c r="G891">
        <v>1.4</v>
      </c>
      <c r="H891" s="2">
        <v>-930.53440000000023</v>
      </c>
      <c r="I891" s="2">
        <v>659.63400000000013</v>
      </c>
    </row>
    <row r="892" spans="2:9" x14ac:dyDescent="0.3">
      <c r="E892" t="s">
        <v>21</v>
      </c>
      <c r="F892">
        <v>14</v>
      </c>
      <c r="G892">
        <v>0.4</v>
      </c>
      <c r="H892" s="2">
        <v>26.053600000000003</v>
      </c>
      <c r="I892" s="2">
        <v>107.33600000000001</v>
      </c>
    </row>
    <row r="893" spans="2:9" x14ac:dyDescent="0.3">
      <c r="E893" t="s">
        <v>16</v>
      </c>
      <c r="F893">
        <v>6</v>
      </c>
      <c r="G893">
        <v>0.4</v>
      </c>
      <c r="H893" s="2">
        <v>38.399999999999991</v>
      </c>
      <c r="I893" s="2">
        <v>112.752</v>
      </c>
    </row>
    <row r="894" spans="2:9" x14ac:dyDescent="0.3">
      <c r="E894" t="s">
        <v>25</v>
      </c>
      <c r="F894">
        <v>5</v>
      </c>
      <c r="G894">
        <v>0.5</v>
      </c>
      <c r="H894" s="2">
        <v>-248.16599999999994</v>
      </c>
      <c r="I894" s="2">
        <v>364.95</v>
      </c>
    </row>
    <row r="895" spans="2:9" x14ac:dyDescent="0.3">
      <c r="D895" t="s">
        <v>15</v>
      </c>
      <c r="E895" t="s">
        <v>12</v>
      </c>
      <c r="F895">
        <v>7</v>
      </c>
      <c r="G895">
        <v>0.2</v>
      </c>
      <c r="H895" s="2">
        <v>4.5737999999999985</v>
      </c>
      <c r="I895" s="2">
        <v>60.984000000000009</v>
      </c>
    </row>
    <row r="896" spans="2:9" x14ac:dyDescent="0.3">
      <c r="E896" t="s">
        <v>20</v>
      </c>
      <c r="F896">
        <v>2</v>
      </c>
      <c r="G896">
        <v>0.7</v>
      </c>
      <c r="H896" s="2">
        <v>-1.3565999999999994</v>
      </c>
      <c r="I896" s="2">
        <v>1.9380000000000002</v>
      </c>
    </row>
    <row r="897" spans="2:9" x14ac:dyDescent="0.3">
      <c r="E897" t="s">
        <v>16</v>
      </c>
      <c r="F897">
        <v>8</v>
      </c>
      <c r="G897">
        <v>0.4</v>
      </c>
      <c r="H897" s="2">
        <v>14.351199999999995</v>
      </c>
      <c r="I897" s="2">
        <v>45.296000000000006</v>
      </c>
    </row>
    <row r="898" spans="2:9" x14ac:dyDescent="0.3">
      <c r="D898" t="s">
        <v>17</v>
      </c>
      <c r="E898" t="s">
        <v>20</v>
      </c>
      <c r="F898">
        <v>2</v>
      </c>
      <c r="G898">
        <v>0.7</v>
      </c>
      <c r="H898" s="2">
        <v>-2.1755999999999993</v>
      </c>
      <c r="I898" s="2">
        <v>3.1080000000000001</v>
      </c>
    </row>
    <row r="899" spans="2:9" x14ac:dyDescent="0.3">
      <c r="E899" t="s">
        <v>33</v>
      </c>
      <c r="F899">
        <v>6</v>
      </c>
      <c r="G899">
        <v>0.2</v>
      </c>
      <c r="H899" s="2">
        <v>149.14799999999991</v>
      </c>
      <c r="I899" s="2">
        <v>1325.76</v>
      </c>
    </row>
    <row r="900" spans="2:9" x14ac:dyDescent="0.3">
      <c r="E900" t="s">
        <v>16</v>
      </c>
      <c r="F900">
        <v>3</v>
      </c>
      <c r="G900">
        <v>0.2</v>
      </c>
      <c r="H900" s="2">
        <v>5.4432</v>
      </c>
      <c r="I900" s="2">
        <v>15.552000000000003</v>
      </c>
    </row>
    <row r="901" spans="2:9" x14ac:dyDescent="0.3">
      <c r="B901" t="s">
        <v>123</v>
      </c>
      <c r="C901" t="s">
        <v>27</v>
      </c>
      <c r="D901" t="s">
        <v>8</v>
      </c>
      <c r="E901" t="s">
        <v>12</v>
      </c>
      <c r="F901">
        <v>3</v>
      </c>
      <c r="G901">
        <v>0</v>
      </c>
      <c r="H901" s="2">
        <v>297.64349999999996</v>
      </c>
      <c r="I901" s="2">
        <v>901.94999999999993</v>
      </c>
    </row>
    <row r="902" spans="2:9" x14ac:dyDescent="0.3">
      <c r="E902" t="s">
        <v>20</v>
      </c>
      <c r="F902">
        <v>7</v>
      </c>
      <c r="G902">
        <v>0.7</v>
      </c>
      <c r="H902" s="2">
        <v>23.345199999999995</v>
      </c>
      <c r="I902" s="2">
        <v>85.968000000000004</v>
      </c>
    </row>
    <row r="903" spans="2:9" x14ac:dyDescent="0.3">
      <c r="E903" t="s">
        <v>38</v>
      </c>
      <c r="F903">
        <v>5</v>
      </c>
      <c r="G903">
        <v>0</v>
      </c>
      <c r="H903" s="2">
        <v>89.954999999999984</v>
      </c>
      <c r="I903" s="2">
        <v>199.89999999999998</v>
      </c>
    </row>
    <row r="904" spans="2:9" x14ac:dyDescent="0.3">
      <c r="E904" t="s">
        <v>21</v>
      </c>
      <c r="F904">
        <v>5</v>
      </c>
      <c r="G904">
        <v>0</v>
      </c>
      <c r="H904" s="2">
        <v>252.59</v>
      </c>
      <c r="I904" s="2">
        <v>971.5</v>
      </c>
    </row>
    <row r="905" spans="2:9" x14ac:dyDescent="0.3">
      <c r="E905" t="s">
        <v>16</v>
      </c>
      <c r="F905">
        <v>2</v>
      </c>
      <c r="G905">
        <v>0</v>
      </c>
      <c r="H905" s="2">
        <v>6.2208000000000006</v>
      </c>
      <c r="I905" s="2">
        <v>12.96</v>
      </c>
    </row>
    <row r="906" spans="2:9" x14ac:dyDescent="0.3">
      <c r="E906" t="s">
        <v>14</v>
      </c>
      <c r="F906">
        <v>9</v>
      </c>
      <c r="G906">
        <v>0.2</v>
      </c>
      <c r="H906" s="2">
        <v>16.90579999999996</v>
      </c>
      <c r="I906" s="2">
        <v>422.03600000000006</v>
      </c>
    </row>
    <row r="907" spans="2:9" x14ac:dyDescent="0.3">
      <c r="D907" t="s">
        <v>15</v>
      </c>
      <c r="E907" t="s">
        <v>19</v>
      </c>
      <c r="F907">
        <v>8</v>
      </c>
      <c r="G907">
        <v>0</v>
      </c>
      <c r="H907" s="2">
        <v>64.629000000000005</v>
      </c>
      <c r="I907" s="2">
        <v>237.42</v>
      </c>
    </row>
    <row r="908" spans="2:9" x14ac:dyDescent="0.3">
      <c r="E908" t="s">
        <v>33</v>
      </c>
      <c r="F908">
        <v>5</v>
      </c>
      <c r="G908">
        <v>0</v>
      </c>
      <c r="H908" s="2">
        <v>373.77899999999983</v>
      </c>
      <c r="I908" s="2">
        <v>1779.9</v>
      </c>
    </row>
    <row r="909" spans="2:9" x14ac:dyDescent="0.3">
      <c r="C909" t="s">
        <v>7</v>
      </c>
      <c r="D909" t="s">
        <v>8</v>
      </c>
      <c r="E909" t="s">
        <v>23</v>
      </c>
      <c r="F909">
        <v>3</v>
      </c>
      <c r="G909">
        <v>0</v>
      </c>
      <c r="H909" s="2">
        <v>22.647599999999997</v>
      </c>
      <c r="I909" s="2">
        <v>62.91</v>
      </c>
    </row>
    <row r="910" spans="2:9" x14ac:dyDescent="0.3">
      <c r="E910" t="s">
        <v>12</v>
      </c>
      <c r="F910">
        <v>3</v>
      </c>
      <c r="G910">
        <v>0.2</v>
      </c>
      <c r="H910" s="2">
        <v>87.180000000000092</v>
      </c>
      <c r="I910" s="2">
        <v>871.80000000000007</v>
      </c>
    </row>
    <row r="911" spans="2:9" x14ac:dyDescent="0.3">
      <c r="E911" t="s">
        <v>20</v>
      </c>
      <c r="F911">
        <v>11</v>
      </c>
      <c r="G911">
        <v>0</v>
      </c>
      <c r="H911" s="2">
        <v>40.051000000000002</v>
      </c>
      <c r="I911" s="2">
        <v>85.42</v>
      </c>
    </row>
    <row r="912" spans="2:9" x14ac:dyDescent="0.3">
      <c r="E912" t="s">
        <v>33</v>
      </c>
      <c r="F912">
        <v>3</v>
      </c>
      <c r="G912">
        <v>0</v>
      </c>
      <c r="H912" s="2">
        <v>48.438099999999991</v>
      </c>
      <c r="I912" s="2">
        <v>362.84999999999997</v>
      </c>
    </row>
    <row r="913" spans="3:9" x14ac:dyDescent="0.3">
      <c r="E913" t="s">
        <v>21</v>
      </c>
      <c r="F913">
        <v>3</v>
      </c>
      <c r="G913">
        <v>0</v>
      </c>
      <c r="H913" s="2">
        <v>53.270399999999995</v>
      </c>
      <c r="I913" s="2">
        <v>332.94</v>
      </c>
    </row>
    <row r="914" spans="3:9" x14ac:dyDescent="0.3">
      <c r="E914" t="s">
        <v>43</v>
      </c>
      <c r="F914">
        <v>3</v>
      </c>
      <c r="G914">
        <v>0</v>
      </c>
      <c r="H914" s="2">
        <v>6.8723999999999998</v>
      </c>
      <c r="I914" s="2">
        <v>14.940000000000001</v>
      </c>
    </row>
    <row r="915" spans="3:9" x14ac:dyDescent="0.3">
      <c r="E915" t="s">
        <v>14</v>
      </c>
      <c r="F915">
        <v>2</v>
      </c>
      <c r="G915">
        <v>0</v>
      </c>
      <c r="H915" s="2">
        <v>2.598399999999998</v>
      </c>
      <c r="I915" s="2">
        <v>64.959999999999994</v>
      </c>
    </row>
    <row r="916" spans="3:9" x14ac:dyDescent="0.3">
      <c r="D916" t="s">
        <v>15</v>
      </c>
      <c r="E916" t="s">
        <v>23</v>
      </c>
      <c r="F916">
        <v>5</v>
      </c>
      <c r="G916">
        <v>0</v>
      </c>
      <c r="H916" s="2">
        <v>373.68180000000012</v>
      </c>
      <c r="I916" s="2">
        <v>902.60000000000014</v>
      </c>
    </row>
    <row r="917" spans="3:9" x14ac:dyDescent="0.3">
      <c r="E917" t="s">
        <v>19</v>
      </c>
      <c r="F917">
        <v>7</v>
      </c>
      <c r="G917">
        <v>0</v>
      </c>
      <c r="H917" s="2">
        <v>9.9096000000000011</v>
      </c>
      <c r="I917" s="2">
        <v>35.44</v>
      </c>
    </row>
    <row r="918" spans="3:9" x14ac:dyDescent="0.3">
      <c r="E918" t="s">
        <v>20</v>
      </c>
      <c r="F918">
        <v>12</v>
      </c>
      <c r="G918">
        <v>0</v>
      </c>
      <c r="H918" s="2">
        <v>41.059199999999997</v>
      </c>
      <c r="I918" s="2">
        <v>85.86</v>
      </c>
    </row>
    <row r="919" spans="3:9" x14ac:dyDescent="0.3">
      <c r="E919" t="s">
        <v>38</v>
      </c>
      <c r="F919">
        <v>5</v>
      </c>
      <c r="G919">
        <v>0</v>
      </c>
      <c r="H919" s="2">
        <v>4.7939999999999996</v>
      </c>
      <c r="I919" s="2">
        <v>10.199999999999999</v>
      </c>
    </row>
    <row r="920" spans="3:9" x14ac:dyDescent="0.3">
      <c r="E920" t="s">
        <v>21</v>
      </c>
      <c r="F920">
        <v>5</v>
      </c>
      <c r="G920">
        <v>0</v>
      </c>
      <c r="H920" s="2">
        <v>43.735999999999962</v>
      </c>
      <c r="I920" s="2">
        <v>397.59999999999997</v>
      </c>
    </row>
    <row r="921" spans="3:9" x14ac:dyDescent="0.3">
      <c r="E921" t="s">
        <v>16</v>
      </c>
      <c r="F921">
        <v>16</v>
      </c>
      <c r="G921">
        <v>0</v>
      </c>
      <c r="H921" s="2">
        <v>69.258799999999994</v>
      </c>
      <c r="I921" s="2">
        <v>146.07999999999998</v>
      </c>
    </row>
    <row r="922" spans="3:9" x14ac:dyDescent="0.3">
      <c r="E922" t="s">
        <v>24</v>
      </c>
      <c r="F922">
        <v>4</v>
      </c>
      <c r="G922">
        <v>0.2</v>
      </c>
      <c r="H922" s="2">
        <v>58.379999999999939</v>
      </c>
      <c r="I922" s="2">
        <v>467.03999999999996</v>
      </c>
    </row>
    <row r="923" spans="3:9" x14ac:dyDescent="0.3">
      <c r="E923" t="s">
        <v>14</v>
      </c>
      <c r="F923">
        <v>12</v>
      </c>
      <c r="G923">
        <v>0</v>
      </c>
      <c r="H923" s="2">
        <v>631.4807999999997</v>
      </c>
      <c r="I923" s="2">
        <v>2177.52</v>
      </c>
    </row>
    <row r="924" spans="3:9" x14ac:dyDescent="0.3">
      <c r="D924" t="s">
        <v>17</v>
      </c>
      <c r="E924" t="s">
        <v>12</v>
      </c>
      <c r="F924">
        <v>7</v>
      </c>
      <c r="G924">
        <v>0</v>
      </c>
      <c r="H924" s="2">
        <v>751.76010000000008</v>
      </c>
      <c r="I924" s="2">
        <v>1927.5900000000001</v>
      </c>
    </row>
    <row r="925" spans="3:9" x14ac:dyDescent="0.3">
      <c r="E925" t="s">
        <v>24</v>
      </c>
      <c r="F925">
        <v>3</v>
      </c>
      <c r="G925">
        <v>0</v>
      </c>
      <c r="H925" s="2">
        <v>220.48530000000002</v>
      </c>
      <c r="I925" s="2">
        <v>449.97</v>
      </c>
    </row>
    <row r="926" spans="3:9" x14ac:dyDescent="0.3">
      <c r="C926" t="s">
        <v>22</v>
      </c>
      <c r="D926" t="s">
        <v>8</v>
      </c>
      <c r="E926" t="s">
        <v>23</v>
      </c>
      <c r="F926">
        <v>2</v>
      </c>
      <c r="G926">
        <v>0</v>
      </c>
      <c r="H926" s="2">
        <v>26.391200000000005</v>
      </c>
      <c r="I926" s="2">
        <v>59.98</v>
      </c>
    </row>
    <row r="927" spans="3:9" x14ac:dyDescent="0.3">
      <c r="E927" t="s">
        <v>12</v>
      </c>
      <c r="F927">
        <v>7</v>
      </c>
      <c r="G927">
        <v>0.2</v>
      </c>
      <c r="H927" s="2">
        <v>3.8073000000000015</v>
      </c>
      <c r="I927" s="2">
        <v>43.512</v>
      </c>
    </row>
    <row r="928" spans="3:9" x14ac:dyDescent="0.3">
      <c r="E928" t="s">
        <v>20</v>
      </c>
      <c r="F928">
        <v>7</v>
      </c>
      <c r="G928">
        <v>0</v>
      </c>
      <c r="H928" s="2">
        <v>1359.7730000000001</v>
      </c>
      <c r="I928" s="2">
        <v>2730.88</v>
      </c>
    </row>
    <row r="929" spans="4:9" x14ac:dyDescent="0.3">
      <c r="E929" t="s">
        <v>34</v>
      </c>
      <c r="F929">
        <v>3</v>
      </c>
      <c r="G929">
        <v>0</v>
      </c>
      <c r="H929" s="2">
        <v>36.293999999999997</v>
      </c>
      <c r="I929" s="2">
        <v>362.94</v>
      </c>
    </row>
    <row r="930" spans="4:9" x14ac:dyDescent="0.3">
      <c r="E930" t="s">
        <v>33</v>
      </c>
      <c r="F930">
        <v>17</v>
      </c>
      <c r="G930">
        <v>0.60000000000000009</v>
      </c>
      <c r="H930" s="2">
        <v>512.65039999999988</v>
      </c>
      <c r="I930" s="2">
        <v>2904.1840000000002</v>
      </c>
    </row>
    <row r="931" spans="4:9" x14ac:dyDescent="0.3">
      <c r="E931" t="s">
        <v>38</v>
      </c>
      <c r="F931">
        <v>2</v>
      </c>
      <c r="G931">
        <v>0</v>
      </c>
      <c r="H931" s="2">
        <v>57.32119999999999</v>
      </c>
      <c r="I931" s="2">
        <v>121.96</v>
      </c>
    </row>
    <row r="932" spans="4:9" x14ac:dyDescent="0.3">
      <c r="E932" t="s">
        <v>21</v>
      </c>
      <c r="F932">
        <v>6</v>
      </c>
      <c r="G932">
        <v>0.2</v>
      </c>
      <c r="H932" s="2">
        <v>55.149000000000001</v>
      </c>
      <c r="I932" s="2">
        <v>178.35599999999999</v>
      </c>
    </row>
    <row r="933" spans="4:9" x14ac:dyDescent="0.3">
      <c r="E933" t="s">
        <v>16</v>
      </c>
      <c r="F933">
        <v>13</v>
      </c>
      <c r="G933">
        <v>0.4</v>
      </c>
      <c r="H933" s="2">
        <v>82.930399999999992</v>
      </c>
      <c r="I933" s="2">
        <v>227.37600000000003</v>
      </c>
    </row>
    <row r="934" spans="4:9" x14ac:dyDescent="0.3">
      <c r="E934" t="s">
        <v>24</v>
      </c>
      <c r="F934">
        <v>8</v>
      </c>
      <c r="G934">
        <v>0</v>
      </c>
      <c r="H934" s="2">
        <v>209.36770000000001</v>
      </c>
      <c r="I934" s="2">
        <v>743.68</v>
      </c>
    </row>
    <row r="935" spans="4:9" x14ac:dyDescent="0.3">
      <c r="E935" t="s">
        <v>14</v>
      </c>
      <c r="F935">
        <v>19</v>
      </c>
      <c r="G935">
        <v>0.2</v>
      </c>
      <c r="H935" s="2">
        <v>44.990600000000001</v>
      </c>
      <c r="I935" s="2">
        <v>1296.24</v>
      </c>
    </row>
    <row r="936" spans="4:9" x14ac:dyDescent="0.3">
      <c r="E936" t="s">
        <v>9</v>
      </c>
      <c r="F936">
        <v>3</v>
      </c>
      <c r="G936">
        <v>0.2</v>
      </c>
      <c r="H936" s="2">
        <v>-1.9872000000000005</v>
      </c>
      <c r="I936" s="2">
        <v>8.8320000000000007</v>
      </c>
    </row>
    <row r="937" spans="4:9" x14ac:dyDescent="0.3">
      <c r="D937" t="s">
        <v>15</v>
      </c>
      <c r="E937" t="s">
        <v>23</v>
      </c>
      <c r="F937">
        <v>9</v>
      </c>
      <c r="G937">
        <v>0.2</v>
      </c>
      <c r="H937" s="2">
        <v>20.560600000000004</v>
      </c>
      <c r="I937" s="2">
        <v>66.058000000000007</v>
      </c>
    </row>
    <row r="938" spans="4:9" x14ac:dyDescent="0.3">
      <c r="E938" t="s">
        <v>12</v>
      </c>
      <c r="F938">
        <v>2</v>
      </c>
      <c r="G938">
        <v>0</v>
      </c>
      <c r="H938" s="2">
        <v>10.5504</v>
      </c>
      <c r="I938" s="2">
        <v>37.68</v>
      </c>
    </row>
    <row r="939" spans="4:9" x14ac:dyDescent="0.3">
      <c r="E939" t="s">
        <v>19</v>
      </c>
      <c r="F939">
        <v>7</v>
      </c>
      <c r="G939">
        <v>0</v>
      </c>
      <c r="H939" s="2">
        <v>11.575199999999999</v>
      </c>
      <c r="I939" s="2">
        <v>29.68</v>
      </c>
    </row>
    <row r="940" spans="4:9" x14ac:dyDescent="0.3">
      <c r="E940" t="s">
        <v>20</v>
      </c>
      <c r="F940">
        <v>3</v>
      </c>
      <c r="G940">
        <v>0</v>
      </c>
      <c r="H940" s="2">
        <v>2.5920000000000001</v>
      </c>
      <c r="I940" s="2">
        <v>5.4</v>
      </c>
    </row>
    <row r="941" spans="4:9" x14ac:dyDescent="0.3">
      <c r="E941" t="s">
        <v>38</v>
      </c>
      <c r="F941">
        <v>3</v>
      </c>
      <c r="G941">
        <v>0</v>
      </c>
      <c r="H941" s="2">
        <v>87.744299999999981</v>
      </c>
      <c r="I941" s="2">
        <v>186.69</v>
      </c>
    </row>
    <row r="942" spans="4:9" x14ac:dyDescent="0.3">
      <c r="E942" t="s">
        <v>21</v>
      </c>
      <c r="F942">
        <v>8</v>
      </c>
      <c r="G942">
        <v>0.2</v>
      </c>
      <c r="H942" s="2">
        <v>23.168799999999997</v>
      </c>
      <c r="I942" s="2">
        <v>106.54</v>
      </c>
    </row>
    <row r="943" spans="4:9" x14ac:dyDescent="0.3">
      <c r="E943" t="s">
        <v>16</v>
      </c>
      <c r="F943">
        <v>11</v>
      </c>
      <c r="G943">
        <v>0</v>
      </c>
      <c r="H943" s="2">
        <v>85.138500000000008</v>
      </c>
      <c r="I943" s="2">
        <v>174.81</v>
      </c>
    </row>
    <row r="944" spans="4:9" x14ac:dyDescent="0.3">
      <c r="E944" t="s">
        <v>24</v>
      </c>
      <c r="F944">
        <v>5</v>
      </c>
      <c r="G944">
        <v>0</v>
      </c>
      <c r="H944" s="2">
        <v>163.78700000000003</v>
      </c>
      <c r="I944" s="2">
        <v>629.94999999999993</v>
      </c>
    </row>
    <row r="945" spans="2:9" x14ac:dyDescent="0.3">
      <c r="E945" t="s">
        <v>25</v>
      </c>
      <c r="F945">
        <v>7</v>
      </c>
      <c r="G945">
        <v>0.4</v>
      </c>
      <c r="H945" s="2">
        <v>-968.88329999999996</v>
      </c>
      <c r="I945" s="2">
        <v>1875.258</v>
      </c>
    </row>
    <row r="946" spans="2:9" x14ac:dyDescent="0.3">
      <c r="D946" t="s">
        <v>17</v>
      </c>
      <c r="E946" t="s">
        <v>20</v>
      </c>
      <c r="F946">
        <v>9</v>
      </c>
      <c r="G946">
        <v>0.7</v>
      </c>
      <c r="H946" s="2">
        <v>3.8614000000000033</v>
      </c>
      <c r="I946" s="2">
        <v>55.9</v>
      </c>
    </row>
    <row r="947" spans="2:9" x14ac:dyDescent="0.3">
      <c r="E947" t="s">
        <v>21</v>
      </c>
      <c r="F947">
        <v>6</v>
      </c>
      <c r="G947">
        <v>0</v>
      </c>
      <c r="H947" s="2">
        <v>39.807199999999995</v>
      </c>
      <c r="I947" s="2">
        <v>117.08</v>
      </c>
    </row>
    <row r="948" spans="2:9" x14ac:dyDescent="0.3">
      <c r="E948" t="s">
        <v>16</v>
      </c>
      <c r="F948">
        <v>11</v>
      </c>
      <c r="G948">
        <v>0.2</v>
      </c>
      <c r="H948" s="2">
        <v>148.8552</v>
      </c>
      <c r="I948" s="2">
        <v>312.98399999999998</v>
      </c>
    </row>
    <row r="949" spans="2:9" x14ac:dyDescent="0.3">
      <c r="B949" t="s">
        <v>124</v>
      </c>
      <c r="C949" t="s">
        <v>11</v>
      </c>
      <c r="D949" t="s">
        <v>8</v>
      </c>
      <c r="E949" t="s">
        <v>23</v>
      </c>
      <c r="F949">
        <v>3</v>
      </c>
      <c r="G949">
        <v>0</v>
      </c>
      <c r="H949" s="2">
        <v>40.749900000000004</v>
      </c>
      <c r="I949" s="2">
        <v>99.390000000000015</v>
      </c>
    </row>
    <row r="950" spans="2:9" x14ac:dyDescent="0.3">
      <c r="E950" t="s">
        <v>12</v>
      </c>
      <c r="F950">
        <v>3</v>
      </c>
      <c r="G950">
        <v>0</v>
      </c>
      <c r="H950" s="2">
        <v>16.588799999999999</v>
      </c>
      <c r="I950" s="2">
        <v>61.44</v>
      </c>
    </row>
    <row r="951" spans="2:9" x14ac:dyDescent="0.3">
      <c r="E951" t="s">
        <v>19</v>
      </c>
      <c r="F951">
        <v>5</v>
      </c>
      <c r="G951">
        <v>0.4</v>
      </c>
      <c r="H951" s="2">
        <v>3.7721999999999976</v>
      </c>
      <c r="I951" s="2">
        <v>22.128000000000004</v>
      </c>
    </row>
    <row r="952" spans="2:9" x14ac:dyDescent="0.3">
      <c r="E952" t="s">
        <v>20</v>
      </c>
      <c r="F952">
        <v>7</v>
      </c>
      <c r="G952">
        <v>0</v>
      </c>
      <c r="H952" s="2">
        <v>17.8066</v>
      </c>
      <c r="I952" s="2">
        <v>38.71</v>
      </c>
    </row>
    <row r="953" spans="2:9" x14ac:dyDescent="0.3">
      <c r="E953" t="s">
        <v>34</v>
      </c>
      <c r="F953">
        <v>5</v>
      </c>
      <c r="G953">
        <v>0</v>
      </c>
      <c r="H953" s="2">
        <v>88.725000000000023</v>
      </c>
      <c r="I953" s="2">
        <v>354.90000000000003</v>
      </c>
    </row>
    <row r="954" spans="2:9" x14ac:dyDescent="0.3">
      <c r="E954" t="s">
        <v>33</v>
      </c>
      <c r="F954">
        <v>2</v>
      </c>
      <c r="G954">
        <v>0.3</v>
      </c>
      <c r="H954" s="2">
        <v>-7.0979999999999919</v>
      </c>
      <c r="I954" s="2">
        <v>99.372</v>
      </c>
    </row>
    <row r="955" spans="2:9" x14ac:dyDescent="0.3">
      <c r="E955" t="s">
        <v>45</v>
      </c>
      <c r="F955">
        <v>4</v>
      </c>
      <c r="G955">
        <v>0.4</v>
      </c>
      <c r="H955" s="2">
        <v>191.99680000000001</v>
      </c>
      <c r="I955" s="2">
        <v>1439.9759999999999</v>
      </c>
    </row>
    <row r="956" spans="2:9" x14ac:dyDescent="0.3">
      <c r="E956" t="s">
        <v>21</v>
      </c>
      <c r="F956">
        <v>5</v>
      </c>
      <c r="G956">
        <v>0.4</v>
      </c>
      <c r="H956" s="2">
        <v>-2.0836000000000068</v>
      </c>
      <c r="I956" s="2">
        <v>152.92000000000002</v>
      </c>
    </row>
    <row r="957" spans="2:9" x14ac:dyDescent="0.3">
      <c r="E957" t="s">
        <v>16</v>
      </c>
      <c r="F957">
        <v>5</v>
      </c>
      <c r="G957">
        <v>0</v>
      </c>
      <c r="H957" s="2">
        <v>17.504999999999995</v>
      </c>
      <c r="I957" s="2">
        <v>38.9</v>
      </c>
    </row>
    <row r="958" spans="2:9" x14ac:dyDescent="0.3">
      <c r="E958" t="s">
        <v>14</v>
      </c>
      <c r="F958">
        <v>3</v>
      </c>
      <c r="G958">
        <v>0</v>
      </c>
      <c r="H958" s="2">
        <v>10.0725</v>
      </c>
      <c r="I958" s="2">
        <v>40.29</v>
      </c>
    </row>
    <row r="959" spans="2:9" x14ac:dyDescent="0.3">
      <c r="D959" t="s">
        <v>15</v>
      </c>
      <c r="E959" t="s">
        <v>12</v>
      </c>
      <c r="F959">
        <v>8</v>
      </c>
      <c r="G959">
        <v>0</v>
      </c>
      <c r="H959" s="2">
        <v>168.4384</v>
      </c>
      <c r="I959" s="2">
        <v>647.84</v>
      </c>
    </row>
    <row r="960" spans="2:9" x14ac:dyDescent="0.3">
      <c r="E960" t="s">
        <v>20</v>
      </c>
      <c r="F960">
        <v>5</v>
      </c>
      <c r="G960">
        <v>0.7</v>
      </c>
      <c r="H960" s="2">
        <v>-7.8399999999999963</v>
      </c>
      <c r="I960" s="2">
        <v>11.760000000000002</v>
      </c>
    </row>
    <row r="961" spans="3:9" x14ac:dyDescent="0.3">
      <c r="E961" t="s">
        <v>33</v>
      </c>
      <c r="F961">
        <v>3</v>
      </c>
      <c r="G961">
        <v>0.3</v>
      </c>
      <c r="H961" s="2">
        <v>-86.058600000000013</v>
      </c>
      <c r="I961" s="2">
        <v>317.05799999999999</v>
      </c>
    </row>
    <row r="962" spans="3:9" x14ac:dyDescent="0.3">
      <c r="E962" t="s">
        <v>18</v>
      </c>
      <c r="F962">
        <v>14</v>
      </c>
      <c r="G962">
        <v>0.4</v>
      </c>
      <c r="H962" s="2">
        <v>9.887699999999997</v>
      </c>
      <c r="I962" s="2">
        <v>29.495999999999999</v>
      </c>
    </row>
    <row r="963" spans="3:9" x14ac:dyDescent="0.3">
      <c r="E963" t="s">
        <v>21</v>
      </c>
      <c r="F963">
        <v>4</v>
      </c>
      <c r="G963">
        <v>0.2</v>
      </c>
      <c r="H963" s="2">
        <v>-4.1568000000000023</v>
      </c>
      <c r="I963" s="2">
        <v>41.568000000000005</v>
      </c>
    </row>
    <row r="964" spans="3:9" x14ac:dyDescent="0.3">
      <c r="E964" t="s">
        <v>43</v>
      </c>
      <c r="F964">
        <v>2</v>
      </c>
      <c r="G964">
        <v>0</v>
      </c>
      <c r="H964" s="2">
        <v>9.9359999999999999</v>
      </c>
      <c r="I964" s="2">
        <v>20.7</v>
      </c>
    </row>
    <row r="965" spans="3:9" x14ac:dyDescent="0.3">
      <c r="E965" t="s">
        <v>16</v>
      </c>
      <c r="F965">
        <v>6</v>
      </c>
      <c r="G965">
        <v>0.4</v>
      </c>
      <c r="H965" s="2">
        <v>47.904199999999996</v>
      </c>
      <c r="I965" s="2">
        <v>117.66799999999999</v>
      </c>
    </row>
    <row r="966" spans="3:9" x14ac:dyDescent="0.3">
      <c r="E966" t="s">
        <v>24</v>
      </c>
      <c r="F966">
        <v>5</v>
      </c>
      <c r="G966">
        <v>0.4</v>
      </c>
      <c r="H966" s="2">
        <v>-11.993999999999993</v>
      </c>
      <c r="I966" s="2">
        <v>59.969999999999992</v>
      </c>
    </row>
    <row r="967" spans="3:9" x14ac:dyDescent="0.3">
      <c r="D967" t="s">
        <v>17</v>
      </c>
      <c r="E967" t="s">
        <v>23</v>
      </c>
      <c r="F967">
        <v>4</v>
      </c>
      <c r="G967">
        <v>0</v>
      </c>
      <c r="H967" s="2">
        <v>129.6</v>
      </c>
      <c r="I967" s="2">
        <v>360</v>
      </c>
    </row>
    <row r="968" spans="3:9" x14ac:dyDescent="0.3">
      <c r="E968" t="s">
        <v>19</v>
      </c>
      <c r="F968">
        <v>7</v>
      </c>
      <c r="G968">
        <v>0</v>
      </c>
      <c r="H968" s="2">
        <v>10.628799999999998</v>
      </c>
      <c r="I968" s="2">
        <v>40.879999999999995</v>
      </c>
    </row>
    <row r="969" spans="3:9" x14ac:dyDescent="0.3">
      <c r="E969" t="s">
        <v>33</v>
      </c>
      <c r="F969">
        <v>2</v>
      </c>
      <c r="G969">
        <v>0</v>
      </c>
      <c r="H969" s="2">
        <v>30.444999999999993</v>
      </c>
      <c r="I969" s="2">
        <v>121.78</v>
      </c>
    </row>
    <row r="970" spans="3:9" x14ac:dyDescent="0.3">
      <c r="E970" t="s">
        <v>25</v>
      </c>
      <c r="F970">
        <v>2</v>
      </c>
      <c r="G970">
        <v>0</v>
      </c>
      <c r="H970" s="2">
        <v>70.005999999999972</v>
      </c>
      <c r="I970" s="2">
        <v>411.8</v>
      </c>
    </row>
    <row r="971" spans="3:9" x14ac:dyDescent="0.3">
      <c r="C971" t="s">
        <v>27</v>
      </c>
      <c r="D971" t="s">
        <v>8</v>
      </c>
      <c r="E971" t="s">
        <v>23</v>
      </c>
      <c r="F971">
        <v>5</v>
      </c>
      <c r="G971">
        <v>0.4</v>
      </c>
      <c r="H971" s="2">
        <v>40.433399999999999</v>
      </c>
      <c r="I971" s="2">
        <v>302.47199999999998</v>
      </c>
    </row>
    <row r="972" spans="3:9" x14ac:dyDescent="0.3">
      <c r="E972" t="s">
        <v>12</v>
      </c>
      <c r="F972">
        <v>3</v>
      </c>
      <c r="G972">
        <v>0.2</v>
      </c>
      <c r="H972" s="2">
        <v>1.9602000000000004</v>
      </c>
      <c r="I972" s="2">
        <v>26.136000000000003</v>
      </c>
    </row>
    <row r="973" spans="3:9" x14ac:dyDescent="0.3">
      <c r="E973" t="s">
        <v>19</v>
      </c>
      <c r="F973">
        <v>7</v>
      </c>
      <c r="G973">
        <v>0.4</v>
      </c>
      <c r="H973" s="2">
        <v>6.124799999999996</v>
      </c>
      <c r="I973" s="2">
        <v>73.104000000000013</v>
      </c>
    </row>
    <row r="974" spans="3:9" x14ac:dyDescent="0.3">
      <c r="E974" t="s">
        <v>20</v>
      </c>
      <c r="F974">
        <v>11</v>
      </c>
      <c r="G974">
        <v>2.0999999999999996</v>
      </c>
      <c r="H974" s="2">
        <v>-21.343599999999995</v>
      </c>
      <c r="I974" s="2">
        <v>30.189000000000007</v>
      </c>
    </row>
    <row r="975" spans="3:9" x14ac:dyDescent="0.3">
      <c r="E975" t="s">
        <v>38</v>
      </c>
      <c r="F975">
        <v>7</v>
      </c>
      <c r="G975">
        <v>0.4</v>
      </c>
      <c r="H975" s="2">
        <v>10.430999999999997</v>
      </c>
      <c r="I975" s="2">
        <v>30.320000000000004</v>
      </c>
    </row>
    <row r="976" spans="3:9" x14ac:dyDescent="0.3">
      <c r="E976" t="s">
        <v>21</v>
      </c>
      <c r="F976">
        <v>6</v>
      </c>
      <c r="G976">
        <v>0.2</v>
      </c>
      <c r="H976" s="2">
        <v>7.6895999999999933</v>
      </c>
      <c r="I976" s="2">
        <v>51.264000000000003</v>
      </c>
    </row>
    <row r="977" spans="3:9" x14ac:dyDescent="0.3">
      <c r="E977" t="s">
        <v>43</v>
      </c>
      <c r="F977">
        <v>1</v>
      </c>
      <c r="G977">
        <v>0.2</v>
      </c>
      <c r="H977" s="2">
        <v>7.9378000000000002</v>
      </c>
      <c r="I977" s="2">
        <v>24.424000000000003</v>
      </c>
    </row>
    <row r="978" spans="3:9" x14ac:dyDescent="0.3">
      <c r="E978" t="s">
        <v>46</v>
      </c>
      <c r="F978">
        <v>2</v>
      </c>
      <c r="G978">
        <v>0.7</v>
      </c>
      <c r="H978" s="2">
        <v>-71.39579999999998</v>
      </c>
      <c r="I978" s="2">
        <v>101.99400000000001</v>
      </c>
    </row>
    <row r="979" spans="3:9" x14ac:dyDescent="0.3">
      <c r="E979" t="s">
        <v>24</v>
      </c>
      <c r="F979">
        <v>2</v>
      </c>
      <c r="G979">
        <v>0.4</v>
      </c>
      <c r="H979" s="2">
        <v>-7.3960000000000043</v>
      </c>
      <c r="I979" s="2">
        <v>44.375999999999998</v>
      </c>
    </row>
    <row r="980" spans="3:9" x14ac:dyDescent="0.3">
      <c r="E980" t="s">
        <v>14</v>
      </c>
      <c r="F980">
        <v>4</v>
      </c>
      <c r="G980">
        <v>0.4</v>
      </c>
      <c r="H980" s="2">
        <v>5.0673999999999975</v>
      </c>
      <c r="I980" s="2">
        <v>87.792000000000002</v>
      </c>
    </row>
    <row r="981" spans="3:9" x14ac:dyDescent="0.3">
      <c r="D981" t="s">
        <v>15</v>
      </c>
      <c r="E981" t="s">
        <v>12</v>
      </c>
      <c r="F981">
        <v>4</v>
      </c>
      <c r="G981">
        <v>0.2</v>
      </c>
      <c r="H981" s="2">
        <v>24.196000000000012</v>
      </c>
      <c r="I981" s="2">
        <v>387.13600000000002</v>
      </c>
    </row>
    <row r="982" spans="3:9" x14ac:dyDescent="0.3">
      <c r="E982" t="s">
        <v>33</v>
      </c>
      <c r="F982">
        <v>8</v>
      </c>
      <c r="G982">
        <v>0.6</v>
      </c>
      <c r="H982" s="2">
        <v>-172.44660000000005</v>
      </c>
      <c r="I982" s="2">
        <v>1069.4879999999998</v>
      </c>
    </row>
    <row r="983" spans="3:9" x14ac:dyDescent="0.3">
      <c r="E983" t="s">
        <v>24</v>
      </c>
      <c r="F983">
        <v>5</v>
      </c>
      <c r="G983">
        <v>0.4</v>
      </c>
      <c r="H983" s="2">
        <v>-209.99399999999991</v>
      </c>
      <c r="I983" s="2">
        <v>1049.97</v>
      </c>
    </row>
    <row r="984" spans="3:9" x14ac:dyDescent="0.3">
      <c r="E984" t="s">
        <v>14</v>
      </c>
      <c r="F984">
        <v>5</v>
      </c>
      <c r="G984">
        <v>0.2</v>
      </c>
      <c r="H984" s="2">
        <v>-4.0599999999999987</v>
      </c>
      <c r="I984" s="2">
        <v>64.959999999999994</v>
      </c>
    </row>
    <row r="985" spans="3:9" x14ac:dyDescent="0.3">
      <c r="E985" t="s">
        <v>9</v>
      </c>
      <c r="F985">
        <v>2</v>
      </c>
      <c r="G985">
        <v>0.2</v>
      </c>
      <c r="H985" s="2">
        <v>1.6899999999999986</v>
      </c>
      <c r="I985" s="2">
        <v>13.52</v>
      </c>
    </row>
    <row r="986" spans="3:9" x14ac:dyDescent="0.3">
      <c r="E986" t="s">
        <v>25</v>
      </c>
      <c r="F986">
        <v>3</v>
      </c>
      <c r="G986">
        <v>0.4</v>
      </c>
      <c r="H986" s="2">
        <v>-147.8655</v>
      </c>
      <c r="I986" s="2">
        <v>328.59000000000003</v>
      </c>
    </row>
    <row r="987" spans="3:9" x14ac:dyDescent="0.3">
      <c r="C987" t="s">
        <v>7</v>
      </c>
      <c r="D987" t="s">
        <v>8</v>
      </c>
      <c r="E987" t="s">
        <v>23</v>
      </c>
      <c r="F987">
        <v>4</v>
      </c>
      <c r="G987">
        <v>0.4</v>
      </c>
      <c r="H987" s="2">
        <v>-2.1002000000000027</v>
      </c>
      <c r="I987" s="2">
        <v>71.984000000000009</v>
      </c>
    </row>
    <row r="988" spans="3:9" x14ac:dyDescent="0.3">
      <c r="E988" t="s">
        <v>12</v>
      </c>
      <c r="F988">
        <v>5</v>
      </c>
      <c r="G988">
        <v>0.2</v>
      </c>
      <c r="H988" s="2">
        <v>11.489999999999991</v>
      </c>
      <c r="I988" s="2">
        <v>91.92</v>
      </c>
    </row>
    <row r="989" spans="3:9" x14ac:dyDescent="0.3">
      <c r="E989" t="s">
        <v>19</v>
      </c>
      <c r="F989">
        <v>6</v>
      </c>
      <c r="G989">
        <v>0.2</v>
      </c>
      <c r="H989" s="2">
        <v>12.452999999999998</v>
      </c>
      <c r="I989" s="2">
        <v>49.961999999999996</v>
      </c>
    </row>
    <row r="990" spans="3:9" x14ac:dyDescent="0.3">
      <c r="E990" t="s">
        <v>20</v>
      </c>
      <c r="F990">
        <v>17</v>
      </c>
      <c r="G990">
        <v>2.0999999999999996</v>
      </c>
      <c r="H990" s="2">
        <v>-9.0991999999999678</v>
      </c>
      <c r="I990" s="2">
        <v>269.24799999999999</v>
      </c>
    </row>
    <row r="991" spans="3:9" x14ac:dyDescent="0.3">
      <c r="E991" t="s">
        <v>34</v>
      </c>
      <c r="F991">
        <v>1</v>
      </c>
      <c r="G991">
        <v>0.5</v>
      </c>
      <c r="H991" s="2">
        <v>-15.615600000000001</v>
      </c>
      <c r="I991" s="2">
        <v>35.49</v>
      </c>
    </row>
    <row r="992" spans="3:9" x14ac:dyDescent="0.3">
      <c r="E992" t="s">
        <v>33</v>
      </c>
      <c r="F992">
        <v>9</v>
      </c>
      <c r="G992">
        <v>0.3</v>
      </c>
      <c r="H992" s="2">
        <v>29.189400000000077</v>
      </c>
      <c r="I992" s="2">
        <v>1278.6899999999998</v>
      </c>
    </row>
    <row r="993" spans="4:9" x14ac:dyDescent="0.3">
      <c r="E993" t="s">
        <v>45</v>
      </c>
      <c r="F993">
        <v>2</v>
      </c>
      <c r="G993">
        <v>0.4</v>
      </c>
      <c r="H993" s="2">
        <v>109.99799999999999</v>
      </c>
      <c r="I993" s="2">
        <v>659.98799999999994</v>
      </c>
    </row>
    <row r="994" spans="4:9" x14ac:dyDescent="0.3">
      <c r="E994" t="s">
        <v>38</v>
      </c>
      <c r="F994">
        <v>8</v>
      </c>
      <c r="G994">
        <v>0.4</v>
      </c>
      <c r="H994" s="2">
        <v>45.683599999999998</v>
      </c>
      <c r="I994" s="2">
        <v>135.184</v>
      </c>
    </row>
    <row r="995" spans="4:9" x14ac:dyDescent="0.3">
      <c r="E995" t="s">
        <v>18</v>
      </c>
      <c r="F995">
        <v>20</v>
      </c>
      <c r="G995">
        <v>0.4</v>
      </c>
      <c r="H995" s="2">
        <v>16.235199999999995</v>
      </c>
      <c r="I995" s="2">
        <v>50.56</v>
      </c>
    </row>
    <row r="996" spans="4:9" x14ac:dyDescent="0.3">
      <c r="E996" t="s">
        <v>21</v>
      </c>
      <c r="F996">
        <v>17</v>
      </c>
      <c r="G996">
        <v>0.4</v>
      </c>
      <c r="H996" s="2">
        <v>59.89049999999996</v>
      </c>
      <c r="I996" s="2">
        <v>314.07799999999997</v>
      </c>
    </row>
    <row r="997" spans="4:9" x14ac:dyDescent="0.3">
      <c r="E997" t="s">
        <v>16</v>
      </c>
      <c r="F997">
        <v>10</v>
      </c>
      <c r="G997">
        <v>0.4</v>
      </c>
      <c r="H997" s="2">
        <v>20.193300000000001</v>
      </c>
      <c r="I997" s="2">
        <v>60.26400000000001</v>
      </c>
    </row>
    <row r="998" spans="4:9" x14ac:dyDescent="0.3">
      <c r="E998" t="s">
        <v>14</v>
      </c>
      <c r="F998">
        <v>5</v>
      </c>
      <c r="G998">
        <v>0</v>
      </c>
      <c r="H998" s="2">
        <v>34.292499999999997</v>
      </c>
      <c r="I998" s="2">
        <v>118.25</v>
      </c>
    </row>
    <row r="999" spans="4:9" x14ac:dyDescent="0.3">
      <c r="E999" t="s">
        <v>9</v>
      </c>
      <c r="F999">
        <v>2</v>
      </c>
      <c r="G999">
        <v>0.2</v>
      </c>
      <c r="H999" s="2">
        <v>1.1479999999999988</v>
      </c>
      <c r="I999" s="2">
        <v>9.1840000000000011</v>
      </c>
    </row>
    <row r="1000" spans="4:9" x14ac:dyDescent="0.3">
      <c r="D1000" t="s">
        <v>15</v>
      </c>
      <c r="E1000" t="s">
        <v>19</v>
      </c>
      <c r="F1000">
        <v>2</v>
      </c>
      <c r="G1000">
        <v>0.2</v>
      </c>
      <c r="H1000" s="2">
        <v>0.33839999999999981</v>
      </c>
      <c r="I1000" s="2">
        <v>3.008</v>
      </c>
    </row>
    <row r="1001" spans="4:9" x14ac:dyDescent="0.3">
      <c r="E1001" t="s">
        <v>20</v>
      </c>
      <c r="F1001">
        <v>2</v>
      </c>
      <c r="G1001">
        <v>0</v>
      </c>
      <c r="H1001" s="2">
        <v>1.8047999999999997</v>
      </c>
      <c r="I1001" s="2">
        <v>3.76</v>
      </c>
    </row>
    <row r="1002" spans="4:9" x14ac:dyDescent="0.3">
      <c r="E1002" t="s">
        <v>43</v>
      </c>
      <c r="F1002">
        <v>2</v>
      </c>
      <c r="G1002">
        <v>0</v>
      </c>
      <c r="H1002" s="2">
        <v>4.8117999999999999</v>
      </c>
      <c r="I1002" s="2">
        <v>9.82</v>
      </c>
    </row>
    <row r="1003" spans="4:9" x14ac:dyDescent="0.3">
      <c r="E1003" t="s">
        <v>9</v>
      </c>
      <c r="F1003">
        <v>2</v>
      </c>
      <c r="G1003">
        <v>0.2</v>
      </c>
      <c r="H1003" s="2">
        <v>-81.725799999999978</v>
      </c>
      <c r="I1003" s="2">
        <v>384.59200000000004</v>
      </c>
    </row>
    <row r="1004" spans="4:9" x14ac:dyDescent="0.3">
      <c r="D1004" t="s">
        <v>17</v>
      </c>
      <c r="E1004" t="s">
        <v>23</v>
      </c>
      <c r="F1004">
        <v>2</v>
      </c>
      <c r="G1004">
        <v>0.2</v>
      </c>
      <c r="H1004" s="2">
        <v>54.396600000000007</v>
      </c>
      <c r="I1004" s="2">
        <v>255.98400000000004</v>
      </c>
    </row>
    <row r="1005" spans="4:9" x14ac:dyDescent="0.3">
      <c r="E1005" t="s">
        <v>34</v>
      </c>
      <c r="F1005">
        <v>3</v>
      </c>
      <c r="G1005">
        <v>0.5</v>
      </c>
      <c r="H1005" s="2">
        <v>-48.703199999999995</v>
      </c>
      <c r="I1005" s="2">
        <v>86.97</v>
      </c>
    </row>
    <row r="1006" spans="4:9" x14ac:dyDescent="0.3">
      <c r="E1006" t="s">
        <v>18</v>
      </c>
      <c r="F1006">
        <v>7</v>
      </c>
      <c r="G1006">
        <v>0.2</v>
      </c>
      <c r="H1006" s="2">
        <v>6.6835999999999993</v>
      </c>
      <c r="I1006" s="2">
        <v>19.096</v>
      </c>
    </row>
    <row r="1007" spans="4:9" x14ac:dyDescent="0.3">
      <c r="E1007" t="s">
        <v>21</v>
      </c>
      <c r="F1007">
        <v>4</v>
      </c>
      <c r="G1007">
        <v>0</v>
      </c>
      <c r="H1007" s="2">
        <v>3.0976000000000004</v>
      </c>
      <c r="I1007" s="2">
        <v>7.04</v>
      </c>
    </row>
    <row r="1008" spans="4:9" x14ac:dyDescent="0.3">
      <c r="E1008" t="s">
        <v>43</v>
      </c>
      <c r="F1008">
        <v>8</v>
      </c>
      <c r="G1008">
        <v>0.2</v>
      </c>
      <c r="H1008" s="2">
        <v>6.2423999999999999</v>
      </c>
      <c r="I1008" s="2">
        <v>18.496000000000002</v>
      </c>
    </row>
    <row r="1009" spans="3:9" x14ac:dyDescent="0.3">
      <c r="E1009" t="s">
        <v>16</v>
      </c>
      <c r="F1009">
        <v>3</v>
      </c>
      <c r="G1009">
        <v>0.2</v>
      </c>
      <c r="H1009" s="2">
        <v>3.4397999999999995</v>
      </c>
      <c r="I1009" s="2">
        <v>10.584000000000001</v>
      </c>
    </row>
    <row r="1010" spans="3:9" x14ac:dyDescent="0.3">
      <c r="C1010" t="s">
        <v>22</v>
      </c>
      <c r="D1010" t="s">
        <v>8</v>
      </c>
      <c r="E1010" t="s">
        <v>23</v>
      </c>
      <c r="F1010">
        <v>18</v>
      </c>
      <c r="G1010">
        <v>0.2</v>
      </c>
      <c r="H1010" s="2">
        <v>201.07129999999995</v>
      </c>
      <c r="I1010" s="2">
        <v>987.86</v>
      </c>
    </row>
    <row r="1011" spans="3:9" x14ac:dyDescent="0.3">
      <c r="E1011" t="s">
        <v>12</v>
      </c>
      <c r="F1011">
        <v>7</v>
      </c>
      <c r="G1011">
        <v>0.4</v>
      </c>
      <c r="H1011" s="2">
        <v>166.61319999999998</v>
      </c>
      <c r="I1011" s="2">
        <v>789.30399999999997</v>
      </c>
    </row>
    <row r="1012" spans="3:9" x14ac:dyDescent="0.3">
      <c r="E1012" t="s">
        <v>19</v>
      </c>
      <c r="F1012">
        <v>10</v>
      </c>
      <c r="G1012">
        <v>0.4</v>
      </c>
      <c r="H1012" s="2">
        <v>7.5975999999999964</v>
      </c>
      <c r="I1012" s="2">
        <v>36.680000000000007</v>
      </c>
    </row>
    <row r="1013" spans="3:9" x14ac:dyDescent="0.3">
      <c r="E1013" t="s">
        <v>20</v>
      </c>
      <c r="F1013">
        <v>20</v>
      </c>
      <c r="G1013">
        <v>2.8</v>
      </c>
      <c r="H1013" s="2">
        <v>14.316600000000001</v>
      </c>
      <c r="I1013" s="2">
        <v>109.55800000000001</v>
      </c>
    </row>
    <row r="1014" spans="3:9" x14ac:dyDescent="0.3">
      <c r="E1014" t="s">
        <v>33</v>
      </c>
      <c r="F1014">
        <v>14</v>
      </c>
      <c r="G1014">
        <v>0.89999999999999991</v>
      </c>
      <c r="H1014" s="2">
        <v>369.72660000000002</v>
      </c>
      <c r="I1014" s="2">
        <v>1847.1179999999999</v>
      </c>
    </row>
    <row r="1015" spans="3:9" x14ac:dyDescent="0.3">
      <c r="E1015" t="s">
        <v>38</v>
      </c>
      <c r="F1015">
        <v>17</v>
      </c>
      <c r="G1015">
        <v>0.2</v>
      </c>
      <c r="H1015" s="2">
        <v>115.38659999999999</v>
      </c>
      <c r="I1015" s="2">
        <v>278.88799999999998</v>
      </c>
    </row>
    <row r="1016" spans="3:9" x14ac:dyDescent="0.3">
      <c r="E1016" t="s">
        <v>18</v>
      </c>
      <c r="F1016">
        <v>5</v>
      </c>
      <c r="G1016">
        <v>0.4</v>
      </c>
      <c r="H1016" s="2">
        <v>2.3126999999999995</v>
      </c>
      <c r="I1016" s="2">
        <v>7.8319999999999999</v>
      </c>
    </row>
    <row r="1017" spans="3:9" x14ac:dyDescent="0.3">
      <c r="E1017" t="s">
        <v>21</v>
      </c>
      <c r="F1017">
        <v>29</v>
      </c>
      <c r="G1017">
        <v>0.8</v>
      </c>
      <c r="H1017" s="2">
        <v>254.10219999999998</v>
      </c>
      <c r="I1017" s="2">
        <v>833.87200000000018</v>
      </c>
    </row>
    <row r="1018" spans="3:9" x14ac:dyDescent="0.3">
      <c r="E1018" t="s">
        <v>43</v>
      </c>
      <c r="F1018">
        <v>2</v>
      </c>
      <c r="G1018">
        <v>0.2</v>
      </c>
      <c r="H1018" s="2">
        <v>1.9925999999999999</v>
      </c>
      <c r="I1018" s="2">
        <v>5.9039999999999999</v>
      </c>
    </row>
    <row r="1019" spans="3:9" x14ac:dyDescent="0.3">
      <c r="E1019" t="s">
        <v>46</v>
      </c>
      <c r="F1019">
        <v>11</v>
      </c>
      <c r="G1019">
        <v>0.7</v>
      </c>
      <c r="H1019" s="2">
        <v>165.80399999999997</v>
      </c>
      <c r="I1019" s="2">
        <v>426.34500000000003</v>
      </c>
    </row>
    <row r="1020" spans="3:9" x14ac:dyDescent="0.3">
      <c r="E1020" t="s">
        <v>16</v>
      </c>
      <c r="F1020">
        <v>29</v>
      </c>
      <c r="G1020">
        <v>0.60000000000000009</v>
      </c>
      <c r="H1020" s="2">
        <v>159.53089999999995</v>
      </c>
      <c r="I1020" s="2">
        <v>371.60599999999999</v>
      </c>
    </row>
    <row r="1021" spans="3:9" x14ac:dyDescent="0.3">
      <c r="E1021" t="s">
        <v>24</v>
      </c>
      <c r="F1021">
        <v>50</v>
      </c>
      <c r="G1021">
        <v>1.6</v>
      </c>
      <c r="H1021" s="2">
        <v>741.06700000000023</v>
      </c>
      <c r="I1021" s="2">
        <v>7187.1920000000009</v>
      </c>
    </row>
    <row r="1022" spans="3:9" x14ac:dyDescent="0.3">
      <c r="E1022" t="s">
        <v>14</v>
      </c>
      <c r="F1022">
        <v>15</v>
      </c>
      <c r="G1022">
        <v>0.4</v>
      </c>
      <c r="H1022" s="2">
        <v>110.37</v>
      </c>
      <c r="I1022" s="2">
        <v>976.55600000000004</v>
      </c>
    </row>
    <row r="1023" spans="3:9" x14ac:dyDescent="0.3">
      <c r="E1023" t="s">
        <v>9</v>
      </c>
      <c r="F1023">
        <v>4</v>
      </c>
      <c r="G1023">
        <v>0.2</v>
      </c>
      <c r="H1023" s="2">
        <v>1.1796000000000002</v>
      </c>
      <c r="I1023" s="2">
        <v>18.752000000000002</v>
      </c>
    </row>
    <row r="1024" spans="3:9" x14ac:dyDescent="0.3">
      <c r="D1024" t="s">
        <v>15</v>
      </c>
      <c r="E1024" t="s">
        <v>23</v>
      </c>
      <c r="F1024">
        <v>17</v>
      </c>
      <c r="G1024">
        <v>0.4</v>
      </c>
      <c r="H1024" s="2">
        <v>88.680399999999977</v>
      </c>
      <c r="I1024" s="2">
        <v>522.68399999999997</v>
      </c>
    </row>
    <row r="1025" spans="4:9" x14ac:dyDescent="0.3">
      <c r="E1025" t="s">
        <v>12</v>
      </c>
      <c r="F1025">
        <v>16</v>
      </c>
      <c r="G1025">
        <v>0.4</v>
      </c>
      <c r="H1025" s="2">
        <v>334.97699999999998</v>
      </c>
      <c r="I1025" s="2">
        <v>982.43799999999999</v>
      </c>
    </row>
    <row r="1026" spans="4:9" x14ac:dyDescent="0.3">
      <c r="E1026" t="s">
        <v>19</v>
      </c>
      <c r="F1026">
        <v>8</v>
      </c>
      <c r="G1026">
        <v>0</v>
      </c>
      <c r="H1026" s="2">
        <v>46.539999999999985</v>
      </c>
      <c r="I1026" s="2">
        <v>147.34</v>
      </c>
    </row>
    <row r="1027" spans="4:9" x14ac:dyDescent="0.3">
      <c r="E1027" t="s">
        <v>20</v>
      </c>
      <c r="F1027">
        <v>36</v>
      </c>
      <c r="G1027">
        <v>2.8</v>
      </c>
      <c r="H1027" s="2">
        <v>778.84179999999992</v>
      </c>
      <c r="I1027" s="2">
        <v>1864.9459999999999</v>
      </c>
    </row>
    <row r="1028" spans="4:9" x14ac:dyDescent="0.3">
      <c r="E1028" t="s">
        <v>34</v>
      </c>
      <c r="F1028">
        <v>5</v>
      </c>
      <c r="G1028">
        <v>0.5</v>
      </c>
      <c r="H1028" s="2">
        <v>-199.61700000000002</v>
      </c>
      <c r="I1028" s="2">
        <v>302.45</v>
      </c>
    </row>
    <row r="1029" spans="4:9" x14ac:dyDescent="0.3">
      <c r="E1029" t="s">
        <v>38</v>
      </c>
      <c r="F1029">
        <v>7</v>
      </c>
      <c r="G1029">
        <v>0</v>
      </c>
      <c r="H1029" s="2">
        <v>94.7239</v>
      </c>
      <c r="I1029" s="2">
        <v>208.55</v>
      </c>
    </row>
    <row r="1030" spans="4:9" x14ac:dyDescent="0.3">
      <c r="E1030" t="s">
        <v>21</v>
      </c>
      <c r="F1030">
        <v>15</v>
      </c>
      <c r="G1030">
        <v>0</v>
      </c>
      <c r="H1030" s="2">
        <v>324.47959999999995</v>
      </c>
      <c r="I1030" s="2">
        <v>675.86</v>
      </c>
    </row>
    <row r="1031" spans="4:9" x14ac:dyDescent="0.3">
      <c r="E1031" t="s">
        <v>43</v>
      </c>
      <c r="F1031">
        <v>3</v>
      </c>
      <c r="G1031">
        <v>0.2</v>
      </c>
      <c r="H1031" s="2">
        <v>4.9139999999999988</v>
      </c>
      <c r="I1031" s="2">
        <v>15.120000000000001</v>
      </c>
    </row>
    <row r="1032" spans="4:9" x14ac:dyDescent="0.3">
      <c r="E1032" t="s">
        <v>16</v>
      </c>
      <c r="F1032">
        <v>42</v>
      </c>
      <c r="G1032">
        <v>0.60000000000000009</v>
      </c>
      <c r="H1032" s="2">
        <v>473.78999999999996</v>
      </c>
      <c r="I1032" s="2">
        <v>1033.8159999999998</v>
      </c>
    </row>
    <row r="1033" spans="4:9" x14ac:dyDescent="0.3">
      <c r="E1033" t="s">
        <v>24</v>
      </c>
      <c r="F1033">
        <v>19</v>
      </c>
      <c r="G1033">
        <v>0.8</v>
      </c>
      <c r="H1033" s="2">
        <v>328.59889999999996</v>
      </c>
      <c r="I1033" s="2">
        <v>1600.2780000000002</v>
      </c>
    </row>
    <row r="1034" spans="4:9" x14ac:dyDescent="0.3">
      <c r="E1034" t="s">
        <v>14</v>
      </c>
      <c r="F1034">
        <v>13</v>
      </c>
      <c r="G1034">
        <v>0.2</v>
      </c>
      <c r="H1034" s="2">
        <v>95.757299999999958</v>
      </c>
      <c r="I1034" s="2">
        <v>919.92200000000003</v>
      </c>
    </row>
    <row r="1035" spans="4:9" x14ac:dyDescent="0.3">
      <c r="E1035" t="s">
        <v>9</v>
      </c>
      <c r="F1035">
        <v>2</v>
      </c>
      <c r="G1035">
        <v>0</v>
      </c>
      <c r="H1035" s="2">
        <v>9.9991999999999948</v>
      </c>
      <c r="I1035" s="2">
        <v>34.479999999999997</v>
      </c>
    </row>
    <row r="1036" spans="4:9" x14ac:dyDescent="0.3">
      <c r="D1036" t="s">
        <v>17</v>
      </c>
      <c r="E1036" t="s">
        <v>23</v>
      </c>
      <c r="F1036">
        <v>2</v>
      </c>
      <c r="G1036">
        <v>0</v>
      </c>
      <c r="H1036" s="2">
        <v>15.1158</v>
      </c>
      <c r="I1036" s="2">
        <v>71.98</v>
      </c>
    </row>
    <row r="1037" spans="4:9" x14ac:dyDescent="0.3">
      <c r="E1037" t="s">
        <v>12</v>
      </c>
      <c r="F1037">
        <v>2</v>
      </c>
      <c r="G1037">
        <v>0</v>
      </c>
      <c r="H1037" s="2">
        <v>56.510999999999996</v>
      </c>
      <c r="I1037" s="2">
        <v>209.3</v>
      </c>
    </row>
    <row r="1038" spans="4:9" x14ac:dyDescent="0.3">
      <c r="E1038" t="s">
        <v>19</v>
      </c>
      <c r="F1038">
        <v>5</v>
      </c>
      <c r="G1038">
        <v>0</v>
      </c>
      <c r="H1038" s="2">
        <v>13.452000000000002</v>
      </c>
      <c r="I1038" s="2">
        <v>35.4</v>
      </c>
    </row>
    <row r="1039" spans="4:9" x14ac:dyDescent="0.3">
      <c r="E1039" t="s">
        <v>20</v>
      </c>
      <c r="F1039">
        <v>22</v>
      </c>
      <c r="G1039">
        <v>2.0999999999999996</v>
      </c>
      <c r="H1039" s="2">
        <v>38.026599999999995</v>
      </c>
      <c r="I1039" s="2">
        <v>144.61699999999999</v>
      </c>
    </row>
    <row r="1040" spans="4:9" x14ac:dyDescent="0.3">
      <c r="E1040" t="s">
        <v>33</v>
      </c>
      <c r="F1040">
        <v>4</v>
      </c>
      <c r="G1040">
        <v>0.6</v>
      </c>
      <c r="H1040" s="2">
        <v>-24.117599999999982</v>
      </c>
      <c r="I1040" s="2">
        <v>562.74399999999991</v>
      </c>
    </row>
    <row r="1041" spans="2:9" x14ac:dyDescent="0.3">
      <c r="E1041" t="s">
        <v>21</v>
      </c>
      <c r="F1041">
        <v>26</v>
      </c>
      <c r="G1041">
        <v>0.4</v>
      </c>
      <c r="H1041" s="2">
        <v>54.531000000000006</v>
      </c>
      <c r="I1041" s="2">
        <v>179.208</v>
      </c>
    </row>
    <row r="1042" spans="2:9" x14ac:dyDescent="0.3">
      <c r="E1042" t="s">
        <v>16</v>
      </c>
      <c r="F1042">
        <v>20</v>
      </c>
      <c r="G1042">
        <v>0.4</v>
      </c>
      <c r="H1042" s="2">
        <v>260.14279999999997</v>
      </c>
      <c r="I1042" s="2">
        <v>667.80399999999997</v>
      </c>
    </row>
    <row r="1043" spans="2:9" x14ac:dyDescent="0.3">
      <c r="E1043" t="s">
        <v>14</v>
      </c>
      <c r="F1043">
        <v>16</v>
      </c>
      <c r="G1043">
        <v>0</v>
      </c>
      <c r="H1043" s="2">
        <v>300.87079999999997</v>
      </c>
      <c r="I1043" s="2">
        <v>1833.2899999999997</v>
      </c>
    </row>
    <row r="1044" spans="2:9" x14ac:dyDescent="0.3">
      <c r="E1044" t="s">
        <v>25</v>
      </c>
      <c r="F1044">
        <v>5</v>
      </c>
      <c r="G1044">
        <v>0.4</v>
      </c>
      <c r="H1044" s="2">
        <v>9.8077999999999861</v>
      </c>
      <c r="I1044" s="2">
        <v>658.11599999999999</v>
      </c>
    </row>
    <row r="1045" spans="2:9" x14ac:dyDescent="0.3">
      <c r="B1045" t="s">
        <v>125</v>
      </c>
      <c r="C1045" t="s">
        <v>11</v>
      </c>
      <c r="D1045" t="s">
        <v>8</v>
      </c>
      <c r="E1045" t="s">
        <v>14</v>
      </c>
      <c r="F1045">
        <v>3</v>
      </c>
      <c r="G1045">
        <v>0.2</v>
      </c>
      <c r="H1045" s="2">
        <v>-32.929200000000002</v>
      </c>
      <c r="I1045" s="2">
        <v>146.352</v>
      </c>
    </row>
    <row r="1046" spans="2:9" x14ac:dyDescent="0.3">
      <c r="B1046" t="s">
        <v>126</v>
      </c>
      <c r="C1046" t="s">
        <v>11</v>
      </c>
      <c r="D1046" t="s">
        <v>8</v>
      </c>
      <c r="E1046" t="s">
        <v>19</v>
      </c>
      <c r="F1046">
        <v>9</v>
      </c>
      <c r="G1046">
        <v>0.2</v>
      </c>
      <c r="H1046" s="2">
        <v>1.7514000000000003</v>
      </c>
      <c r="I1046" s="2">
        <v>20.015999999999998</v>
      </c>
    </row>
    <row r="1047" spans="2:9" x14ac:dyDescent="0.3">
      <c r="E1047" t="s">
        <v>21</v>
      </c>
      <c r="F1047">
        <v>1</v>
      </c>
      <c r="G1047">
        <v>0</v>
      </c>
      <c r="H1047" s="2">
        <v>26.597999999999999</v>
      </c>
      <c r="I1047" s="2">
        <v>102.3</v>
      </c>
    </row>
    <row r="1048" spans="2:9" x14ac:dyDescent="0.3">
      <c r="E1048" t="s">
        <v>16</v>
      </c>
      <c r="F1048">
        <v>3</v>
      </c>
      <c r="G1048">
        <v>0</v>
      </c>
      <c r="H1048" s="2">
        <v>17.22</v>
      </c>
      <c r="I1048" s="2">
        <v>34.44</v>
      </c>
    </row>
    <row r="1049" spans="2:9" x14ac:dyDescent="0.3">
      <c r="E1049" t="s">
        <v>9</v>
      </c>
      <c r="F1049">
        <v>1</v>
      </c>
      <c r="G1049">
        <v>0.2</v>
      </c>
      <c r="H1049" s="2">
        <v>0.34919999999999951</v>
      </c>
      <c r="I1049" s="2">
        <v>3.1040000000000001</v>
      </c>
    </row>
    <row r="1050" spans="2:9" x14ac:dyDescent="0.3">
      <c r="C1050" t="s">
        <v>27</v>
      </c>
      <c r="D1050" t="s">
        <v>8</v>
      </c>
      <c r="E1050" t="s">
        <v>20</v>
      </c>
      <c r="F1050">
        <v>5</v>
      </c>
      <c r="G1050">
        <v>0.2</v>
      </c>
      <c r="H1050" s="2">
        <v>22.155999999999999</v>
      </c>
      <c r="I1050" s="2">
        <v>61.120000000000005</v>
      </c>
    </row>
    <row r="1051" spans="2:9" x14ac:dyDescent="0.3">
      <c r="C1051" t="s">
        <v>7</v>
      </c>
      <c r="D1051" t="s">
        <v>8</v>
      </c>
      <c r="E1051" t="s">
        <v>34</v>
      </c>
      <c r="F1051">
        <v>2</v>
      </c>
      <c r="G1051">
        <v>0.15</v>
      </c>
      <c r="H1051" s="2">
        <v>14.097999999999999</v>
      </c>
      <c r="I1051" s="2">
        <v>239.66599999999997</v>
      </c>
    </row>
    <row r="1052" spans="2:9" x14ac:dyDescent="0.3">
      <c r="E1052" t="s">
        <v>25</v>
      </c>
      <c r="F1052">
        <v>13</v>
      </c>
      <c r="G1052">
        <v>0.4</v>
      </c>
      <c r="H1052" s="2">
        <v>-1862.3124000000003</v>
      </c>
      <c r="I1052" s="2">
        <v>4297.6440000000002</v>
      </c>
    </row>
    <row r="1053" spans="2:9" x14ac:dyDescent="0.3">
      <c r="D1053" t="s">
        <v>15</v>
      </c>
      <c r="E1053" t="s">
        <v>19</v>
      </c>
      <c r="F1053">
        <v>2</v>
      </c>
      <c r="G1053">
        <v>0</v>
      </c>
      <c r="H1053" s="2">
        <v>1.6896</v>
      </c>
      <c r="I1053" s="2">
        <v>3.52</v>
      </c>
    </row>
    <row r="1054" spans="2:9" x14ac:dyDescent="0.3">
      <c r="E1054" t="s">
        <v>20</v>
      </c>
      <c r="F1054">
        <v>4</v>
      </c>
      <c r="G1054">
        <v>0</v>
      </c>
      <c r="H1054" s="2">
        <v>11.0016</v>
      </c>
      <c r="I1054" s="2">
        <v>22.92</v>
      </c>
    </row>
    <row r="1055" spans="2:9" x14ac:dyDescent="0.3">
      <c r="E1055" t="s">
        <v>21</v>
      </c>
      <c r="F1055">
        <v>8</v>
      </c>
      <c r="G1055">
        <v>0</v>
      </c>
      <c r="H1055" s="2">
        <v>101.4504</v>
      </c>
      <c r="I1055" s="2">
        <v>247.44</v>
      </c>
    </row>
    <row r="1056" spans="2:9" x14ac:dyDescent="0.3">
      <c r="E1056" t="s">
        <v>24</v>
      </c>
      <c r="F1056">
        <v>9</v>
      </c>
      <c r="G1056">
        <v>0.2</v>
      </c>
      <c r="H1056" s="2">
        <v>121.96440000000001</v>
      </c>
      <c r="I1056" s="2">
        <v>1626.1920000000002</v>
      </c>
    </row>
    <row r="1057" spans="2:9" x14ac:dyDescent="0.3">
      <c r="E1057" t="s">
        <v>14</v>
      </c>
      <c r="F1057">
        <v>5</v>
      </c>
      <c r="G1057">
        <v>0</v>
      </c>
      <c r="H1057" s="2">
        <v>16.193999999999988</v>
      </c>
      <c r="I1057" s="2">
        <v>269.89999999999998</v>
      </c>
    </row>
    <row r="1058" spans="2:9" x14ac:dyDescent="0.3">
      <c r="D1058" t="s">
        <v>17</v>
      </c>
      <c r="E1058" t="s">
        <v>16</v>
      </c>
      <c r="F1058">
        <v>7</v>
      </c>
      <c r="G1058">
        <v>0</v>
      </c>
      <c r="H1058" s="2">
        <v>84.943599999999989</v>
      </c>
      <c r="I1058" s="2">
        <v>184.66</v>
      </c>
    </row>
    <row r="1059" spans="2:9" x14ac:dyDescent="0.3">
      <c r="C1059" t="s">
        <v>22</v>
      </c>
      <c r="D1059" t="s">
        <v>8</v>
      </c>
      <c r="E1059" t="s">
        <v>20</v>
      </c>
      <c r="F1059">
        <v>2</v>
      </c>
      <c r="G1059">
        <v>0</v>
      </c>
      <c r="H1059" s="2">
        <v>32.251400000000004</v>
      </c>
      <c r="I1059" s="2">
        <v>68.62</v>
      </c>
    </row>
    <row r="1060" spans="2:9" x14ac:dyDescent="0.3">
      <c r="E1060" t="s">
        <v>33</v>
      </c>
      <c r="F1060">
        <v>7</v>
      </c>
      <c r="G1060">
        <v>0.4</v>
      </c>
      <c r="H1060" s="2">
        <v>-24.294000000000018</v>
      </c>
      <c r="I1060" s="2">
        <v>493.48800000000006</v>
      </c>
    </row>
    <row r="1061" spans="2:9" x14ac:dyDescent="0.3">
      <c r="E1061" t="s">
        <v>21</v>
      </c>
      <c r="F1061">
        <v>9</v>
      </c>
      <c r="G1061">
        <v>0.2</v>
      </c>
      <c r="H1061" s="2">
        <v>35.908600000000014</v>
      </c>
      <c r="I1061" s="2">
        <v>359.08600000000007</v>
      </c>
    </row>
    <row r="1062" spans="2:9" x14ac:dyDescent="0.3">
      <c r="E1062" t="s">
        <v>43</v>
      </c>
      <c r="F1062">
        <v>3</v>
      </c>
      <c r="G1062">
        <v>0.2</v>
      </c>
      <c r="H1062" s="2">
        <v>2.0358000000000001</v>
      </c>
      <c r="I1062" s="2">
        <v>6.2640000000000002</v>
      </c>
    </row>
    <row r="1063" spans="2:9" x14ac:dyDescent="0.3">
      <c r="E1063" t="s">
        <v>16</v>
      </c>
      <c r="F1063">
        <v>5</v>
      </c>
      <c r="G1063">
        <v>0.4</v>
      </c>
      <c r="H1063" s="2">
        <v>37.9116</v>
      </c>
      <c r="I1063" s="2">
        <v>105.12</v>
      </c>
    </row>
    <row r="1064" spans="2:9" x14ac:dyDescent="0.3">
      <c r="D1064" t="s">
        <v>17</v>
      </c>
      <c r="E1064" t="s">
        <v>23</v>
      </c>
      <c r="F1064">
        <v>8</v>
      </c>
      <c r="G1064">
        <v>0</v>
      </c>
      <c r="H1064" s="2">
        <v>220.13619999999997</v>
      </c>
      <c r="I1064" s="2">
        <v>801.92</v>
      </c>
    </row>
    <row r="1065" spans="2:9" x14ac:dyDescent="0.3">
      <c r="E1065" t="s">
        <v>19</v>
      </c>
      <c r="F1065">
        <v>6</v>
      </c>
      <c r="G1065">
        <v>0</v>
      </c>
      <c r="H1065" s="2">
        <v>68.363999999999976</v>
      </c>
      <c r="I1065" s="2">
        <v>227.88</v>
      </c>
    </row>
    <row r="1066" spans="2:9" x14ac:dyDescent="0.3">
      <c r="E1066" t="s">
        <v>21</v>
      </c>
      <c r="F1066">
        <v>3</v>
      </c>
      <c r="G1066">
        <v>0</v>
      </c>
      <c r="H1066" s="2">
        <v>64.518000000000001</v>
      </c>
      <c r="I1066" s="2">
        <v>322.59000000000003</v>
      </c>
    </row>
    <row r="1067" spans="2:9" x14ac:dyDescent="0.3">
      <c r="E1067" t="s">
        <v>43</v>
      </c>
      <c r="F1067">
        <v>8</v>
      </c>
      <c r="G1067">
        <v>0</v>
      </c>
      <c r="H1067" s="2">
        <v>11.827199999999999</v>
      </c>
      <c r="I1067" s="2">
        <v>24.64</v>
      </c>
    </row>
    <row r="1068" spans="2:9" x14ac:dyDescent="0.3">
      <c r="E1068" t="s">
        <v>24</v>
      </c>
      <c r="F1068">
        <v>5</v>
      </c>
      <c r="G1068">
        <v>0</v>
      </c>
      <c r="H1068" s="2">
        <v>247.48499999999993</v>
      </c>
      <c r="I1068" s="2">
        <v>824.95</v>
      </c>
    </row>
    <row r="1069" spans="2:9" x14ac:dyDescent="0.3">
      <c r="E1069" t="s">
        <v>14</v>
      </c>
      <c r="F1069">
        <v>5</v>
      </c>
      <c r="G1069">
        <v>0</v>
      </c>
      <c r="H1069" s="2">
        <v>17.523999999999997</v>
      </c>
      <c r="I1069" s="2">
        <v>67.400000000000006</v>
      </c>
    </row>
    <row r="1070" spans="2:9" x14ac:dyDescent="0.3">
      <c r="E1070" t="s">
        <v>9</v>
      </c>
      <c r="F1070">
        <v>3</v>
      </c>
      <c r="G1070">
        <v>0</v>
      </c>
      <c r="H1070" s="2">
        <v>8.0996999999999986</v>
      </c>
      <c r="I1070" s="2">
        <v>27.93</v>
      </c>
    </row>
    <row r="1071" spans="2:9" x14ac:dyDescent="0.3">
      <c r="E1071" t="s">
        <v>25</v>
      </c>
      <c r="F1071">
        <v>1</v>
      </c>
      <c r="G1071">
        <v>0.2</v>
      </c>
      <c r="H1071" s="2">
        <v>2.4897999999999989</v>
      </c>
      <c r="I1071" s="2">
        <v>99.591999999999999</v>
      </c>
    </row>
    <row r="1072" spans="2:9" x14ac:dyDescent="0.3">
      <c r="B1072" t="s">
        <v>127</v>
      </c>
      <c r="C1072" t="s">
        <v>11</v>
      </c>
      <c r="D1072" t="s">
        <v>15</v>
      </c>
      <c r="E1072" t="s">
        <v>14</v>
      </c>
      <c r="F1072">
        <v>9</v>
      </c>
      <c r="G1072">
        <v>0.2</v>
      </c>
      <c r="H1072" s="2">
        <v>6.9794999999999909</v>
      </c>
      <c r="I1072" s="2">
        <v>111.67200000000001</v>
      </c>
    </row>
    <row r="1073" spans="2:9" x14ac:dyDescent="0.3">
      <c r="B1073" t="s">
        <v>128</v>
      </c>
      <c r="C1073" t="s">
        <v>22</v>
      </c>
      <c r="D1073" t="s">
        <v>8</v>
      </c>
      <c r="E1073" t="s">
        <v>25</v>
      </c>
      <c r="F1073">
        <v>2</v>
      </c>
      <c r="G1073">
        <v>0</v>
      </c>
      <c r="H1073" s="2">
        <v>45.293999999999983</v>
      </c>
      <c r="I1073" s="2">
        <v>301.95999999999998</v>
      </c>
    </row>
    <row r="1074" spans="2:9" x14ac:dyDescent="0.3">
      <c r="B1074" t="s">
        <v>129</v>
      </c>
      <c r="C1074" t="s">
        <v>22</v>
      </c>
      <c r="D1074" t="s">
        <v>8</v>
      </c>
      <c r="E1074" t="s">
        <v>24</v>
      </c>
      <c r="F1074">
        <v>3</v>
      </c>
      <c r="G1074">
        <v>0</v>
      </c>
      <c r="H1074" s="2">
        <v>78.951599999999999</v>
      </c>
      <c r="I1074" s="2">
        <v>281.96999999999997</v>
      </c>
    </row>
    <row r="1075" spans="2:9" x14ac:dyDescent="0.3">
      <c r="E1075" t="s">
        <v>14</v>
      </c>
      <c r="F1075">
        <v>4</v>
      </c>
      <c r="G1075">
        <v>0</v>
      </c>
      <c r="H1075" s="2">
        <v>57.501599999999996</v>
      </c>
      <c r="I1075" s="2">
        <v>221.16</v>
      </c>
    </row>
    <row r="1076" spans="2:9" x14ac:dyDescent="0.3">
      <c r="B1076" t="s">
        <v>130</v>
      </c>
      <c r="C1076" t="s">
        <v>11</v>
      </c>
      <c r="D1076" t="s">
        <v>15</v>
      </c>
      <c r="E1076" t="s">
        <v>24</v>
      </c>
      <c r="F1076">
        <v>4</v>
      </c>
      <c r="G1076">
        <v>0.2</v>
      </c>
      <c r="H1076" s="2">
        <v>34.741999999999997</v>
      </c>
      <c r="I1076" s="2">
        <v>95.84</v>
      </c>
    </row>
    <row r="1077" spans="2:9" x14ac:dyDescent="0.3">
      <c r="C1077" t="s">
        <v>22</v>
      </c>
      <c r="D1077" t="s">
        <v>8</v>
      </c>
      <c r="E1077" t="s">
        <v>19</v>
      </c>
      <c r="F1077">
        <v>12</v>
      </c>
      <c r="G1077">
        <v>0.4</v>
      </c>
      <c r="H1077" s="2">
        <v>6.956999999999999</v>
      </c>
      <c r="I1077" s="2">
        <v>23.312000000000005</v>
      </c>
    </row>
    <row r="1078" spans="2:9" x14ac:dyDescent="0.3">
      <c r="E1078" t="s">
        <v>14</v>
      </c>
      <c r="F1078">
        <v>1</v>
      </c>
      <c r="G1078">
        <v>0.2</v>
      </c>
      <c r="H1078" s="2">
        <v>-0.20980000000000043</v>
      </c>
      <c r="I1078" s="2">
        <v>16.784000000000002</v>
      </c>
    </row>
    <row r="1079" spans="2:9" x14ac:dyDescent="0.3">
      <c r="B1079" t="s">
        <v>131</v>
      </c>
      <c r="C1079" t="s">
        <v>22</v>
      </c>
      <c r="D1079" t="s">
        <v>15</v>
      </c>
      <c r="E1079" t="s">
        <v>21</v>
      </c>
      <c r="F1079">
        <v>3</v>
      </c>
      <c r="G1079">
        <v>0.2</v>
      </c>
      <c r="H1079" s="2">
        <v>2.6028000000000011</v>
      </c>
      <c r="I1079" s="2">
        <v>11.568000000000001</v>
      </c>
    </row>
    <row r="1080" spans="2:9" x14ac:dyDescent="0.3">
      <c r="E1080" t="s">
        <v>24</v>
      </c>
      <c r="F1080">
        <v>3</v>
      </c>
      <c r="G1080">
        <v>0.2</v>
      </c>
      <c r="H1080" s="2">
        <v>19.754999999999999</v>
      </c>
      <c r="I1080" s="2">
        <v>52.679999999999993</v>
      </c>
    </row>
    <row r="1081" spans="2:9" x14ac:dyDescent="0.3">
      <c r="B1081" t="s">
        <v>132</v>
      </c>
      <c r="C1081" t="s">
        <v>11</v>
      </c>
      <c r="D1081" t="s">
        <v>8</v>
      </c>
      <c r="E1081" t="s">
        <v>34</v>
      </c>
      <c r="F1081">
        <v>3</v>
      </c>
      <c r="G1081">
        <v>0.2</v>
      </c>
      <c r="H1081" s="2">
        <v>-15.71759999999999</v>
      </c>
      <c r="I1081" s="2">
        <v>314.35199999999998</v>
      </c>
    </row>
    <row r="1082" spans="2:9" x14ac:dyDescent="0.3">
      <c r="E1082" t="s">
        <v>43</v>
      </c>
      <c r="F1082">
        <v>2</v>
      </c>
      <c r="G1082">
        <v>0.2</v>
      </c>
      <c r="H1082" s="2">
        <v>1.4975999999999996</v>
      </c>
      <c r="I1082" s="2">
        <v>4.6079999999999997</v>
      </c>
    </row>
    <row r="1083" spans="2:9" x14ac:dyDescent="0.3">
      <c r="C1083" t="s">
        <v>27</v>
      </c>
      <c r="D1083" t="s">
        <v>15</v>
      </c>
      <c r="E1083" t="s">
        <v>21</v>
      </c>
      <c r="F1083">
        <v>5</v>
      </c>
      <c r="G1083">
        <v>0.4</v>
      </c>
      <c r="H1083" s="2">
        <v>0.45439999999999303</v>
      </c>
      <c r="I1083" s="2">
        <v>71.679999999999993</v>
      </c>
    </row>
    <row r="1084" spans="2:9" x14ac:dyDescent="0.3">
      <c r="E1084" t="s">
        <v>16</v>
      </c>
      <c r="F1084">
        <v>3</v>
      </c>
      <c r="G1084">
        <v>0.2</v>
      </c>
      <c r="H1084" s="2">
        <v>5.4432</v>
      </c>
      <c r="I1084" s="2">
        <v>15.552000000000003</v>
      </c>
    </row>
    <row r="1085" spans="2:9" x14ac:dyDescent="0.3">
      <c r="E1085" t="s">
        <v>14</v>
      </c>
      <c r="F1085">
        <v>2</v>
      </c>
      <c r="G1085">
        <v>0.2</v>
      </c>
      <c r="H1085" s="2">
        <v>2.1588000000000021</v>
      </c>
      <c r="I1085" s="2">
        <v>24.672000000000001</v>
      </c>
    </row>
    <row r="1086" spans="2:9" x14ac:dyDescent="0.3">
      <c r="C1086" t="s">
        <v>22</v>
      </c>
      <c r="D1086" t="s">
        <v>8</v>
      </c>
      <c r="E1086" t="s">
        <v>12</v>
      </c>
      <c r="F1086">
        <v>4</v>
      </c>
      <c r="G1086">
        <v>0.2</v>
      </c>
      <c r="H1086" s="2">
        <v>24.196000000000012</v>
      </c>
      <c r="I1086" s="2">
        <v>387.13600000000002</v>
      </c>
    </row>
    <row r="1087" spans="2:9" x14ac:dyDescent="0.3">
      <c r="D1087" t="s">
        <v>15</v>
      </c>
      <c r="E1087" t="s">
        <v>12</v>
      </c>
      <c r="F1087">
        <v>2</v>
      </c>
      <c r="G1087">
        <v>0.2</v>
      </c>
      <c r="H1087" s="2">
        <v>0.52439999999999998</v>
      </c>
      <c r="I1087" s="2">
        <v>6.9920000000000009</v>
      </c>
    </row>
    <row r="1088" spans="2:9" x14ac:dyDescent="0.3">
      <c r="B1088" t="s">
        <v>133</v>
      </c>
      <c r="C1088" t="s">
        <v>7</v>
      </c>
      <c r="D1088" t="s">
        <v>15</v>
      </c>
      <c r="E1088" t="s">
        <v>20</v>
      </c>
      <c r="F1088">
        <v>2</v>
      </c>
      <c r="G1088">
        <v>0.8</v>
      </c>
      <c r="H1088" s="2">
        <v>-13.683199999999999</v>
      </c>
      <c r="I1088" s="2">
        <v>8.5519999999999978</v>
      </c>
    </row>
    <row r="1089" spans="2:9" x14ac:dyDescent="0.3">
      <c r="E1089" t="s">
        <v>18</v>
      </c>
      <c r="F1089">
        <v>4</v>
      </c>
      <c r="G1089">
        <v>0.2</v>
      </c>
      <c r="H1089" s="2">
        <v>-1.3607999999999998</v>
      </c>
      <c r="I1089" s="2">
        <v>6.048</v>
      </c>
    </row>
    <row r="1090" spans="2:9" x14ac:dyDescent="0.3">
      <c r="E1090" t="s">
        <v>21</v>
      </c>
      <c r="F1090">
        <v>5</v>
      </c>
      <c r="G1090">
        <v>0.6</v>
      </c>
      <c r="H1090" s="2">
        <v>-6.7230000000000008</v>
      </c>
      <c r="I1090" s="2">
        <v>9.9600000000000009</v>
      </c>
    </row>
    <row r="1091" spans="2:9" x14ac:dyDescent="0.3">
      <c r="E1091" t="s">
        <v>16</v>
      </c>
      <c r="F1091">
        <v>2</v>
      </c>
      <c r="G1091">
        <v>0.2</v>
      </c>
      <c r="H1091" s="2">
        <v>2.1399999999999992</v>
      </c>
      <c r="I1091" s="2">
        <v>6.8480000000000008</v>
      </c>
    </row>
    <row r="1092" spans="2:9" x14ac:dyDescent="0.3">
      <c r="D1092" t="s">
        <v>17</v>
      </c>
      <c r="E1092" t="s">
        <v>16</v>
      </c>
      <c r="F1092">
        <v>3</v>
      </c>
      <c r="G1092">
        <v>0.2</v>
      </c>
      <c r="H1092" s="2">
        <v>23.234999999999992</v>
      </c>
      <c r="I1092" s="2">
        <v>74.352000000000004</v>
      </c>
    </row>
    <row r="1093" spans="2:9" x14ac:dyDescent="0.3">
      <c r="C1093" t="s">
        <v>22</v>
      </c>
      <c r="D1093" t="s">
        <v>15</v>
      </c>
      <c r="E1093" t="s">
        <v>19</v>
      </c>
      <c r="F1093">
        <v>7</v>
      </c>
      <c r="G1093">
        <v>0.2</v>
      </c>
      <c r="H1093" s="2">
        <v>1.4406000000000008</v>
      </c>
      <c r="I1093" s="2">
        <v>16.463999999999999</v>
      </c>
    </row>
    <row r="1094" spans="2:9" x14ac:dyDescent="0.3">
      <c r="E1094" t="s">
        <v>21</v>
      </c>
      <c r="F1094">
        <v>10</v>
      </c>
      <c r="G1094">
        <v>1.2</v>
      </c>
      <c r="H1094" s="2">
        <v>-48.778999999999996</v>
      </c>
      <c r="I1094" s="2">
        <v>98.320000000000007</v>
      </c>
    </row>
    <row r="1095" spans="2:9" x14ac:dyDescent="0.3">
      <c r="B1095" t="s">
        <v>134</v>
      </c>
      <c r="C1095" t="s">
        <v>7</v>
      </c>
      <c r="D1095" t="s">
        <v>17</v>
      </c>
      <c r="E1095" t="s">
        <v>23</v>
      </c>
      <c r="F1095">
        <v>3</v>
      </c>
      <c r="G1095">
        <v>0</v>
      </c>
      <c r="H1095" s="2">
        <v>26.39670000000001</v>
      </c>
      <c r="I1095" s="2">
        <v>239.96999999999997</v>
      </c>
    </row>
    <row r="1096" spans="2:9" x14ac:dyDescent="0.3">
      <c r="E1096" t="s">
        <v>21</v>
      </c>
      <c r="F1096">
        <v>3</v>
      </c>
      <c r="G1096">
        <v>0</v>
      </c>
      <c r="H1096" s="2">
        <v>12.831599999999996</v>
      </c>
      <c r="I1096" s="2">
        <v>37.74</v>
      </c>
    </row>
    <row r="1097" spans="2:9" x14ac:dyDescent="0.3">
      <c r="C1097" t="s">
        <v>22</v>
      </c>
      <c r="D1097" t="s">
        <v>8</v>
      </c>
      <c r="E1097" t="s">
        <v>20</v>
      </c>
      <c r="F1097">
        <v>8</v>
      </c>
      <c r="G1097">
        <v>0.2</v>
      </c>
      <c r="H1097" s="2">
        <v>40.370399999999997</v>
      </c>
      <c r="I1097" s="2">
        <v>119.61600000000001</v>
      </c>
    </row>
    <row r="1098" spans="2:9" x14ac:dyDescent="0.3">
      <c r="E1098" t="s">
        <v>33</v>
      </c>
      <c r="F1098">
        <v>2</v>
      </c>
      <c r="G1098">
        <v>0.2</v>
      </c>
      <c r="H1098" s="2">
        <v>18.11760000000001</v>
      </c>
      <c r="I1098" s="2">
        <v>241.56799999999998</v>
      </c>
    </row>
    <row r="1099" spans="2:9" x14ac:dyDescent="0.3">
      <c r="E1099" t="s">
        <v>21</v>
      </c>
      <c r="F1099">
        <v>18</v>
      </c>
      <c r="G1099">
        <v>0</v>
      </c>
      <c r="H1099" s="2">
        <v>133.2022</v>
      </c>
      <c r="I1099" s="2">
        <v>446.23999999999995</v>
      </c>
    </row>
    <row r="1100" spans="2:9" x14ac:dyDescent="0.3">
      <c r="E1100" t="s">
        <v>16</v>
      </c>
      <c r="F1100">
        <v>4</v>
      </c>
      <c r="G1100">
        <v>0</v>
      </c>
      <c r="H1100" s="2">
        <v>13.32</v>
      </c>
      <c r="I1100" s="2">
        <v>29.6</v>
      </c>
    </row>
    <row r="1101" spans="2:9" x14ac:dyDescent="0.3">
      <c r="E1101" t="s">
        <v>24</v>
      </c>
      <c r="F1101">
        <v>2</v>
      </c>
      <c r="G1101">
        <v>0.2</v>
      </c>
      <c r="H1101" s="2">
        <v>19.393200000000007</v>
      </c>
      <c r="I1101" s="2">
        <v>258.57600000000002</v>
      </c>
    </row>
    <row r="1102" spans="2:9" x14ac:dyDescent="0.3">
      <c r="E1102" t="s">
        <v>14</v>
      </c>
      <c r="F1102">
        <v>2</v>
      </c>
      <c r="G1102">
        <v>0</v>
      </c>
      <c r="H1102" s="2">
        <v>33.577200000000005</v>
      </c>
      <c r="I1102" s="2">
        <v>124.36</v>
      </c>
    </row>
    <row r="1103" spans="2:9" x14ac:dyDescent="0.3">
      <c r="B1103" t="s">
        <v>135</v>
      </c>
      <c r="C1103" t="s">
        <v>22</v>
      </c>
      <c r="D1103" t="s">
        <v>8</v>
      </c>
      <c r="E1103" t="s">
        <v>23</v>
      </c>
      <c r="F1103">
        <v>4</v>
      </c>
      <c r="G1103">
        <v>0</v>
      </c>
      <c r="H1103" s="2">
        <v>47.92</v>
      </c>
      <c r="I1103" s="2">
        <v>119.8</v>
      </c>
    </row>
    <row r="1104" spans="2:9" x14ac:dyDescent="0.3">
      <c r="E1104" t="s">
        <v>14</v>
      </c>
      <c r="F1104">
        <v>2</v>
      </c>
      <c r="G1104">
        <v>0</v>
      </c>
      <c r="H1104" s="2">
        <v>6.8767999999999994</v>
      </c>
      <c r="I1104" s="2">
        <v>24.56</v>
      </c>
    </row>
    <row r="1105" spans="2:9" x14ac:dyDescent="0.3">
      <c r="B1105" t="s">
        <v>136</v>
      </c>
      <c r="C1105" t="s">
        <v>7</v>
      </c>
      <c r="D1105" t="s">
        <v>15</v>
      </c>
      <c r="E1105" t="s">
        <v>21</v>
      </c>
      <c r="F1105">
        <v>5</v>
      </c>
      <c r="G1105">
        <v>0</v>
      </c>
      <c r="H1105" s="2">
        <v>13.132000000000001</v>
      </c>
      <c r="I1105" s="2">
        <v>46.900000000000006</v>
      </c>
    </row>
    <row r="1106" spans="2:9" x14ac:dyDescent="0.3">
      <c r="C1106" t="s">
        <v>22</v>
      </c>
      <c r="D1106" t="s">
        <v>17</v>
      </c>
      <c r="E1106" t="s">
        <v>23</v>
      </c>
      <c r="F1106">
        <v>4</v>
      </c>
      <c r="G1106">
        <v>0</v>
      </c>
      <c r="H1106" s="2">
        <v>21</v>
      </c>
      <c r="I1106" s="2">
        <v>100</v>
      </c>
    </row>
    <row r="1107" spans="2:9" x14ac:dyDescent="0.3">
      <c r="E1107" t="s">
        <v>12</v>
      </c>
      <c r="F1107">
        <v>6</v>
      </c>
      <c r="G1107">
        <v>0</v>
      </c>
      <c r="H1107" s="2">
        <v>66.326400000000007</v>
      </c>
      <c r="I1107" s="2">
        <v>236.88</v>
      </c>
    </row>
    <row r="1108" spans="2:9" x14ac:dyDescent="0.3">
      <c r="E1108" t="s">
        <v>16</v>
      </c>
      <c r="F1108">
        <v>5</v>
      </c>
      <c r="G1108">
        <v>0</v>
      </c>
      <c r="H1108" s="2">
        <v>14.651</v>
      </c>
      <c r="I1108" s="2">
        <v>29.900000000000002</v>
      </c>
    </row>
    <row r="1109" spans="2:9" x14ac:dyDescent="0.3">
      <c r="B1109" t="s">
        <v>137</v>
      </c>
      <c r="C1109" t="s">
        <v>11</v>
      </c>
      <c r="D1109" t="s">
        <v>15</v>
      </c>
      <c r="E1109" t="s">
        <v>12</v>
      </c>
      <c r="F1109">
        <v>1</v>
      </c>
      <c r="G1109">
        <v>0</v>
      </c>
      <c r="H1109" s="2">
        <v>0.66599999999999993</v>
      </c>
      <c r="I1109" s="2">
        <v>2.2200000000000002</v>
      </c>
    </row>
    <row r="1110" spans="2:9" x14ac:dyDescent="0.3">
      <c r="E1110" t="s">
        <v>21</v>
      </c>
      <c r="F1110">
        <v>6</v>
      </c>
      <c r="G1110">
        <v>0</v>
      </c>
      <c r="H1110" s="2">
        <v>65.263199999999998</v>
      </c>
      <c r="I1110" s="2">
        <v>245.68</v>
      </c>
    </row>
    <row r="1111" spans="2:9" x14ac:dyDescent="0.3">
      <c r="E1111" t="s">
        <v>16</v>
      </c>
      <c r="F1111">
        <v>8</v>
      </c>
      <c r="G1111">
        <v>0</v>
      </c>
      <c r="H1111" s="2">
        <v>21.285599999999999</v>
      </c>
      <c r="I1111" s="2">
        <v>43.44</v>
      </c>
    </row>
    <row r="1112" spans="2:9" x14ac:dyDescent="0.3">
      <c r="E1112" t="s">
        <v>14</v>
      </c>
      <c r="F1112">
        <v>1</v>
      </c>
      <c r="G1112">
        <v>0</v>
      </c>
      <c r="H1112" s="2">
        <v>11.117599999999999</v>
      </c>
      <c r="I1112" s="2">
        <v>42.76</v>
      </c>
    </row>
    <row r="1113" spans="2:9" x14ac:dyDescent="0.3">
      <c r="E1113" t="s">
        <v>25</v>
      </c>
      <c r="F1113">
        <v>7</v>
      </c>
      <c r="G1113">
        <v>0.6</v>
      </c>
      <c r="H1113" s="2">
        <v>-141.33599999999996</v>
      </c>
      <c r="I1113" s="2">
        <v>878.64</v>
      </c>
    </row>
    <row r="1114" spans="2:9" x14ac:dyDescent="0.3">
      <c r="C1114" t="s">
        <v>7</v>
      </c>
      <c r="D1114" t="s">
        <v>8</v>
      </c>
      <c r="E1114" t="s">
        <v>19</v>
      </c>
      <c r="F1114">
        <v>5</v>
      </c>
      <c r="G1114">
        <v>0</v>
      </c>
      <c r="H1114" s="2">
        <v>18.715000000000003</v>
      </c>
      <c r="I1114" s="2">
        <v>49.25</v>
      </c>
    </row>
    <row r="1115" spans="2:9" x14ac:dyDescent="0.3">
      <c r="E1115" t="s">
        <v>20</v>
      </c>
      <c r="F1115">
        <v>2</v>
      </c>
      <c r="G1115">
        <v>0</v>
      </c>
      <c r="H1115" s="2">
        <v>15.676799999999997</v>
      </c>
      <c r="I1115" s="2">
        <v>34.08</v>
      </c>
    </row>
    <row r="1116" spans="2:9" x14ac:dyDescent="0.3">
      <c r="E1116" t="s">
        <v>33</v>
      </c>
      <c r="F1116">
        <v>5</v>
      </c>
      <c r="G1116">
        <v>0</v>
      </c>
      <c r="H1116" s="2">
        <v>481.46999999999991</v>
      </c>
      <c r="I1116" s="2">
        <v>1604.9</v>
      </c>
    </row>
    <row r="1117" spans="2:9" x14ac:dyDescent="0.3">
      <c r="E1117" t="s">
        <v>21</v>
      </c>
      <c r="F1117">
        <v>5</v>
      </c>
      <c r="G1117">
        <v>0</v>
      </c>
      <c r="H1117" s="2">
        <v>12.055199999999999</v>
      </c>
      <c r="I1117" s="2">
        <v>32.43</v>
      </c>
    </row>
    <row r="1118" spans="2:9" x14ac:dyDescent="0.3">
      <c r="E1118" t="s">
        <v>16</v>
      </c>
      <c r="F1118">
        <v>2</v>
      </c>
      <c r="G1118">
        <v>0</v>
      </c>
      <c r="H1118" s="2">
        <v>4.7751999999999999</v>
      </c>
      <c r="I1118" s="2">
        <v>10.16</v>
      </c>
    </row>
    <row r="1119" spans="2:9" x14ac:dyDescent="0.3">
      <c r="E1119" t="s">
        <v>25</v>
      </c>
      <c r="F1119">
        <v>1</v>
      </c>
      <c r="G1119">
        <v>0.3</v>
      </c>
      <c r="H1119" s="2">
        <v>-60.607800000000026</v>
      </c>
      <c r="I1119" s="2">
        <v>385.68599999999998</v>
      </c>
    </row>
    <row r="1120" spans="2:9" x14ac:dyDescent="0.3">
      <c r="D1120" t="s">
        <v>17</v>
      </c>
      <c r="E1120" t="s">
        <v>14</v>
      </c>
      <c r="F1120">
        <v>6</v>
      </c>
      <c r="G1120">
        <v>0</v>
      </c>
      <c r="H1120" s="2">
        <v>160.03979999999999</v>
      </c>
      <c r="I1120" s="2">
        <v>592.74</v>
      </c>
    </row>
    <row r="1121" spans="2:9" x14ac:dyDescent="0.3">
      <c r="C1121" t="s">
        <v>22</v>
      </c>
      <c r="D1121" t="s">
        <v>8</v>
      </c>
      <c r="E1121" t="s">
        <v>20</v>
      </c>
      <c r="F1121">
        <v>3</v>
      </c>
      <c r="G1121">
        <v>0</v>
      </c>
      <c r="H1121" s="2">
        <v>48.377100000000006</v>
      </c>
      <c r="I1121" s="2">
        <v>102.93</v>
      </c>
    </row>
    <row r="1122" spans="2:9" x14ac:dyDescent="0.3">
      <c r="B1122" t="s">
        <v>138</v>
      </c>
      <c r="C1122" t="s">
        <v>7</v>
      </c>
      <c r="D1122" t="s">
        <v>8</v>
      </c>
      <c r="E1122" t="s">
        <v>20</v>
      </c>
      <c r="F1122">
        <v>3</v>
      </c>
      <c r="G1122">
        <v>0.7</v>
      </c>
      <c r="H1122" s="2">
        <v>-1.4760000000000004</v>
      </c>
      <c r="I1122" s="2">
        <v>2.2140000000000004</v>
      </c>
    </row>
    <row r="1123" spans="2:9" x14ac:dyDescent="0.3">
      <c r="C1123" t="s">
        <v>22</v>
      </c>
      <c r="D1123" t="s">
        <v>8</v>
      </c>
      <c r="E1123" t="s">
        <v>20</v>
      </c>
      <c r="F1123">
        <v>4</v>
      </c>
      <c r="G1123">
        <v>0.7</v>
      </c>
      <c r="H1123" s="2">
        <v>-12.352</v>
      </c>
      <c r="I1123" s="2">
        <v>18.528000000000002</v>
      </c>
    </row>
    <row r="1124" spans="2:9" x14ac:dyDescent="0.3">
      <c r="D1124" t="s">
        <v>15</v>
      </c>
      <c r="E1124" t="s">
        <v>21</v>
      </c>
      <c r="F1124">
        <v>6</v>
      </c>
      <c r="G1124">
        <v>0.2</v>
      </c>
      <c r="H1124" s="2">
        <v>1.2527999999999997</v>
      </c>
      <c r="I1124" s="2">
        <v>8.3520000000000003</v>
      </c>
    </row>
    <row r="1125" spans="2:9" x14ac:dyDescent="0.3">
      <c r="B1125" t="s">
        <v>139</v>
      </c>
      <c r="C1125" t="s">
        <v>11</v>
      </c>
      <c r="D1125" t="s">
        <v>8</v>
      </c>
      <c r="E1125" t="s">
        <v>23</v>
      </c>
      <c r="F1125">
        <v>3</v>
      </c>
      <c r="G1125">
        <v>0.2</v>
      </c>
      <c r="H1125" s="2">
        <v>-13.437900000000006</v>
      </c>
      <c r="I1125" s="2">
        <v>119.44800000000001</v>
      </c>
    </row>
    <row r="1126" spans="2:9" x14ac:dyDescent="0.3">
      <c r="E1126" t="s">
        <v>12</v>
      </c>
      <c r="F1126">
        <v>2</v>
      </c>
      <c r="G1126">
        <v>0.8</v>
      </c>
      <c r="H1126" s="2">
        <v>-54.549600000000012</v>
      </c>
      <c r="I1126" s="2">
        <v>21.391999999999992</v>
      </c>
    </row>
    <row r="1127" spans="2:9" x14ac:dyDescent="0.3">
      <c r="E1127" t="s">
        <v>19</v>
      </c>
      <c r="F1127">
        <v>3</v>
      </c>
      <c r="G1127">
        <v>0.4</v>
      </c>
      <c r="H1127" s="2">
        <v>4.876000000000003</v>
      </c>
      <c r="I1127" s="2">
        <v>50.991999999999997</v>
      </c>
    </row>
    <row r="1128" spans="2:9" x14ac:dyDescent="0.3">
      <c r="E1128" t="s">
        <v>20</v>
      </c>
      <c r="F1128">
        <v>21</v>
      </c>
      <c r="G1128">
        <v>2.4000000000000004</v>
      </c>
      <c r="H1128" s="2">
        <v>-90.852600000000024</v>
      </c>
      <c r="I1128" s="2">
        <v>54.123999999999995</v>
      </c>
    </row>
    <row r="1129" spans="2:9" x14ac:dyDescent="0.3">
      <c r="E1129" t="s">
        <v>34</v>
      </c>
      <c r="F1129">
        <v>5</v>
      </c>
      <c r="G1129">
        <v>0.64</v>
      </c>
      <c r="H1129" s="2">
        <v>-149.3612</v>
      </c>
      <c r="I1129" s="2">
        <v>566.37199999999996</v>
      </c>
    </row>
    <row r="1130" spans="2:9" x14ac:dyDescent="0.3">
      <c r="E1130" t="s">
        <v>24</v>
      </c>
      <c r="F1130">
        <v>2</v>
      </c>
      <c r="G1130">
        <v>0.2</v>
      </c>
      <c r="H1130" s="2">
        <v>12.314399999999999</v>
      </c>
      <c r="I1130" s="2">
        <v>35.183999999999997</v>
      </c>
    </row>
    <row r="1131" spans="2:9" x14ac:dyDescent="0.3">
      <c r="E1131" t="s">
        <v>14</v>
      </c>
      <c r="F1131">
        <v>4</v>
      </c>
      <c r="G1131">
        <v>0.4</v>
      </c>
      <c r="H1131" s="2">
        <v>-5.2849999999999895</v>
      </c>
      <c r="I1131" s="2">
        <v>382.48</v>
      </c>
    </row>
    <row r="1132" spans="2:9" x14ac:dyDescent="0.3">
      <c r="E1132" t="s">
        <v>25</v>
      </c>
      <c r="F1132">
        <v>3</v>
      </c>
      <c r="G1132">
        <v>0.3</v>
      </c>
      <c r="H1132" s="2">
        <v>-39.511800000000036</v>
      </c>
      <c r="I1132" s="2">
        <v>307.31400000000002</v>
      </c>
    </row>
    <row r="1133" spans="2:9" x14ac:dyDescent="0.3">
      <c r="D1133" t="s">
        <v>15</v>
      </c>
      <c r="E1133" t="s">
        <v>23</v>
      </c>
      <c r="F1133">
        <v>2</v>
      </c>
      <c r="G1133">
        <v>0.2</v>
      </c>
      <c r="H1133" s="2">
        <v>-1.4994000000000067</v>
      </c>
      <c r="I1133" s="2">
        <v>39.984000000000002</v>
      </c>
    </row>
    <row r="1134" spans="2:9" x14ac:dyDescent="0.3">
      <c r="E1134" t="s">
        <v>20</v>
      </c>
      <c r="F1134">
        <v>2</v>
      </c>
      <c r="G1134">
        <v>0.8</v>
      </c>
      <c r="H1134" s="2">
        <v>-9.1560000000000006</v>
      </c>
      <c r="I1134" s="2">
        <v>6.1039999999999983</v>
      </c>
    </row>
    <row r="1135" spans="2:9" x14ac:dyDescent="0.3">
      <c r="E1135" t="s">
        <v>43</v>
      </c>
      <c r="F1135">
        <v>4</v>
      </c>
      <c r="G1135">
        <v>0.2</v>
      </c>
      <c r="H1135" s="2">
        <v>5.6955999999999989</v>
      </c>
      <c r="I1135" s="2">
        <v>15.712000000000002</v>
      </c>
    </row>
    <row r="1136" spans="2:9" x14ac:dyDescent="0.3">
      <c r="E1136" t="s">
        <v>16</v>
      </c>
      <c r="F1136">
        <v>9</v>
      </c>
      <c r="G1136">
        <v>0.4</v>
      </c>
      <c r="H1136" s="2">
        <v>42.064799999999998</v>
      </c>
      <c r="I1136" s="2">
        <v>114.59200000000001</v>
      </c>
    </row>
    <row r="1137" spans="3:9" x14ac:dyDescent="0.3">
      <c r="E1137" t="s">
        <v>24</v>
      </c>
      <c r="F1137">
        <v>3</v>
      </c>
      <c r="G1137">
        <v>0.2</v>
      </c>
      <c r="H1137" s="2">
        <v>41.577299999999951</v>
      </c>
      <c r="I1137" s="2">
        <v>369.57600000000002</v>
      </c>
    </row>
    <row r="1138" spans="3:9" x14ac:dyDescent="0.3">
      <c r="E1138" t="s">
        <v>14</v>
      </c>
      <c r="F1138">
        <v>5</v>
      </c>
      <c r="G1138">
        <v>0.2</v>
      </c>
      <c r="H1138" s="2">
        <v>54.056999999999988</v>
      </c>
      <c r="I1138" s="2">
        <v>720.7600000000001</v>
      </c>
    </row>
    <row r="1139" spans="3:9" x14ac:dyDescent="0.3">
      <c r="E1139" t="s">
        <v>25</v>
      </c>
      <c r="F1139">
        <v>1</v>
      </c>
      <c r="G1139">
        <v>0.3</v>
      </c>
      <c r="H1139" s="2">
        <v>-31.033499999999989</v>
      </c>
      <c r="I1139" s="2">
        <v>127.785</v>
      </c>
    </row>
    <row r="1140" spans="3:9" x14ac:dyDescent="0.3">
      <c r="D1140" t="s">
        <v>17</v>
      </c>
      <c r="E1140" t="s">
        <v>38</v>
      </c>
      <c r="F1140">
        <v>4</v>
      </c>
      <c r="G1140">
        <v>0.2</v>
      </c>
      <c r="H1140" s="2">
        <v>35.889999999999986</v>
      </c>
      <c r="I1140" s="2">
        <v>114.84800000000001</v>
      </c>
    </row>
    <row r="1141" spans="3:9" x14ac:dyDescent="0.3">
      <c r="E1141" t="s">
        <v>25</v>
      </c>
      <c r="F1141">
        <v>6</v>
      </c>
      <c r="G1141">
        <v>0.3</v>
      </c>
      <c r="H1141" s="2">
        <v>-4.2588000000000363</v>
      </c>
      <c r="I1141" s="2">
        <v>298.11599999999999</v>
      </c>
    </row>
    <row r="1142" spans="3:9" x14ac:dyDescent="0.3">
      <c r="C1142" t="s">
        <v>27</v>
      </c>
      <c r="D1142" t="s">
        <v>8</v>
      </c>
      <c r="E1142" t="s">
        <v>19</v>
      </c>
      <c r="F1142">
        <v>2</v>
      </c>
      <c r="G1142">
        <v>0.2</v>
      </c>
      <c r="H1142" s="2">
        <v>0.3335999999999999</v>
      </c>
      <c r="I1142" s="2">
        <v>4.4479999999999995</v>
      </c>
    </row>
    <row r="1143" spans="3:9" x14ac:dyDescent="0.3">
      <c r="E1143" t="s">
        <v>21</v>
      </c>
      <c r="F1143">
        <v>8</v>
      </c>
      <c r="G1143">
        <v>1.2</v>
      </c>
      <c r="H1143" s="2">
        <v>-103.74840000000002</v>
      </c>
      <c r="I1143" s="2">
        <v>147.56800000000001</v>
      </c>
    </row>
    <row r="1144" spans="3:9" x14ac:dyDescent="0.3">
      <c r="E1144" t="s">
        <v>16</v>
      </c>
      <c r="F1144">
        <v>5</v>
      </c>
      <c r="G1144">
        <v>0.60000000000000009</v>
      </c>
      <c r="H1144" s="2">
        <v>9.1928000000000001</v>
      </c>
      <c r="I1144" s="2">
        <v>26.080000000000005</v>
      </c>
    </row>
    <row r="1145" spans="3:9" x14ac:dyDescent="0.3">
      <c r="E1145" t="s">
        <v>14</v>
      </c>
      <c r="F1145">
        <v>6</v>
      </c>
      <c r="G1145">
        <v>0.2</v>
      </c>
      <c r="H1145" s="2">
        <v>4.0643999999999973</v>
      </c>
      <c r="I1145" s="2">
        <v>54.192</v>
      </c>
    </row>
    <row r="1146" spans="3:9" x14ac:dyDescent="0.3">
      <c r="E1146" t="s">
        <v>25</v>
      </c>
      <c r="F1146">
        <v>2</v>
      </c>
      <c r="G1146">
        <v>0.3</v>
      </c>
      <c r="H1146" s="2">
        <v>-68.130199999999988</v>
      </c>
      <c r="I1146" s="2">
        <v>251.00599999999997</v>
      </c>
    </row>
    <row r="1147" spans="3:9" x14ac:dyDescent="0.3">
      <c r="D1147" t="s">
        <v>17</v>
      </c>
      <c r="E1147" t="s">
        <v>16</v>
      </c>
      <c r="F1147">
        <v>3</v>
      </c>
      <c r="G1147">
        <v>0.2</v>
      </c>
      <c r="H1147" s="2">
        <v>3.2099999999999982</v>
      </c>
      <c r="I1147" s="2">
        <v>10.272000000000002</v>
      </c>
    </row>
    <row r="1148" spans="3:9" x14ac:dyDescent="0.3">
      <c r="C1148" t="s">
        <v>7</v>
      </c>
      <c r="D1148" t="s">
        <v>8</v>
      </c>
      <c r="E1148" t="s">
        <v>23</v>
      </c>
      <c r="F1148">
        <v>13</v>
      </c>
      <c r="G1148">
        <v>0.8</v>
      </c>
      <c r="H1148" s="2">
        <v>78.155699999999939</v>
      </c>
      <c r="I1148" s="2">
        <v>806.5440000000001</v>
      </c>
    </row>
    <row r="1149" spans="3:9" x14ac:dyDescent="0.3">
      <c r="E1149" t="s">
        <v>12</v>
      </c>
      <c r="F1149">
        <v>2</v>
      </c>
      <c r="G1149">
        <v>0.8</v>
      </c>
      <c r="H1149" s="2">
        <v>-178.96680000000001</v>
      </c>
      <c r="I1149" s="2">
        <v>66.283999999999992</v>
      </c>
    </row>
    <row r="1150" spans="3:9" x14ac:dyDescent="0.3">
      <c r="E1150" t="s">
        <v>19</v>
      </c>
      <c r="F1150">
        <v>6</v>
      </c>
      <c r="G1150">
        <v>0.4</v>
      </c>
      <c r="H1150" s="2">
        <v>2.3732999999999982</v>
      </c>
      <c r="I1150" s="2">
        <v>21.095999999999997</v>
      </c>
    </row>
    <row r="1151" spans="3:9" x14ac:dyDescent="0.3">
      <c r="E1151" t="s">
        <v>20</v>
      </c>
      <c r="F1151">
        <v>1</v>
      </c>
      <c r="G1151">
        <v>0.8</v>
      </c>
      <c r="H1151" s="2">
        <v>-2.8380000000000001</v>
      </c>
      <c r="I1151" s="2">
        <v>1.7199999999999995</v>
      </c>
    </row>
    <row r="1152" spans="3:9" x14ac:dyDescent="0.3">
      <c r="E1152" t="s">
        <v>34</v>
      </c>
      <c r="F1152">
        <v>10</v>
      </c>
      <c r="G1152">
        <v>0.64</v>
      </c>
      <c r="H1152" s="2">
        <v>-443.56000000000023</v>
      </c>
      <c r="I1152" s="2">
        <v>1557.0639999999999</v>
      </c>
    </row>
    <row r="1153" spans="3:9" x14ac:dyDescent="0.3">
      <c r="E1153" t="s">
        <v>18</v>
      </c>
      <c r="F1153">
        <v>7</v>
      </c>
      <c r="G1153">
        <v>0.4</v>
      </c>
      <c r="H1153" s="2">
        <v>4.4983999999999993</v>
      </c>
      <c r="I1153" s="2">
        <v>15.512</v>
      </c>
    </row>
    <row r="1154" spans="3:9" x14ac:dyDescent="0.3">
      <c r="E1154" t="s">
        <v>21</v>
      </c>
      <c r="F1154">
        <v>5</v>
      </c>
      <c r="G1154">
        <v>0.6</v>
      </c>
      <c r="H1154" s="2">
        <v>-19.863999999999997</v>
      </c>
      <c r="I1154" s="2">
        <v>30.560000000000002</v>
      </c>
    </row>
    <row r="1155" spans="3:9" x14ac:dyDescent="0.3">
      <c r="E1155" t="s">
        <v>16</v>
      </c>
      <c r="F1155">
        <v>12</v>
      </c>
      <c r="G1155">
        <v>1</v>
      </c>
      <c r="H1155" s="2">
        <v>49.79679999999999</v>
      </c>
      <c r="I1155" s="2">
        <v>154.68800000000002</v>
      </c>
    </row>
    <row r="1156" spans="3:9" x14ac:dyDescent="0.3">
      <c r="E1156" t="s">
        <v>14</v>
      </c>
      <c r="F1156">
        <v>5</v>
      </c>
      <c r="G1156">
        <v>0.2</v>
      </c>
      <c r="H1156" s="2">
        <v>3.6679999999999993</v>
      </c>
      <c r="I1156" s="2">
        <v>41.92</v>
      </c>
    </row>
    <row r="1157" spans="3:9" x14ac:dyDescent="0.3">
      <c r="D1157" t="s">
        <v>15</v>
      </c>
      <c r="E1157" t="s">
        <v>23</v>
      </c>
      <c r="F1157">
        <v>4</v>
      </c>
      <c r="G1157">
        <v>0.4</v>
      </c>
      <c r="H1157" s="2">
        <v>23.294600000000003</v>
      </c>
      <c r="I1157" s="2">
        <v>79.215999999999994</v>
      </c>
    </row>
    <row r="1158" spans="3:9" x14ac:dyDescent="0.3">
      <c r="E1158" t="s">
        <v>16</v>
      </c>
      <c r="F1158">
        <v>3</v>
      </c>
      <c r="G1158">
        <v>0.2</v>
      </c>
      <c r="H1158" s="2">
        <v>28.706399999999991</v>
      </c>
      <c r="I1158" s="2">
        <v>85.055999999999997</v>
      </c>
    </row>
    <row r="1159" spans="3:9" x14ac:dyDescent="0.3">
      <c r="E1159" t="s">
        <v>24</v>
      </c>
      <c r="F1159">
        <v>7</v>
      </c>
      <c r="G1159">
        <v>0.4</v>
      </c>
      <c r="H1159" s="2">
        <v>84.054599999999937</v>
      </c>
      <c r="I1159" s="2">
        <v>874.34400000000005</v>
      </c>
    </row>
    <row r="1160" spans="3:9" x14ac:dyDescent="0.3">
      <c r="E1160" t="s">
        <v>9</v>
      </c>
      <c r="F1160">
        <v>3</v>
      </c>
      <c r="G1160">
        <v>0.2</v>
      </c>
      <c r="H1160" s="2">
        <v>2.0789999999999997</v>
      </c>
      <c r="I1160" s="2">
        <v>23.76</v>
      </c>
    </row>
    <row r="1161" spans="3:9" x14ac:dyDescent="0.3">
      <c r="D1161" t="s">
        <v>17</v>
      </c>
      <c r="E1161" t="s">
        <v>21</v>
      </c>
      <c r="F1161">
        <v>4</v>
      </c>
      <c r="G1161">
        <v>0.6</v>
      </c>
      <c r="H1161" s="2">
        <v>-12.006399999999999</v>
      </c>
      <c r="I1161" s="2">
        <v>15.008000000000003</v>
      </c>
    </row>
    <row r="1162" spans="3:9" x14ac:dyDescent="0.3">
      <c r="C1162" t="s">
        <v>22</v>
      </c>
      <c r="D1162" t="s">
        <v>8</v>
      </c>
      <c r="E1162" t="s">
        <v>23</v>
      </c>
      <c r="F1162">
        <v>10</v>
      </c>
      <c r="G1162">
        <v>0.4</v>
      </c>
      <c r="H1162" s="2">
        <v>1.1725999999999921</v>
      </c>
      <c r="I1162" s="2">
        <v>98.096000000000004</v>
      </c>
    </row>
    <row r="1163" spans="3:9" x14ac:dyDescent="0.3">
      <c r="E1163" t="s">
        <v>12</v>
      </c>
      <c r="F1163">
        <v>4</v>
      </c>
      <c r="G1163">
        <v>1.6</v>
      </c>
      <c r="H1163" s="2">
        <v>-94.410000000000011</v>
      </c>
      <c r="I1163" s="2">
        <v>40.151999999999987</v>
      </c>
    </row>
    <row r="1164" spans="3:9" x14ac:dyDescent="0.3">
      <c r="E1164" t="s">
        <v>19</v>
      </c>
      <c r="F1164">
        <v>13</v>
      </c>
      <c r="G1164">
        <v>0.8</v>
      </c>
      <c r="H1164" s="2">
        <v>31.04819999999998</v>
      </c>
      <c r="I1164" s="2">
        <v>273.30399999999997</v>
      </c>
    </row>
    <row r="1165" spans="3:9" x14ac:dyDescent="0.3">
      <c r="E1165" t="s">
        <v>20</v>
      </c>
      <c r="F1165">
        <v>32</v>
      </c>
      <c r="G1165">
        <v>5.6</v>
      </c>
      <c r="H1165" s="2">
        <v>-179.38119999999998</v>
      </c>
      <c r="I1165" s="2">
        <v>114.72199999999997</v>
      </c>
    </row>
    <row r="1166" spans="3:9" x14ac:dyDescent="0.3">
      <c r="E1166" t="s">
        <v>18</v>
      </c>
      <c r="F1166">
        <v>7</v>
      </c>
      <c r="G1166">
        <v>0.4</v>
      </c>
      <c r="H1166" s="2">
        <v>-2.8992000000000004</v>
      </c>
      <c r="I1166" s="2">
        <v>19.416</v>
      </c>
    </row>
    <row r="1167" spans="3:9" x14ac:dyDescent="0.3">
      <c r="E1167" t="s">
        <v>21</v>
      </c>
      <c r="F1167">
        <v>13</v>
      </c>
      <c r="G1167">
        <v>1.7999999999999998</v>
      </c>
      <c r="H1167" s="2">
        <v>-142.53960000000004</v>
      </c>
      <c r="I1167" s="2">
        <v>184.63600000000002</v>
      </c>
    </row>
    <row r="1168" spans="3:9" x14ac:dyDescent="0.3">
      <c r="E1168" t="s">
        <v>43</v>
      </c>
      <c r="F1168">
        <v>4</v>
      </c>
      <c r="G1168">
        <v>0.4</v>
      </c>
      <c r="H1168" s="2">
        <v>3.4495999999999993</v>
      </c>
      <c r="I1168" s="2">
        <v>9.8560000000000016</v>
      </c>
    </row>
    <row r="1169" spans="4:9" x14ac:dyDescent="0.3">
      <c r="E1169" t="s">
        <v>16</v>
      </c>
      <c r="F1169">
        <v>10</v>
      </c>
      <c r="G1169">
        <v>0.60000000000000009</v>
      </c>
      <c r="H1169" s="2">
        <v>12.566799999999997</v>
      </c>
      <c r="I1169" s="2">
        <v>35.032000000000004</v>
      </c>
    </row>
    <row r="1170" spans="4:9" x14ac:dyDescent="0.3">
      <c r="E1170" t="s">
        <v>24</v>
      </c>
      <c r="F1170">
        <v>11</v>
      </c>
      <c r="G1170">
        <v>0.4</v>
      </c>
      <c r="H1170" s="2">
        <v>68.912400000000005</v>
      </c>
      <c r="I1170" s="2">
        <v>853.51200000000017</v>
      </c>
    </row>
    <row r="1171" spans="4:9" x14ac:dyDescent="0.3">
      <c r="E1171" t="s">
        <v>14</v>
      </c>
      <c r="F1171">
        <v>13</v>
      </c>
      <c r="G1171">
        <v>1</v>
      </c>
      <c r="H1171" s="2">
        <v>-32.490099999999998</v>
      </c>
      <c r="I1171" s="2">
        <v>1023.936</v>
      </c>
    </row>
    <row r="1172" spans="4:9" x14ac:dyDescent="0.3">
      <c r="E1172" t="s">
        <v>9</v>
      </c>
      <c r="F1172">
        <v>17</v>
      </c>
      <c r="G1172">
        <v>0.8</v>
      </c>
      <c r="H1172" s="2">
        <v>1.1245999999999841</v>
      </c>
      <c r="I1172" s="2">
        <v>162.56</v>
      </c>
    </row>
    <row r="1173" spans="4:9" x14ac:dyDescent="0.3">
      <c r="E1173" t="s">
        <v>25</v>
      </c>
      <c r="F1173">
        <v>4</v>
      </c>
      <c r="G1173">
        <v>0.3</v>
      </c>
      <c r="H1173" s="2">
        <v>-173.34719999999999</v>
      </c>
      <c r="I1173" s="2">
        <v>933.40800000000002</v>
      </c>
    </row>
    <row r="1174" spans="4:9" x14ac:dyDescent="0.3">
      <c r="D1174" t="s">
        <v>15</v>
      </c>
      <c r="E1174" t="s">
        <v>12</v>
      </c>
      <c r="F1174">
        <v>5</v>
      </c>
      <c r="G1174">
        <v>1.6</v>
      </c>
      <c r="H1174" s="2">
        <v>-134.55920000000003</v>
      </c>
      <c r="I1174" s="2">
        <v>53.623999999999988</v>
      </c>
    </row>
    <row r="1175" spans="4:9" x14ac:dyDescent="0.3">
      <c r="E1175" t="s">
        <v>19</v>
      </c>
      <c r="F1175">
        <v>2</v>
      </c>
      <c r="G1175">
        <v>0.2</v>
      </c>
      <c r="H1175" s="2">
        <v>6.1572000000000031</v>
      </c>
      <c r="I1175" s="2">
        <v>70.367999999999995</v>
      </c>
    </row>
    <row r="1176" spans="4:9" x14ac:dyDescent="0.3">
      <c r="E1176" t="s">
        <v>20</v>
      </c>
      <c r="F1176">
        <v>26</v>
      </c>
      <c r="G1176">
        <v>5.6</v>
      </c>
      <c r="H1176" s="2">
        <v>-1196.9652000000001</v>
      </c>
      <c r="I1176" s="2">
        <v>795.28199999999981</v>
      </c>
    </row>
    <row r="1177" spans="4:9" x14ac:dyDescent="0.3">
      <c r="E1177" t="s">
        <v>34</v>
      </c>
      <c r="F1177">
        <v>3</v>
      </c>
      <c r="G1177">
        <v>0.32</v>
      </c>
      <c r="H1177" s="2">
        <v>-27.264600000000016</v>
      </c>
      <c r="I1177" s="2">
        <v>205.99919999999997</v>
      </c>
    </row>
    <row r="1178" spans="4:9" x14ac:dyDescent="0.3">
      <c r="E1178" t="s">
        <v>33</v>
      </c>
      <c r="F1178">
        <v>5</v>
      </c>
      <c r="G1178">
        <v>0.3</v>
      </c>
      <c r="H1178" s="2">
        <v>-93.989999999999952</v>
      </c>
      <c r="I1178" s="2">
        <v>657.93</v>
      </c>
    </row>
    <row r="1179" spans="4:9" x14ac:dyDescent="0.3">
      <c r="E1179" t="s">
        <v>38</v>
      </c>
      <c r="F1179">
        <v>11</v>
      </c>
      <c r="G1179">
        <v>0.8</v>
      </c>
      <c r="H1179" s="2">
        <v>86.174099999999981</v>
      </c>
      <c r="I1179" s="2">
        <v>254.74400000000003</v>
      </c>
    </row>
    <row r="1180" spans="4:9" x14ac:dyDescent="0.3">
      <c r="E1180" t="s">
        <v>21</v>
      </c>
      <c r="F1180">
        <v>17</v>
      </c>
      <c r="G1180">
        <v>1.7999999999999998</v>
      </c>
      <c r="H1180" s="2">
        <v>-431.02890000000002</v>
      </c>
      <c r="I1180" s="2">
        <v>419.56799999999998</v>
      </c>
    </row>
    <row r="1181" spans="4:9" x14ac:dyDescent="0.3">
      <c r="E1181" t="s">
        <v>46</v>
      </c>
      <c r="F1181">
        <v>2</v>
      </c>
      <c r="G1181">
        <v>0.4</v>
      </c>
      <c r="H1181" s="2">
        <v>55.998599999999954</v>
      </c>
      <c r="I1181" s="2">
        <v>479.988</v>
      </c>
    </row>
    <row r="1182" spans="4:9" x14ac:dyDescent="0.3">
      <c r="E1182" t="s">
        <v>16</v>
      </c>
      <c r="F1182">
        <v>31</v>
      </c>
      <c r="G1182">
        <v>1.5999999999999999</v>
      </c>
      <c r="H1182" s="2">
        <v>77.211000000000013</v>
      </c>
      <c r="I1182" s="2">
        <v>213.648</v>
      </c>
    </row>
    <row r="1183" spans="4:9" x14ac:dyDescent="0.3">
      <c r="E1183" t="s">
        <v>24</v>
      </c>
      <c r="F1183">
        <v>17</v>
      </c>
      <c r="G1183">
        <v>0.8</v>
      </c>
      <c r="H1183" s="2">
        <v>158.05819999999994</v>
      </c>
      <c r="I1183" s="2">
        <v>1757.4639999999999</v>
      </c>
    </row>
    <row r="1184" spans="4:9" x14ac:dyDescent="0.3">
      <c r="E1184" t="s">
        <v>14</v>
      </c>
      <c r="F1184">
        <v>22</v>
      </c>
      <c r="G1184">
        <v>0.8</v>
      </c>
      <c r="H1184" s="2">
        <v>14.855400000000007</v>
      </c>
      <c r="I1184" s="2">
        <v>215.71199999999999</v>
      </c>
    </row>
    <row r="1185" spans="2:9" x14ac:dyDescent="0.3">
      <c r="E1185" t="s">
        <v>9</v>
      </c>
      <c r="F1185">
        <v>7</v>
      </c>
      <c r="G1185">
        <v>0.4</v>
      </c>
      <c r="H1185" s="2">
        <v>-6.2911999999999999</v>
      </c>
      <c r="I1185" s="2">
        <v>30.015999999999998</v>
      </c>
    </row>
    <row r="1186" spans="2:9" x14ac:dyDescent="0.3">
      <c r="E1186" t="s">
        <v>25</v>
      </c>
      <c r="F1186">
        <v>1</v>
      </c>
      <c r="G1186">
        <v>0.3</v>
      </c>
      <c r="H1186" s="2">
        <v>-16.261300000000006</v>
      </c>
      <c r="I1186" s="2">
        <v>103.48100000000001</v>
      </c>
    </row>
    <row r="1187" spans="2:9" x14ac:dyDescent="0.3">
      <c r="D1187" t="s">
        <v>17</v>
      </c>
      <c r="E1187" t="s">
        <v>23</v>
      </c>
      <c r="F1187">
        <v>10</v>
      </c>
      <c r="G1187">
        <v>0.60000000000000009</v>
      </c>
      <c r="H1187" s="2">
        <v>136.50869999999995</v>
      </c>
      <c r="I1187" s="2">
        <v>864.62399999999991</v>
      </c>
    </row>
    <row r="1188" spans="2:9" x14ac:dyDescent="0.3">
      <c r="E1188" t="s">
        <v>19</v>
      </c>
      <c r="F1188">
        <v>2</v>
      </c>
      <c r="G1188">
        <v>0.2</v>
      </c>
      <c r="H1188" s="2">
        <v>0.59039999999999915</v>
      </c>
      <c r="I1188" s="2">
        <v>5.2480000000000002</v>
      </c>
    </row>
    <row r="1189" spans="2:9" x14ac:dyDescent="0.3">
      <c r="E1189" t="s">
        <v>20</v>
      </c>
      <c r="F1189">
        <v>29</v>
      </c>
      <c r="G1189">
        <v>4</v>
      </c>
      <c r="H1189" s="2">
        <v>-87.517200000000031</v>
      </c>
      <c r="I1189" s="2">
        <v>56.05599999999999</v>
      </c>
    </row>
    <row r="1190" spans="2:9" x14ac:dyDescent="0.3">
      <c r="E1190" t="s">
        <v>33</v>
      </c>
      <c r="F1190">
        <v>2</v>
      </c>
      <c r="G1190">
        <v>0.3</v>
      </c>
      <c r="H1190" s="2">
        <v>-140.19599999999997</v>
      </c>
      <c r="I1190" s="2">
        <v>981.37199999999996</v>
      </c>
    </row>
    <row r="1191" spans="2:9" x14ac:dyDescent="0.3">
      <c r="E1191" t="s">
        <v>38</v>
      </c>
      <c r="F1191">
        <v>6</v>
      </c>
      <c r="G1191">
        <v>0.60000000000000009</v>
      </c>
      <c r="H1191" s="2">
        <v>55.498999999999995</v>
      </c>
      <c r="I1191" s="2">
        <v>163.04000000000002</v>
      </c>
    </row>
    <row r="1192" spans="2:9" x14ac:dyDescent="0.3">
      <c r="E1192" t="s">
        <v>21</v>
      </c>
      <c r="F1192">
        <v>11</v>
      </c>
      <c r="G1192">
        <v>1.7999999999999998</v>
      </c>
      <c r="H1192" s="2">
        <v>-42.1098</v>
      </c>
      <c r="I1192" s="2">
        <v>62.195999999999998</v>
      </c>
    </row>
    <row r="1193" spans="2:9" x14ac:dyDescent="0.3">
      <c r="E1193" t="s">
        <v>16</v>
      </c>
      <c r="F1193">
        <v>2</v>
      </c>
      <c r="G1193">
        <v>0.2</v>
      </c>
      <c r="H1193" s="2">
        <v>3.7584</v>
      </c>
      <c r="I1193" s="2">
        <v>10.368000000000002</v>
      </c>
    </row>
    <row r="1194" spans="2:9" x14ac:dyDescent="0.3">
      <c r="E1194" t="s">
        <v>24</v>
      </c>
      <c r="F1194">
        <v>8</v>
      </c>
      <c r="G1194">
        <v>0.4</v>
      </c>
      <c r="H1194" s="2">
        <v>36.214800000000025</v>
      </c>
      <c r="I1194" s="2">
        <v>437.536</v>
      </c>
    </row>
    <row r="1195" spans="2:9" x14ac:dyDescent="0.3">
      <c r="E1195" t="s">
        <v>14</v>
      </c>
      <c r="F1195">
        <v>8</v>
      </c>
      <c r="G1195">
        <v>0.60000000000000009</v>
      </c>
      <c r="H1195" s="2">
        <v>28.543399999999952</v>
      </c>
      <c r="I1195" s="2">
        <v>476.43200000000002</v>
      </c>
    </row>
    <row r="1196" spans="2:9" x14ac:dyDescent="0.3">
      <c r="E1196" t="s">
        <v>25</v>
      </c>
      <c r="F1196">
        <v>3</v>
      </c>
      <c r="G1196">
        <v>0.3</v>
      </c>
      <c r="H1196" s="2">
        <v>-84.961500000000029</v>
      </c>
      <c r="I1196" s="2">
        <v>457.4849999999999</v>
      </c>
    </row>
    <row r="1197" spans="2:9" x14ac:dyDescent="0.3">
      <c r="B1197" t="s">
        <v>140</v>
      </c>
      <c r="C1197" t="s">
        <v>22</v>
      </c>
      <c r="D1197" t="s">
        <v>17</v>
      </c>
      <c r="E1197" t="s">
        <v>21</v>
      </c>
      <c r="F1197">
        <v>2</v>
      </c>
      <c r="G1197">
        <v>0</v>
      </c>
      <c r="H1197" s="2">
        <v>9.8856000000000002</v>
      </c>
      <c r="I1197" s="2">
        <v>27.46</v>
      </c>
    </row>
    <row r="1198" spans="2:9" x14ac:dyDescent="0.3">
      <c r="B1198" t="s">
        <v>141</v>
      </c>
      <c r="C1198" t="s">
        <v>7</v>
      </c>
      <c r="D1198" t="s">
        <v>17</v>
      </c>
      <c r="E1198" t="s">
        <v>19</v>
      </c>
      <c r="F1198">
        <v>5</v>
      </c>
      <c r="G1198">
        <v>0</v>
      </c>
      <c r="H1198" s="2">
        <v>4.2240000000000002</v>
      </c>
      <c r="I1198" s="2">
        <v>8.8000000000000007</v>
      </c>
    </row>
    <row r="1199" spans="2:9" x14ac:dyDescent="0.3">
      <c r="E1199" t="s">
        <v>20</v>
      </c>
      <c r="F1199">
        <v>6</v>
      </c>
      <c r="G1199">
        <v>0.2</v>
      </c>
      <c r="H1199" s="2">
        <v>206.62319999999997</v>
      </c>
      <c r="I1199" s="2">
        <v>590.35199999999998</v>
      </c>
    </row>
    <row r="1200" spans="2:9" x14ac:dyDescent="0.3">
      <c r="E1200" t="s">
        <v>38</v>
      </c>
      <c r="F1200">
        <v>7</v>
      </c>
      <c r="G1200">
        <v>0</v>
      </c>
      <c r="H1200" s="2">
        <v>38.29</v>
      </c>
      <c r="I1200" s="2">
        <v>76.58</v>
      </c>
    </row>
    <row r="1201" spans="2:9" x14ac:dyDescent="0.3">
      <c r="E1201" t="s">
        <v>18</v>
      </c>
      <c r="F1201">
        <v>3</v>
      </c>
      <c r="G1201">
        <v>0</v>
      </c>
      <c r="H1201" s="2">
        <v>0.16740000000000022</v>
      </c>
      <c r="I1201" s="2">
        <v>5.58</v>
      </c>
    </row>
    <row r="1202" spans="2:9" x14ac:dyDescent="0.3">
      <c r="E1202" t="s">
        <v>21</v>
      </c>
      <c r="F1202">
        <v>3</v>
      </c>
      <c r="G1202">
        <v>0</v>
      </c>
      <c r="H1202" s="2">
        <v>10.508400000000002</v>
      </c>
      <c r="I1202" s="2">
        <v>25.02</v>
      </c>
    </row>
    <row r="1203" spans="2:9" x14ac:dyDescent="0.3">
      <c r="E1203" t="s">
        <v>14</v>
      </c>
      <c r="F1203">
        <v>7</v>
      </c>
      <c r="G1203">
        <v>0</v>
      </c>
      <c r="H1203" s="2">
        <v>22.627499999999962</v>
      </c>
      <c r="I1203" s="2">
        <v>452.55000000000007</v>
      </c>
    </row>
    <row r="1204" spans="2:9" x14ac:dyDescent="0.3">
      <c r="C1204" t="s">
        <v>22</v>
      </c>
      <c r="D1204" t="s">
        <v>17</v>
      </c>
      <c r="E1204" t="s">
        <v>20</v>
      </c>
      <c r="F1204">
        <v>7</v>
      </c>
      <c r="G1204">
        <v>0.8</v>
      </c>
      <c r="H1204" s="2">
        <v>-69.395200000000031</v>
      </c>
      <c r="I1204" s="2">
        <v>43.371999999999993</v>
      </c>
    </row>
    <row r="1205" spans="2:9" x14ac:dyDescent="0.3">
      <c r="B1205" t="s">
        <v>142</v>
      </c>
      <c r="C1205" t="s">
        <v>22</v>
      </c>
      <c r="D1205" t="s">
        <v>8</v>
      </c>
      <c r="E1205" t="s">
        <v>16</v>
      </c>
      <c r="F1205">
        <v>5</v>
      </c>
      <c r="G1205">
        <v>0</v>
      </c>
      <c r="H1205" s="2">
        <v>15.552000000000001</v>
      </c>
      <c r="I1205" s="2">
        <v>32.400000000000006</v>
      </c>
    </row>
    <row r="1206" spans="2:9" x14ac:dyDescent="0.3">
      <c r="B1206" t="s">
        <v>143</v>
      </c>
      <c r="C1206" t="s">
        <v>22</v>
      </c>
      <c r="D1206" t="s">
        <v>8</v>
      </c>
      <c r="E1206" t="s">
        <v>23</v>
      </c>
      <c r="F1206">
        <v>6</v>
      </c>
      <c r="G1206">
        <v>0.2</v>
      </c>
      <c r="H1206" s="2">
        <v>14.628000000000005</v>
      </c>
      <c r="I1206" s="2">
        <v>50.88</v>
      </c>
    </row>
    <row r="1207" spans="2:9" x14ac:dyDescent="0.3">
      <c r="E1207" t="s">
        <v>19</v>
      </c>
      <c r="F1207">
        <v>1</v>
      </c>
      <c r="G1207">
        <v>0.2</v>
      </c>
      <c r="H1207" s="2">
        <v>0.42639999999999978</v>
      </c>
      <c r="I1207" s="2">
        <v>2.6240000000000001</v>
      </c>
    </row>
    <row r="1208" spans="2:9" x14ac:dyDescent="0.3">
      <c r="E1208" t="s">
        <v>38</v>
      </c>
      <c r="F1208">
        <v>2</v>
      </c>
      <c r="G1208">
        <v>0.2</v>
      </c>
      <c r="H1208" s="2">
        <v>9.2178000000000004</v>
      </c>
      <c r="I1208" s="2">
        <v>27.312000000000001</v>
      </c>
    </row>
    <row r="1209" spans="2:9" x14ac:dyDescent="0.3">
      <c r="E1209" t="s">
        <v>25</v>
      </c>
      <c r="F1209">
        <v>1</v>
      </c>
      <c r="G1209">
        <v>0.45</v>
      </c>
      <c r="H1209" s="2">
        <v>-76.606200000000001</v>
      </c>
      <c r="I1209" s="2">
        <v>191.5155</v>
      </c>
    </row>
    <row r="1210" spans="2:9" x14ac:dyDescent="0.3">
      <c r="B1210" t="s">
        <v>144</v>
      </c>
      <c r="C1210" t="s">
        <v>22</v>
      </c>
      <c r="D1210" t="s">
        <v>15</v>
      </c>
      <c r="E1210" t="s">
        <v>12</v>
      </c>
      <c r="F1210">
        <v>5</v>
      </c>
      <c r="G1210">
        <v>0.1</v>
      </c>
      <c r="H1210" s="2">
        <v>178.90100000000001</v>
      </c>
      <c r="I1210" s="2">
        <v>555.21</v>
      </c>
    </row>
    <row r="1211" spans="2:9" x14ac:dyDescent="0.3">
      <c r="E1211" t="s">
        <v>19</v>
      </c>
      <c r="F1211">
        <v>9</v>
      </c>
      <c r="G1211">
        <v>0</v>
      </c>
      <c r="H1211" s="2">
        <v>46.927799999999984</v>
      </c>
      <c r="I1211" s="2">
        <v>161.82</v>
      </c>
    </row>
    <row r="1212" spans="2:9" x14ac:dyDescent="0.3">
      <c r="E1212" t="s">
        <v>33</v>
      </c>
      <c r="F1212">
        <v>2</v>
      </c>
      <c r="G1212">
        <v>0</v>
      </c>
      <c r="H1212" s="2">
        <v>87.568399999999968</v>
      </c>
      <c r="I1212" s="2">
        <v>301.95999999999998</v>
      </c>
    </row>
    <row r="1213" spans="2:9" x14ac:dyDescent="0.3">
      <c r="E1213" t="s">
        <v>21</v>
      </c>
      <c r="F1213">
        <v>3</v>
      </c>
      <c r="G1213">
        <v>0</v>
      </c>
      <c r="H1213" s="2">
        <v>23.119199999999999</v>
      </c>
      <c r="I1213" s="2">
        <v>60.84</v>
      </c>
    </row>
    <row r="1214" spans="2:9" x14ac:dyDescent="0.3">
      <c r="E1214" t="s">
        <v>14</v>
      </c>
      <c r="F1214">
        <v>4</v>
      </c>
      <c r="G1214">
        <v>0</v>
      </c>
      <c r="H1214" s="2">
        <v>130.87</v>
      </c>
      <c r="I1214" s="2">
        <v>523.48</v>
      </c>
    </row>
    <row r="1215" spans="2:9" x14ac:dyDescent="0.3">
      <c r="B1215" t="s">
        <v>145</v>
      </c>
      <c r="C1215" t="s">
        <v>7</v>
      </c>
      <c r="D1215" t="s">
        <v>8</v>
      </c>
      <c r="E1215" t="s">
        <v>19</v>
      </c>
      <c r="F1215">
        <v>5</v>
      </c>
      <c r="G1215">
        <v>0</v>
      </c>
      <c r="H1215" s="2">
        <v>12.059699999999999</v>
      </c>
      <c r="I1215" s="2">
        <v>40.590000000000003</v>
      </c>
    </row>
    <row r="1216" spans="2:9" x14ac:dyDescent="0.3">
      <c r="E1216" t="s">
        <v>20</v>
      </c>
      <c r="F1216">
        <v>5</v>
      </c>
      <c r="G1216">
        <v>0</v>
      </c>
      <c r="H1216" s="2">
        <v>18.089999999999996</v>
      </c>
      <c r="I1216" s="2">
        <v>40.199999999999996</v>
      </c>
    </row>
    <row r="1217" spans="2:9" x14ac:dyDescent="0.3">
      <c r="E1217" t="s">
        <v>14</v>
      </c>
      <c r="F1217">
        <v>6</v>
      </c>
      <c r="G1217">
        <v>0</v>
      </c>
      <c r="H1217" s="2">
        <v>20.694600000000008</v>
      </c>
      <c r="I1217" s="2">
        <v>689.81999999999994</v>
      </c>
    </row>
    <row r="1218" spans="2:9" x14ac:dyDescent="0.3">
      <c r="C1218" t="s">
        <v>22</v>
      </c>
      <c r="D1218" t="s">
        <v>8</v>
      </c>
      <c r="E1218" t="s">
        <v>23</v>
      </c>
      <c r="F1218">
        <v>2</v>
      </c>
      <c r="G1218">
        <v>0</v>
      </c>
      <c r="H1218" s="2">
        <v>42.991400000000006</v>
      </c>
      <c r="I1218" s="2">
        <v>99.98</v>
      </c>
    </row>
    <row r="1219" spans="2:9" x14ac:dyDescent="0.3">
      <c r="E1219" t="s">
        <v>33</v>
      </c>
      <c r="F1219">
        <v>1</v>
      </c>
      <c r="G1219">
        <v>0</v>
      </c>
      <c r="H1219" s="2">
        <v>47.0548</v>
      </c>
      <c r="I1219" s="2">
        <v>180.98</v>
      </c>
    </row>
    <row r="1220" spans="2:9" x14ac:dyDescent="0.3">
      <c r="B1220" t="s">
        <v>146</v>
      </c>
      <c r="C1220" t="s">
        <v>11</v>
      </c>
      <c r="D1220" t="s">
        <v>8</v>
      </c>
      <c r="E1220" t="s">
        <v>21</v>
      </c>
      <c r="F1220">
        <v>7</v>
      </c>
      <c r="G1220">
        <v>0.6</v>
      </c>
      <c r="H1220" s="2">
        <v>-40.003599999999999</v>
      </c>
      <c r="I1220" s="2">
        <v>61.543999999999997</v>
      </c>
    </row>
    <row r="1221" spans="2:9" x14ac:dyDescent="0.3">
      <c r="E1221" t="s">
        <v>43</v>
      </c>
      <c r="F1221">
        <v>4</v>
      </c>
      <c r="G1221">
        <v>0.2</v>
      </c>
      <c r="H1221" s="2">
        <v>5.1791999999999998</v>
      </c>
      <c r="I1221" s="2">
        <v>15.936000000000002</v>
      </c>
    </row>
    <row r="1222" spans="2:9" x14ac:dyDescent="0.3">
      <c r="E1222" t="s">
        <v>14</v>
      </c>
      <c r="F1222">
        <v>3</v>
      </c>
      <c r="G1222">
        <v>0.2</v>
      </c>
      <c r="H1222" s="2">
        <v>9.9521999999999977</v>
      </c>
      <c r="I1222" s="2">
        <v>132.696</v>
      </c>
    </row>
    <row r="1223" spans="2:9" x14ac:dyDescent="0.3">
      <c r="D1223" t="s">
        <v>15</v>
      </c>
      <c r="E1223" t="s">
        <v>12</v>
      </c>
      <c r="F1223">
        <v>1</v>
      </c>
      <c r="G1223">
        <v>0</v>
      </c>
      <c r="H1223" s="2">
        <v>56.20320000000001</v>
      </c>
      <c r="I1223" s="2">
        <v>208.16</v>
      </c>
    </row>
    <row r="1224" spans="2:9" x14ac:dyDescent="0.3">
      <c r="E1224" t="s">
        <v>20</v>
      </c>
      <c r="F1224">
        <v>3</v>
      </c>
      <c r="G1224">
        <v>0</v>
      </c>
      <c r="H1224" s="2">
        <v>8.0351999999999997</v>
      </c>
      <c r="I1224" s="2">
        <v>16.740000000000002</v>
      </c>
    </row>
    <row r="1225" spans="2:9" x14ac:dyDescent="0.3">
      <c r="E1225" t="s">
        <v>14</v>
      </c>
      <c r="F1225">
        <v>8</v>
      </c>
      <c r="G1225">
        <v>0.4</v>
      </c>
      <c r="H1225" s="2">
        <v>7.6296000000000035</v>
      </c>
      <c r="I1225" s="2">
        <v>101.72800000000001</v>
      </c>
    </row>
    <row r="1226" spans="2:9" x14ac:dyDescent="0.3">
      <c r="C1226" t="s">
        <v>7</v>
      </c>
      <c r="D1226" t="s">
        <v>8</v>
      </c>
      <c r="E1226" t="s">
        <v>23</v>
      </c>
      <c r="F1226">
        <v>6</v>
      </c>
      <c r="G1226">
        <v>0.2</v>
      </c>
      <c r="H1226" s="2">
        <v>89.990999999999985</v>
      </c>
      <c r="I1226" s="2">
        <v>479.952</v>
      </c>
    </row>
    <row r="1227" spans="2:9" x14ac:dyDescent="0.3">
      <c r="D1227" t="s">
        <v>15</v>
      </c>
      <c r="E1227" t="s">
        <v>23</v>
      </c>
      <c r="F1227">
        <v>7</v>
      </c>
      <c r="G1227">
        <v>0.2</v>
      </c>
      <c r="H1227" s="2">
        <v>76.639499999999984</v>
      </c>
      <c r="I1227" s="2">
        <v>408.74399999999997</v>
      </c>
    </row>
    <row r="1228" spans="2:9" x14ac:dyDescent="0.3">
      <c r="E1228" t="s">
        <v>14</v>
      </c>
      <c r="F1228">
        <v>2</v>
      </c>
      <c r="G1228">
        <v>0.2</v>
      </c>
      <c r="H1228" s="2">
        <v>1.8612000000000002</v>
      </c>
      <c r="I1228" s="2">
        <v>24.816000000000003</v>
      </c>
    </row>
    <row r="1229" spans="2:9" x14ac:dyDescent="0.3">
      <c r="C1229" t="s">
        <v>22</v>
      </c>
      <c r="D1229" t="s">
        <v>8</v>
      </c>
      <c r="E1229" t="s">
        <v>23</v>
      </c>
      <c r="F1229">
        <v>8</v>
      </c>
      <c r="G1229">
        <v>0</v>
      </c>
      <c r="H1229" s="2">
        <v>23.99199999999999</v>
      </c>
      <c r="I1229" s="2">
        <v>239.92</v>
      </c>
    </row>
    <row r="1230" spans="2:9" x14ac:dyDescent="0.3">
      <c r="E1230" t="s">
        <v>19</v>
      </c>
      <c r="F1230">
        <v>6</v>
      </c>
      <c r="G1230">
        <v>0.2</v>
      </c>
      <c r="H1230" s="2">
        <v>3.5039999999999996</v>
      </c>
      <c r="I1230" s="2">
        <v>28.031999999999996</v>
      </c>
    </row>
    <row r="1231" spans="2:9" x14ac:dyDescent="0.3">
      <c r="E1231" t="s">
        <v>33</v>
      </c>
      <c r="F1231">
        <v>11</v>
      </c>
      <c r="G1231">
        <v>1.2</v>
      </c>
      <c r="H1231" s="2">
        <v>-143.97540000000015</v>
      </c>
      <c r="I1231" s="2">
        <v>1576.491</v>
      </c>
    </row>
    <row r="1232" spans="2:9" x14ac:dyDescent="0.3">
      <c r="E1232" t="s">
        <v>38</v>
      </c>
      <c r="F1232">
        <v>2</v>
      </c>
      <c r="G1232">
        <v>0.2</v>
      </c>
      <c r="H1232" s="2">
        <v>3.3479999999999999</v>
      </c>
      <c r="I1232" s="2">
        <v>8.9280000000000008</v>
      </c>
    </row>
    <row r="1233" spans="2:9" x14ac:dyDescent="0.3">
      <c r="E1233" t="s">
        <v>18</v>
      </c>
      <c r="F1233">
        <v>2</v>
      </c>
      <c r="G1233">
        <v>0.2</v>
      </c>
      <c r="H1233" s="2">
        <v>6.1991999999999994</v>
      </c>
      <c r="I1233" s="2">
        <v>18.368000000000002</v>
      </c>
    </row>
    <row r="1234" spans="2:9" x14ac:dyDescent="0.3">
      <c r="E1234" t="s">
        <v>21</v>
      </c>
      <c r="F1234">
        <v>4</v>
      </c>
      <c r="G1234">
        <v>1.2</v>
      </c>
      <c r="H1234" s="2">
        <v>-16.479299999999995</v>
      </c>
      <c r="I1234" s="2">
        <v>39.756</v>
      </c>
    </row>
    <row r="1235" spans="2:9" x14ac:dyDescent="0.3">
      <c r="E1235" t="s">
        <v>43</v>
      </c>
      <c r="F1235">
        <v>3</v>
      </c>
      <c r="G1235">
        <v>0</v>
      </c>
      <c r="H1235" s="2">
        <v>6.8723999999999998</v>
      </c>
      <c r="I1235" s="2">
        <v>14.940000000000001</v>
      </c>
    </row>
    <row r="1236" spans="2:9" x14ac:dyDescent="0.3">
      <c r="E1236" t="s">
        <v>16</v>
      </c>
      <c r="F1236">
        <v>6</v>
      </c>
      <c r="G1236">
        <v>0.4</v>
      </c>
      <c r="H1236" s="2">
        <v>10.333600000000001</v>
      </c>
      <c r="I1236" s="2">
        <v>28.864000000000004</v>
      </c>
    </row>
    <row r="1237" spans="2:9" x14ac:dyDescent="0.3">
      <c r="E1237" t="s">
        <v>24</v>
      </c>
      <c r="F1237">
        <v>3</v>
      </c>
      <c r="G1237">
        <v>0</v>
      </c>
      <c r="H1237" s="2">
        <v>46.581000000000003</v>
      </c>
      <c r="I1237" s="2">
        <v>180.93</v>
      </c>
    </row>
    <row r="1238" spans="2:9" x14ac:dyDescent="0.3">
      <c r="E1238" t="s">
        <v>14</v>
      </c>
      <c r="F1238">
        <v>3</v>
      </c>
      <c r="G1238">
        <v>0.2</v>
      </c>
      <c r="H1238" s="2">
        <v>-8.1822000000000052</v>
      </c>
      <c r="I1238" s="2">
        <v>50.352000000000004</v>
      </c>
    </row>
    <row r="1239" spans="2:9" x14ac:dyDescent="0.3">
      <c r="D1239" t="s">
        <v>15</v>
      </c>
      <c r="E1239" t="s">
        <v>23</v>
      </c>
      <c r="F1239">
        <v>5</v>
      </c>
      <c r="G1239">
        <v>0</v>
      </c>
      <c r="H1239" s="2">
        <v>184.26</v>
      </c>
      <c r="I1239" s="2">
        <v>498</v>
      </c>
    </row>
    <row r="1240" spans="2:9" x14ac:dyDescent="0.3">
      <c r="E1240" t="s">
        <v>19</v>
      </c>
      <c r="F1240">
        <v>6</v>
      </c>
      <c r="G1240">
        <v>0</v>
      </c>
      <c r="H1240" s="2">
        <v>6.9384000000000006</v>
      </c>
      <c r="I1240" s="2">
        <v>24.78</v>
      </c>
    </row>
    <row r="1241" spans="2:9" x14ac:dyDescent="0.3">
      <c r="E1241" t="s">
        <v>20</v>
      </c>
      <c r="F1241">
        <v>6</v>
      </c>
      <c r="G1241">
        <v>0.8</v>
      </c>
      <c r="H1241" s="2">
        <v>-311.43510000000015</v>
      </c>
      <c r="I1241" s="2">
        <v>202.13399999999996</v>
      </c>
    </row>
    <row r="1242" spans="2:9" x14ac:dyDescent="0.3">
      <c r="E1242" t="s">
        <v>45</v>
      </c>
      <c r="F1242">
        <v>3</v>
      </c>
      <c r="G1242">
        <v>0</v>
      </c>
      <c r="H1242" s="2">
        <v>314.98950000000002</v>
      </c>
      <c r="I1242" s="2">
        <v>899.97</v>
      </c>
    </row>
    <row r="1243" spans="2:9" x14ac:dyDescent="0.3">
      <c r="E1243" t="s">
        <v>16</v>
      </c>
      <c r="F1243">
        <v>12</v>
      </c>
      <c r="G1243">
        <v>0.2</v>
      </c>
      <c r="H1243" s="2">
        <v>30.482800000000001</v>
      </c>
      <c r="I1243" s="2">
        <v>66.592000000000013</v>
      </c>
    </row>
    <row r="1244" spans="2:9" x14ac:dyDescent="0.3">
      <c r="E1244" t="s">
        <v>25</v>
      </c>
      <c r="F1244">
        <v>8</v>
      </c>
      <c r="G1244">
        <v>0</v>
      </c>
      <c r="H1244" s="2">
        <v>316.13920000000007</v>
      </c>
      <c r="I1244" s="2">
        <v>1215.92</v>
      </c>
    </row>
    <row r="1245" spans="2:9" x14ac:dyDescent="0.3">
      <c r="B1245" t="s">
        <v>147</v>
      </c>
      <c r="C1245" t="s">
        <v>11</v>
      </c>
      <c r="D1245" t="s">
        <v>15</v>
      </c>
      <c r="E1245" t="s">
        <v>20</v>
      </c>
      <c r="F1245">
        <v>6</v>
      </c>
      <c r="G1245">
        <v>0.8</v>
      </c>
      <c r="H1245" s="2">
        <v>-10.385999999999999</v>
      </c>
      <c r="I1245" s="2">
        <v>6.9239999999999977</v>
      </c>
    </row>
    <row r="1246" spans="2:9" x14ac:dyDescent="0.3">
      <c r="B1246" t="s">
        <v>148</v>
      </c>
      <c r="C1246" t="s">
        <v>11</v>
      </c>
      <c r="D1246" t="s">
        <v>8</v>
      </c>
      <c r="E1246" t="s">
        <v>43</v>
      </c>
      <c r="F1246">
        <v>3</v>
      </c>
      <c r="G1246">
        <v>0.2</v>
      </c>
      <c r="H1246" s="2">
        <v>3.2213999999999996</v>
      </c>
      <c r="I1246" s="2">
        <v>9.9120000000000008</v>
      </c>
    </row>
    <row r="1247" spans="2:9" x14ac:dyDescent="0.3">
      <c r="C1247" t="s">
        <v>7</v>
      </c>
      <c r="D1247" t="s">
        <v>15</v>
      </c>
      <c r="E1247" t="s">
        <v>23</v>
      </c>
      <c r="F1247">
        <v>2</v>
      </c>
      <c r="G1247">
        <v>0.2</v>
      </c>
      <c r="H1247" s="2">
        <v>11.98</v>
      </c>
      <c r="I1247" s="2">
        <v>47.92</v>
      </c>
    </row>
    <row r="1248" spans="2:9" x14ac:dyDescent="0.3">
      <c r="E1248" t="s">
        <v>14</v>
      </c>
      <c r="F1248">
        <v>6</v>
      </c>
      <c r="G1248">
        <v>0.2</v>
      </c>
      <c r="H1248" s="2">
        <v>13.852799999999995</v>
      </c>
      <c r="I1248" s="2">
        <v>184.70400000000001</v>
      </c>
    </row>
    <row r="1249" spans="2:9" x14ac:dyDescent="0.3">
      <c r="B1249" t="s">
        <v>149</v>
      </c>
      <c r="C1249" t="s">
        <v>22</v>
      </c>
      <c r="D1249" t="s">
        <v>8</v>
      </c>
      <c r="E1249" t="s">
        <v>33</v>
      </c>
      <c r="F1249">
        <v>4</v>
      </c>
      <c r="G1249">
        <v>0.2</v>
      </c>
      <c r="H1249" s="2">
        <v>13.972799999999999</v>
      </c>
      <c r="I1249" s="2">
        <v>186.304</v>
      </c>
    </row>
    <row r="1250" spans="2:9" x14ac:dyDescent="0.3">
      <c r="E1250" t="s">
        <v>24</v>
      </c>
      <c r="F1250">
        <v>3</v>
      </c>
      <c r="G1250">
        <v>0.2</v>
      </c>
      <c r="H1250" s="2">
        <v>37.791599999999988</v>
      </c>
      <c r="I1250" s="2">
        <v>107.97600000000001</v>
      </c>
    </row>
    <row r="1251" spans="2:9" x14ac:dyDescent="0.3">
      <c r="D1251" t="s">
        <v>15</v>
      </c>
      <c r="E1251" t="s">
        <v>20</v>
      </c>
      <c r="F1251">
        <v>6</v>
      </c>
      <c r="G1251">
        <v>0.7</v>
      </c>
      <c r="H1251" s="2">
        <v>-3.6288</v>
      </c>
      <c r="I1251" s="2">
        <v>5.1840000000000011</v>
      </c>
    </row>
    <row r="1252" spans="2:9" x14ac:dyDescent="0.3">
      <c r="E1252" t="s">
        <v>24</v>
      </c>
      <c r="F1252">
        <v>2</v>
      </c>
      <c r="G1252">
        <v>0.2</v>
      </c>
      <c r="H1252" s="2">
        <v>71.989999999999981</v>
      </c>
      <c r="I1252" s="2">
        <v>575.91999999999996</v>
      </c>
    </row>
    <row r="1253" spans="2:9" x14ac:dyDescent="0.3">
      <c r="D1253" t="s">
        <v>17</v>
      </c>
      <c r="E1253" t="s">
        <v>19</v>
      </c>
      <c r="F1253">
        <v>4</v>
      </c>
      <c r="G1253">
        <v>0.2</v>
      </c>
      <c r="H1253" s="2">
        <v>2.0087999999999973</v>
      </c>
      <c r="I1253" s="2">
        <v>17.856000000000002</v>
      </c>
    </row>
    <row r="1254" spans="2:9" x14ac:dyDescent="0.3">
      <c r="B1254" t="s">
        <v>150</v>
      </c>
      <c r="C1254" t="s">
        <v>11</v>
      </c>
      <c r="D1254" t="s">
        <v>8</v>
      </c>
      <c r="E1254" t="s">
        <v>12</v>
      </c>
      <c r="F1254">
        <v>1</v>
      </c>
      <c r="G1254">
        <v>0.2</v>
      </c>
      <c r="H1254" s="2">
        <v>0.29249999999999987</v>
      </c>
      <c r="I1254" s="2">
        <v>2.6</v>
      </c>
    </row>
    <row r="1255" spans="2:9" x14ac:dyDescent="0.3">
      <c r="E1255" t="s">
        <v>16</v>
      </c>
      <c r="F1255">
        <v>2</v>
      </c>
      <c r="G1255">
        <v>0.2</v>
      </c>
      <c r="H1255" s="2">
        <v>31.068799999999996</v>
      </c>
      <c r="I1255" s="2">
        <v>88.768000000000001</v>
      </c>
    </row>
    <row r="1256" spans="2:9" x14ac:dyDescent="0.3">
      <c r="E1256" t="s">
        <v>25</v>
      </c>
      <c r="F1256">
        <v>2</v>
      </c>
      <c r="G1256">
        <v>0.5</v>
      </c>
      <c r="H1256" s="2">
        <v>-161.875</v>
      </c>
      <c r="I1256" s="2">
        <v>218.75</v>
      </c>
    </row>
    <row r="1257" spans="2:9" x14ac:dyDescent="0.3">
      <c r="D1257" t="s">
        <v>15</v>
      </c>
      <c r="E1257" t="s">
        <v>34</v>
      </c>
      <c r="F1257">
        <v>3</v>
      </c>
      <c r="G1257">
        <v>0.7</v>
      </c>
      <c r="H1257" s="2">
        <v>-190.85220000000004</v>
      </c>
      <c r="I1257" s="2">
        <v>90.882000000000005</v>
      </c>
    </row>
    <row r="1258" spans="2:9" x14ac:dyDescent="0.3">
      <c r="E1258" t="s">
        <v>33</v>
      </c>
      <c r="F1258">
        <v>1</v>
      </c>
      <c r="G1258">
        <v>0.2</v>
      </c>
      <c r="H1258" s="2">
        <v>13.588199999999986</v>
      </c>
      <c r="I1258" s="2">
        <v>120.78399999999999</v>
      </c>
    </row>
    <row r="1259" spans="2:9" x14ac:dyDescent="0.3">
      <c r="E1259" t="s">
        <v>24</v>
      </c>
      <c r="F1259">
        <v>1</v>
      </c>
      <c r="G1259">
        <v>0.2</v>
      </c>
      <c r="H1259" s="2">
        <v>-2.9985000000000022</v>
      </c>
      <c r="I1259" s="2">
        <v>15.991999999999999</v>
      </c>
    </row>
    <row r="1260" spans="2:9" x14ac:dyDescent="0.3">
      <c r="D1260" t="s">
        <v>17</v>
      </c>
      <c r="E1260" t="s">
        <v>23</v>
      </c>
      <c r="F1260">
        <v>2</v>
      </c>
      <c r="G1260">
        <v>0.2</v>
      </c>
      <c r="H1260" s="2">
        <v>13.562599999999998</v>
      </c>
      <c r="I1260" s="2">
        <v>63.824000000000005</v>
      </c>
    </row>
    <row r="1261" spans="2:9" x14ac:dyDescent="0.3">
      <c r="C1261" t="s">
        <v>27</v>
      </c>
      <c r="D1261" t="s">
        <v>15</v>
      </c>
      <c r="E1261" t="s">
        <v>33</v>
      </c>
      <c r="F1261">
        <v>8</v>
      </c>
      <c r="G1261">
        <v>0.2</v>
      </c>
      <c r="H1261" s="2">
        <v>-29.116799999999955</v>
      </c>
      <c r="I1261" s="2">
        <v>582.33600000000001</v>
      </c>
    </row>
    <row r="1262" spans="2:9" x14ac:dyDescent="0.3">
      <c r="C1262" t="s">
        <v>7</v>
      </c>
      <c r="D1262" t="s">
        <v>15</v>
      </c>
      <c r="E1262" t="s">
        <v>45</v>
      </c>
      <c r="F1262">
        <v>1</v>
      </c>
      <c r="G1262">
        <v>0.2</v>
      </c>
      <c r="H1262" s="2">
        <v>164.99700000000001</v>
      </c>
      <c r="I1262" s="2">
        <v>439.99200000000002</v>
      </c>
    </row>
    <row r="1263" spans="2:9" x14ac:dyDescent="0.3">
      <c r="E1263" t="s">
        <v>21</v>
      </c>
      <c r="F1263">
        <v>4</v>
      </c>
      <c r="G1263">
        <v>0.2</v>
      </c>
      <c r="H1263" s="2">
        <v>3.6783999999999999</v>
      </c>
      <c r="I1263" s="2">
        <v>15.488</v>
      </c>
    </row>
    <row r="1264" spans="2:9" x14ac:dyDescent="0.3">
      <c r="E1264" t="s">
        <v>46</v>
      </c>
      <c r="F1264">
        <v>2</v>
      </c>
      <c r="G1264">
        <v>0.7</v>
      </c>
      <c r="H1264" s="2">
        <v>-45.995400000000004</v>
      </c>
      <c r="I1264" s="2">
        <v>59.994000000000007</v>
      </c>
    </row>
    <row r="1265" spans="3:9" x14ac:dyDescent="0.3">
      <c r="E1265" t="s">
        <v>24</v>
      </c>
      <c r="F1265">
        <v>5</v>
      </c>
      <c r="G1265">
        <v>0.2</v>
      </c>
      <c r="H1265" s="2">
        <v>30.785999999999998</v>
      </c>
      <c r="I1265" s="2">
        <v>87.96</v>
      </c>
    </row>
    <row r="1266" spans="3:9" x14ac:dyDescent="0.3">
      <c r="C1266" t="s">
        <v>22</v>
      </c>
      <c r="D1266" t="s">
        <v>8</v>
      </c>
      <c r="E1266" t="s">
        <v>23</v>
      </c>
      <c r="F1266">
        <v>9</v>
      </c>
      <c r="G1266">
        <v>0.2</v>
      </c>
      <c r="H1266" s="2">
        <v>64.789199999999951</v>
      </c>
      <c r="I1266" s="2">
        <v>431.92800000000005</v>
      </c>
    </row>
    <row r="1267" spans="3:9" x14ac:dyDescent="0.3">
      <c r="E1267" t="s">
        <v>12</v>
      </c>
      <c r="F1267">
        <v>3</v>
      </c>
      <c r="G1267">
        <v>0.2</v>
      </c>
      <c r="H1267" s="2">
        <v>3.5045999999999964</v>
      </c>
      <c r="I1267" s="2">
        <v>31.152000000000001</v>
      </c>
    </row>
    <row r="1268" spans="3:9" x14ac:dyDescent="0.3">
      <c r="E1268" t="s">
        <v>19</v>
      </c>
      <c r="F1268">
        <v>7</v>
      </c>
      <c r="G1268">
        <v>0.4</v>
      </c>
      <c r="H1268" s="2">
        <v>13.673999999999994</v>
      </c>
      <c r="I1268" s="2">
        <v>126.34400000000001</v>
      </c>
    </row>
    <row r="1269" spans="3:9" x14ac:dyDescent="0.3">
      <c r="E1269" t="s">
        <v>20</v>
      </c>
      <c r="F1269">
        <v>7</v>
      </c>
      <c r="G1269">
        <v>0.7</v>
      </c>
      <c r="H1269" s="2">
        <v>-4.7480999999999973</v>
      </c>
      <c r="I1269" s="2">
        <v>6.7830000000000004</v>
      </c>
    </row>
    <row r="1270" spans="3:9" x14ac:dyDescent="0.3">
      <c r="E1270" t="s">
        <v>21</v>
      </c>
      <c r="F1270">
        <v>3</v>
      </c>
      <c r="G1270">
        <v>0.2</v>
      </c>
      <c r="H1270" s="2">
        <v>1.2672000000000003</v>
      </c>
      <c r="I1270" s="2">
        <v>4.2240000000000002</v>
      </c>
    </row>
    <row r="1271" spans="3:9" x14ac:dyDescent="0.3">
      <c r="E1271" t="s">
        <v>16</v>
      </c>
      <c r="F1271">
        <v>18</v>
      </c>
      <c r="G1271">
        <v>0.60000000000000009</v>
      </c>
      <c r="H1271" s="2">
        <v>86.034599999999983</v>
      </c>
      <c r="I1271" s="2">
        <v>269.71199999999999</v>
      </c>
    </row>
    <row r="1272" spans="3:9" x14ac:dyDescent="0.3">
      <c r="E1272" t="s">
        <v>24</v>
      </c>
      <c r="F1272">
        <v>22</v>
      </c>
      <c r="G1272">
        <v>1</v>
      </c>
      <c r="H1272" s="2">
        <v>351.40249999999975</v>
      </c>
      <c r="I1272" s="2">
        <v>3109.9360000000001</v>
      </c>
    </row>
    <row r="1273" spans="3:9" x14ac:dyDescent="0.3">
      <c r="E1273" t="s">
        <v>14</v>
      </c>
      <c r="F1273">
        <v>3</v>
      </c>
      <c r="G1273">
        <v>0.2</v>
      </c>
      <c r="H1273" s="2">
        <v>-15.910200000000088</v>
      </c>
      <c r="I1273" s="2">
        <v>636.40800000000013</v>
      </c>
    </row>
    <row r="1274" spans="3:9" x14ac:dyDescent="0.3">
      <c r="E1274" t="s">
        <v>9</v>
      </c>
      <c r="F1274">
        <v>3</v>
      </c>
      <c r="G1274">
        <v>0.4</v>
      </c>
      <c r="H1274" s="2">
        <v>-299.30160000000001</v>
      </c>
      <c r="I1274" s="2">
        <v>1339.296</v>
      </c>
    </row>
    <row r="1275" spans="3:9" x14ac:dyDescent="0.3">
      <c r="D1275" t="s">
        <v>15</v>
      </c>
      <c r="E1275" t="s">
        <v>12</v>
      </c>
      <c r="F1275">
        <v>2</v>
      </c>
      <c r="G1275">
        <v>0.2</v>
      </c>
      <c r="H1275" s="2">
        <v>3.51</v>
      </c>
      <c r="I1275" s="2">
        <v>18.72</v>
      </c>
    </row>
    <row r="1276" spans="3:9" x14ac:dyDescent="0.3">
      <c r="E1276" t="s">
        <v>20</v>
      </c>
      <c r="F1276">
        <v>11</v>
      </c>
      <c r="G1276">
        <v>1.4</v>
      </c>
      <c r="H1276" s="2">
        <v>-25.851199999999992</v>
      </c>
      <c r="I1276" s="2">
        <v>38.496000000000002</v>
      </c>
    </row>
    <row r="1277" spans="3:9" x14ac:dyDescent="0.3">
      <c r="E1277" t="s">
        <v>34</v>
      </c>
      <c r="F1277">
        <v>8</v>
      </c>
      <c r="G1277">
        <v>0.7</v>
      </c>
      <c r="H1277" s="2">
        <v>-363.52799999999991</v>
      </c>
      <c r="I1277" s="2">
        <v>242.35200000000003</v>
      </c>
    </row>
    <row r="1278" spans="3:9" x14ac:dyDescent="0.3">
      <c r="E1278" t="s">
        <v>33</v>
      </c>
      <c r="F1278">
        <v>11</v>
      </c>
      <c r="G1278">
        <v>0.60000000000000009</v>
      </c>
      <c r="H1278" s="2">
        <v>119.48099999999991</v>
      </c>
      <c r="I1278" s="2">
        <v>2305.04</v>
      </c>
    </row>
    <row r="1279" spans="3:9" x14ac:dyDescent="0.3">
      <c r="E1279" t="s">
        <v>21</v>
      </c>
      <c r="F1279">
        <v>6</v>
      </c>
      <c r="G1279">
        <v>0.2</v>
      </c>
      <c r="H1279" s="2">
        <v>0</v>
      </c>
      <c r="I1279" s="2">
        <v>508.70400000000006</v>
      </c>
    </row>
    <row r="1280" spans="3:9" x14ac:dyDescent="0.3">
      <c r="E1280" t="s">
        <v>24</v>
      </c>
      <c r="F1280">
        <v>10</v>
      </c>
      <c r="G1280">
        <v>0.60000000000000009</v>
      </c>
      <c r="H1280" s="2">
        <v>4.6201999999999863</v>
      </c>
      <c r="I1280" s="2">
        <v>266.96000000000004</v>
      </c>
    </row>
    <row r="1281" spans="2:9" x14ac:dyDescent="0.3">
      <c r="E1281" t="s">
        <v>14</v>
      </c>
      <c r="F1281">
        <v>6</v>
      </c>
      <c r="G1281">
        <v>0.60000000000000009</v>
      </c>
      <c r="H1281" s="2">
        <v>-20.946600000000018</v>
      </c>
      <c r="I1281" s="2">
        <v>1045.8960000000002</v>
      </c>
    </row>
    <row r="1282" spans="2:9" x14ac:dyDescent="0.3">
      <c r="D1282" t="s">
        <v>17</v>
      </c>
      <c r="E1282" t="s">
        <v>16</v>
      </c>
      <c r="F1282">
        <v>3</v>
      </c>
      <c r="G1282">
        <v>0.2</v>
      </c>
      <c r="H1282" s="2">
        <v>9.9467999999999979</v>
      </c>
      <c r="I1282" s="2">
        <v>29.472000000000001</v>
      </c>
    </row>
    <row r="1283" spans="2:9" x14ac:dyDescent="0.3">
      <c r="B1283" t="s">
        <v>151</v>
      </c>
      <c r="C1283" t="s">
        <v>27</v>
      </c>
      <c r="D1283" t="s">
        <v>8</v>
      </c>
      <c r="E1283" t="s">
        <v>16</v>
      </c>
      <c r="F1283">
        <v>1</v>
      </c>
      <c r="G1283">
        <v>0</v>
      </c>
      <c r="H1283" s="2">
        <v>3.1104000000000003</v>
      </c>
      <c r="I1283" s="2">
        <v>6.48</v>
      </c>
    </row>
    <row r="1284" spans="2:9" x14ac:dyDescent="0.3">
      <c r="C1284" t="s">
        <v>7</v>
      </c>
      <c r="D1284" t="s">
        <v>8</v>
      </c>
      <c r="E1284" t="s">
        <v>33</v>
      </c>
      <c r="F1284">
        <v>3</v>
      </c>
      <c r="G1284">
        <v>0.2</v>
      </c>
      <c r="H1284" s="2">
        <v>-2.6997000000000355</v>
      </c>
      <c r="I1284" s="2">
        <v>215.976</v>
      </c>
    </row>
    <row r="1285" spans="2:9" x14ac:dyDescent="0.3">
      <c r="E1285" t="s">
        <v>45</v>
      </c>
      <c r="F1285">
        <v>3</v>
      </c>
      <c r="G1285">
        <v>0</v>
      </c>
      <c r="H1285" s="2">
        <v>701.98829999999998</v>
      </c>
      <c r="I1285" s="2">
        <v>1799.97</v>
      </c>
    </row>
    <row r="1286" spans="2:9" x14ac:dyDescent="0.3">
      <c r="E1286" t="s">
        <v>38</v>
      </c>
      <c r="F1286">
        <v>3</v>
      </c>
      <c r="G1286">
        <v>0</v>
      </c>
      <c r="H1286" s="2">
        <v>30.991800000000001</v>
      </c>
      <c r="I1286" s="2">
        <v>65.94</v>
      </c>
    </row>
    <row r="1287" spans="2:9" x14ac:dyDescent="0.3">
      <c r="E1287" t="s">
        <v>24</v>
      </c>
      <c r="F1287">
        <v>2</v>
      </c>
      <c r="G1287">
        <v>0.2</v>
      </c>
      <c r="H1287" s="2">
        <v>27.718199999999968</v>
      </c>
      <c r="I1287" s="2">
        <v>246.38400000000001</v>
      </c>
    </row>
    <row r="1288" spans="2:9" x14ac:dyDescent="0.3">
      <c r="D1288" t="s">
        <v>15</v>
      </c>
      <c r="E1288" t="s">
        <v>16</v>
      </c>
      <c r="F1288">
        <v>7</v>
      </c>
      <c r="G1288">
        <v>0</v>
      </c>
      <c r="H1288" s="2">
        <v>19.825400000000002</v>
      </c>
      <c r="I1288" s="2">
        <v>40.46</v>
      </c>
    </row>
    <row r="1289" spans="2:9" x14ac:dyDescent="0.3">
      <c r="E1289" t="s">
        <v>24</v>
      </c>
      <c r="F1289">
        <v>3</v>
      </c>
      <c r="G1289">
        <v>0</v>
      </c>
      <c r="H1289" s="2">
        <v>109.33379999999998</v>
      </c>
      <c r="I1289" s="2">
        <v>404.93999999999994</v>
      </c>
    </row>
    <row r="1290" spans="2:9" x14ac:dyDescent="0.3">
      <c r="D1290" t="s">
        <v>17</v>
      </c>
      <c r="E1290" t="s">
        <v>20</v>
      </c>
      <c r="F1290">
        <v>7</v>
      </c>
      <c r="G1290">
        <v>0.2</v>
      </c>
      <c r="H1290" s="2">
        <v>46.330999999999989</v>
      </c>
      <c r="I1290" s="2">
        <v>133.548</v>
      </c>
    </row>
    <row r="1291" spans="2:9" x14ac:dyDescent="0.3">
      <c r="C1291" t="s">
        <v>22</v>
      </c>
      <c r="D1291" t="s">
        <v>8</v>
      </c>
      <c r="E1291" t="s">
        <v>45</v>
      </c>
      <c r="F1291">
        <v>2</v>
      </c>
      <c r="G1291">
        <v>0</v>
      </c>
      <c r="H1291" s="2">
        <v>449.99099999999999</v>
      </c>
      <c r="I1291" s="2">
        <v>999.98</v>
      </c>
    </row>
    <row r="1292" spans="2:9" x14ac:dyDescent="0.3">
      <c r="E1292" t="s">
        <v>38</v>
      </c>
      <c r="F1292">
        <v>3</v>
      </c>
      <c r="G1292">
        <v>0</v>
      </c>
      <c r="H1292" s="2">
        <v>2.8763999999999994</v>
      </c>
      <c r="I1292" s="2">
        <v>6.12</v>
      </c>
    </row>
    <row r="1293" spans="2:9" x14ac:dyDescent="0.3">
      <c r="E1293" t="s">
        <v>25</v>
      </c>
      <c r="F1293">
        <v>4</v>
      </c>
      <c r="G1293">
        <v>0</v>
      </c>
      <c r="H1293" s="2">
        <v>106.62480000000005</v>
      </c>
      <c r="I1293" s="2">
        <v>1184.72</v>
      </c>
    </row>
    <row r="1294" spans="2:9" x14ac:dyDescent="0.3">
      <c r="D1294" t="s">
        <v>15</v>
      </c>
      <c r="E1294" t="s">
        <v>19</v>
      </c>
      <c r="F1294">
        <v>2</v>
      </c>
      <c r="G1294">
        <v>0</v>
      </c>
      <c r="H1294" s="2">
        <v>10.881</v>
      </c>
      <c r="I1294" s="2">
        <v>40.299999999999997</v>
      </c>
    </row>
    <row r="1295" spans="2:9" x14ac:dyDescent="0.3">
      <c r="E1295" t="s">
        <v>20</v>
      </c>
      <c r="F1295">
        <v>8</v>
      </c>
      <c r="G1295">
        <v>0</v>
      </c>
      <c r="H1295" s="2">
        <v>28.784500000000001</v>
      </c>
      <c r="I1295" s="2">
        <v>58.34</v>
      </c>
    </row>
    <row r="1296" spans="2:9" x14ac:dyDescent="0.3">
      <c r="E1296" t="s">
        <v>21</v>
      </c>
      <c r="F1296">
        <v>7</v>
      </c>
      <c r="G1296">
        <v>0</v>
      </c>
      <c r="H1296" s="2">
        <v>14.523600000000002</v>
      </c>
      <c r="I1296" s="2">
        <v>34.580000000000005</v>
      </c>
    </row>
    <row r="1297" spans="2:9" x14ac:dyDescent="0.3">
      <c r="E1297" t="s">
        <v>24</v>
      </c>
      <c r="F1297">
        <v>3</v>
      </c>
      <c r="G1297">
        <v>0</v>
      </c>
      <c r="H1297" s="2">
        <v>51.75</v>
      </c>
      <c r="I1297" s="2">
        <v>207</v>
      </c>
    </row>
    <row r="1298" spans="2:9" x14ac:dyDescent="0.3">
      <c r="D1298" t="s">
        <v>17</v>
      </c>
      <c r="E1298" t="s">
        <v>16</v>
      </c>
      <c r="F1298">
        <v>2</v>
      </c>
      <c r="G1298">
        <v>0</v>
      </c>
      <c r="H1298" s="2">
        <v>8.7137999999999991</v>
      </c>
      <c r="I1298" s="2">
        <v>18.54</v>
      </c>
    </row>
    <row r="1299" spans="2:9" x14ac:dyDescent="0.3">
      <c r="B1299" t="s">
        <v>152</v>
      </c>
      <c r="C1299" t="s">
        <v>11</v>
      </c>
      <c r="D1299" t="s">
        <v>8</v>
      </c>
      <c r="E1299" t="s">
        <v>20</v>
      </c>
      <c r="F1299">
        <v>3</v>
      </c>
      <c r="G1299">
        <v>0.8</v>
      </c>
      <c r="H1299" s="2">
        <v>-4.9164000000000012</v>
      </c>
      <c r="I1299" s="2">
        <v>2.8919999999999995</v>
      </c>
    </row>
    <row r="1300" spans="2:9" x14ac:dyDescent="0.3">
      <c r="E1300" t="s">
        <v>34</v>
      </c>
      <c r="F1300">
        <v>6</v>
      </c>
      <c r="G1300">
        <v>0.3</v>
      </c>
      <c r="H1300" s="2">
        <v>-30.293999999999983</v>
      </c>
      <c r="I1300" s="2">
        <v>424.11599999999999</v>
      </c>
    </row>
    <row r="1301" spans="2:9" x14ac:dyDescent="0.3">
      <c r="E1301" t="s">
        <v>21</v>
      </c>
      <c r="F1301">
        <v>2</v>
      </c>
      <c r="G1301">
        <v>0.6</v>
      </c>
      <c r="H1301" s="2">
        <v>-7.4759999999999991</v>
      </c>
      <c r="I1301" s="2">
        <v>8.5440000000000005</v>
      </c>
    </row>
    <row r="1302" spans="2:9" x14ac:dyDescent="0.3">
      <c r="E1302" t="s">
        <v>14</v>
      </c>
      <c r="F1302">
        <v>5</v>
      </c>
      <c r="G1302">
        <v>0.2</v>
      </c>
      <c r="H1302" s="2">
        <v>-66.801000000000045</v>
      </c>
      <c r="I1302" s="2">
        <v>381.72</v>
      </c>
    </row>
    <row r="1303" spans="2:9" x14ac:dyDescent="0.3">
      <c r="E1303" t="s">
        <v>25</v>
      </c>
      <c r="F1303">
        <v>4</v>
      </c>
      <c r="G1303">
        <v>0.5</v>
      </c>
      <c r="H1303" s="2">
        <v>-175.26000000000005</v>
      </c>
      <c r="I1303" s="2">
        <v>292.10000000000002</v>
      </c>
    </row>
    <row r="1304" spans="2:9" x14ac:dyDescent="0.3">
      <c r="C1304" t="s">
        <v>22</v>
      </c>
      <c r="D1304" t="s">
        <v>8</v>
      </c>
      <c r="E1304" t="s">
        <v>24</v>
      </c>
      <c r="F1304">
        <v>4</v>
      </c>
      <c r="G1304">
        <v>0.2</v>
      </c>
      <c r="H1304" s="2">
        <v>47.97999999999999</v>
      </c>
      <c r="I1304" s="2">
        <v>383.84000000000003</v>
      </c>
    </row>
    <row r="1305" spans="2:9" x14ac:dyDescent="0.3">
      <c r="B1305" t="s">
        <v>153</v>
      </c>
      <c r="C1305" t="s">
        <v>11</v>
      </c>
      <c r="D1305" t="s">
        <v>8</v>
      </c>
      <c r="E1305" t="s">
        <v>23</v>
      </c>
      <c r="F1305">
        <v>17</v>
      </c>
      <c r="G1305">
        <v>0</v>
      </c>
      <c r="H1305" s="2">
        <v>155.91089999999997</v>
      </c>
      <c r="I1305" s="2">
        <v>460.16999999999996</v>
      </c>
    </row>
    <row r="1306" spans="2:9" x14ac:dyDescent="0.3">
      <c r="E1306" t="s">
        <v>20</v>
      </c>
      <c r="F1306">
        <v>2</v>
      </c>
      <c r="G1306">
        <v>0</v>
      </c>
      <c r="H1306" s="2">
        <v>10.35</v>
      </c>
      <c r="I1306" s="2">
        <v>23</v>
      </c>
    </row>
    <row r="1307" spans="2:9" x14ac:dyDescent="0.3">
      <c r="E1307" t="s">
        <v>33</v>
      </c>
      <c r="F1307">
        <v>7</v>
      </c>
      <c r="G1307">
        <v>0</v>
      </c>
      <c r="H1307" s="2">
        <v>412.5394</v>
      </c>
      <c r="I1307" s="2">
        <v>1586.6899999999998</v>
      </c>
    </row>
    <row r="1308" spans="2:9" x14ac:dyDescent="0.3">
      <c r="E1308" t="s">
        <v>24</v>
      </c>
      <c r="F1308">
        <v>1</v>
      </c>
      <c r="G1308">
        <v>0</v>
      </c>
      <c r="H1308" s="2">
        <v>31.497500000000002</v>
      </c>
      <c r="I1308" s="2">
        <v>125.99</v>
      </c>
    </row>
    <row r="1309" spans="2:9" x14ac:dyDescent="0.3">
      <c r="E1309" t="s">
        <v>25</v>
      </c>
      <c r="F1309">
        <v>2</v>
      </c>
      <c r="G1309">
        <v>0</v>
      </c>
      <c r="H1309" s="2">
        <v>70.005999999999972</v>
      </c>
      <c r="I1309" s="2">
        <v>411.8</v>
      </c>
    </row>
    <row r="1310" spans="2:9" x14ac:dyDescent="0.3">
      <c r="D1310" t="s">
        <v>15</v>
      </c>
      <c r="E1310" t="s">
        <v>46</v>
      </c>
      <c r="F1310">
        <v>2</v>
      </c>
      <c r="G1310">
        <v>0.1</v>
      </c>
      <c r="H1310" s="2">
        <v>679.99599999999964</v>
      </c>
      <c r="I1310" s="2">
        <v>3059.982</v>
      </c>
    </row>
    <row r="1311" spans="2:9" x14ac:dyDescent="0.3">
      <c r="E1311" t="s">
        <v>25</v>
      </c>
      <c r="F1311">
        <v>2</v>
      </c>
      <c r="G1311">
        <v>0</v>
      </c>
      <c r="H1311" s="2">
        <v>21.097999999999985</v>
      </c>
      <c r="I1311" s="2">
        <v>210.98</v>
      </c>
    </row>
    <row r="1312" spans="2:9" x14ac:dyDescent="0.3">
      <c r="D1312" t="s">
        <v>17</v>
      </c>
      <c r="E1312" t="s">
        <v>19</v>
      </c>
      <c r="F1312">
        <v>4</v>
      </c>
      <c r="G1312">
        <v>0</v>
      </c>
      <c r="H1312" s="2">
        <v>5.4127999999999989</v>
      </c>
      <c r="I1312" s="2">
        <v>15.92</v>
      </c>
    </row>
    <row r="1313" spans="3:9" x14ac:dyDescent="0.3">
      <c r="E1313" t="s">
        <v>21</v>
      </c>
      <c r="F1313">
        <v>5</v>
      </c>
      <c r="G1313">
        <v>0</v>
      </c>
      <c r="H1313" s="2">
        <v>10.047999999999998</v>
      </c>
      <c r="I1313" s="2">
        <v>31.400000000000002</v>
      </c>
    </row>
    <row r="1314" spans="3:9" x14ac:dyDescent="0.3">
      <c r="E1314" t="s">
        <v>16</v>
      </c>
      <c r="F1314">
        <v>1</v>
      </c>
      <c r="G1314">
        <v>0</v>
      </c>
      <c r="H1314" s="2">
        <v>2.0429999999999997</v>
      </c>
      <c r="I1314" s="2">
        <v>4.54</v>
      </c>
    </row>
    <row r="1315" spans="3:9" x14ac:dyDescent="0.3">
      <c r="E1315" t="s">
        <v>24</v>
      </c>
      <c r="F1315">
        <v>10</v>
      </c>
      <c r="G1315">
        <v>0</v>
      </c>
      <c r="H1315" s="2">
        <v>139.97060000000002</v>
      </c>
      <c r="I1315" s="2">
        <v>558.69999999999993</v>
      </c>
    </row>
    <row r="1316" spans="3:9" x14ac:dyDescent="0.3">
      <c r="E1316" t="s">
        <v>14</v>
      </c>
      <c r="F1316">
        <v>4</v>
      </c>
      <c r="G1316">
        <v>0</v>
      </c>
      <c r="H1316" s="2">
        <v>13.967199999999998</v>
      </c>
      <c r="I1316" s="2">
        <v>53.72</v>
      </c>
    </row>
    <row r="1317" spans="3:9" x14ac:dyDescent="0.3">
      <c r="C1317" t="s">
        <v>27</v>
      </c>
      <c r="D1317" t="s">
        <v>8</v>
      </c>
      <c r="E1317" t="s">
        <v>20</v>
      </c>
      <c r="F1317">
        <v>4</v>
      </c>
      <c r="G1317">
        <v>0</v>
      </c>
      <c r="H1317" s="2">
        <v>14.4648</v>
      </c>
      <c r="I1317" s="2">
        <v>29.52</v>
      </c>
    </row>
    <row r="1318" spans="3:9" x14ac:dyDescent="0.3">
      <c r="E1318" t="s">
        <v>33</v>
      </c>
      <c r="F1318">
        <v>21</v>
      </c>
      <c r="G1318">
        <v>0</v>
      </c>
      <c r="H1318" s="2">
        <v>358.1028</v>
      </c>
      <c r="I1318" s="2">
        <v>1490.22</v>
      </c>
    </row>
    <row r="1319" spans="3:9" x14ac:dyDescent="0.3">
      <c r="E1319" t="s">
        <v>21</v>
      </c>
      <c r="F1319">
        <v>3</v>
      </c>
      <c r="G1319">
        <v>0</v>
      </c>
      <c r="H1319" s="2">
        <v>14.849099999999979</v>
      </c>
      <c r="I1319" s="2">
        <v>212.13</v>
      </c>
    </row>
    <row r="1320" spans="3:9" x14ac:dyDescent="0.3">
      <c r="D1320" t="s">
        <v>15</v>
      </c>
      <c r="E1320" t="s">
        <v>12</v>
      </c>
      <c r="F1320">
        <v>2</v>
      </c>
      <c r="G1320">
        <v>0.1</v>
      </c>
      <c r="H1320" s="2">
        <v>46.790800000000004</v>
      </c>
      <c r="I1320" s="2">
        <v>123.858</v>
      </c>
    </row>
    <row r="1321" spans="3:9" x14ac:dyDescent="0.3">
      <c r="E1321" t="s">
        <v>14</v>
      </c>
      <c r="F1321">
        <v>7</v>
      </c>
      <c r="G1321">
        <v>0</v>
      </c>
      <c r="H1321" s="2">
        <v>117.12960000000004</v>
      </c>
      <c r="I1321" s="2">
        <v>418.32</v>
      </c>
    </row>
    <row r="1322" spans="3:9" x14ac:dyDescent="0.3">
      <c r="C1322" t="s">
        <v>7</v>
      </c>
      <c r="D1322" t="s">
        <v>8</v>
      </c>
      <c r="E1322" t="s">
        <v>23</v>
      </c>
      <c r="F1322">
        <v>6</v>
      </c>
      <c r="G1322">
        <v>0</v>
      </c>
      <c r="H1322" s="2">
        <v>41.952000000000005</v>
      </c>
      <c r="I1322" s="2">
        <v>104.88</v>
      </c>
    </row>
    <row r="1323" spans="3:9" x14ac:dyDescent="0.3">
      <c r="E1323" t="s">
        <v>19</v>
      </c>
      <c r="F1323">
        <v>5</v>
      </c>
      <c r="G1323">
        <v>0</v>
      </c>
      <c r="H1323" s="2">
        <v>12.492000000000001</v>
      </c>
      <c r="I1323" s="2">
        <v>34.700000000000003</v>
      </c>
    </row>
    <row r="1324" spans="3:9" x14ac:dyDescent="0.3">
      <c r="E1324" t="s">
        <v>20</v>
      </c>
      <c r="F1324">
        <v>12</v>
      </c>
      <c r="G1324">
        <v>0</v>
      </c>
      <c r="H1324" s="2">
        <v>235.50159999999997</v>
      </c>
      <c r="I1324" s="2">
        <v>511.96000000000004</v>
      </c>
    </row>
    <row r="1325" spans="3:9" x14ac:dyDescent="0.3">
      <c r="E1325" t="s">
        <v>33</v>
      </c>
      <c r="F1325">
        <v>3</v>
      </c>
      <c r="G1325">
        <v>0</v>
      </c>
      <c r="H1325" s="2">
        <v>29.152800000000013</v>
      </c>
      <c r="I1325" s="2">
        <v>242.94</v>
      </c>
    </row>
    <row r="1326" spans="3:9" x14ac:dyDescent="0.3">
      <c r="E1326" t="s">
        <v>21</v>
      </c>
      <c r="F1326">
        <v>1</v>
      </c>
      <c r="G1326">
        <v>0</v>
      </c>
      <c r="H1326" s="2">
        <v>3.6659999999999986</v>
      </c>
      <c r="I1326" s="2">
        <v>12.22</v>
      </c>
    </row>
    <row r="1327" spans="3:9" x14ac:dyDescent="0.3">
      <c r="E1327" t="s">
        <v>43</v>
      </c>
      <c r="F1327">
        <v>7</v>
      </c>
      <c r="G1327">
        <v>0</v>
      </c>
      <c r="H1327" s="2">
        <v>10.584</v>
      </c>
      <c r="I1327" s="2">
        <v>22.05</v>
      </c>
    </row>
    <row r="1328" spans="3:9" x14ac:dyDescent="0.3">
      <c r="E1328" t="s">
        <v>16</v>
      </c>
      <c r="F1328">
        <v>7</v>
      </c>
      <c r="G1328">
        <v>0</v>
      </c>
      <c r="H1328" s="2">
        <v>49.047399999999996</v>
      </c>
      <c r="I1328" s="2">
        <v>106.3</v>
      </c>
    </row>
    <row r="1329" spans="3:9" x14ac:dyDescent="0.3">
      <c r="E1329" t="s">
        <v>14</v>
      </c>
      <c r="F1329">
        <v>6</v>
      </c>
      <c r="G1329">
        <v>0</v>
      </c>
      <c r="H1329" s="2">
        <v>43.968300000000006</v>
      </c>
      <c r="I1329" s="2">
        <v>265.89</v>
      </c>
    </row>
    <row r="1330" spans="3:9" x14ac:dyDescent="0.3">
      <c r="D1330" t="s">
        <v>15</v>
      </c>
      <c r="E1330" t="s">
        <v>19</v>
      </c>
      <c r="F1330">
        <v>5</v>
      </c>
      <c r="G1330">
        <v>0</v>
      </c>
      <c r="H1330" s="2">
        <v>4.7559999999999985</v>
      </c>
      <c r="I1330" s="2">
        <v>16.399999999999999</v>
      </c>
    </row>
    <row r="1331" spans="3:9" x14ac:dyDescent="0.3">
      <c r="E1331" t="s">
        <v>20</v>
      </c>
      <c r="F1331">
        <v>8</v>
      </c>
      <c r="G1331">
        <v>0</v>
      </c>
      <c r="H1331" s="2">
        <v>52.379999999999995</v>
      </c>
      <c r="I1331" s="2">
        <v>116.4</v>
      </c>
    </row>
    <row r="1332" spans="3:9" x14ac:dyDescent="0.3">
      <c r="E1332" t="s">
        <v>33</v>
      </c>
      <c r="F1332">
        <v>5</v>
      </c>
      <c r="G1332">
        <v>0</v>
      </c>
      <c r="H1332" s="2">
        <v>700.98000000000013</v>
      </c>
      <c r="I1332" s="2">
        <v>3504.9</v>
      </c>
    </row>
    <row r="1333" spans="3:9" x14ac:dyDescent="0.3">
      <c r="E1333" t="s">
        <v>43</v>
      </c>
      <c r="F1333">
        <v>5</v>
      </c>
      <c r="G1333">
        <v>0</v>
      </c>
      <c r="H1333" s="2">
        <v>240.8595</v>
      </c>
      <c r="I1333" s="2">
        <v>491.55</v>
      </c>
    </row>
    <row r="1334" spans="3:9" x14ac:dyDescent="0.3">
      <c r="E1334" t="s">
        <v>16</v>
      </c>
      <c r="F1334">
        <v>10</v>
      </c>
      <c r="G1334">
        <v>0</v>
      </c>
      <c r="H1334" s="2">
        <v>232.60319999999996</v>
      </c>
      <c r="I1334" s="2">
        <v>484.59</v>
      </c>
    </row>
    <row r="1335" spans="3:9" x14ac:dyDescent="0.3">
      <c r="D1335" t="s">
        <v>17</v>
      </c>
      <c r="E1335" t="s">
        <v>12</v>
      </c>
      <c r="F1335">
        <v>5</v>
      </c>
      <c r="G1335">
        <v>0.1</v>
      </c>
      <c r="H1335" s="2">
        <v>245.69999999999993</v>
      </c>
      <c r="I1335" s="2">
        <v>850.5</v>
      </c>
    </row>
    <row r="1336" spans="3:9" x14ac:dyDescent="0.3">
      <c r="E1336" t="s">
        <v>20</v>
      </c>
      <c r="F1336">
        <v>2</v>
      </c>
      <c r="G1336">
        <v>0</v>
      </c>
      <c r="H1336" s="2">
        <v>2.4287999999999998</v>
      </c>
      <c r="I1336" s="2">
        <v>5.28</v>
      </c>
    </row>
    <row r="1337" spans="3:9" x14ac:dyDescent="0.3">
      <c r="E1337" t="s">
        <v>21</v>
      </c>
      <c r="F1337">
        <v>9</v>
      </c>
      <c r="G1337">
        <v>0</v>
      </c>
      <c r="H1337" s="2">
        <v>19.585799999999999</v>
      </c>
      <c r="I1337" s="2">
        <v>75.33</v>
      </c>
    </row>
    <row r="1338" spans="3:9" x14ac:dyDescent="0.3">
      <c r="E1338" t="s">
        <v>24</v>
      </c>
      <c r="F1338">
        <v>4</v>
      </c>
      <c r="G1338">
        <v>0</v>
      </c>
      <c r="H1338" s="2">
        <v>209.62899999999999</v>
      </c>
      <c r="I1338" s="2">
        <v>817.8</v>
      </c>
    </row>
    <row r="1339" spans="3:9" x14ac:dyDescent="0.3">
      <c r="C1339" t="s">
        <v>22</v>
      </c>
      <c r="D1339" t="s">
        <v>8</v>
      </c>
      <c r="E1339" t="s">
        <v>23</v>
      </c>
      <c r="F1339">
        <v>3</v>
      </c>
      <c r="G1339">
        <v>0</v>
      </c>
      <c r="H1339" s="2">
        <v>163.18979999999999</v>
      </c>
      <c r="I1339" s="2">
        <v>479.97</v>
      </c>
    </row>
    <row r="1340" spans="3:9" x14ac:dyDescent="0.3">
      <c r="E1340" t="s">
        <v>12</v>
      </c>
      <c r="F1340">
        <v>13</v>
      </c>
      <c r="G1340">
        <v>0.30000000000000004</v>
      </c>
      <c r="H1340" s="2">
        <v>197.50199999999995</v>
      </c>
      <c r="I1340" s="2">
        <v>929.79000000000008</v>
      </c>
    </row>
    <row r="1341" spans="3:9" x14ac:dyDescent="0.3">
      <c r="E1341" t="s">
        <v>19</v>
      </c>
      <c r="F1341">
        <v>16</v>
      </c>
      <c r="G1341">
        <v>0</v>
      </c>
      <c r="H1341" s="2">
        <v>80.224399999999989</v>
      </c>
      <c r="I1341" s="2">
        <v>281.82</v>
      </c>
    </row>
    <row r="1342" spans="3:9" x14ac:dyDescent="0.3">
      <c r="E1342" t="s">
        <v>20</v>
      </c>
      <c r="F1342">
        <v>59</v>
      </c>
      <c r="G1342">
        <v>0</v>
      </c>
      <c r="H1342" s="2">
        <v>5736.2152999999998</v>
      </c>
      <c r="I1342" s="2">
        <v>11584.64</v>
      </c>
    </row>
    <row r="1343" spans="3:9" x14ac:dyDescent="0.3">
      <c r="E1343" t="s">
        <v>33</v>
      </c>
      <c r="F1343">
        <v>6</v>
      </c>
      <c r="G1343">
        <v>0</v>
      </c>
      <c r="H1343" s="2">
        <v>70.194600000000008</v>
      </c>
      <c r="I1343" s="2">
        <v>779.94</v>
      </c>
    </row>
    <row r="1344" spans="3:9" x14ac:dyDescent="0.3">
      <c r="E1344" t="s">
        <v>38</v>
      </c>
      <c r="F1344">
        <v>2</v>
      </c>
      <c r="G1344">
        <v>0</v>
      </c>
      <c r="H1344" s="2">
        <v>81.432000000000002</v>
      </c>
      <c r="I1344" s="2">
        <v>180.96</v>
      </c>
    </row>
    <row r="1345" spans="4:9" x14ac:dyDescent="0.3">
      <c r="E1345" t="s">
        <v>21</v>
      </c>
      <c r="F1345">
        <v>4</v>
      </c>
      <c r="G1345">
        <v>0</v>
      </c>
      <c r="H1345" s="2">
        <v>32.375500000000009</v>
      </c>
      <c r="I1345" s="2">
        <v>278.41000000000003</v>
      </c>
    </row>
    <row r="1346" spans="4:9" x14ac:dyDescent="0.3">
      <c r="E1346" t="s">
        <v>43</v>
      </c>
      <c r="F1346">
        <v>14</v>
      </c>
      <c r="G1346">
        <v>0</v>
      </c>
      <c r="H1346" s="2">
        <v>65.098600000000005</v>
      </c>
      <c r="I1346" s="2">
        <v>132.51000000000002</v>
      </c>
    </row>
    <row r="1347" spans="4:9" x14ac:dyDescent="0.3">
      <c r="E1347" t="s">
        <v>16</v>
      </c>
      <c r="F1347">
        <v>10</v>
      </c>
      <c r="G1347">
        <v>0</v>
      </c>
      <c r="H1347" s="2">
        <v>33.426000000000002</v>
      </c>
      <c r="I1347" s="2">
        <v>69.240000000000009</v>
      </c>
    </row>
    <row r="1348" spans="4:9" x14ac:dyDescent="0.3">
      <c r="E1348" t="s">
        <v>24</v>
      </c>
      <c r="F1348">
        <v>15</v>
      </c>
      <c r="G1348">
        <v>0</v>
      </c>
      <c r="H1348" s="2">
        <v>430.28179999999998</v>
      </c>
      <c r="I1348" s="2">
        <v>1573.5600000000002</v>
      </c>
    </row>
    <row r="1349" spans="4:9" x14ac:dyDescent="0.3">
      <c r="E1349" t="s">
        <v>14</v>
      </c>
      <c r="F1349">
        <v>11</v>
      </c>
      <c r="G1349">
        <v>0</v>
      </c>
      <c r="H1349" s="2">
        <v>53.976399999999948</v>
      </c>
      <c r="I1349" s="2">
        <v>812.31999999999994</v>
      </c>
    </row>
    <row r="1350" spans="4:9" x14ac:dyDescent="0.3">
      <c r="E1350" t="s">
        <v>25</v>
      </c>
      <c r="F1350">
        <v>4</v>
      </c>
      <c r="G1350">
        <v>0</v>
      </c>
      <c r="H1350" s="2">
        <v>98.524799999999971</v>
      </c>
      <c r="I1350" s="2">
        <v>447.84</v>
      </c>
    </row>
    <row r="1351" spans="4:9" x14ac:dyDescent="0.3">
      <c r="D1351" t="s">
        <v>15</v>
      </c>
      <c r="E1351" t="s">
        <v>12</v>
      </c>
      <c r="F1351">
        <v>7</v>
      </c>
      <c r="G1351">
        <v>0.2</v>
      </c>
      <c r="H1351" s="2">
        <v>30.836399999999987</v>
      </c>
      <c r="I1351" s="2">
        <v>152.964</v>
      </c>
    </row>
    <row r="1352" spans="4:9" x14ac:dyDescent="0.3">
      <c r="E1352" t="s">
        <v>19</v>
      </c>
      <c r="F1352">
        <v>2</v>
      </c>
      <c r="G1352">
        <v>0</v>
      </c>
      <c r="H1352" s="2">
        <v>1.9191999999999998</v>
      </c>
      <c r="I1352" s="2">
        <v>5.48</v>
      </c>
    </row>
    <row r="1353" spans="4:9" x14ac:dyDescent="0.3">
      <c r="E1353" t="s">
        <v>20</v>
      </c>
      <c r="F1353">
        <v>12</v>
      </c>
      <c r="G1353">
        <v>0</v>
      </c>
      <c r="H1353" s="2">
        <v>103.64139999999999</v>
      </c>
      <c r="I1353" s="2">
        <v>218.38</v>
      </c>
    </row>
    <row r="1354" spans="4:9" x14ac:dyDescent="0.3">
      <c r="E1354" t="s">
        <v>34</v>
      </c>
      <c r="F1354">
        <v>1</v>
      </c>
      <c r="G1354">
        <v>0</v>
      </c>
      <c r="H1354" s="2">
        <v>20.927400000000006</v>
      </c>
      <c r="I1354" s="2">
        <v>160.97999999999999</v>
      </c>
    </row>
    <row r="1355" spans="4:9" x14ac:dyDescent="0.3">
      <c r="E1355" t="s">
        <v>33</v>
      </c>
      <c r="F1355">
        <v>20</v>
      </c>
      <c r="G1355">
        <v>0</v>
      </c>
      <c r="H1355" s="2">
        <v>898.3922</v>
      </c>
      <c r="I1355" s="2">
        <v>3941.94</v>
      </c>
    </row>
    <row r="1356" spans="4:9" x14ac:dyDescent="0.3">
      <c r="E1356" t="s">
        <v>18</v>
      </c>
      <c r="F1356">
        <v>1</v>
      </c>
      <c r="G1356">
        <v>0</v>
      </c>
      <c r="H1356" s="2">
        <v>3.04</v>
      </c>
      <c r="I1356" s="2">
        <v>6.08</v>
      </c>
    </row>
    <row r="1357" spans="4:9" x14ac:dyDescent="0.3">
      <c r="E1357" t="s">
        <v>16</v>
      </c>
      <c r="F1357">
        <v>14</v>
      </c>
      <c r="G1357">
        <v>0</v>
      </c>
      <c r="H1357" s="2">
        <v>76.611800000000002</v>
      </c>
      <c r="I1357" s="2">
        <v>164.42000000000002</v>
      </c>
    </row>
    <row r="1358" spans="4:9" x14ac:dyDescent="0.3">
      <c r="E1358" t="s">
        <v>24</v>
      </c>
      <c r="F1358">
        <v>7</v>
      </c>
      <c r="G1358">
        <v>0</v>
      </c>
      <c r="H1358" s="2">
        <v>64.959599999999995</v>
      </c>
      <c r="I1358" s="2">
        <v>223.93</v>
      </c>
    </row>
    <row r="1359" spans="4:9" x14ac:dyDescent="0.3">
      <c r="E1359" t="s">
        <v>14</v>
      </c>
      <c r="F1359">
        <v>4</v>
      </c>
      <c r="G1359">
        <v>0</v>
      </c>
      <c r="H1359" s="2">
        <v>80.239699999999999</v>
      </c>
      <c r="I1359" s="2">
        <v>318.35000000000002</v>
      </c>
    </row>
    <row r="1360" spans="4:9" x14ac:dyDescent="0.3">
      <c r="E1360" t="s">
        <v>25</v>
      </c>
      <c r="F1360">
        <v>8</v>
      </c>
      <c r="G1360">
        <v>0</v>
      </c>
      <c r="H1360" s="2">
        <v>368.35059999999999</v>
      </c>
      <c r="I1360" s="2">
        <v>2275.39</v>
      </c>
    </row>
    <row r="1361" spans="2:9" x14ac:dyDescent="0.3">
      <c r="D1361" t="s">
        <v>17</v>
      </c>
      <c r="E1361" t="s">
        <v>23</v>
      </c>
      <c r="F1361">
        <v>7</v>
      </c>
      <c r="G1361">
        <v>0</v>
      </c>
      <c r="H1361" s="2">
        <v>11.451999999999995</v>
      </c>
      <c r="I1361" s="2">
        <v>114.52</v>
      </c>
    </row>
    <row r="1362" spans="2:9" x14ac:dyDescent="0.3">
      <c r="E1362" t="s">
        <v>34</v>
      </c>
      <c r="F1362">
        <v>3</v>
      </c>
      <c r="G1362">
        <v>0</v>
      </c>
      <c r="H1362" s="2">
        <v>57.4938</v>
      </c>
      <c r="I1362" s="2">
        <v>212.94</v>
      </c>
    </row>
    <row r="1363" spans="2:9" x14ac:dyDescent="0.3">
      <c r="E1363" t="s">
        <v>33</v>
      </c>
      <c r="F1363">
        <v>2</v>
      </c>
      <c r="G1363">
        <v>0</v>
      </c>
      <c r="H1363" s="2">
        <v>146.38799999999998</v>
      </c>
      <c r="I1363" s="2">
        <v>487.96</v>
      </c>
    </row>
    <row r="1364" spans="2:9" x14ac:dyDescent="0.3">
      <c r="E1364" t="s">
        <v>24</v>
      </c>
      <c r="F1364">
        <v>2</v>
      </c>
      <c r="G1364">
        <v>0</v>
      </c>
      <c r="H1364" s="2">
        <v>35.634600000000006</v>
      </c>
      <c r="I1364" s="2">
        <v>131.97999999999999</v>
      </c>
    </row>
    <row r="1365" spans="2:9" x14ac:dyDescent="0.3">
      <c r="B1365" t="s">
        <v>154</v>
      </c>
      <c r="C1365" t="s">
        <v>11</v>
      </c>
      <c r="D1365" t="s">
        <v>8</v>
      </c>
      <c r="E1365" t="s">
        <v>19</v>
      </c>
      <c r="F1365">
        <v>3</v>
      </c>
      <c r="G1365">
        <v>0</v>
      </c>
      <c r="H1365" s="2">
        <v>2.8535999999999988</v>
      </c>
      <c r="I1365" s="2">
        <v>9.84</v>
      </c>
    </row>
    <row r="1366" spans="2:9" x14ac:dyDescent="0.3">
      <c r="E1366" t="s">
        <v>20</v>
      </c>
      <c r="F1366">
        <v>3</v>
      </c>
      <c r="G1366">
        <v>0</v>
      </c>
      <c r="H1366" s="2">
        <v>15.524999999999999</v>
      </c>
      <c r="I1366" s="2">
        <v>34.5</v>
      </c>
    </row>
    <row r="1367" spans="2:9" x14ac:dyDescent="0.3">
      <c r="E1367" t="s">
        <v>21</v>
      </c>
      <c r="F1367">
        <v>2</v>
      </c>
      <c r="G1367">
        <v>0</v>
      </c>
      <c r="H1367" s="2">
        <v>3.0813999999999995</v>
      </c>
      <c r="I1367" s="2">
        <v>9.94</v>
      </c>
    </row>
    <row r="1368" spans="2:9" x14ac:dyDescent="0.3">
      <c r="C1368" t="s">
        <v>7</v>
      </c>
      <c r="D1368" t="s">
        <v>15</v>
      </c>
      <c r="E1368" t="s">
        <v>12</v>
      </c>
      <c r="F1368">
        <v>4</v>
      </c>
      <c r="G1368">
        <v>0</v>
      </c>
      <c r="H1368" s="2">
        <v>9.3184000000000005</v>
      </c>
      <c r="I1368" s="2">
        <v>33.28</v>
      </c>
    </row>
    <row r="1369" spans="2:9" x14ac:dyDescent="0.3">
      <c r="E1369" t="s">
        <v>19</v>
      </c>
      <c r="F1369">
        <v>9</v>
      </c>
      <c r="G1369">
        <v>0</v>
      </c>
      <c r="H1369" s="2">
        <v>11.9412</v>
      </c>
      <c r="I1369" s="2">
        <v>38.520000000000003</v>
      </c>
    </row>
    <row r="1370" spans="2:9" x14ac:dyDescent="0.3">
      <c r="E1370" t="s">
        <v>21</v>
      </c>
      <c r="F1370">
        <v>9</v>
      </c>
      <c r="G1370">
        <v>0</v>
      </c>
      <c r="H1370" s="2">
        <v>102.5318</v>
      </c>
      <c r="I1370" s="2">
        <v>351.82000000000005</v>
      </c>
    </row>
    <row r="1371" spans="2:9" x14ac:dyDescent="0.3">
      <c r="D1371" t="s">
        <v>17</v>
      </c>
      <c r="E1371" t="s">
        <v>23</v>
      </c>
      <c r="F1371">
        <v>9</v>
      </c>
      <c r="G1371">
        <v>0</v>
      </c>
      <c r="H1371" s="2">
        <v>517.47930000000008</v>
      </c>
      <c r="I1371" s="2">
        <v>2249.91</v>
      </c>
    </row>
    <row r="1372" spans="2:9" x14ac:dyDescent="0.3">
      <c r="E1372" t="s">
        <v>16</v>
      </c>
      <c r="F1372">
        <v>5</v>
      </c>
      <c r="G1372">
        <v>0</v>
      </c>
      <c r="H1372" s="2">
        <v>14.651</v>
      </c>
      <c r="I1372" s="2">
        <v>29.900000000000002</v>
      </c>
    </row>
    <row r="1373" spans="2:9" x14ac:dyDescent="0.3">
      <c r="E1373" t="s">
        <v>25</v>
      </c>
      <c r="F1373">
        <v>4</v>
      </c>
      <c r="G1373">
        <v>0.3</v>
      </c>
      <c r="H1373" s="2">
        <v>-105.31639999999993</v>
      </c>
      <c r="I1373" s="2">
        <v>1053.164</v>
      </c>
    </row>
    <row r="1374" spans="2:9" x14ac:dyDescent="0.3">
      <c r="C1374" t="s">
        <v>22</v>
      </c>
      <c r="D1374" t="s">
        <v>8</v>
      </c>
      <c r="E1374" t="s">
        <v>23</v>
      </c>
      <c r="F1374">
        <v>3</v>
      </c>
      <c r="G1374">
        <v>0</v>
      </c>
      <c r="H1374" s="2">
        <v>4.9500000000000011</v>
      </c>
      <c r="I1374" s="2">
        <v>45</v>
      </c>
    </row>
    <row r="1375" spans="2:9" x14ac:dyDescent="0.3">
      <c r="E1375" t="s">
        <v>20</v>
      </c>
      <c r="F1375">
        <v>5</v>
      </c>
      <c r="G1375">
        <v>0</v>
      </c>
      <c r="H1375" s="2">
        <v>325.19299999999993</v>
      </c>
      <c r="I1375" s="2">
        <v>691.9</v>
      </c>
    </row>
    <row r="1376" spans="2:9" x14ac:dyDescent="0.3">
      <c r="E1376" t="s">
        <v>21</v>
      </c>
      <c r="F1376">
        <v>3</v>
      </c>
      <c r="G1376">
        <v>0</v>
      </c>
      <c r="H1376" s="2">
        <v>26.648999999999997</v>
      </c>
      <c r="I1376" s="2">
        <v>76.14</v>
      </c>
    </row>
    <row r="1377" spans="2:9" x14ac:dyDescent="0.3">
      <c r="E1377" t="s">
        <v>43</v>
      </c>
      <c r="F1377">
        <v>4</v>
      </c>
      <c r="G1377">
        <v>0</v>
      </c>
      <c r="H1377" s="2">
        <v>7.5991999999999997</v>
      </c>
      <c r="I1377" s="2">
        <v>16.52</v>
      </c>
    </row>
    <row r="1378" spans="2:9" x14ac:dyDescent="0.3">
      <c r="E1378" t="s">
        <v>24</v>
      </c>
      <c r="F1378">
        <v>4</v>
      </c>
      <c r="G1378">
        <v>0</v>
      </c>
      <c r="H1378" s="2">
        <v>11.298800000000002</v>
      </c>
      <c r="I1378" s="2">
        <v>41.78</v>
      </c>
    </row>
    <row r="1379" spans="2:9" x14ac:dyDescent="0.3">
      <c r="D1379" t="s">
        <v>15</v>
      </c>
      <c r="E1379" t="s">
        <v>23</v>
      </c>
      <c r="F1379">
        <v>2</v>
      </c>
      <c r="G1379">
        <v>0</v>
      </c>
      <c r="H1379" s="2">
        <v>57.592799999999997</v>
      </c>
      <c r="I1379" s="2">
        <v>159.97999999999999</v>
      </c>
    </row>
    <row r="1380" spans="2:9" x14ac:dyDescent="0.3">
      <c r="E1380" t="s">
        <v>16</v>
      </c>
      <c r="F1380">
        <v>6</v>
      </c>
      <c r="G1380">
        <v>0</v>
      </c>
      <c r="H1380" s="2">
        <v>16.146000000000001</v>
      </c>
      <c r="I1380" s="2">
        <v>35.880000000000003</v>
      </c>
    </row>
    <row r="1381" spans="2:9" x14ac:dyDescent="0.3">
      <c r="B1381" t="s">
        <v>155</v>
      </c>
      <c r="C1381" t="s">
        <v>11</v>
      </c>
      <c r="D1381" t="s">
        <v>8</v>
      </c>
      <c r="E1381" t="s">
        <v>21</v>
      </c>
      <c r="F1381">
        <v>2</v>
      </c>
      <c r="G1381">
        <v>0</v>
      </c>
      <c r="H1381" s="2">
        <v>10.567200000000001</v>
      </c>
      <c r="I1381" s="2">
        <v>25.16</v>
      </c>
    </row>
    <row r="1382" spans="2:9" x14ac:dyDescent="0.3">
      <c r="E1382" t="s">
        <v>24</v>
      </c>
      <c r="F1382">
        <v>4</v>
      </c>
      <c r="G1382">
        <v>0.2</v>
      </c>
      <c r="H1382" s="2">
        <v>47.459999999999994</v>
      </c>
      <c r="I1382" s="2">
        <v>126.56</v>
      </c>
    </row>
    <row r="1383" spans="2:9" x14ac:dyDescent="0.3">
      <c r="C1383" t="s">
        <v>22</v>
      </c>
      <c r="D1383" t="s">
        <v>15</v>
      </c>
      <c r="E1383" t="s">
        <v>23</v>
      </c>
      <c r="F1383">
        <v>7</v>
      </c>
      <c r="G1383">
        <v>0</v>
      </c>
      <c r="H1383" s="2">
        <v>34.698299999999996</v>
      </c>
      <c r="I1383" s="2">
        <v>111.93</v>
      </c>
    </row>
    <row r="1384" spans="2:9" x14ac:dyDescent="0.3">
      <c r="B1384" t="s">
        <v>156</v>
      </c>
      <c r="C1384" t="s">
        <v>11</v>
      </c>
      <c r="D1384" t="s">
        <v>8</v>
      </c>
      <c r="E1384" t="s">
        <v>19</v>
      </c>
      <c r="F1384">
        <v>2</v>
      </c>
      <c r="G1384">
        <v>0.2</v>
      </c>
      <c r="H1384" s="2">
        <v>2.7168000000000001</v>
      </c>
      <c r="I1384" s="2">
        <v>27.168000000000003</v>
      </c>
    </row>
    <row r="1385" spans="2:9" x14ac:dyDescent="0.3">
      <c r="E1385" t="s">
        <v>20</v>
      </c>
      <c r="F1385">
        <v>6</v>
      </c>
      <c r="G1385">
        <v>1.4</v>
      </c>
      <c r="H1385" s="2">
        <v>-16.501799999999996</v>
      </c>
      <c r="I1385" s="2">
        <v>23.574000000000005</v>
      </c>
    </row>
    <row r="1386" spans="2:9" x14ac:dyDescent="0.3">
      <c r="E1386" t="s">
        <v>18</v>
      </c>
      <c r="F1386">
        <v>2</v>
      </c>
      <c r="G1386">
        <v>0.2</v>
      </c>
      <c r="H1386" s="2">
        <v>1.8147999999999997</v>
      </c>
      <c r="I1386" s="2">
        <v>5.5840000000000005</v>
      </c>
    </row>
    <row r="1387" spans="2:9" x14ac:dyDescent="0.3">
      <c r="E1387" t="s">
        <v>21</v>
      </c>
      <c r="F1387">
        <v>4</v>
      </c>
      <c r="G1387">
        <v>0.2</v>
      </c>
      <c r="H1387" s="2">
        <v>19.084800000000005</v>
      </c>
      <c r="I1387" s="2">
        <v>72.703999999999994</v>
      </c>
    </row>
    <row r="1388" spans="2:9" x14ac:dyDescent="0.3">
      <c r="E1388" t="s">
        <v>46</v>
      </c>
      <c r="F1388">
        <v>4</v>
      </c>
      <c r="G1388">
        <v>0.7</v>
      </c>
      <c r="H1388" s="2">
        <v>-383.99040000000002</v>
      </c>
      <c r="I1388" s="2">
        <v>479.98800000000006</v>
      </c>
    </row>
    <row r="1389" spans="2:9" x14ac:dyDescent="0.3">
      <c r="E1389" t="s">
        <v>16</v>
      </c>
      <c r="F1389">
        <v>12</v>
      </c>
      <c r="G1389">
        <v>0.4</v>
      </c>
      <c r="H1389" s="2">
        <v>18.287400000000002</v>
      </c>
      <c r="I1389" s="2">
        <v>50.448000000000008</v>
      </c>
    </row>
    <row r="1390" spans="2:9" x14ac:dyDescent="0.3">
      <c r="E1390" t="s">
        <v>24</v>
      </c>
      <c r="F1390">
        <v>4</v>
      </c>
      <c r="G1390">
        <v>0.4</v>
      </c>
      <c r="H1390" s="2">
        <v>-34.314799999999991</v>
      </c>
      <c r="I1390" s="2">
        <v>158.37599999999998</v>
      </c>
    </row>
    <row r="1391" spans="2:9" x14ac:dyDescent="0.3">
      <c r="C1391" t="s">
        <v>7</v>
      </c>
      <c r="D1391" t="s">
        <v>8</v>
      </c>
      <c r="E1391" t="s">
        <v>23</v>
      </c>
      <c r="F1391">
        <v>6</v>
      </c>
      <c r="G1391">
        <v>0.2</v>
      </c>
      <c r="H1391" s="2">
        <v>107.98920000000001</v>
      </c>
      <c r="I1391" s="2">
        <v>479.952</v>
      </c>
    </row>
    <row r="1392" spans="2:9" x14ac:dyDescent="0.3">
      <c r="E1392" t="s">
        <v>19</v>
      </c>
      <c r="F1392">
        <v>5</v>
      </c>
      <c r="G1392">
        <v>0.2</v>
      </c>
      <c r="H1392" s="2">
        <v>1.7940000000000005</v>
      </c>
      <c r="I1392" s="2">
        <v>23.92</v>
      </c>
    </row>
    <row r="1393" spans="2:9" x14ac:dyDescent="0.3">
      <c r="D1393" t="s">
        <v>15</v>
      </c>
      <c r="E1393" t="s">
        <v>25</v>
      </c>
      <c r="F1393">
        <v>5</v>
      </c>
      <c r="G1393">
        <v>0.4</v>
      </c>
      <c r="H1393" s="2">
        <v>-69.889999999999986</v>
      </c>
      <c r="I1393" s="2">
        <v>1048.3499999999999</v>
      </c>
    </row>
    <row r="1394" spans="2:9" x14ac:dyDescent="0.3">
      <c r="C1394" t="s">
        <v>22</v>
      </c>
      <c r="D1394" t="s">
        <v>8</v>
      </c>
      <c r="E1394" t="s">
        <v>24</v>
      </c>
      <c r="F1394">
        <v>5</v>
      </c>
      <c r="G1394">
        <v>0.2</v>
      </c>
      <c r="H1394" s="2">
        <v>1.375</v>
      </c>
      <c r="I1394" s="2">
        <v>22</v>
      </c>
    </row>
    <row r="1395" spans="2:9" x14ac:dyDescent="0.3">
      <c r="D1395" t="s">
        <v>15</v>
      </c>
      <c r="E1395" t="s">
        <v>23</v>
      </c>
      <c r="F1395">
        <v>1</v>
      </c>
      <c r="G1395">
        <v>0.2</v>
      </c>
      <c r="H1395" s="2">
        <v>1.7054999999999998</v>
      </c>
      <c r="I1395" s="2">
        <v>9.0960000000000001</v>
      </c>
    </row>
    <row r="1396" spans="2:9" x14ac:dyDescent="0.3">
      <c r="B1396" t="s">
        <v>157</v>
      </c>
      <c r="C1396" t="s">
        <v>22</v>
      </c>
      <c r="D1396" t="s">
        <v>8</v>
      </c>
      <c r="E1396" t="s">
        <v>24</v>
      </c>
      <c r="F1396">
        <v>4</v>
      </c>
      <c r="G1396">
        <v>0</v>
      </c>
      <c r="H1396" s="2">
        <v>76.548399999999987</v>
      </c>
      <c r="I1396" s="2">
        <v>263.95999999999998</v>
      </c>
    </row>
    <row r="1397" spans="2:9" x14ac:dyDescent="0.3">
      <c r="D1397" t="s">
        <v>17</v>
      </c>
      <c r="E1397" t="s">
        <v>20</v>
      </c>
      <c r="F1397">
        <v>4</v>
      </c>
      <c r="G1397">
        <v>0</v>
      </c>
      <c r="H1397" s="2">
        <v>6.8579999999999988</v>
      </c>
      <c r="I1397" s="2">
        <v>15.24</v>
      </c>
    </row>
    <row r="1398" spans="2:9" x14ac:dyDescent="0.3">
      <c r="E1398" t="s">
        <v>33</v>
      </c>
      <c r="F1398">
        <v>10</v>
      </c>
      <c r="G1398">
        <v>0</v>
      </c>
      <c r="H1398" s="2">
        <v>394.26800000000003</v>
      </c>
      <c r="I1398" s="2">
        <v>1408.1</v>
      </c>
    </row>
    <row r="1399" spans="2:9" x14ac:dyDescent="0.3">
      <c r="B1399" t="s">
        <v>158</v>
      </c>
      <c r="C1399" t="s">
        <v>11</v>
      </c>
      <c r="D1399" t="s">
        <v>8</v>
      </c>
      <c r="E1399" t="s">
        <v>12</v>
      </c>
      <c r="F1399">
        <v>3</v>
      </c>
      <c r="G1399">
        <v>0.2</v>
      </c>
      <c r="H1399" s="2">
        <v>9.8351999999999933</v>
      </c>
      <c r="I1399" s="2">
        <v>98.352000000000004</v>
      </c>
    </row>
    <row r="1400" spans="2:9" x14ac:dyDescent="0.3">
      <c r="E1400" t="s">
        <v>20</v>
      </c>
      <c r="F1400">
        <v>7</v>
      </c>
      <c r="G1400">
        <v>0.7</v>
      </c>
      <c r="H1400" s="2">
        <v>-4.2336000000000009</v>
      </c>
      <c r="I1400" s="2">
        <v>6.0480000000000009</v>
      </c>
    </row>
    <row r="1401" spans="2:9" x14ac:dyDescent="0.3">
      <c r="E1401" t="s">
        <v>21</v>
      </c>
      <c r="F1401">
        <v>2</v>
      </c>
      <c r="G1401">
        <v>0.2</v>
      </c>
      <c r="H1401" s="2">
        <v>25.180800000000005</v>
      </c>
      <c r="I1401" s="2">
        <v>335.74400000000003</v>
      </c>
    </row>
    <row r="1402" spans="2:9" x14ac:dyDescent="0.3">
      <c r="C1402" t="s">
        <v>7</v>
      </c>
      <c r="D1402" t="s">
        <v>15</v>
      </c>
      <c r="E1402" t="s">
        <v>19</v>
      </c>
      <c r="F1402">
        <v>4</v>
      </c>
      <c r="G1402">
        <v>0.2</v>
      </c>
      <c r="H1402" s="2">
        <v>12.314400000000006</v>
      </c>
      <c r="I1402" s="2">
        <v>140.73599999999999</v>
      </c>
    </row>
    <row r="1403" spans="2:9" x14ac:dyDescent="0.3">
      <c r="C1403" t="s">
        <v>22</v>
      </c>
      <c r="D1403" t="s">
        <v>15</v>
      </c>
      <c r="E1403" t="s">
        <v>38</v>
      </c>
      <c r="F1403">
        <v>7</v>
      </c>
      <c r="G1403">
        <v>0.2</v>
      </c>
      <c r="H1403" s="2">
        <v>62.807499999999976</v>
      </c>
      <c r="I1403" s="2">
        <v>200.98400000000004</v>
      </c>
    </row>
    <row r="1404" spans="2:9" x14ac:dyDescent="0.3">
      <c r="E1404" t="s">
        <v>16</v>
      </c>
      <c r="F1404">
        <v>3</v>
      </c>
      <c r="G1404">
        <v>0.2</v>
      </c>
      <c r="H1404" s="2">
        <v>4.4849999999999994</v>
      </c>
      <c r="I1404" s="2">
        <v>14.352000000000002</v>
      </c>
    </row>
    <row r="1405" spans="2:9" x14ac:dyDescent="0.3">
      <c r="E1405" t="s">
        <v>24</v>
      </c>
      <c r="F1405">
        <v>2</v>
      </c>
      <c r="G1405">
        <v>0.2</v>
      </c>
      <c r="H1405" s="2">
        <v>1.3986000000000001</v>
      </c>
      <c r="I1405" s="2">
        <v>15.984000000000002</v>
      </c>
    </row>
    <row r="1406" spans="2:9" x14ac:dyDescent="0.3">
      <c r="D1406" t="s">
        <v>17</v>
      </c>
      <c r="E1406" t="s">
        <v>19</v>
      </c>
      <c r="F1406">
        <v>3</v>
      </c>
      <c r="G1406">
        <v>0.2</v>
      </c>
      <c r="H1406" s="2">
        <v>0.46440000000000037</v>
      </c>
      <c r="I1406" s="2">
        <v>6.1920000000000002</v>
      </c>
    </row>
    <row r="1407" spans="2:9" x14ac:dyDescent="0.3">
      <c r="E1407" t="s">
        <v>14</v>
      </c>
      <c r="F1407">
        <v>2</v>
      </c>
      <c r="G1407">
        <v>0.2</v>
      </c>
      <c r="H1407" s="2">
        <v>4.6175999999999995</v>
      </c>
      <c r="I1407" s="2">
        <v>61.567999999999998</v>
      </c>
    </row>
    <row r="1408" spans="2:9" x14ac:dyDescent="0.3">
      <c r="B1408" t="s">
        <v>159</v>
      </c>
      <c r="C1408" t="s">
        <v>11</v>
      </c>
      <c r="D1408" t="s">
        <v>15</v>
      </c>
      <c r="E1408" t="s">
        <v>23</v>
      </c>
      <c r="F1408">
        <v>2</v>
      </c>
      <c r="G1408">
        <v>0</v>
      </c>
      <c r="H1408" s="2">
        <v>19.7714</v>
      </c>
      <c r="I1408" s="2">
        <v>45.98</v>
      </c>
    </row>
    <row r="1409" spans="2:9" x14ac:dyDescent="0.3">
      <c r="E1409" t="s">
        <v>20</v>
      </c>
      <c r="F1409">
        <v>2</v>
      </c>
      <c r="G1409">
        <v>0</v>
      </c>
      <c r="H1409" s="2">
        <v>8.2061999999999991</v>
      </c>
      <c r="I1409" s="2">
        <v>17.46</v>
      </c>
    </row>
    <row r="1410" spans="2:9" x14ac:dyDescent="0.3">
      <c r="C1410" t="s">
        <v>22</v>
      </c>
      <c r="D1410" t="s">
        <v>8</v>
      </c>
      <c r="E1410" t="s">
        <v>43</v>
      </c>
      <c r="F1410">
        <v>3</v>
      </c>
      <c r="G1410">
        <v>0</v>
      </c>
      <c r="H1410" s="2">
        <v>6.8723999999999998</v>
      </c>
      <c r="I1410" s="2">
        <v>14.940000000000001</v>
      </c>
    </row>
    <row r="1411" spans="2:9" x14ac:dyDescent="0.3">
      <c r="E1411" t="s">
        <v>16</v>
      </c>
      <c r="F1411">
        <v>2</v>
      </c>
      <c r="G1411">
        <v>0</v>
      </c>
      <c r="H1411" s="2">
        <v>3.8519999999999994</v>
      </c>
      <c r="I1411" s="2">
        <v>8.56</v>
      </c>
    </row>
    <row r="1412" spans="2:9" x14ac:dyDescent="0.3">
      <c r="E1412" t="s">
        <v>14</v>
      </c>
      <c r="F1412">
        <v>5</v>
      </c>
      <c r="G1412">
        <v>0</v>
      </c>
      <c r="H1412" s="2">
        <v>14.148</v>
      </c>
      <c r="I1412" s="2">
        <v>52.400000000000006</v>
      </c>
    </row>
    <row r="1413" spans="2:9" x14ac:dyDescent="0.3">
      <c r="D1413" t="s">
        <v>17</v>
      </c>
      <c r="E1413" t="s">
        <v>19</v>
      </c>
      <c r="F1413">
        <v>3</v>
      </c>
      <c r="G1413">
        <v>0</v>
      </c>
      <c r="H1413" s="2">
        <v>12.511800000000001</v>
      </c>
      <c r="I1413" s="2">
        <v>29.79</v>
      </c>
    </row>
    <row r="1414" spans="2:9" x14ac:dyDescent="0.3">
      <c r="E1414" t="s">
        <v>43</v>
      </c>
      <c r="F1414">
        <v>5</v>
      </c>
      <c r="G1414">
        <v>0</v>
      </c>
      <c r="H1414" s="2">
        <v>21.672000000000001</v>
      </c>
      <c r="I1414" s="2">
        <v>45.15</v>
      </c>
    </row>
    <row r="1415" spans="2:9" x14ac:dyDescent="0.3">
      <c r="B1415" t="s">
        <v>160</v>
      </c>
      <c r="C1415" t="s">
        <v>11</v>
      </c>
      <c r="D1415" t="s">
        <v>8</v>
      </c>
      <c r="E1415" t="s">
        <v>19</v>
      </c>
      <c r="F1415">
        <v>3</v>
      </c>
      <c r="G1415">
        <v>0</v>
      </c>
      <c r="H1415" s="2">
        <v>9.702</v>
      </c>
      <c r="I1415" s="2">
        <v>34.650000000000006</v>
      </c>
    </row>
    <row r="1416" spans="2:9" x14ac:dyDescent="0.3">
      <c r="E1416" t="s">
        <v>20</v>
      </c>
      <c r="F1416">
        <v>5</v>
      </c>
      <c r="G1416">
        <v>0</v>
      </c>
      <c r="H1416" s="2">
        <v>38.376000000000005</v>
      </c>
      <c r="I1416" s="2">
        <v>79.95</v>
      </c>
    </row>
    <row r="1417" spans="2:9" x14ac:dyDescent="0.3">
      <c r="E1417" t="s">
        <v>16</v>
      </c>
      <c r="F1417">
        <v>9</v>
      </c>
      <c r="G1417">
        <v>0</v>
      </c>
      <c r="H1417" s="2">
        <v>112.86709999999999</v>
      </c>
      <c r="I1417" s="2">
        <v>230.87</v>
      </c>
    </row>
    <row r="1418" spans="2:9" x14ac:dyDescent="0.3">
      <c r="C1418" t="s">
        <v>22</v>
      </c>
      <c r="D1418" t="s">
        <v>8</v>
      </c>
      <c r="E1418" t="s">
        <v>23</v>
      </c>
      <c r="F1418">
        <v>3</v>
      </c>
      <c r="G1418">
        <v>0</v>
      </c>
      <c r="H1418" s="2">
        <v>13.674000000000003</v>
      </c>
      <c r="I1418" s="2">
        <v>31.799999999999997</v>
      </c>
    </row>
    <row r="1419" spans="2:9" x14ac:dyDescent="0.3">
      <c r="B1419" t="s">
        <v>161</v>
      </c>
      <c r="C1419" t="s">
        <v>22</v>
      </c>
      <c r="D1419" t="s">
        <v>15</v>
      </c>
      <c r="E1419" t="s">
        <v>23</v>
      </c>
      <c r="F1419">
        <v>3</v>
      </c>
      <c r="G1419">
        <v>0</v>
      </c>
      <c r="H1419" s="2">
        <v>18</v>
      </c>
      <c r="I1419" s="2">
        <v>75</v>
      </c>
    </row>
    <row r="1420" spans="2:9" x14ac:dyDescent="0.3">
      <c r="E1420" t="s">
        <v>20</v>
      </c>
      <c r="F1420">
        <v>1</v>
      </c>
      <c r="G1420">
        <v>0</v>
      </c>
      <c r="H1420" s="2">
        <v>74.690999999999988</v>
      </c>
      <c r="I1420" s="2">
        <v>165.98</v>
      </c>
    </row>
    <row r="1421" spans="2:9" x14ac:dyDescent="0.3">
      <c r="E1421" t="s">
        <v>21</v>
      </c>
      <c r="F1421">
        <v>3</v>
      </c>
      <c r="G1421">
        <v>0</v>
      </c>
      <c r="H1421" s="2">
        <v>9.3227999999999991</v>
      </c>
      <c r="I1421" s="2">
        <v>27.42</v>
      </c>
    </row>
    <row r="1422" spans="2:9" x14ac:dyDescent="0.3">
      <c r="B1422" t="s">
        <v>162</v>
      </c>
      <c r="C1422" t="s">
        <v>11</v>
      </c>
      <c r="D1422" t="s">
        <v>8</v>
      </c>
      <c r="E1422" t="s">
        <v>16</v>
      </c>
      <c r="F1422">
        <v>4</v>
      </c>
      <c r="G1422">
        <v>0</v>
      </c>
      <c r="H1422" s="2">
        <v>91.950799999999987</v>
      </c>
      <c r="I1422" s="2">
        <v>195.64</v>
      </c>
    </row>
    <row r="1423" spans="2:9" x14ac:dyDescent="0.3">
      <c r="E1423" t="s">
        <v>24</v>
      </c>
      <c r="F1423">
        <v>2</v>
      </c>
      <c r="G1423">
        <v>0</v>
      </c>
      <c r="H1423" s="2">
        <v>71.97</v>
      </c>
      <c r="I1423" s="2">
        <v>239.9</v>
      </c>
    </row>
    <row r="1424" spans="2:9" x14ac:dyDescent="0.3">
      <c r="C1424" t="s">
        <v>22</v>
      </c>
      <c r="D1424" t="s">
        <v>8</v>
      </c>
      <c r="E1424" t="s">
        <v>34</v>
      </c>
      <c r="F1424">
        <v>7</v>
      </c>
      <c r="G1424">
        <v>0</v>
      </c>
      <c r="H1424" s="2">
        <v>32.46879999999998</v>
      </c>
      <c r="I1424" s="2">
        <v>405.85999999999996</v>
      </c>
    </row>
    <row r="1425" spans="2:9" x14ac:dyDescent="0.3">
      <c r="E1425" t="s">
        <v>33</v>
      </c>
      <c r="F1425">
        <v>3</v>
      </c>
      <c r="G1425">
        <v>0</v>
      </c>
      <c r="H1425" s="2">
        <v>176.80260000000001</v>
      </c>
      <c r="I1425" s="2">
        <v>680.01</v>
      </c>
    </row>
    <row r="1426" spans="2:9" x14ac:dyDescent="0.3">
      <c r="D1426" t="s">
        <v>15</v>
      </c>
      <c r="E1426" t="s">
        <v>14</v>
      </c>
      <c r="F1426">
        <v>2</v>
      </c>
      <c r="G1426">
        <v>0</v>
      </c>
      <c r="H1426" s="2">
        <v>8.465600000000002</v>
      </c>
      <c r="I1426" s="2">
        <v>32.56</v>
      </c>
    </row>
    <row r="1427" spans="2:9" x14ac:dyDescent="0.3">
      <c r="D1427" t="s">
        <v>17</v>
      </c>
      <c r="E1427" t="s">
        <v>20</v>
      </c>
      <c r="F1427">
        <v>3</v>
      </c>
      <c r="G1427">
        <v>0</v>
      </c>
      <c r="H1427" s="2">
        <v>45.839999999999996</v>
      </c>
      <c r="I1427" s="2">
        <v>91.679999999999993</v>
      </c>
    </row>
    <row r="1428" spans="2:9" x14ac:dyDescent="0.3">
      <c r="B1428" t="s">
        <v>163</v>
      </c>
      <c r="C1428" t="s">
        <v>11</v>
      </c>
      <c r="D1428" t="s">
        <v>8</v>
      </c>
      <c r="E1428" t="s">
        <v>20</v>
      </c>
      <c r="F1428">
        <v>1</v>
      </c>
      <c r="G1428">
        <v>0.8</v>
      </c>
      <c r="H1428" s="2">
        <v>-3.4122000000000003</v>
      </c>
      <c r="I1428" s="2">
        <v>2.0679999999999996</v>
      </c>
    </row>
    <row r="1429" spans="2:9" x14ac:dyDescent="0.3">
      <c r="E1429" t="s">
        <v>16</v>
      </c>
      <c r="F1429">
        <v>8</v>
      </c>
      <c r="G1429">
        <v>0.2</v>
      </c>
      <c r="H1429" s="2">
        <v>30.391999999999996</v>
      </c>
      <c r="I1429" s="2">
        <v>83.84</v>
      </c>
    </row>
    <row r="1430" spans="2:9" x14ac:dyDescent="0.3">
      <c r="C1430" t="s">
        <v>22</v>
      </c>
      <c r="D1430" t="s">
        <v>8</v>
      </c>
      <c r="E1430" t="s">
        <v>18</v>
      </c>
      <c r="F1430">
        <v>2</v>
      </c>
      <c r="G1430">
        <v>0.2</v>
      </c>
      <c r="H1430" s="2">
        <v>0.82879999999999987</v>
      </c>
      <c r="I1430" s="2">
        <v>2.3679999999999999</v>
      </c>
    </row>
    <row r="1431" spans="2:9" x14ac:dyDescent="0.3">
      <c r="B1431" t="s">
        <v>164</v>
      </c>
      <c r="C1431" t="s">
        <v>22</v>
      </c>
      <c r="D1431" t="s">
        <v>8</v>
      </c>
      <c r="E1431" t="s">
        <v>43</v>
      </c>
      <c r="F1431">
        <v>2</v>
      </c>
      <c r="G1431">
        <v>0</v>
      </c>
      <c r="H1431" s="2">
        <v>6.8713999999999995</v>
      </c>
      <c r="I1431" s="2">
        <v>14.62</v>
      </c>
    </row>
    <row r="1432" spans="2:9" x14ac:dyDescent="0.3">
      <c r="E1432" t="s">
        <v>24</v>
      </c>
      <c r="F1432">
        <v>7</v>
      </c>
      <c r="G1432">
        <v>0</v>
      </c>
      <c r="H1432" s="2">
        <v>236.23250000000002</v>
      </c>
      <c r="I1432" s="2">
        <v>944.93000000000006</v>
      </c>
    </row>
    <row r="1433" spans="2:9" x14ac:dyDescent="0.3">
      <c r="B1433" t="s">
        <v>165</v>
      </c>
      <c r="C1433" t="s">
        <v>11</v>
      </c>
      <c r="D1433" t="s">
        <v>8</v>
      </c>
      <c r="E1433" t="s">
        <v>23</v>
      </c>
      <c r="F1433">
        <v>2</v>
      </c>
      <c r="G1433">
        <v>0</v>
      </c>
      <c r="H1433" s="2">
        <v>2.5779999999999994</v>
      </c>
      <c r="I1433" s="2">
        <v>25.78</v>
      </c>
    </row>
    <row r="1434" spans="2:9" x14ac:dyDescent="0.3">
      <c r="E1434" t="s">
        <v>12</v>
      </c>
      <c r="F1434">
        <v>4</v>
      </c>
      <c r="G1434">
        <v>0</v>
      </c>
      <c r="H1434" s="2">
        <v>62.036799999999971</v>
      </c>
      <c r="I1434" s="2">
        <v>213.92</v>
      </c>
    </row>
    <row r="1435" spans="2:9" x14ac:dyDescent="0.3">
      <c r="E1435" t="s">
        <v>19</v>
      </c>
      <c r="F1435">
        <v>5</v>
      </c>
      <c r="G1435">
        <v>0</v>
      </c>
      <c r="H1435" s="2">
        <v>10.5</v>
      </c>
      <c r="I1435" s="2">
        <v>37.5</v>
      </c>
    </row>
    <row r="1436" spans="2:9" x14ac:dyDescent="0.3">
      <c r="E1436" t="s">
        <v>21</v>
      </c>
      <c r="F1436">
        <v>4</v>
      </c>
      <c r="G1436">
        <v>0</v>
      </c>
      <c r="H1436" s="2">
        <v>34.812800000000003</v>
      </c>
      <c r="I1436" s="2">
        <v>80.959999999999994</v>
      </c>
    </row>
    <row r="1437" spans="2:9" x14ac:dyDescent="0.3">
      <c r="E1437" t="s">
        <v>24</v>
      </c>
      <c r="F1437">
        <v>2</v>
      </c>
      <c r="G1437">
        <v>0.2</v>
      </c>
      <c r="H1437" s="2">
        <v>34.178400000000011</v>
      </c>
      <c r="I1437" s="2">
        <v>455.71199999999999</v>
      </c>
    </row>
    <row r="1438" spans="2:9" x14ac:dyDescent="0.3">
      <c r="E1438" t="s">
        <v>25</v>
      </c>
      <c r="F1438">
        <v>5</v>
      </c>
      <c r="G1438">
        <v>0</v>
      </c>
      <c r="H1438" s="2">
        <v>311.65199999999999</v>
      </c>
      <c r="I1438" s="2">
        <v>1298.55</v>
      </c>
    </row>
    <row r="1439" spans="2:9" x14ac:dyDescent="0.3">
      <c r="C1439" t="s">
        <v>22</v>
      </c>
      <c r="D1439" t="s">
        <v>8</v>
      </c>
      <c r="E1439" t="s">
        <v>20</v>
      </c>
      <c r="F1439">
        <v>6</v>
      </c>
      <c r="G1439">
        <v>0.4</v>
      </c>
      <c r="H1439" s="2">
        <v>18.323399999999999</v>
      </c>
      <c r="I1439" s="2">
        <v>53.88000000000001</v>
      </c>
    </row>
    <row r="1440" spans="2:9" x14ac:dyDescent="0.3">
      <c r="E1440" t="s">
        <v>18</v>
      </c>
      <c r="F1440">
        <v>5</v>
      </c>
      <c r="G1440">
        <v>0</v>
      </c>
      <c r="H1440" s="2">
        <v>9.6039999999999992</v>
      </c>
      <c r="I1440" s="2">
        <v>19.600000000000001</v>
      </c>
    </row>
    <row r="1441" spans="2:9" x14ac:dyDescent="0.3">
      <c r="E1441" t="s">
        <v>21</v>
      </c>
      <c r="F1441">
        <v>2</v>
      </c>
      <c r="G1441">
        <v>0</v>
      </c>
      <c r="H1441" s="2">
        <v>20.537999999999997</v>
      </c>
      <c r="I1441" s="2">
        <v>68.459999999999994</v>
      </c>
    </row>
    <row r="1442" spans="2:9" x14ac:dyDescent="0.3">
      <c r="E1442" t="s">
        <v>43</v>
      </c>
      <c r="F1442">
        <v>2</v>
      </c>
      <c r="G1442">
        <v>0</v>
      </c>
      <c r="H1442" s="2">
        <v>3.4685999999999999</v>
      </c>
      <c r="I1442" s="2">
        <v>7.38</v>
      </c>
    </row>
    <row r="1443" spans="2:9" x14ac:dyDescent="0.3">
      <c r="E1443" t="s">
        <v>16</v>
      </c>
      <c r="F1443">
        <v>2</v>
      </c>
      <c r="G1443">
        <v>0</v>
      </c>
      <c r="H1443" s="2">
        <v>40.170200000000001</v>
      </c>
      <c r="I1443" s="2">
        <v>81.98</v>
      </c>
    </row>
    <row r="1444" spans="2:9" x14ac:dyDescent="0.3">
      <c r="D1444" t="s">
        <v>15</v>
      </c>
      <c r="E1444" t="s">
        <v>23</v>
      </c>
      <c r="F1444">
        <v>3</v>
      </c>
      <c r="G1444">
        <v>0</v>
      </c>
      <c r="H1444" s="2">
        <v>86.385600000000011</v>
      </c>
      <c r="I1444" s="2">
        <v>179.97</v>
      </c>
    </row>
    <row r="1445" spans="2:9" x14ac:dyDescent="0.3">
      <c r="B1445" t="s">
        <v>166</v>
      </c>
      <c r="C1445" t="s">
        <v>22</v>
      </c>
      <c r="D1445" t="s">
        <v>15</v>
      </c>
      <c r="E1445" t="s">
        <v>33</v>
      </c>
      <c r="F1445">
        <v>4</v>
      </c>
      <c r="G1445">
        <v>0.2</v>
      </c>
      <c r="H1445" s="2">
        <v>4.8391999999999911</v>
      </c>
      <c r="I1445" s="2">
        <v>387.13600000000002</v>
      </c>
    </row>
    <row r="1446" spans="2:9" x14ac:dyDescent="0.3">
      <c r="D1446" t="s">
        <v>17</v>
      </c>
      <c r="E1446" t="s">
        <v>33</v>
      </c>
      <c r="F1446">
        <v>2</v>
      </c>
      <c r="G1446">
        <v>0.2</v>
      </c>
      <c r="H1446" s="2">
        <v>47.848000000000013</v>
      </c>
      <c r="I1446" s="2">
        <v>478.48</v>
      </c>
    </row>
    <row r="1447" spans="2:9" x14ac:dyDescent="0.3">
      <c r="B1447" t="s">
        <v>167</v>
      </c>
      <c r="C1447" t="s">
        <v>11</v>
      </c>
      <c r="D1447" t="s">
        <v>8</v>
      </c>
      <c r="E1447" t="s">
        <v>33</v>
      </c>
      <c r="F1447">
        <v>5</v>
      </c>
      <c r="G1447">
        <v>0.3</v>
      </c>
      <c r="H1447" s="2">
        <v>-21.807999999999993</v>
      </c>
      <c r="I1447" s="2">
        <v>763.28</v>
      </c>
    </row>
    <row r="1448" spans="2:9" x14ac:dyDescent="0.3">
      <c r="E1448" t="s">
        <v>16</v>
      </c>
      <c r="F1448">
        <v>2</v>
      </c>
      <c r="G1448">
        <v>0.2</v>
      </c>
      <c r="H1448" s="2">
        <v>3.6288</v>
      </c>
      <c r="I1448" s="2">
        <v>10.368000000000002</v>
      </c>
    </row>
    <row r="1449" spans="2:9" x14ac:dyDescent="0.3">
      <c r="E1449" t="s">
        <v>24</v>
      </c>
      <c r="F1449">
        <v>7</v>
      </c>
      <c r="G1449">
        <v>0.4</v>
      </c>
      <c r="H1449" s="2">
        <v>34.044600000000017</v>
      </c>
      <c r="I1449" s="2">
        <v>616.64800000000002</v>
      </c>
    </row>
    <row r="1450" spans="2:9" x14ac:dyDescent="0.3">
      <c r="C1450" t="s">
        <v>27</v>
      </c>
      <c r="D1450" t="s">
        <v>8</v>
      </c>
      <c r="E1450" t="s">
        <v>16</v>
      </c>
      <c r="F1450">
        <v>2</v>
      </c>
      <c r="G1450">
        <v>0.2</v>
      </c>
      <c r="H1450" s="2">
        <v>11.876799999999998</v>
      </c>
      <c r="I1450" s="2">
        <v>36.544000000000004</v>
      </c>
    </row>
    <row r="1451" spans="2:9" x14ac:dyDescent="0.3">
      <c r="C1451" t="s">
        <v>7</v>
      </c>
      <c r="D1451" t="s">
        <v>8</v>
      </c>
      <c r="E1451" t="s">
        <v>12</v>
      </c>
      <c r="F1451">
        <v>2</v>
      </c>
      <c r="G1451">
        <v>0.8</v>
      </c>
      <c r="H1451" s="2">
        <v>-13.580000000000002</v>
      </c>
      <c r="I1451" s="2">
        <v>5.4319999999999986</v>
      </c>
    </row>
    <row r="1452" spans="2:9" x14ac:dyDescent="0.3">
      <c r="E1452" t="s">
        <v>19</v>
      </c>
      <c r="F1452">
        <v>2</v>
      </c>
      <c r="G1452">
        <v>0.2</v>
      </c>
      <c r="H1452" s="2">
        <v>3.9679999999999964</v>
      </c>
      <c r="I1452" s="2">
        <v>31.744</v>
      </c>
    </row>
    <row r="1453" spans="2:9" x14ac:dyDescent="0.3">
      <c r="E1453" t="s">
        <v>14</v>
      </c>
      <c r="F1453">
        <v>3</v>
      </c>
      <c r="G1453">
        <v>0.2</v>
      </c>
      <c r="H1453" s="2">
        <v>27.910800000000009</v>
      </c>
      <c r="I1453" s="2">
        <v>372.14400000000001</v>
      </c>
    </row>
    <row r="1454" spans="2:9" x14ac:dyDescent="0.3">
      <c r="E1454" t="s">
        <v>25</v>
      </c>
      <c r="F1454">
        <v>5</v>
      </c>
      <c r="G1454">
        <v>0.3</v>
      </c>
      <c r="H1454" s="2">
        <v>-169.63700000000009</v>
      </c>
      <c r="I1454" s="2">
        <v>913.43000000000006</v>
      </c>
    </row>
    <row r="1455" spans="2:9" x14ac:dyDescent="0.3">
      <c r="D1455" t="s">
        <v>15</v>
      </c>
      <c r="E1455" t="s">
        <v>23</v>
      </c>
      <c r="F1455">
        <v>3</v>
      </c>
      <c r="G1455">
        <v>0.2</v>
      </c>
      <c r="H1455" s="2">
        <v>-10.797300000000011</v>
      </c>
      <c r="I1455" s="2">
        <v>95.976000000000013</v>
      </c>
    </row>
    <row r="1456" spans="2:9" x14ac:dyDescent="0.3">
      <c r="C1456" t="s">
        <v>22</v>
      </c>
      <c r="D1456" t="s">
        <v>8</v>
      </c>
      <c r="E1456" t="s">
        <v>19</v>
      </c>
      <c r="F1456">
        <v>4</v>
      </c>
      <c r="G1456">
        <v>0.2</v>
      </c>
      <c r="H1456" s="2">
        <v>4.2408000000000001</v>
      </c>
      <c r="I1456" s="2">
        <v>17.856000000000002</v>
      </c>
    </row>
    <row r="1457" spans="2:9" x14ac:dyDescent="0.3">
      <c r="E1457" t="s">
        <v>33</v>
      </c>
      <c r="F1457">
        <v>8</v>
      </c>
      <c r="G1457">
        <v>0.6</v>
      </c>
      <c r="H1457" s="2">
        <v>-2.0364000000000004</v>
      </c>
      <c r="I1457" s="2">
        <v>409.76599999999996</v>
      </c>
    </row>
    <row r="1458" spans="2:9" x14ac:dyDescent="0.3">
      <c r="E1458" t="s">
        <v>18</v>
      </c>
      <c r="F1458">
        <v>5</v>
      </c>
      <c r="G1458">
        <v>0.2</v>
      </c>
      <c r="H1458" s="2">
        <v>-3.5324999999999998</v>
      </c>
      <c r="I1458" s="2">
        <v>18.84</v>
      </c>
    </row>
    <row r="1459" spans="2:9" x14ac:dyDescent="0.3">
      <c r="E1459" t="s">
        <v>21</v>
      </c>
      <c r="F1459">
        <v>6</v>
      </c>
      <c r="G1459">
        <v>0.6</v>
      </c>
      <c r="H1459" s="2">
        <v>-34.953600000000002</v>
      </c>
      <c r="I1459" s="2">
        <v>63.552000000000007</v>
      </c>
    </row>
    <row r="1460" spans="2:9" x14ac:dyDescent="0.3">
      <c r="E1460" t="s">
        <v>14</v>
      </c>
      <c r="F1460">
        <v>3</v>
      </c>
      <c r="G1460">
        <v>0.2</v>
      </c>
      <c r="H1460" s="2">
        <v>-22.671600000000005</v>
      </c>
      <c r="I1460" s="2">
        <v>129.55199999999999</v>
      </c>
    </row>
    <row r="1461" spans="2:9" x14ac:dyDescent="0.3">
      <c r="D1461" t="s">
        <v>15</v>
      </c>
      <c r="E1461" t="s">
        <v>38</v>
      </c>
      <c r="F1461">
        <v>2</v>
      </c>
      <c r="G1461">
        <v>0.2</v>
      </c>
      <c r="H1461" s="2">
        <v>17.968399999999995</v>
      </c>
      <c r="I1461" s="2">
        <v>49.568000000000005</v>
      </c>
    </row>
    <row r="1462" spans="2:9" x14ac:dyDescent="0.3">
      <c r="D1462" t="s">
        <v>17</v>
      </c>
      <c r="E1462" t="s">
        <v>20</v>
      </c>
      <c r="F1462">
        <v>3</v>
      </c>
      <c r="G1462">
        <v>0.8</v>
      </c>
      <c r="H1462" s="2">
        <v>-6.8633999999999986</v>
      </c>
      <c r="I1462" s="2">
        <v>4.427999999999999</v>
      </c>
    </row>
    <row r="1463" spans="2:9" x14ac:dyDescent="0.3">
      <c r="E1463" t="s">
        <v>43</v>
      </c>
      <c r="F1463">
        <v>3</v>
      </c>
      <c r="G1463">
        <v>0.2</v>
      </c>
      <c r="H1463" s="2">
        <v>2.3409000000000004</v>
      </c>
      <c r="I1463" s="2">
        <v>6.9360000000000008</v>
      </c>
    </row>
    <row r="1464" spans="2:9" x14ac:dyDescent="0.3">
      <c r="B1464" t="s">
        <v>168</v>
      </c>
      <c r="C1464" t="s">
        <v>7</v>
      </c>
      <c r="D1464" t="s">
        <v>8</v>
      </c>
      <c r="E1464" t="s">
        <v>23</v>
      </c>
      <c r="F1464">
        <v>5</v>
      </c>
      <c r="G1464">
        <v>0</v>
      </c>
      <c r="H1464" s="2">
        <v>11.182499999999997</v>
      </c>
      <c r="I1464" s="2">
        <v>159.75</v>
      </c>
    </row>
    <row r="1465" spans="2:9" x14ac:dyDescent="0.3">
      <c r="E1465" t="s">
        <v>19</v>
      </c>
      <c r="F1465">
        <v>2</v>
      </c>
      <c r="G1465">
        <v>0</v>
      </c>
      <c r="H1465" s="2">
        <v>5.4895999999999994</v>
      </c>
      <c r="I1465" s="2">
        <v>11.68</v>
      </c>
    </row>
    <row r="1466" spans="2:9" x14ac:dyDescent="0.3">
      <c r="B1466" t="s">
        <v>169</v>
      </c>
      <c r="C1466" t="s">
        <v>22</v>
      </c>
      <c r="D1466" t="s">
        <v>17</v>
      </c>
      <c r="E1466" t="s">
        <v>33</v>
      </c>
      <c r="F1466">
        <v>6</v>
      </c>
      <c r="G1466">
        <v>0.3</v>
      </c>
      <c r="H1466" s="2">
        <v>-172.11720000000003</v>
      </c>
      <c r="I1466" s="2">
        <v>634.11599999999999</v>
      </c>
    </row>
    <row r="1467" spans="2:9" x14ac:dyDescent="0.3">
      <c r="E1467" t="s">
        <v>16</v>
      </c>
      <c r="F1467">
        <v>5</v>
      </c>
      <c r="G1467">
        <v>0.4</v>
      </c>
      <c r="H1467" s="2">
        <v>8.9399999999999977</v>
      </c>
      <c r="I1467" s="2">
        <v>27.136000000000003</v>
      </c>
    </row>
    <row r="1468" spans="2:9" x14ac:dyDescent="0.3">
      <c r="E1468" t="s">
        <v>14</v>
      </c>
      <c r="F1468">
        <v>3</v>
      </c>
      <c r="G1468">
        <v>0.2</v>
      </c>
      <c r="H1468" s="2">
        <v>-48.954900000000002</v>
      </c>
      <c r="I1468" s="2">
        <v>230.376</v>
      </c>
    </row>
    <row r="1469" spans="2:9" x14ac:dyDescent="0.3">
      <c r="B1469" t="s">
        <v>170</v>
      </c>
      <c r="C1469" t="s">
        <v>7</v>
      </c>
      <c r="D1469" t="s">
        <v>15</v>
      </c>
      <c r="E1469" t="s">
        <v>20</v>
      </c>
      <c r="F1469">
        <v>1</v>
      </c>
      <c r="G1469">
        <v>0.7</v>
      </c>
      <c r="H1469" s="2">
        <v>-1.3983999999999996</v>
      </c>
      <c r="I1469" s="2">
        <v>1.8240000000000003</v>
      </c>
    </row>
    <row r="1470" spans="2:9" x14ac:dyDescent="0.3">
      <c r="B1470" t="s">
        <v>171</v>
      </c>
      <c r="C1470" t="s">
        <v>11</v>
      </c>
      <c r="D1470" t="s">
        <v>8</v>
      </c>
      <c r="E1470" t="s">
        <v>20</v>
      </c>
      <c r="F1470">
        <v>5</v>
      </c>
      <c r="G1470">
        <v>0.2</v>
      </c>
      <c r="H1470" s="2">
        <v>2.351999999999999</v>
      </c>
      <c r="I1470" s="2">
        <v>6.7200000000000006</v>
      </c>
    </row>
    <row r="1471" spans="2:9" x14ac:dyDescent="0.3">
      <c r="E1471" t="s">
        <v>25</v>
      </c>
      <c r="F1471">
        <v>3</v>
      </c>
      <c r="G1471">
        <v>0.2</v>
      </c>
      <c r="H1471" s="2">
        <v>7.4693999999999932</v>
      </c>
      <c r="I1471" s="2">
        <v>298.77600000000001</v>
      </c>
    </row>
    <row r="1472" spans="2:9" x14ac:dyDescent="0.3">
      <c r="C1472" t="s">
        <v>7</v>
      </c>
      <c r="D1472" t="s">
        <v>8</v>
      </c>
      <c r="E1472" t="s">
        <v>23</v>
      </c>
      <c r="F1472">
        <v>2</v>
      </c>
      <c r="G1472">
        <v>0</v>
      </c>
      <c r="H1472" s="2">
        <v>57.590400000000002</v>
      </c>
      <c r="I1472" s="2">
        <v>119.98</v>
      </c>
    </row>
    <row r="1473" spans="2:9" x14ac:dyDescent="0.3">
      <c r="E1473" t="s">
        <v>20</v>
      </c>
      <c r="F1473">
        <v>2</v>
      </c>
      <c r="G1473">
        <v>0.2</v>
      </c>
      <c r="H1473" s="2">
        <v>16.3352</v>
      </c>
      <c r="I1473" s="2">
        <v>46.672000000000004</v>
      </c>
    </row>
    <row r="1474" spans="2:9" x14ac:dyDescent="0.3">
      <c r="E1474" t="s">
        <v>34</v>
      </c>
      <c r="F1474">
        <v>1</v>
      </c>
      <c r="G1474">
        <v>0.15</v>
      </c>
      <c r="H1474" s="2">
        <v>-12.688200000000002</v>
      </c>
      <c r="I1474" s="2">
        <v>119.83299999999998</v>
      </c>
    </row>
    <row r="1475" spans="2:9" x14ac:dyDescent="0.3">
      <c r="B1475" t="s">
        <v>172</v>
      </c>
      <c r="C1475" t="s">
        <v>22</v>
      </c>
      <c r="D1475" t="s">
        <v>8</v>
      </c>
      <c r="E1475" t="s">
        <v>16</v>
      </c>
      <c r="F1475">
        <v>3</v>
      </c>
      <c r="G1475">
        <v>0.2</v>
      </c>
      <c r="H1475" s="2">
        <v>5.6115000000000004</v>
      </c>
      <c r="I1475" s="2">
        <v>15.48</v>
      </c>
    </row>
    <row r="1476" spans="2:9" x14ac:dyDescent="0.3">
      <c r="E1476" t="s">
        <v>24</v>
      </c>
      <c r="F1476">
        <v>3</v>
      </c>
      <c r="G1476">
        <v>0.2</v>
      </c>
      <c r="H1476" s="2">
        <v>8.1432000000000002</v>
      </c>
      <c r="I1476" s="2">
        <v>108.57599999999999</v>
      </c>
    </row>
    <row r="1477" spans="2:9" x14ac:dyDescent="0.3">
      <c r="B1477" t="s">
        <v>173</v>
      </c>
      <c r="C1477" t="s">
        <v>7</v>
      </c>
      <c r="D1477" t="s">
        <v>8</v>
      </c>
      <c r="E1477" t="s">
        <v>19</v>
      </c>
      <c r="F1477">
        <v>3</v>
      </c>
      <c r="G1477">
        <v>0</v>
      </c>
      <c r="H1477" s="2">
        <v>15.642599999999995</v>
      </c>
      <c r="I1477" s="2">
        <v>53.94</v>
      </c>
    </row>
    <row r="1478" spans="2:9" x14ac:dyDescent="0.3">
      <c r="D1478" t="s">
        <v>15</v>
      </c>
      <c r="E1478" t="s">
        <v>20</v>
      </c>
      <c r="F1478">
        <v>2</v>
      </c>
      <c r="G1478">
        <v>0.2</v>
      </c>
      <c r="H1478" s="2">
        <v>6.0367999999999986</v>
      </c>
      <c r="I1478" s="2">
        <v>17.248000000000001</v>
      </c>
    </row>
    <row r="1479" spans="2:9" x14ac:dyDescent="0.3">
      <c r="C1479" t="s">
        <v>22</v>
      </c>
      <c r="D1479" t="s">
        <v>17</v>
      </c>
      <c r="E1479" t="s">
        <v>19</v>
      </c>
      <c r="F1479">
        <v>4</v>
      </c>
      <c r="G1479">
        <v>0</v>
      </c>
      <c r="H1479" s="2">
        <v>6.073599999999999</v>
      </c>
      <c r="I1479" s="2">
        <v>23.36</v>
      </c>
    </row>
    <row r="1480" spans="2:9" x14ac:dyDescent="0.3">
      <c r="B1480" t="s">
        <v>174</v>
      </c>
      <c r="C1480" t="s">
        <v>7</v>
      </c>
      <c r="D1480" t="s">
        <v>15</v>
      </c>
      <c r="E1480" t="s">
        <v>33</v>
      </c>
      <c r="F1480">
        <v>4</v>
      </c>
      <c r="G1480">
        <v>0.4</v>
      </c>
      <c r="H1480" s="2">
        <v>-111.96060000000008</v>
      </c>
      <c r="I1480" s="2">
        <v>755.13600000000008</v>
      </c>
    </row>
    <row r="1481" spans="2:9" x14ac:dyDescent="0.3">
      <c r="E1481" t="s">
        <v>43</v>
      </c>
      <c r="F1481">
        <v>8</v>
      </c>
      <c r="G1481">
        <v>0.2</v>
      </c>
      <c r="H1481" s="2">
        <v>228.07919999999999</v>
      </c>
      <c r="I1481" s="2">
        <v>629.18400000000008</v>
      </c>
    </row>
    <row r="1482" spans="2:9" x14ac:dyDescent="0.3">
      <c r="E1482" t="s">
        <v>16</v>
      </c>
      <c r="F1482">
        <v>4</v>
      </c>
      <c r="G1482">
        <v>0.4</v>
      </c>
      <c r="H1482" s="2">
        <v>22.094799999999999</v>
      </c>
      <c r="I1482" s="2">
        <v>63.128000000000007</v>
      </c>
    </row>
    <row r="1483" spans="2:9" x14ac:dyDescent="0.3">
      <c r="E1483" t="s">
        <v>9</v>
      </c>
      <c r="F1483">
        <v>7</v>
      </c>
      <c r="G1483">
        <v>0.2</v>
      </c>
      <c r="H1483" s="2">
        <v>-4.1761999999999997</v>
      </c>
      <c r="I1483" s="2">
        <v>17.584000000000003</v>
      </c>
    </row>
    <row r="1484" spans="2:9" x14ac:dyDescent="0.3">
      <c r="B1484" t="s">
        <v>175</v>
      </c>
      <c r="C1484" t="s">
        <v>7</v>
      </c>
      <c r="D1484" t="s">
        <v>8</v>
      </c>
      <c r="E1484" t="s">
        <v>33</v>
      </c>
      <c r="F1484">
        <v>3</v>
      </c>
      <c r="G1484">
        <v>0.3</v>
      </c>
      <c r="H1484" s="2">
        <v>-70.104300000000023</v>
      </c>
      <c r="I1484" s="2">
        <v>258.279</v>
      </c>
    </row>
    <row r="1485" spans="2:9" x14ac:dyDescent="0.3">
      <c r="E1485" t="s">
        <v>24</v>
      </c>
      <c r="F1485">
        <v>1</v>
      </c>
      <c r="G1485">
        <v>0.2</v>
      </c>
      <c r="H1485" s="2">
        <v>0.89939999999999909</v>
      </c>
      <c r="I1485" s="2">
        <v>11.992000000000001</v>
      </c>
    </row>
    <row r="1486" spans="2:9" x14ac:dyDescent="0.3">
      <c r="C1486" t="s">
        <v>22</v>
      </c>
      <c r="D1486" t="s">
        <v>8</v>
      </c>
      <c r="E1486" t="s">
        <v>23</v>
      </c>
      <c r="F1486">
        <v>3</v>
      </c>
      <c r="G1486">
        <v>0.2</v>
      </c>
      <c r="H1486" s="2">
        <v>-4.9004999999999974</v>
      </c>
      <c r="I1486" s="2">
        <v>43.56</v>
      </c>
    </row>
    <row r="1487" spans="2:9" x14ac:dyDescent="0.3">
      <c r="E1487" t="s">
        <v>45</v>
      </c>
      <c r="F1487">
        <v>4</v>
      </c>
      <c r="G1487">
        <v>0.2</v>
      </c>
      <c r="H1487" s="2">
        <v>485.98919999999993</v>
      </c>
      <c r="I1487" s="2">
        <v>1439.9680000000001</v>
      </c>
    </row>
    <row r="1488" spans="2:9" x14ac:dyDescent="0.3">
      <c r="B1488" t="s">
        <v>176</v>
      </c>
      <c r="C1488" t="s">
        <v>11</v>
      </c>
      <c r="D1488" t="s">
        <v>8</v>
      </c>
      <c r="E1488" t="s">
        <v>23</v>
      </c>
      <c r="F1488">
        <v>3</v>
      </c>
      <c r="G1488">
        <v>0</v>
      </c>
      <c r="H1488" s="2">
        <v>30.089999999999982</v>
      </c>
      <c r="I1488" s="2">
        <v>177</v>
      </c>
    </row>
    <row r="1489" spans="3:9" x14ac:dyDescent="0.3">
      <c r="E1489" t="s">
        <v>19</v>
      </c>
      <c r="F1489">
        <v>3</v>
      </c>
      <c r="G1489">
        <v>0</v>
      </c>
      <c r="H1489" s="2">
        <v>14.263200000000001</v>
      </c>
      <c r="I1489" s="2">
        <v>50.94</v>
      </c>
    </row>
    <row r="1490" spans="3:9" x14ac:dyDescent="0.3">
      <c r="E1490" t="s">
        <v>33</v>
      </c>
      <c r="F1490">
        <v>9</v>
      </c>
      <c r="G1490">
        <v>0</v>
      </c>
      <c r="H1490" s="2">
        <v>260.61120000000017</v>
      </c>
      <c r="I1490" s="2">
        <v>1628.82</v>
      </c>
    </row>
    <row r="1491" spans="3:9" x14ac:dyDescent="0.3">
      <c r="E1491" t="s">
        <v>14</v>
      </c>
      <c r="F1491">
        <v>7</v>
      </c>
      <c r="G1491">
        <v>0</v>
      </c>
      <c r="H1491" s="2">
        <v>22.246000000000006</v>
      </c>
      <c r="I1491" s="2">
        <v>79.45</v>
      </c>
    </row>
    <row r="1492" spans="3:9" x14ac:dyDescent="0.3">
      <c r="C1492" t="s">
        <v>7</v>
      </c>
      <c r="D1492" t="s">
        <v>8</v>
      </c>
      <c r="E1492" t="s">
        <v>19</v>
      </c>
      <c r="F1492">
        <v>2</v>
      </c>
      <c r="G1492">
        <v>0</v>
      </c>
      <c r="H1492" s="2">
        <v>6.5120000000000005</v>
      </c>
      <c r="I1492" s="2">
        <v>16.28</v>
      </c>
    </row>
    <row r="1493" spans="3:9" x14ac:dyDescent="0.3">
      <c r="E1493" t="s">
        <v>20</v>
      </c>
      <c r="F1493">
        <v>7</v>
      </c>
      <c r="G1493">
        <v>0</v>
      </c>
      <c r="H1493" s="2">
        <v>116.39039999999999</v>
      </c>
      <c r="I1493" s="2">
        <v>242.48000000000002</v>
      </c>
    </row>
    <row r="1494" spans="3:9" x14ac:dyDescent="0.3">
      <c r="E1494" t="s">
        <v>34</v>
      </c>
      <c r="F1494">
        <v>3</v>
      </c>
      <c r="G1494">
        <v>0</v>
      </c>
      <c r="H1494" s="2">
        <v>203.56440000000003</v>
      </c>
      <c r="I1494" s="2">
        <v>782.94</v>
      </c>
    </row>
    <row r="1495" spans="3:9" x14ac:dyDescent="0.3">
      <c r="E1495" t="s">
        <v>16</v>
      </c>
      <c r="F1495">
        <v>11</v>
      </c>
      <c r="G1495">
        <v>0</v>
      </c>
      <c r="H1495" s="2">
        <v>111.14109999999998</v>
      </c>
      <c r="I1495" s="2">
        <v>230.69</v>
      </c>
    </row>
    <row r="1496" spans="3:9" x14ac:dyDescent="0.3">
      <c r="E1496" t="s">
        <v>24</v>
      </c>
      <c r="F1496">
        <v>1</v>
      </c>
      <c r="G1496">
        <v>0</v>
      </c>
      <c r="H1496" s="2">
        <v>11.597099999999998</v>
      </c>
      <c r="I1496" s="2">
        <v>39.99</v>
      </c>
    </row>
    <row r="1497" spans="3:9" x14ac:dyDescent="0.3">
      <c r="D1497" t="s">
        <v>17</v>
      </c>
      <c r="E1497" t="s">
        <v>23</v>
      </c>
      <c r="F1497">
        <v>2</v>
      </c>
      <c r="G1497">
        <v>0</v>
      </c>
      <c r="H1497" s="2">
        <v>88.393200000000007</v>
      </c>
      <c r="I1497" s="2">
        <v>259.98</v>
      </c>
    </row>
    <row r="1498" spans="3:9" x14ac:dyDescent="0.3">
      <c r="E1498" t="s">
        <v>34</v>
      </c>
      <c r="F1498">
        <v>1</v>
      </c>
      <c r="G1498">
        <v>0</v>
      </c>
      <c r="H1498" s="2">
        <v>32.486199999999997</v>
      </c>
      <c r="I1498" s="2">
        <v>170.98</v>
      </c>
    </row>
    <row r="1499" spans="3:9" x14ac:dyDescent="0.3">
      <c r="E1499" t="s">
        <v>21</v>
      </c>
      <c r="F1499">
        <v>3</v>
      </c>
      <c r="G1499">
        <v>0</v>
      </c>
      <c r="H1499" s="2">
        <v>4.6763999999999992</v>
      </c>
      <c r="I1499" s="2">
        <v>38.97</v>
      </c>
    </row>
    <row r="1500" spans="3:9" x14ac:dyDescent="0.3">
      <c r="E1500" t="s">
        <v>16</v>
      </c>
      <c r="F1500">
        <v>14</v>
      </c>
      <c r="G1500">
        <v>0</v>
      </c>
      <c r="H1500" s="2">
        <v>117.11519999999999</v>
      </c>
      <c r="I1500" s="2">
        <v>254.92000000000002</v>
      </c>
    </row>
    <row r="1501" spans="3:9" x14ac:dyDescent="0.3">
      <c r="E1501" t="s">
        <v>25</v>
      </c>
      <c r="F1501">
        <v>4</v>
      </c>
      <c r="G1501">
        <v>0.3</v>
      </c>
      <c r="H1501" s="2">
        <v>0</v>
      </c>
      <c r="I1501" s="2">
        <v>446.06799999999998</v>
      </c>
    </row>
    <row r="1502" spans="3:9" x14ac:dyDescent="0.3">
      <c r="C1502" t="s">
        <v>22</v>
      </c>
      <c r="D1502" t="s">
        <v>8</v>
      </c>
      <c r="E1502" t="s">
        <v>43</v>
      </c>
      <c r="F1502">
        <v>3</v>
      </c>
      <c r="G1502">
        <v>0</v>
      </c>
      <c r="H1502" s="2">
        <v>10.307099999999998</v>
      </c>
      <c r="I1502" s="2">
        <v>21.93</v>
      </c>
    </row>
    <row r="1503" spans="3:9" x14ac:dyDescent="0.3">
      <c r="E1503" t="s">
        <v>16</v>
      </c>
      <c r="F1503">
        <v>5</v>
      </c>
      <c r="G1503">
        <v>0</v>
      </c>
      <c r="H1503" s="2">
        <v>42.047999999999995</v>
      </c>
      <c r="I1503" s="2">
        <v>87.6</v>
      </c>
    </row>
    <row r="1504" spans="3:9" x14ac:dyDescent="0.3">
      <c r="D1504" t="s">
        <v>15</v>
      </c>
      <c r="E1504" t="s">
        <v>20</v>
      </c>
      <c r="F1504">
        <v>1</v>
      </c>
      <c r="G1504">
        <v>0.2</v>
      </c>
      <c r="H1504" s="2">
        <v>1.3978000000000002</v>
      </c>
      <c r="I1504" s="2">
        <v>3.8560000000000003</v>
      </c>
    </row>
    <row r="1505" spans="2:9" x14ac:dyDescent="0.3">
      <c r="D1505" t="s">
        <v>17</v>
      </c>
      <c r="E1505" t="s">
        <v>33</v>
      </c>
      <c r="F1505">
        <v>3</v>
      </c>
      <c r="G1505">
        <v>0</v>
      </c>
      <c r="H1505" s="2">
        <v>141.1644</v>
      </c>
      <c r="I1505" s="2">
        <v>542.93999999999994</v>
      </c>
    </row>
    <row r="1506" spans="2:9" x14ac:dyDescent="0.3">
      <c r="E1506" t="s">
        <v>24</v>
      </c>
      <c r="F1506">
        <v>2</v>
      </c>
      <c r="G1506">
        <v>0</v>
      </c>
      <c r="H1506" s="2">
        <v>147.47500000000002</v>
      </c>
      <c r="I1506" s="2">
        <v>589.9</v>
      </c>
    </row>
    <row r="1507" spans="2:9" x14ac:dyDescent="0.3">
      <c r="B1507" t="s">
        <v>177</v>
      </c>
      <c r="C1507" t="s">
        <v>11</v>
      </c>
      <c r="D1507" t="s">
        <v>8</v>
      </c>
      <c r="E1507" t="s">
        <v>12</v>
      </c>
      <c r="F1507">
        <v>6</v>
      </c>
      <c r="G1507">
        <v>0.2</v>
      </c>
      <c r="H1507" s="2">
        <v>134.64319999999998</v>
      </c>
      <c r="I1507" s="2">
        <v>586.952</v>
      </c>
    </row>
    <row r="1508" spans="2:9" x14ac:dyDescent="0.3">
      <c r="E1508" t="s">
        <v>20</v>
      </c>
      <c r="F1508">
        <v>5</v>
      </c>
      <c r="G1508">
        <v>0</v>
      </c>
      <c r="H1508" s="2">
        <v>45.651199999999996</v>
      </c>
      <c r="I1508" s="2">
        <v>93.82</v>
      </c>
    </row>
    <row r="1509" spans="2:9" x14ac:dyDescent="0.3">
      <c r="E1509" t="s">
        <v>43</v>
      </c>
      <c r="F1509">
        <v>5</v>
      </c>
      <c r="G1509">
        <v>0.2</v>
      </c>
      <c r="H1509" s="2">
        <v>5.368999999999998</v>
      </c>
      <c r="I1509" s="2">
        <v>16.520000000000003</v>
      </c>
    </row>
    <row r="1510" spans="2:9" x14ac:dyDescent="0.3">
      <c r="E1510" t="s">
        <v>16</v>
      </c>
      <c r="F1510">
        <v>4</v>
      </c>
      <c r="G1510">
        <v>0</v>
      </c>
      <c r="H1510" s="2">
        <v>12.475199999999999</v>
      </c>
      <c r="I1510" s="2">
        <v>27.12</v>
      </c>
    </row>
    <row r="1511" spans="2:9" x14ac:dyDescent="0.3">
      <c r="E1511" t="s">
        <v>25</v>
      </c>
      <c r="F1511">
        <v>3</v>
      </c>
      <c r="G1511">
        <v>0.4</v>
      </c>
      <c r="H1511" s="2">
        <v>-122.87700000000004</v>
      </c>
      <c r="I1511" s="2">
        <v>409.59000000000003</v>
      </c>
    </row>
    <row r="1512" spans="2:9" x14ac:dyDescent="0.3">
      <c r="D1512" t="s">
        <v>15</v>
      </c>
      <c r="E1512" t="s">
        <v>21</v>
      </c>
      <c r="F1512">
        <v>8</v>
      </c>
      <c r="G1512">
        <v>0</v>
      </c>
      <c r="H1512" s="2">
        <v>16.961599999999997</v>
      </c>
      <c r="I1512" s="2">
        <v>48.040000000000006</v>
      </c>
    </row>
    <row r="1513" spans="2:9" x14ac:dyDescent="0.3">
      <c r="E1513" t="s">
        <v>46</v>
      </c>
      <c r="F1513">
        <v>2</v>
      </c>
      <c r="G1513">
        <v>0.2</v>
      </c>
      <c r="H1513" s="2">
        <v>53.271999999999991</v>
      </c>
      <c r="I1513" s="2">
        <v>532.72</v>
      </c>
    </row>
    <row r="1514" spans="2:9" x14ac:dyDescent="0.3">
      <c r="E1514" t="s">
        <v>16</v>
      </c>
      <c r="F1514">
        <v>9</v>
      </c>
      <c r="G1514">
        <v>0</v>
      </c>
      <c r="H1514" s="2">
        <v>28.795200000000001</v>
      </c>
      <c r="I1514" s="2">
        <v>59.72</v>
      </c>
    </row>
    <row r="1515" spans="2:9" x14ac:dyDescent="0.3">
      <c r="E1515" t="s">
        <v>14</v>
      </c>
      <c r="F1515">
        <v>7</v>
      </c>
      <c r="G1515">
        <v>0</v>
      </c>
      <c r="H1515" s="2">
        <v>7.9547999999999632</v>
      </c>
      <c r="I1515" s="2">
        <v>795.48</v>
      </c>
    </row>
    <row r="1516" spans="2:9" x14ac:dyDescent="0.3">
      <c r="C1516" t="s">
        <v>27</v>
      </c>
      <c r="D1516" t="s">
        <v>8</v>
      </c>
      <c r="E1516" t="s">
        <v>12</v>
      </c>
      <c r="F1516">
        <v>7</v>
      </c>
      <c r="G1516">
        <v>0</v>
      </c>
      <c r="H1516" s="2">
        <v>123.76909999999995</v>
      </c>
      <c r="I1516" s="2">
        <v>426.78999999999996</v>
      </c>
    </row>
    <row r="1517" spans="2:9" x14ac:dyDescent="0.3">
      <c r="E1517" t="s">
        <v>38</v>
      </c>
      <c r="F1517">
        <v>3</v>
      </c>
      <c r="G1517">
        <v>0</v>
      </c>
      <c r="H1517" s="2">
        <v>5.1042000000000005</v>
      </c>
      <c r="I1517" s="2">
        <v>10.86</v>
      </c>
    </row>
    <row r="1518" spans="2:9" x14ac:dyDescent="0.3">
      <c r="E1518" t="s">
        <v>25</v>
      </c>
      <c r="F1518">
        <v>1</v>
      </c>
      <c r="G1518">
        <v>0.3</v>
      </c>
      <c r="H1518" s="2">
        <v>-15.582599999999999</v>
      </c>
      <c r="I1518" s="2">
        <v>181.79699999999997</v>
      </c>
    </row>
    <row r="1519" spans="2:9" x14ac:dyDescent="0.3">
      <c r="D1519" t="s">
        <v>15</v>
      </c>
      <c r="E1519" t="s">
        <v>12</v>
      </c>
      <c r="F1519">
        <v>6</v>
      </c>
      <c r="G1519">
        <v>0.2</v>
      </c>
      <c r="H1519" s="2">
        <v>59.655599999999993</v>
      </c>
      <c r="I1519" s="2">
        <v>795.40800000000013</v>
      </c>
    </row>
    <row r="1520" spans="2:9" x14ac:dyDescent="0.3">
      <c r="C1520" t="s">
        <v>7</v>
      </c>
      <c r="D1520" t="s">
        <v>8</v>
      </c>
      <c r="E1520" t="s">
        <v>20</v>
      </c>
      <c r="F1520">
        <v>24</v>
      </c>
      <c r="G1520">
        <v>0.7</v>
      </c>
      <c r="H1520" s="2">
        <v>52.881599999999992</v>
      </c>
      <c r="I1520" s="2">
        <v>143.68799999999999</v>
      </c>
    </row>
    <row r="1521" spans="3:9" x14ac:dyDescent="0.3">
      <c r="E1521" t="s">
        <v>33</v>
      </c>
      <c r="F1521">
        <v>4</v>
      </c>
      <c r="G1521">
        <v>0</v>
      </c>
      <c r="H1521" s="2">
        <v>150.38400000000001</v>
      </c>
      <c r="I1521" s="2">
        <v>751.92</v>
      </c>
    </row>
    <row r="1522" spans="3:9" x14ac:dyDescent="0.3">
      <c r="E1522" t="s">
        <v>16</v>
      </c>
      <c r="F1522">
        <v>3</v>
      </c>
      <c r="G1522">
        <v>0.2</v>
      </c>
      <c r="H1522" s="2">
        <v>23.234999999999992</v>
      </c>
      <c r="I1522" s="2">
        <v>74.352000000000004</v>
      </c>
    </row>
    <row r="1523" spans="3:9" x14ac:dyDescent="0.3">
      <c r="E1523" t="s">
        <v>24</v>
      </c>
      <c r="F1523">
        <v>9</v>
      </c>
      <c r="G1523">
        <v>0.4</v>
      </c>
      <c r="H1523" s="2">
        <v>231.14299999999997</v>
      </c>
      <c r="I1523" s="2">
        <v>842.51799999999992</v>
      </c>
    </row>
    <row r="1524" spans="3:9" x14ac:dyDescent="0.3">
      <c r="D1524" t="s">
        <v>15</v>
      </c>
      <c r="E1524" t="s">
        <v>43</v>
      </c>
      <c r="F1524">
        <v>5</v>
      </c>
      <c r="G1524">
        <v>0</v>
      </c>
      <c r="H1524" s="2">
        <v>6.0029999999999992</v>
      </c>
      <c r="I1524" s="2">
        <v>13.049999999999999</v>
      </c>
    </row>
    <row r="1525" spans="3:9" x14ac:dyDescent="0.3">
      <c r="C1525" t="s">
        <v>22</v>
      </c>
      <c r="D1525" t="s">
        <v>8</v>
      </c>
      <c r="E1525" t="s">
        <v>23</v>
      </c>
      <c r="F1525">
        <v>7</v>
      </c>
      <c r="G1525">
        <v>0.2</v>
      </c>
      <c r="H1525" s="2">
        <v>41.718599999999995</v>
      </c>
      <c r="I1525" s="2">
        <v>158.928</v>
      </c>
    </row>
    <row r="1526" spans="3:9" x14ac:dyDescent="0.3">
      <c r="E1526" t="s">
        <v>20</v>
      </c>
      <c r="F1526">
        <v>10</v>
      </c>
      <c r="G1526">
        <v>1.4</v>
      </c>
      <c r="H1526" s="2">
        <v>-53.859200000000001</v>
      </c>
      <c r="I1526" s="2">
        <v>84.106999999999999</v>
      </c>
    </row>
    <row r="1527" spans="3:9" x14ac:dyDescent="0.3">
      <c r="E1527" t="s">
        <v>18</v>
      </c>
      <c r="F1527">
        <v>13</v>
      </c>
      <c r="G1527">
        <v>0.2</v>
      </c>
      <c r="H1527" s="2">
        <v>12.776399999999999</v>
      </c>
      <c r="I1527" s="2">
        <v>39.311999999999998</v>
      </c>
    </row>
    <row r="1528" spans="3:9" x14ac:dyDescent="0.3">
      <c r="E1528" t="s">
        <v>21</v>
      </c>
      <c r="F1528">
        <v>5</v>
      </c>
      <c r="G1528">
        <v>0.4</v>
      </c>
      <c r="H1528" s="2">
        <v>34.97399999999999</v>
      </c>
      <c r="I1528" s="2">
        <v>548.96</v>
      </c>
    </row>
    <row r="1529" spans="3:9" x14ac:dyDescent="0.3">
      <c r="E1529" t="s">
        <v>16</v>
      </c>
      <c r="F1529">
        <v>1</v>
      </c>
      <c r="G1529">
        <v>0.2</v>
      </c>
      <c r="H1529" s="2">
        <v>1.1924999999999997</v>
      </c>
      <c r="I1529" s="2">
        <v>3.8159999999999998</v>
      </c>
    </row>
    <row r="1530" spans="3:9" x14ac:dyDescent="0.3">
      <c r="E1530" t="s">
        <v>9</v>
      </c>
      <c r="F1530">
        <v>3</v>
      </c>
      <c r="G1530">
        <v>0</v>
      </c>
      <c r="H1530" s="2">
        <v>3.3755999999999986</v>
      </c>
      <c r="I1530" s="2">
        <v>11.64</v>
      </c>
    </row>
    <row r="1531" spans="3:9" x14ac:dyDescent="0.3">
      <c r="E1531" t="s">
        <v>25</v>
      </c>
      <c r="F1531">
        <v>2</v>
      </c>
      <c r="G1531">
        <v>0.4</v>
      </c>
      <c r="H1531" s="2">
        <v>-104.67300000000006</v>
      </c>
      <c r="I1531" s="2">
        <v>273.06</v>
      </c>
    </row>
    <row r="1532" spans="3:9" x14ac:dyDescent="0.3">
      <c r="D1532" t="s">
        <v>15</v>
      </c>
      <c r="E1532" t="s">
        <v>19</v>
      </c>
      <c r="F1532">
        <v>2</v>
      </c>
      <c r="G1532">
        <v>0.2</v>
      </c>
      <c r="H1532" s="2">
        <v>0.30700000000000016</v>
      </c>
      <c r="I1532" s="2">
        <v>4.9119999999999999</v>
      </c>
    </row>
    <row r="1533" spans="3:9" x14ac:dyDescent="0.3">
      <c r="E1533" t="s">
        <v>20</v>
      </c>
      <c r="F1533">
        <v>4</v>
      </c>
      <c r="G1533">
        <v>0.4</v>
      </c>
      <c r="H1533" s="2">
        <v>10.993799999999997</v>
      </c>
      <c r="I1533" s="2">
        <v>34.623999999999995</v>
      </c>
    </row>
    <row r="1534" spans="3:9" x14ac:dyDescent="0.3">
      <c r="E1534" t="s">
        <v>21</v>
      </c>
      <c r="F1534">
        <v>6</v>
      </c>
      <c r="G1534">
        <v>0.2</v>
      </c>
      <c r="H1534" s="2">
        <v>-26.635200000000026</v>
      </c>
      <c r="I1534" s="2">
        <v>532.70400000000006</v>
      </c>
    </row>
    <row r="1535" spans="3:9" x14ac:dyDescent="0.3">
      <c r="E1535" t="s">
        <v>24</v>
      </c>
      <c r="F1535">
        <v>1</v>
      </c>
      <c r="G1535">
        <v>0</v>
      </c>
      <c r="H1535" s="2">
        <v>7.3451000000000004</v>
      </c>
      <c r="I1535" s="2">
        <v>14.99</v>
      </c>
    </row>
    <row r="1536" spans="3:9" x14ac:dyDescent="0.3">
      <c r="E1536" t="s">
        <v>14</v>
      </c>
      <c r="F1536">
        <v>14</v>
      </c>
      <c r="G1536">
        <v>0</v>
      </c>
      <c r="H1536" s="2">
        <v>203.42500000000001</v>
      </c>
      <c r="I1536" s="2">
        <v>1049.8699999999999</v>
      </c>
    </row>
    <row r="1537" spans="2:9" x14ac:dyDescent="0.3">
      <c r="D1537" t="s">
        <v>17</v>
      </c>
      <c r="E1537" t="s">
        <v>33</v>
      </c>
      <c r="F1537">
        <v>3</v>
      </c>
      <c r="G1537">
        <v>0</v>
      </c>
      <c r="H1537" s="2">
        <v>251.20200000000003</v>
      </c>
      <c r="I1537" s="2">
        <v>897.15000000000009</v>
      </c>
    </row>
    <row r="1538" spans="2:9" x14ac:dyDescent="0.3">
      <c r="E1538" t="s">
        <v>16</v>
      </c>
      <c r="F1538">
        <v>3</v>
      </c>
      <c r="G1538">
        <v>0</v>
      </c>
      <c r="H1538" s="2">
        <v>9.3312000000000008</v>
      </c>
      <c r="I1538" s="2">
        <v>19.440000000000001</v>
      </c>
    </row>
    <row r="1539" spans="2:9" x14ac:dyDescent="0.3">
      <c r="B1539" t="s">
        <v>178</v>
      </c>
      <c r="C1539" t="s">
        <v>7</v>
      </c>
      <c r="D1539" t="s">
        <v>8</v>
      </c>
      <c r="E1539" t="s">
        <v>19</v>
      </c>
      <c r="F1539">
        <v>17</v>
      </c>
      <c r="G1539">
        <v>0</v>
      </c>
      <c r="H1539" s="2">
        <v>51.013199999999998</v>
      </c>
      <c r="I1539" s="2">
        <v>179.36</v>
      </c>
    </row>
    <row r="1540" spans="2:9" x14ac:dyDescent="0.3">
      <c r="E1540" t="s">
        <v>18</v>
      </c>
      <c r="F1540">
        <v>3</v>
      </c>
      <c r="G1540">
        <v>0</v>
      </c>
      <c r="H1540" s="2">
        <v>3.4827000000000004</v>
      </c>
      <c r="I1540" s="2">
        <v>7.41</v>
      </c>
    </row>
    <row r="1541" spans="2:9" x14ac:dyDescent="0.3">
      <c r="E1541" t="s">
        <v>14</v>
      </c>
      <c r="F1541">
        <v>4</v>
      </c>
      <c r="G1541">
        <v>0</v>
      </c>
      <c r="H1541" s="2">
        <v>162.09479999999996</v>
      </c>
      <c r="I1541" s="2">
        <v>704.76</v>
      </c>
    </row>
    <row r="1542" spans="2:9" x14ac:dyDescent="0.3">
      <c r="C1542" t="s">
        <v>22</v>
      </c>
      <c r="D1542" t="s">
        <v>17</v>
      </c>
      <c r="E1542" t="s">
        <v>19</v>
      </c>
      <c r="F1542">
        <v>1</v>
      </c>
      <c r="G1542">
        <v>0</v>
      </c>
      <c r="H1542" s="2">
        <v>0.86799999999999988</v>
      </c>
      <c r="I1542" s="2">
        <v>2.48</v>
      </c>
    </row>
    <row r="1543" spans="2:9" x14ac:dyDescent="0.3">
      <c r="E1543" t="s">
        <v>20</v>
      </c>
      <c r="F1543">
        <v>5</v>
      </c>
      <c r="G1543">
        <v>0</v>
      </c>
      <c r="H1543" s="2">
        <v>12.690999999999999</v>
      </c>
      <c r="I1543" s="2">
        <v>25.9</v>
      </c>
    </row>
    <row r="1544" spans="2:9" x14ac:dyDescent="0.3">
      <c r="B1544" t="s">
        <v>179</v>
      </c>
      <c r="C1544" t="s">
        <v>11</v>
      </c>
      <c r="D1544" t="s">
        <v>15</v>
      </c>
      <c r="E1544" t="s">
        <v>23</v>
      </c>
      <c r="F1544">
        <v>1</v>
      </c>
      <c r="G1544">
        <v>0</v>
      </c>
      <c r="H1544" s="2">
        <v>54.396599999999992</v>
      </c>
      <c r="I1544" s="2">
        <v>159.99</v>
      </c>
    </row>
    <row r="1545" spans="2:9" x14ac:dyDescent="0.3">
      <c r="C1545" t="s">
        <v>7</v>
      </c>
      <c r="D1545" t="s">
        <v>8</v>
      </c>
      <c r="E1545" t="s">
        <v>9</v>
      </c>
      <c r="F1545">
        <v>1</v>
      </c>
      <c r="G1545">
        <v>0</v>
      </c>
      <c r="H1545" s="2">
        <v>0.38640000000000008</v>
      </c>
      <c r="I1545" s="2">
        <v>12.88</v>
      </c>
    </row>
    <row r="1546" spans="2:9" x14ac:dyDescent="0.3">
      <c r="C1546" t="s">
        <v>22</v>
      </c>
      <c r="D1546" t="s">
        <v>8</v>
      </c>
      <c r="E1546" t="s">
        <v>21</v>
      </c>
      <c r="F1546">
        <v>9</v>
      </c>
      <c r="G1546">
        <v>0</v>
      </c>
      <c r="H1546" s="2">
        <v>114.6285</v>
      </c>
      <c r="I1546" s="2">
        <v>545.85</v>
      </c>
    </row>
    <row r="1547" spans="2:9" x14ac:dyDescent="0.3">
      <c r="B1547" t="s">
        <v>180</v>
      </c>
      <c r="C1547" t="s">
        <v>11</v>
      </c>
      <c r="D1547" t="s">
        <v>8</v>
      </c>
      <c r="E1547" t="s">
        <v>23</v>
      </c>
      <c r="F1547">
        <v>5</v>
      </c>
      <c r="G1547">
        <v>0</v>
      </c>
      <c r="H1547" s="2">
        <v>15.378000000000004</v>
      </c>
      <c r="I1547" s="2">
        <v>34.950000000000003</v>
      </c>
    </row>
    <row r="1548" spans="2:9" x14ac:dyDescent="0.3">
      <c r="E1548" t="s">
        <v>12</v>
      </c>
      <c r="F1548">
        <v>4</v>
      </c>
      <c r="G1548">
        <v>0.2</v>
      </c>
      <c r="H1548" s="2">
        <v>64.072799999999944</v>
      </c>
      <c r="I1548" s="2">
        <v>569.53599999999994</v>
      </c>
    </row>
    <row r="1549" spans="2:9" x14ac:dyDescent="0.3">
      <c r="E1549" t="s">
        <v>20</v>
      </c>
      <c r="F1549">
        <v>4</v>
      </c>
      <c r="G1549">
        <v>0</v>
      </c>
      <c r="H1549" s="2">
        <v>318.30160000000001</v>
      </c>
      <c r="I1549" s="2">
        <v>691.96</v>
      </c>
    </row>
    <row r="1550" spans="2:9" x14ac:dyDescent="0.3">
      <c r="E1550" t="s">
        <v>16</v>
      </c>
      <c r="F1550">
        <v>9</v>
      </c>
      <c r="G1550">
        <v>0.2</v>
      </c>
      <c r="H1550" s="2">
        <v>9.6299999999999955</v>
      </c>
      <c r="I1550" s="2">
        <v>30.816000000000003</v>
      </c>
    </row>
    <row r="1551" spans="2:9" x14ac:dyDescent="0.3">
      <c r="E1551" t="s">
        <v>24</v>
      </c>
      <c r="F1551">
        <v>2</v>
      </c>
      <c r="G1551">
        <v>0.2</v>
      </c>
      <c r="H1551" s="2">
        <v>4.4783999999999988</v>
      </c>
      <c r="I1551" s="2">
        <v>44.783999999999999</v>
      </c>
    </row>
    <row r="1552" spans="2:9" x14ac:dyDescent="0.3">
      <c r="C1552" t="s">
        <v>27</v>
      </c>
      <c r="D1552" t="s">
        <v>8</v>
      </c>
      <c r="E1552" t="s">
        <v>19</v>
      </c>
      <c r="F1552">
        <v>3</v>
      </c>
      <c r="G1552">
        <v>0.2</v>
      </c>
      <c r="H1552" s="2">
        <v>1.1555999999999984</v>
      </c>
      <c r="I1552" s="2">
        <v>10.272000000000002</v>
      </c>
    </row>
    <row r="1553" spans="3:9" x14ac:dyDescent="0.3">
      <c r="C1553" t="s">
        <v>7</v>
      </c>
      <c r="D1553" t="s">
        <v>8</v>
      </c>
      <c r="E1553" t="s">
        <v>12</v>
      </c>
      <c r="F1553">
        <v>3</v>
      </c>
      <c r="G1553">
        <v>0.2</v>
      </c>
      <c r="H1553" s="2">
        <v>43.713600000000014</v>
      </c>
      <c r="I1553" s="2">
        <v>499.58400000000006</v>
      </c>
    </row>
    <row r="1554" spans="3:9" x14ac:dyDescent="0.3">
      <c r="E1554" t="s">
        <v>20</v>
      </c>
      <c r="F1554">
        <v>8</v>
      </c>
      <c r="G1554">
        <v>0.7</v>
      </c>
      <c r="H1554" s="2">
        <v>-10.617599999999999</v>
      </c>
      <c r="I1554" s="2">
        <v>13.272000000000002</v>
      </c>
    </row>
    <row r="1555" spans="3:9" x14ac:dyDescent="0.3">
      <c r="E1555" t="s">
        <v>33</v>
      </c>
      <c r="F1555">
        <v>2</v>
      </c>
      <c r="G1555">
        <v>0.2</v>
      </c>
      <c r="H1555" s="2">
        <v>22.529599999999995</v>
      </c>
      <c r="I1555" s="2">
        <v>225.29600000000002</v>
      </c>
    </row>
    <row r="1556" spans="3:9" x14ac:dyDescent="0.3">
      <c r="E1556" t="s">
        <v>21</v>
      </c>
      <c r="F1556">
        <v>5</v>
      </c>
      <c r="G1556">
        <v>0.4</v>
      </c>
      <c r="H1556" s="2">
        <v>21.951599999999996</v>
      </c>
      <c r="I1556" s="2">
        <v>106.224</v>
      </c>
    </row>
    <row r="1557" spans="3:9" x14ac:dyDescent="0.3">
      <c r="E1557" t="s">
        <v>16</v>
      </c>
      <c r="F1557">
        <v>16</v>
      </c>
      <c r="G1557">
        <v>0.60000000000000009</v>
      </c>
      <c r="H1557" s="2">
        <v>110.2799</v>
      </c>
      <c r="I1557" s="2">
        <v>308.60000000000002</v>
      </c>
    </row>
    <row r="1558" spans="3:9" x14ac:dyDescent="0.3">
      <c r="E1558" t="s">
        <v>14</v>
      </c>
      <c r="F1558">
        <v>6</v>
      </c>
      <c r="G1558">
        <v>0.4</v>
      </c>
      <c r="H1558" s="2">
        <v>-81.264000000000038</v>
      </c>
      <c r="I1558" s="2">
        <v>406.32000000000005</v>
      </c>
    </row>
    <row r="1559" spans="3:9" x14ac:dyDescent="0.3">
      <c r="D1559" t="s">
        <v>15</v>
      </c>
      <c r="E1559" t="s">
        <v>20</v>
      </c>
      <c r="F1559">
        <v>5</v>
      </c>
      <c r="G1559">
        <v>0.7</v>
      </c>
      <c r="H1559" s="2">
        <v>-5.7840000000000007</v>
      </c>
      <c r="I1559" s="2">
        <v>7.2300000000000022</v>
      </c>
    </row>
    <row r="1560" spans="3:9" x14ac:dyDescent="0.3">
      <c r="E1560" t="s">
        <v>21</v>
      </c>
      <c r="F1560">
        <v>2</v>
      </c>
      <c r="G1560">
        <v>0.2</v>
      </c>
      <c r="H1560" s="2">
        <v>0.73919999999999941</v>
      </c>
      <c r="I1560" s="2">
        <v>4.9280000000000008</v>
      </c>
    </row>
    <row r="1561" spans="3:9" x14ac:dyDescent="0.3">
      <c r="C1561" t="s">
        <v>22</v>
      </c>
      <c r="D1561" t="s">
        <v>8</v>
      </c>
      <c r="E1561" t="s">
        <v>23</v>
      </c>
      <c r="F1561">
        <v>2</v>
      </c>
      <c r="G1561">
        <v>0</v>
      </c>
      <c r="H1561" s="2">
        <v>171.99140000000003</v>
      </c>
      <c r="I1561" s="2">
        <v>399.98</v>
      </c>
    </row>
    <row r="1562" spans="3:9" x14ac:dyDescent="0.3">
      <c r="E1562" t="s">
        <v>12</v>
      </c>
      <c r="F1562">
        <v>7</v>
      </c>
      <c r="G1562">
        <v>0.4</v>
      </c>
      <c r="H1562" s="2">
        <v>11.008000000000003</v>
      </c>
      <c r="I1562" s="2">
        <v>110.08000000000001</v>
      </c>
    </row>
    <row r="1563" spans="3:9" x14ac:dyDescent="0.3">
      <c r="E1563" t="s">
        <v>19</v>
      </c>
      <c r="F1563">
        <v>9</v>
      </c>
      <c r="G1563">
        <v>0</v>
      </c>
      <c r="H1563" s="2">
        <v>5.3703000000000003</v>
      </c>
      <c r="I1563" s="2">
        <v>19.89</v>
      </c>
    </row>
    <row r="1564" spans="3:9" x14ac:dyDescent="0.3">
      <c r="E1564" t="s">
        <v>20</v>
      </c>
      <c r="F1564">
        <v>8</v>
      </c>
      <c r="G1564">
        <v>0.7</v>
      </c>
      <c r="H1564" s="2">
        <v>822.0637999999999</v>
      </c>
      <c r="I1564" s="2">
        <v>1822.7619999999999</v>
      </c>
    </row>
    <row r="1565" spans="3:9" x14ac:dyDescent="0.3">
      <c r="E1565" t="s">
        <v>34</v>
      </c>
      <c r="F1565">
        <v>4</v>
      </c>
      <c r="G1565">
        <v>0.2</v>
      </c>
      <c r="H1565" s="2">
        <v>-67.670399999999972</v>
      </c>
      <c r="I1565" s="2">
        <v>451.13599999999997</v>
      </c>
    </row>
    <row r="1566" spans="3:9" x14ac:dyDescent="0.3">
      <c r="E1566" t="s">
        <v>38</v>
      </c>
      <c r="F1566">
        <v>2</v>
      </c>
      <c r="G1566">
        <v>0</v>
      </c>
      <c r="H1566" s="2">
        <v>51.655799999999999</v>
      </c>
      <c r="I1566" s="2">
        <v>105.42</v>
      </c>
    </row>
    <row r="1567" spans="3:9" x14ac:dyDescent="0.3">
      <c r="E1567" t="s">
        <v>21</v>
      </c>
      <c r="F1567">
        <v>13</v>
      </c>
      <c r="G1567">
        <v>0.2</v>
      </c>
      <c r="H1567" s="2">
        <v>141.82160000000002</v>
      </c>
      <c r="I1567" s="2">
        <v>358.12199999999996</v>
      </c>
    </row>
    <row r="1568" spans="3:9" x14ac:dyDescent="0.3">
      <c r="E1568" t="s">
        <v>16</v>
      </c>
      <c r="F1568">
        <v>7</v>
      </c>
      <c r="G1568">
        <v>0.2</v>
      </c>
      <c r="H1568" s="2">
        <v>58.832799999999992</v>
      </c>
      <c r="I1568" s="2">
        <v>130.768</v>
      </c>
    </row>
    <row r="1569" spans="2:9" x14ac:dyDescent="0.3">
      <c r="D1569" t="s">
        <v>15</v>
      </c>
      <c r="E1569" t="s">
        <v>23</v>
      </c>
      <c r="F1569">
        <v>9</v>
      </c>
      <c r="G1569">
        <v>0</v>
      </c>
      <c r="H1569" s="2">
        <v>78.81450000000001</v>
      </c>
      <c r="I1569" s="2">
        <v>204.55</v>
      </c>
    </row>
    <row r="1570" spans="2:9" x14ac:dyDescent="0.3">
      <c r="E1570" t="s">
        <v>34</v>
      </c>
      <c r="F1570">
        <v>8</v>
      </c>
      <c r="G1570">
        <v>0.2</v>
      </c>
      <c r="H1570" s="2">
        <v>-32.219200000000022</v>
      </c>
      <c r="I1570" s="2">
        <v>198.27200000000002</v>
      </c>
    </row>
    <row r="1571" spans="2:9" x14ac:dyDescent="0.3">
      <c r="E1571" t="s">
        <v>21</v>
      </c>
      <c r="F1571">
        <v>4</v>
      </c>
      <c r="G1571">
        <v>0</v>
      </c>
      <c r="H1571" s="2">
        <v>3.9248000000000003</v>
      </c>
      <c r="I1571" s="2">
        <v>8.92</v>
      </c>
    </row>
    <row r="1572" spans="2:9" x14ac:dyDescent="0.3">
      <c r="E1572" t="s">
        <v>43</v>
      </c>
      <c r="F1572">
        <v>1</v>
      </c>
      <c r="G1572">
        <v>0</v>
      </c>
      <c r="H1572" s="2">
        <v>3.4356999999999998</v>
      </c>
      <c r="I1572" s="2">
        <v>7.31</v>
      </c>
    </row>
    <row r="1573" spans="2:9" x14ac:dyDescent="0.3">
      <c r="E1573" t="s">
        <v>16</v>
      </c>
      <c r="F1573">
        <v>10</v>
      </c>
      <c r="G1573">
        <v>0.4</v>
      </c>
      <c r="H1573" s="2">
        <v>35.023999999999987</v>
      </c>
      <c r="I1573" s="2">
        <v>106.944</v>
      </c>
    </row>
    <row r="1574" spans="2:9" x14ac:dyDescent="0.3">
      <c r="D1574" t="s">
        <v>17</v>
      </c>
      <c r="E1574" t="s">
        <v>20</v>
      </c>
      <c r="F1574">
        <v>2</v>
      </c>
      <c r="G1574">
        <v>0</v>
      </c>
      <c r="H1574" s="2">
        <v>3.0575999999999999</v>
      </c>
      <c r="I1574" s="2">
        <v>6.24</v>
      </c>
    </row>
    <row r="1575" spans="2:9" x14ac:dyDescent="0.3">
      <c r="E1575" t="s">
        <v>16</v>
      </c>
      <c r="F1575">
        <v>8</v>
      </c>
      <c r="G1575">
        <v>0.4</v>
      </c>
      <c r="H1575" s="2">
        <v>16.9938</v>
      </c>
      <c r="I1575" s="2">
        <v>41.760000000000005</v>
      </c>
    </row>
    <row r="1576" spans="2:9" x14ac:dyDescent="0.3">
      <c r="B1576" t="s">
        <v>181</v>
      </c>
      <c r="C1576" t="s">
        <v>11</v>
      </c>
      <c r="D1576" t="s">
        <v>8</v>
      </c>
      <c r="E1576" t="s">
        <v>18</v>
      </c>
      <c r="F1576">
        <v>4</v>
      </c>
      <c r="G1576">
        <v>0</v>
      </c>
      <c r="H1576" s="2">
        <v>14.201999999999998</v>
      </c>
      <c r="I1576" s="2">
        <v>31.56</v>
      </c>
    </row>
    <row r="1577" spans="2:9" x14ac:dyDescent="0.3">
      <c r="E1577" t="s">
        <v>14</v>
      </c>
      <c r="F1577">
        <v>4</v>
      </c>
      <c r="G1577">
        <v>0</v>
      </c>
      <c r="H1577" s="2">
        <v>0.5583999999999989</v>
      </c>
      <c r="I1577" s="2">
        <v>27.92</v>
      </c>
    </row>
    <row r="1578" spans="2:9" x14ac:dyDescent="0.3">
      <c r="D1578" t="s">
        <v>15</v>
      </c>
      <c r="E1578" t="s">
        <v>21</v>
      </c>
      <c r="F1578">
        <v>3</v>
      </c>
      <c r="G1578">
        <v>0</v>
      </c>
      <c r="H1578" s="2">
        <v>21.751499999999986</v>
      </c>
      <c r="I1578" s="2">
        <v>127.94999999999999</v>
      </c>
    </row>
    <row r="1579" spans="2:9" x14ac:dyDescent="0.3">
      <c r="C1579" t="s">
        <v>7</v>
      </c>
      <c r="D1579" t="s">
        <v>8</v>
      </c>
      <c r="E1579" t="s">
        <v>12</v>
      </c>
      <c r="F1579">
        <v>3</v>
      </c>
      <c r="G1579">
        <v>0</v>
      </c>
      <c r="H1579" s="2">
        <v>50.584800000000008</v>
      </c>
      <c r="I1579" s="2">
        <v>180.66</v>
      </c>
    </row>
    <row r="1580" spans="2:9" x14ac:dyDescent="0.3">
      <c r="E1580" t="s">
        <v>20</v>
      </c>
      <c r="F1580">
        <v>6</v>
      </c>
      <c r="G1580">
        <v>0</v>
      </c>
      <c r="H1580" s="2">
        <v>74.852400000000003</v>
      </c>
      <c r="I1580" s="2">
        <v>152.76</v>
      </c>
    </row>
    <row r="1581" spans="2:9" x14ac:dyDescent="0.3">
      <c r="E1581" t="s">
        <v>33</v>
      </c>
      <c r="F1581">
        <v>16</v>
      </c>
      <c r="G1581">
        <v>0</v>
      </c>
      <c r="H1581" s="2">
        <v>254.37539999999998</v>
      </c>
      <c r="I1581" s="2">
        <v>2121.8200000000002</v>
      </c>
    </row>
    <row r="1582" spans="2:9" x14ac:dyDescent="0.3">
      <c r="E1582" t="s">
        <v>24</v>
      </c>
      <c r="F1582">
        <v>3</v>
      </c>
      <c r="G1582">
        <v>0</v>
      </c>
      <c r="H1582" s="2">
        <v>68.99199999999999</v>
      </c>
      <c r="I1582" s="2">
        <v>257.96999999999997</v>
      </c>
    </row>
    <row r="1583" spans="2:9" x14ac:dyDescent="0.3">
      <c r="E1583" t="s">
        <v>14</v>
      </c>
      <c r="F1583">
        <v>6</v>
      </c>
      <c r="G1583">
        <v>0</v>
      </c>
      <c r="H1583" s="2">
        <v>19.188000000000002</v>
      </c>
      <c r="I1583" s="2">
        <v>191.88</v>
      </c>
    </row>
    <row r="1584" spans="2:9" x14ac:dyDescent="0.3">
      <c r="E1584" t="s">
        <v>9</v>
      </c>
      <c r="F1584">
        <v>1</v>
      </c>
      <c r="G1584">
        <v>0</v>
      </c>
      <c r="H1584" s="2">
        <v>1.9629000000000003</v>
      </c>
      <c r="I1584" s="2">
        <v>7.27</v>
      </c>
    </row>
    <row r="1585" spans="2:9" x14ac:dyDescent="0.3">
      <c r="D1585" t="s">
        <v>17</v>
      </c>
      <c r="E1585" t="s">
        <v>23</v>
      </c>
      <c r="F1585">
        <v>1</v>
      </c>
      <c r="G1585">
        <v>0</v>
      </c>
      <c r="H1585" s="2">
        <v>3.2399999999999984</v>
      </c>
      <c r="I1585" s="2">
        <v>18</v>
      </c>
    </row>
    <row r="1586" spans="2:9" x14ac:dyDescent="0.3">
      <c r="C1586" t="s">
        <v>22</v>
      </c>
      <c r="D1586" t="s">
        <v>8</v>
      </c>
      <c r="E1586" t="s">
        <v>23</v>
      </c>
      <c r="F1586">
        <v>4</v>
      </c>
      <c r="G1586">
        <v>0</v>
      </c>
      <c r="H1586" s="2">
        <v>18.390799999999999</v>
      </c>
      <c r="I1586" s="2">
        <v>79.959999999999994</v>
      </c>
    </row>
    <row r="1587" spans="2:9" x14ac:dyDescent="0.3">
      <c r="E1587" t="s">
        <v>46</v>
      </c>
      <c r="F1587">
        <v>7</v>
      </c>
      <c r="G1587">
        <v>0</v>
      </c>
      <c r="H1587" s="2">
        <v>1416.7999999999997</v>
      </c>
      <c r="I1587" s="2">
        <v>3080</v>
      </c>
    </row>
    <row r="1588" spans="2:9" x14ac:dyDescent="0.3">
      <c r="E1588" t="s">
        <v>16</v>
      </c>
      <c r="F1588">
        <v>2</v>
      </c>
      <c r="G1588">
        <v>0</v>
      </c>
      <c r="H1588" s="2">
        <v>5.6159999999999997</v>
      </c>
      <c r="I1588" s="2">
        <v>12.48</v>
      </c>
    </row>
    <row r="1589" spans="2:9" x14ac:dyDescent="0.3">
      <c r="E1589" t="s">
        <v>24</v>
      </c>
      <c r="F1589">
        <v>3</v>
      </c>
      <c r="G1589">
        <v>0</v>
      </c>
      <c r="H1589" s="2">
        <v>170.51129999999998</v>
      </c>
      <c r="I1589" s="2">
        <v>587.97</v>
      </c>
    </row>
    <row r="1590" spans="2:9" x14ac:dyDescent="0.3">
      <c r="D1590" t="s">
        <v>15</v>
      </c>
      <c r="E1590" t="s">
        <v>19</v>
      </c>
      <c r="F1590">
        <v>15</v>
      </c>
      <c r="G1590">
        <v>0</v>
      </c>
      <c r="H1590" s="2">
        <v>18.247199999999999</v>
      </c>
      <c r="I1590" s="2">
        <v>53.28</v>
      </c>
    </row>
    <row r="1591" spans="2:9" x14ac:dyDescent="0.3">
      <c r="E1591" t="s">
        <v>14</v>
      </c>
      <c r="F1591">
        <v>12</v>
      </c>
      <c r="G1591">
        <v>0</v>
      </c>
      <c r="H1591" s="2">
        <v>27.253199999999985</v>
      </c>
      <c r="I1591" s="2">
        <v>685.26</v>
      </c>
    </row>
    <row r="1592" spans="2:9" x14ac:dyDescent="0.3">
      <c r="D1592" t="s">
        <v>17</v>
      </c>
      <c r="E1592" t="s">
        <v>16</v>
      </c>
      <c r="F1592">
        <v>1</v>
      </c>
      <c r="G1592">
        <v>0</v>
      </c>
      <c r="H1592" s="2">
        <v>2.4402000000000004</v>
      </c>
      <c r="I1592" s="2">
        <v>4.9800000000000004</v>
      </c>
    </row>
    <row r="1593" spans="2:9" x14ac:dyDescent="0.3">
      <c r="B1593" t="s">
        <v>182</v>
      </c>
      <c r="C1593" t="s">
        <v>11</v>
      </c>
      <c r="D1593" t="s">
        <v>17</v>
      </c>
      <c r="E1593" t="s">
        <v>38</v>
      </c>
      <c r="F1593">
        <v>3</v>
      </c>
      <c r="G1593">
        <v>0.2</v>
      </c>
      <c r="H1593" s="2">
        <v>5.2026000000000003</v>
      </c>
      <c r="I1593" s="2">
        <v>14.352000000000002</v>
      </c>
    </row>
    <row r="1594" spans="2:9" x14ac:dyDescent="0.3">
      <c r="E1594" t="s">
        <v>21</v>
      </c>
      <c r="F1594">
        <v>3</v>
      </c>
      <c r="G1594">
        <v>0.2</v>
      </c>
      <c r="H1594" s="2">
        <v>9.832800000000006</v>
      </c>
      <c r="I1594" s="2">
        <v>98.328000000000003</v>
      </c>
    </row>
    <row r="1595" spans="2:9" x14ac:dyDescent="0.3">
      <c r="C1595" t="s">
        <v>7</v>
      </c>
      <c r="D1595" t="s">
        <v>8</v>
      </c>
      <c r="E1595" t="s">
        <v>20</v>
      </c>
      <c r="F1595">
        <v>4</v>
      </c>
      <c r="G1595">
        <v>0.7</v>
      </c>
      <c r="H1595" s="2">
        <v>-2.5343999999999998</v>
      </c>
      <c r="I1595" s="2">
        <v>3.1680000000000006</v>
      </c>
    </row>
    <row r="1596" spans="2:9" x14ac:dyDescent="0.3">
      <c r="E1596" t="s">
        <v>33</v>
      </c>
      <c r="F1596">
        <v>4</v>
      </c>
      <c r="G1596">
        <v>0.2</v>
      </c>
      <c r="H1596" s="2">
        <v>-28.95679999999993</v>
      </c>
      <c r="I1596" s="2">
        <v>579.13599999999997</v>
      </c>
    </row>
    <row r="1597" spans="2:9" x14ac:dyDescent="0.3">
      <c r="E1597" t="s">
        <v>43</v>
      </c>
      <c r="F1597">
        <v>2</v>
      </c>
      <c r="G1597">
        <v>0.2</v>
      </c>
      <c r="H1597" s="2">
        <v>3.9473999999999996</v>
      </c>
      <c r="I1597" s="2">
        <v>11.696</v>
      </c>
    </row>
    <row r="1598" spans="2:9" x14ac:dyDescent="0.3">
      <c r="C1598" t="s">
        <v>22</v>
      </c>
      <c r="D1598" t="s">
        <v>8</v>
      </c>
      <c r="E1598" t="s">
        <v>23</v>
      </c>
      <c r="F1598">
        <v>2</v>
      </c>
      <c r="G1598">
        <v>0.2</v>
      </c>
      <c r="H1598" s="2">
        <v>0.59979999999999656</v>
      </c>
      <c r="I1598" s="2">
        <v>47.984000000000002</v>
      </c>
    </row>
    <row r="1599" spans="2:9" x14ac:dyDescent="0.3">
      <c r="E1599" t="s">
        <v>34</v>
      </c>
      <c r="F1599">
        <v>2</v>
      </c>
      <c r="G1599">
        <v>0.7</v>
      </c>
      <c r="H1599" s="2">
        <v>-240.78400000000005</v>
      </c>
      <c r="I1599" s="2">
        <v>180.58800000000005</v>
      </c>
    </row>
    <row r="1600" spans="2:9" x14ac:dyDescent="0.3">
      <c r="B1600" t="s">
        <v>183</v>
      </c>
      <c r="C1600" t="s">
        <v>11</v>
      </c>
      <c r="D1600" t="s">
        <v>8</v>
      </c>
      <c r="E1600" t="s">
        <v>21</v>
      </c>
      <c r="F1600">
        <v>3</v>
      </c>
      <c r="G1600">
        <v>0.2</v>
      </c>
      <c r="H1600" s="2">
        <v>5.7312000000000012</v>
      </c>
      <c r="I1600" s="2">
        <v>19.103999999999999</v>
      </c>
    </row>
    <row r="1601" spans="2:9" x14ac:dyDescent="0.3">
      <c r="C1601" t="s">
        <v>7</v>
      </c>
      <c r="D1601" t="s">
        <v>8</v>
      </c>
      <c r="E1601" t="s">
        <v>20</v>
      </c>
      <c r="F1601">
        <v>4</v>
      </c>
      <c r="G1601">
        <v>0.7</v>
      </c>
      <c r="H1601" s="2">
        <v>-5.1760000000000002</v>
      </c>
      <c r="I1601" s="2">
        <v>7.7640000000000011</v>
      </c>
    </row>
    <row r="1602" spans="2:9" x14ac:dyDescent="0.3">
      <c r="D1602" t="s">
        <v>15</v>
      </c>
      <c r="E1602" t="s">
        <v>12</v>
      </c>
      <c r="F1602">
        <v>5</v>
      </c>
      <c r="G1602">
        <v>0.2</v>
      </c>
      <c r="H1602" s="2">
        <v>130.28849999999983</v>
      </c>
      <c r="I1602" s="2">
        <v>1158.1199999999999</v>
      </c>
    </row>
    <row r="1603" spans="2:9" x14ac:dyDescent="0.3">
      <c r="C1603" t="s">
        <v>22</v>
      </c>
      <c r="D1603" t="s">
        <v>8</v>
      </c>
      <c r="E1603" t="s">
        <v>34</v>
      </c>
      <c r="F1603">
        <v>5</v>
      </c>
      <c r="G1603">
        <v>0.2</v>
      </c>
      <c r="H1603" s="2">
        <v>-81.440999999999946</v>
      </c>
      <c r="I1603" s="2">
        <v>723.92</v>
      </c>
    </row>
    <row r="1604" spans="2:9" x14ac:dyDescent="0.3">
      <c r="E1604" t="s">
        <v>24</v>
      </c>
      <c r="F1604">
        <v>1</v>
      </c>
      <c r="G1604">
        <v>0.2</v>
      </c>
      <c r="H1604" s="2">
        <v>14.594999999999985</v>
      </c>
      <c r="I1604" s="2">
        <v>116.75999999999999</v>
      </c>
    </row>
    <row r="1605" spans="2:9" x14ac:dyDescent="0.3">
      <c r="E1605" t="s">
        <v>14</v>
      </c>
      <c r="F1605">
        <v>2</v>
      </c>
      <c r="G1605">
        <v>0.2</v>
      </c>
      <c r="H1605" s="2">
        <v>2.5163999999999991</v>
      </c>
      <c r="I1605" s="2">
        <v>22.368000000000002</v>
      </c>
    </row>
    <row r="1606" spans="2:9" x14ac:dyDescent="0.3">
      <c r="E1606" t="s">
        <v>25</v>
      </c>
      <c r="F1606">
        <v>12</v>
      </c>
      <c r="G1606">
        <v>0.9</v>
      </c>
      <c r="H1606" s="2">
        <v>-497.38440000000003</v>
      </c>
      <c r="I1606" s="2">
        <v>1288.6005</v>
      </c>
    </row>
    <row r="1607" spans="2:9" x14ac:dyDescent="0.3">
      <c r="D1607" t="s">
        <v>15</v>
      </c>
      <c r="E1607" t="s">
        <v>24</v>
      </c>
      <c r="F1607">
        <v>7</v>
      </c>
      <c r="G1607">
        <v>0.2</v>
      </c>
      <c r="H1607" s="2">
        <v>58.46399999999997</v>
      </c>
      <c r="I1607" s="2">
        <v>519.67999999999995</v>
      </c>
    </row>
    <row r="1608" spans="2:9" x14ac:dyDescent="0.3">
      <c r="D1608" t="s">
        <v>17</v>
      </c>
      <c r="E1608" t="s">
        <v>23</v>
      </c>
      <c r="F1608">
        <v>12</v>
      </c>
      <c r="G1608">
        <v>0.4</v>
      </c>
      <c r="H1608" s="2">
        <v>248.26079999999999</v>
      </c>
      <c r="I1608" s="2">
        <v>841.34400000000005</v>
      </c>
    </row>
    <row r="1609" spans="2:9" x14ac:dyDescent="0.3">
      <c r="E1609" t="s">
        <v>20</v>
      </c>
      <c r="F1609">
        <v>8</v>
      </c>
      <c r="G1609">
        <v>0.7</v>
      </c>
      <c r="H1609" s="2">
        <v>-21.084799999999994</v>
      </c>
      <c r="I1609" s="2">
        <v>28.752000000000006</v>
      </c>
    </row>
    <row r="1610" spans="2:9" x14ac:dyDescent="0.3">
      <c r="E1610" t="s">
        <v>21</v>
      </c>
      <c r="F1610">
        <v>2</v>
      </c>
      <c r="G1610">
        <v>0.2</v>
      </c>
      <c r="H1610" s="2">
        <v>9.6832000000000011</v>
      </c>
      <c r="I1610" s="2">
        <v>45.568000000000005</v>
      </c>
    </row>
    <row r="1611" spans="2:9" x14ac:dyDescent="0.3">
      <c r="E1611" t="s">
        <v>16</v>
      </c>
      <c r="F1611">
        <v>2</v>
      </c>
      <c r="G1611">
        <v>0.2</v>
      </c>
      <c r="H1611" s="2">
        <v>3.6288</v>
      </c>
      <c r="I1611" s="2">
        <v>10.368000000000002</v>
      </c>
    </row>
    <row r="1612" spans="2:9" x14ac:dyDescent="0.3">
      <c r="E1612" t="s">
        <v>14</v>
      </c>
      <c r="F1612">
        <v>2</v>
      </c>
      <c r="G1612">
        <v>0.2</v>
      </c>
      <c r="H1612" s="2">
        <v>-29.436800000000012</v>
      </c>
      <c r="I1612" s="2">
        <v>147.184</v>
      </c>
    </row>
    <row r="1613" spans="2:9" x14ac:dyDescent="0.3">
      <c r="B1613" t="s">
        <v>184</v>
      </c>
      <c r="C1613" t="s">
        <v>11</v>
      </c>
      <c r="D1613" t="s">
        <v>8</v>
      </c>
      <c r="E1613" t="s">
        <v>20</v>
      </c>
      <c r="F1613">
        <v>1</v>
      </c>
      <c r="G1613">
        <v>0.8</v>
      </c>
      <c r="H1613" s="2">
        <v>-8.472800000000003</v>
      </c>
      <c r="I1613" s="2">
        <v>4.9839999999999991</v>
      </c>
    </row>
    <row r="1614" spans="2:9" x14ac:dyDescent="0.3">
      <c r="E1614" t="s">
        <v>21</v>
      </c>
      <c r="F1614">
        <v>1</v>
      </c>
      <c r="G1614">
        <v>0.6</v>
      </c>
      <c r="H1614" s="2">
        <v>-1.4413</v>
      </c>
      <c r="I1614" s="2">
        <v>1.988</v>
      </c>
    </row>
    <row r="1615" spans="2:9" x14ac:dyDescent="0.3">
      <c r="C1615" t="s">
        <v>27</v>
      </c>
      <c r="D1615" t="s">
        <v>8</v>
      </c>
      <c r="E1615" t="s">
        <v>23</v>
      </c>
      <c r="F1615">
        <v>1</v>
      </c>
      <c r="G1615">
        <v>0.2</v>
      </c>
      <c r="H1615" s="2">
        <v>-7.1990999999999961</v>
      </c>
      <c r="I1615" s="2">
        <v>63.991999999999997</v>
      </c>
    </row>
    <row r="1616" spans="2:9" x14ac:dyDescent="0.3">
      <c r="E1616" t="s">
        <v>33</v>
      </c>
      <c r="F1616">
        <v>5</v>
      </c>
      <c r="G1616">
        <v>0.3</v>
      </c>
      <c r="H1616" s="2">
        <v>-88.783999999999978</v>
      </c>
      <c r="I1616" s="2">
        <v>388.42999999999995</v>
      </c>
    </row>
    <row r="1617" spans="3:9" x14ac:dyDescent="0.3">
      <c r="E1617" t="s">
        <v>16</v>
      </c>
      <c r="F1617">
        <v>5</v>
      </c>
      <c r="G1617">
        <v>0.4</v>
      </c>
      <c r="H1617" s="2">
        <v>8.8314000000000004</v>
      </c>
      <c r="I1617" s="2">
        <v>24.720000000000006</v>
      </c>
    </row>
    <row r="1618" spans="3:9" x14ac:dyDescent="0.3">
      <c r="C1618" t="s">
        <v>7</v>
      </c>
      <c r="D1618" t="s">
        <v>17</v>
      </c>
      <c r="E1618" t="s">
        <v>16</v>
      </c>
      <c r="F1618">
        <v>11</v>
      </c>
      <c r="G1618">
        <v>0.2</v>
      </c>
      <c r="H1618" s="2">
        <v>130.75810000000001</v>
      </c>
      <c r="I1618" s="2">
        <v>360.71199999999999</v>
      </c>
    </row>
    <row r="1619" spans="3:9" x14ac:dyDescent="0.3">
      <c r="E1619" t="s">
        <v>24</v>
      </c>
      <c r="F1619">
        <v>6</v>
      </c>
      <c r="G1619">
        <v>0.2</v>
      </c>
      <c r="H1619" s="2">
        <v>150.36000000000013</v>
      </c>
      <c r="I1619" s="2">
        <v>1718.4</v>
      </c>
    </row>
    <row r="1620" spans="3:9" x14ac:dyDescent="0.3">
      <c r="C1620" t="s">
        <v>22</v>
      </c>
      <c r="D1620" t="s">
        <v>8</v>
      </c>
      <c r="E1620" t="s">
        <v>23</v>
      </c>
      <c r="F1620">
        <v>2</v>
      </c>
      <c r="G1620">
        <v>0.2</v>
      </c>
      <c r="H1620" s="2">
        <v>7.263999999999994</v>
      </c>
      <c r="I1620" s="2">
        <v>58.112000000000002</v>
      </c>
    </row>
    <row r="1621" spans="3:9" x14ac:dyDescent="0.3">
      <c r="E1621" t="s">
        <v>12</v>
      </c>
      <c r="F1621">
        <v>4</v>
      </c>
      <c r="G1621">
        <v>0.8</v>
      </c>
      <c r="H1621" s="2">
        <v>-8.532</v>
      </c>
      <c r="I1621" s="2">
        <v>3.1599999999999993</v>
      </c>
    </row>
    <row r="1622" spans="3:9" x14ac:dyDescent="0.3">
      <c r="E1622" t="s">
        <v>45</v>
      </c>
      <c r="F1622">
        <v>5</v>
      </c>
      <c r="G1622">
        <v>0.2</v>
      </c>
      <c r="H1622" s="2">
        <v>624.98749999999995</v>
      </c>
      <c r="I1622" s="2">
        <v>1999.96</v>
      </c>
    </row>
    <row r="1623" spans="3:9" x14ac:dyDescent="0.3">
      <c r="E1623" t="s">
        <v>21</v>
      </c>
      <c r="F1623">
        <v>4</v>
      </c>
      <c r="G1623">
        <v>0.6</v>
      </c>
      <c r="H1623" s="2">
        <v>-84.292799999999986</v>
      </c>
      <c r="I1623" s="2">
        <v>66.112000000000009</v>
      </c>
    </row>
    <row r="1624" spans="3:9" x14ac:dyDescent="0.3">
      <c r="E1624" t="s">
        <v>24</v>
      </c>
      <c r="F1624">
        <v>1</v>
      </c>
      <c r="G1624">
        <v>0.2</v>
      </c>
      <c r="H1624" s="2">
        <v>6.2995000000000019</v>
      </c>
      <c r="I1624" s="2">
        <v>100.792</v>
      </c>
    </row>
    <row r="1625" spans="3:9" x14ac:dyDescent="0.3">
      <c r="D1625" t="s">
        <v>15</v>
      </c>
      <c r="E1625" t="s">
        <v>12</v>
      </c>
      <c r="F1625">
        <v>3</v>
      </c>
      <c r="G1625">
        <v>0.8</v>
      </c>
      <c r="H1625" s="2">
        <v>-67.617000000000019</v>
      </c>
      <c r="I1625" s="2">
        <v>24.587999999999994</v>
      </c>
    </row>
    <row r="1626" spans="3:9" x14ac:dyDescent="0.3">
      <c r="E1626" t="s">
        <v>19</v>
      </c>
      <c r="F1626">
        <v>3</v>
      </c>
      <c r="G1626">
        <v>0.4</v>
      </c>
      <c r="H1626" s="2">
        <v>1.5509999999999999</v>
      </c>
      <c r="I1626" s="2">
        <v>14.672000000000001</v>
      </c>
    </row>
    <row r="1627" spans="3:9" x14ac:dyDescent="0.3">
      <c r="E1627" t="s">
        <v>20</v>
      </c>
      <c r="F1627">
        <v>17</v>
      </c>
      <c r="G1627">
        <v>2.4000000000000004</v>
      </c>
      <c r="H1627" s="2">
        <v>-34.513000000000005</v>
      </c>
      <c r="I1627" s="2">
        <v>20.735999999999997</v>
      </c>
    </row>
    <row r="1628" spans="3:9" x14ac:dyDescent="0.3">
      <c r="E1628" t="s">
        <v>34</v>
      </c>
      <c r="F1628">
        <v>11</v>
      </c>
      <c r="G1628">
        <v>0.64</v>
      </c>
      <c r="H1628" s="2">
        <v>-161.30140000000006</v>
      </c>
      <c r="I1628" s="2">
        <v>843.73039999999992</v>
      </c>
    </row>
    <row r="1629" spans="3:9" x14ac:dyDescent="0.3">
      <c r="E1629" t="s">
        <v>43</v>
      </c>
      <c r="F1629">
        <v>4</v>
      </c>
      <c r="G1629">
        <v>0.2</v>
      </c>
      <c r="H1629" s="2">
        <v>11.592000000000001</v>
      </c>
      <c r="I1629" s="2">
        <v>33.119999999999997</v>
      </c>
    </row>
    <row r="1630" spans="3:9" x14ac:dyDescent="0.3">
      <c r="E1630" t="s">
        <v>16</v>
      </c>
      <c r="F1630">
        <v>2</v>
      </c>
      <c r="G1630">
        <v>0.2</v>
      </c>
      <c r="H1630" s="2">
        <v>3.2871999999999999</v>
      </c>
      <c r="I1630" s="2">
        <v>9.3920000000000012</v>
      </c>
    </row>
    <row r="1631" spans="3:9" x14ac:dyDescent="0.3">
      <c r="E1631" t="s">
        <v>24</v>
      </c>
      <c r="F1631">
        <v>3</v>
      </c>
      <c r="G1631">
        <v>0.2</v>
      </c>
      <c r="H1631" s="2">
        <v>1.5804</v>
      </c>
      <c r="I1631" s="2">
        <v>21.071999999999999</v>
      </c>
    </row>
    <row r="1632" spans="3:9" x14ac:dyDescent="0.3">
      <c r="E1632" t="s">
        <v>14</v>
      </c>
      <c r="F1632">
        <v>5</v>
      </c>
      <c r="G1632">
        <v>0.2</v>
      </c>
      <c r="H1632" s="2">
        <v>-57.950999999999993</v>
      </c>
      <c r="I1632" s="2">
        <v>772.68000000000006</v>
      </c>
    </row>
    <row r="1633" spans="2:9" x14ac:dyDescent="0.3">
      <c r="D1633" t="s">
        <v>17</v>
      </c>
      <c r="E1633" t="s">
        <v>12</v>
      </c>
      <c r="F1633">
        <v>5</v>
      </c>
      <c r="G1633">
        <v>0.8</v>
      </c>
      <c r="H1633" s="2">
        <v>-123.858</v>
      </c>
      <c r="I1633" s="2">
        <v>68.809999999999988</v>
      </c>
    </row>
    <row r="1634" spans="2:9" x14ac:dyDescent="0.3">
      <c r="E1634" t="s">
        <v>20</v>
      </c>
      <c r="F1634">
        <v>3</v>
      </c>
      <c r="G1634">
        <v>0.8</v>
      </c>
      <c r="H1634" s="2">
        <v>-3.8160000000000016</v>
      </c>
      <c r="I1634" s="2">
        <v>2.5439999999999996</v>
      </c>
    </row>
    <row r="1635" spans="2:9" x14ac:dyDescent="0.3">
      <c r="B1635" t="s">
        <v>185</v>
      </c>
      <c r="C1635" t="s">
        <v>11</v>
      </c>
      <c r="D1635" t="s">
        <v>8</v>
      </c>
      <c r="E1635" t="s">
        <v>16</v>
      </c>
      <c r="F1635">
        <v>2</v>
      </c>
      <c r="G1635">
        <v>0.2</v>
      </c>
      <c r="H1635" s="2">
        <v>26.902399999999993</v>
      </c>
      <c r="I1635" s="2">
        <v>76.864000000000004</v>
      </c>
    </row>
    <row r="1636" spans="2:9" x14ac:dyDescent="0.3">
      <c r="C1636" t="s">
        <v>22</v>
      </c>
      <c r="D1636" t="s">
        <v>8</v>
      </c>
      <c r="E1636" t="s">
        <v>12</v>
      </c>
      <c r="F1636">
        <v>8</v>
      </c>
      <c r="G1636">
        <v>0.8</v>
      </c>
      <c r="H1636" s="2">
        <v>-52.958400000000012</v>
      </c>
      <c r="I1636" s="2">
        <v>20.767999999999997</v>
      </c>
    </row>
    <row r="1637" spans="2:9" x14ac:dyDescent="0.3">
      <c r="B1637" t="s">
        <v>186</v>
      </c>
      <c r="C1637" t="s">
        <v>11</v>
      </c>
      <c r="D1637" t="s">
        <v>15</v>
      </c>
      <c r="E1637" t="s">
        <v>34</v>
      </c>
      <c r="F1637">
        <v>1</v>
      </c>
      <c r="G1637">
        <v>0</v>
      </c>
      <c r="H1637" s="2">
        <v>20.484999999999999</v>
      </c>
      <c r="I1637" s="2">
        <v>81.94</v>
      </c>
    </row>
    <row r="1638" spans="2:9" x14ac:dyDescent="0.3">
      <c r="D1638" t="s">
        <v>17</v>
      </c>
      <c r="E1638" t="s">
        <v>23</v>
      </c>
      <c r="F1638">
        <v>3</v>
      </c>
      <c r="G1638">
        <v>0</v>
      </c>
      <c r="H1638" s="2">
        <v>27.352799999999998</v>
      </c>
      <c r="I1638" s="2">
        <v>113.97</v>
      </c>
    </row>
    <row r="1639" spans="2:9" x14ac:dyDescent="0.3">
      <c r="E1639" t="s">
        <v>20</v>
      </c>
      <c r="F1639">
        <v>2</v>
      </c>
      <c r="G1639">
        <v>0</v>
      </c>
      <c r="H1639" s="2">
        <v>1.728</v>
      </c>
      <c r="I1639" s="2">
        <v>3.6</v>
      </c>
    </row>
    <row r="1640" spans="2:9" x14ac:dyDescent="0.3">
      <c r="E1640" t="s">
        <v>21</v>
      </c>
      <c r="F1640">
        <v>5</v>
      </c>
      <c r="G1640">
        <v>0</v>
      </c>
      <c r="H1640" s="2">
        <v>23.384</v>
      </c>
      <c r="I1640" s="2">
        <v>63.2</v>
      </c>
    </row>
    <row r="1641" spans="2:9" x14ac:dyDescent="0.3">
      <c r="C1641" t="s">
        <v>27</v>
      </c>
      <c r="D1641" t="s">
        <v>15</v>
      </c>
      <c r="E1641" t="s">
        <v>14</v>
      </c>
      <c r="F1641">
        <v>3</v>
      </c>
      <c r="G1641">
        <v>0</v>
      </c>
      <c r="H1641" s="2">
        <v>10.475399999999999</v>
      </c>
      <c r="I1641" s="2">
        <v>40.29</v>
      </c>
    </row>
    <row r="1642" spans="2:9" x14ac:dyDescent="0.3">
      <c r="C1642" t="s">
        <v>7</v>
      </c>
      <c r="D1642" t="s">
        <v>8</v>
      </c>
      <c r="E1642" t="s">
        <v>12</v>
      </c>
      <c r="F1642">
        <v>3</v>
      </c>
      <c r="G1642">
        <v>0</v>
      </c>
      <c r="H1642" s="2">
        <v>297.64349999999996</v>
      </c>
      <c r="I1642" s="2">
        <v>901.94999999999993</v>
      </c>
    </row>
    <row r="1643" spans="2:9" x14ac:dyDescent="0.3">
      <c r="E1643" t="s">
        <v>21</v>
      </c>
      <c r="F1643">
        <v>5</v>
      </c>
      <c r="G1643">
        <v>0</v>
      </c>
      <c r="H1643" s="2">
        <v>48.906000000000006</v>
      </c>
      <c r="I1643" s="2">
        <v>111.15</v>
      </c>
    </row>
    <row r="1644" spans="2:9" x14ac:dyDescent="0.3">
      <c r="E1644" t="s">
        <v>24</v>
      </c>
      <c r="F1644">
        <v>3</v>
      </c>
      <c r="G1644">
        <v>0</v>
      </c>
      <c r="H1644" s="2">
        <v>35.864399999999996</v>
      </c>
      <c r="I1644" s="2">
        <v>137.94</v>
      </c>
    </row>
    <row r="1645" spans="2:9" x14ac:dyDescent="0.3">
      <c r="E1645" t="s">
        <v>25</v>
      </c>
      <c r="F1645">
        <v>3</v>
      </c>
      <c r="G1645">
        <v>0.3</v>
      </c>
      <c r="H1645" s="2">
        <v>-47.058300000000003</v>
      </c>
      <c r="I1645" s="2">
        <v>366.00899999999996</v>
      </c>
    </row>
    <row r="1646" spans="2:9" x14ac:dyDescent="0.3">
      <c r="D1646" t="s">
        <v>15</v>
      </c>
      <c r="E1646" t="s">
        <v>20</v>
      </c>
      <c r="F1646">
        <v>2</v>
      </c>
      <c r="G1646">
        <v>0.7</v>
      </c>
      <c r="H1646" s="2">
        <v>-2.0621999999999998</v>
      </c>
      <c r="I1646" s="2">
        <v>2.9460000000000006</v>
      </c>
    </row>
    <row r="1647" spans="2:9" x14ac:dyDescent="0.3">
      <c r="E1647" t="s">
        <v>25</v>
      </c>
      <c r="F1647">
        <v>3</v>
      </c>
      <c r="G1647">
        <v>0.4</v>
      </c>
      <c r="H1647" s="2">
        <v>-29.323800000000006</v>
      </c>
      <c r="I1647" s="2">
        <v>79.97399999999999</v>
      </c>
    </row>
    <row r="1648" spans="2:9" x14ac:dyDescent="0.3">
      <c r="C1648" t="s">
        <v>22</v>
      </c>
      <c r="D1648" t="s">
        <v>8</v>
      </c>
      <c r="E1648" t="s">
        <v>19</v>
      </c>
      <c r="F1648">
        <v>5</v>
      </c>
      <c r="G1648">
        <v>0</v>
      </c>
      <c r="H1648" s="2">
        <v>3.3784999999999989</v>
      </c>
      <c r="I1648" s="2">
        <v>11.65</v>
      </c>
    </row>
    <row r="1649" spans="4:9" x14ac:dyDescent="0.3">
      <c r="E1649" t="s">
        <v>16</v>
      </c>
      <c r="F1649">
        <v>1</v>
      </c>
      <c r="G1649">
        <v>0.2</v>
      </c>
      <c r="H1649" s="2">
        <v>1.8144</v>
      </c>
      <c r="I1649" s="2">
        <v>5.1840000000000011</v>
      </c>
    </row>
    <row r="1650" spans="4:9" x14ac:dyDescent="0.3">
      <c r="E1650" t="s">
        <v>24</v>
      </c>
      <c r="F1650">
        <v>3</v>
      </c>
      <c r="G1650">
        <v>0.2</v>
      </c>
      <c r="H1650" s="2">
        <v>-9.153000000000004</v>
      </c>
      <c r="I1650" s="2">
        <v>40.68</v>
      </c>
    </row>
    <row r="1651" spans="4:9" x14ac:dyDescent="0.3">
      <c r="E1651" t="s">
        <v>25</v>
      </c>
      <c r="F1651">
        <v>3</v>
      </c>
      <c r="G1651">
        <v>0.3</v>
      </c>
      <c r="H1651" s="2">
        <v>-130.0104</v>
      </c>
      <c r="I1651" s="2">
        <v>700.05600000000004</v>
      </c>
    </row>
    <row r="1652" spans="4:9" x14ac:dyDescent="0.3">
      <c r="D1652" t="s">
        <v>15</v>
      </c>
      <c r="E1652" t="s">
        <v>12</v>
      </c>
      <c r="F1652">
        <v>2</v>
      </c>
      <c r="G1652">
        <v>0.2</v>
      </c>
      <c r="H1652" s="2">
        <v>2.3363999999999976</v>
      </c>
      <c r="I1652" s="2">
        <v>20.768000000000001</v>
      </c>
    </row>
    <row r="1653" spans="4:9" x14ac:dyDescent="0.3">
      <c r="E1653" t="s">
        <v>20</v>
      </c>
      <c r="F1653">
        <v>15</v>
      </c>
      <c r="G1653">
        <v>0</v>
      </c>
      <c r="H1653" s="2">
        <v>189.48320000000001</v>
      </c>
      <c r="I1653" s="2">
        <v>400.54</v>
      </c>
    </row>
    <row r="1654" spans="4:9" x14ac:dyDescent="0.3">
      <c r="E1654" t="s">
        <v>34</v>
      </c>
      <c r="F1654">
        <v>6</v>
      </c>
      <c r="G1654">
        <v>0</v>
      </c>
      <c r="H1654" s="2">
        <v>407.12880000000007</v>
      </c>
      <c r="I1654" s="2">
        <v>1565.88</v>
      </c>
    </row>
    <row r="1655" spans="4:9" x14ac:dyDescent="0.3">
      <c r="E1655" t="s">
        <v>33</v>
      </c>
      <c r="F1655">
        <v>11</v>
      </c>
      <c r="G1655">
        <v>0</v>
      </c>
      <c r="H1655" s="2">
        <v>628.77539999999988</v>
      </c>
      <c r="I1655" s="2">
        <v>2344.7799999999997</v>
      </c>
    </row>
    <row r="1656" spans="4:9" x14ac:dyDescent="0.3">
      <c r="E1656" t="s">
        <v>21</v>
      </c>
      <c r="F1656">
        <v>7</v>
      </c>
      <c r="G1656">
        <v>0.2</v>
      </c>
      <c r="H1656" s="2">
        <v>9.6712000000000025</v>
      </c>
      <c r="I1656" s="2">
        <v>35.168000000000006</v>
      </c>
    </row>
    <row r="1657" spans="4:9" x14ac:dyDescent="0.3">
      <c r="E1657" t="s">
        <v>16</v>
      </c>
      <c r="F1657">
        <v>2</v>
      </c>
      <c r="G1657">
        <v>0</v>
      </c>
      <c r="H1657" s="2">
        <v>3.0267999999999997</v>
      </c>
      <c r="I1657" s="2">
        <v>6.58</v>
      </c>
    </row>
    <row r="1658" spans="4:9" x14ac:dyDescent="0.3">
      <c r="E1658" t="s">
        <v>24</v>
      </c>
      <c r="F1658">
        <v>14</v>
      </c>
      <c r="G1658">
        <v>0</v>
      </c>
      <c r="H1658" s="2">
        <v>109.80030000000002</v>
      </c>
      <c r="I1658" s="2">
        <v>534.42000000000007</v>
      </c>
    </row>
    <row r="1659" spans="4:9" x14ac:dyDescent="0.3">
      <c r="E1659" t="s">
        <v>25</v>
      </c>
      <c r="F1659">
        <v>7</v>
      </c>
      <c r="G1659">
        <v>0.3</v>
      </c>
      <c r="H1659" s="2">
        <v>-297.68479999999983</v>
      </c>
      <c r="I1659" s="2">
        <v>1488.4239999999998</v>
      </c>
    </row>
    <row r="1660" spans="4:9" x14ac:dyDescent="0.3">
      <c r="D1660" t="s">
        <v>17</v>
      </c>
      <c r="E1660" t="s">
        <v>23</v>
      </c>
      <c r="F1660">
        <v>3</v>
      </c>
      <c r="G1660">
        <v>0</v>
      </c>
      <c r="H1660" s="2">
        <v>14.870699999999998</v>
      </c>
      <c r="I1660" s="2">
        <v>47.97</v>
      </c>
    </row>
    <row r="1661" spans="4:9" x14ac:dyDescent="0.3">
      <c r="E1661" t="s">
        <v>19</v>
      </c>
      <c r="F1661">
        <v>2</v>
      </c>
      <c r="G1661">
        <v>0.2</v>
      </c>
      <c r="H1661" s="2">
        <v>0.31679999999999986</v>
      </c>
      <c r="I1661" s="2">
        <v>2.8160000000000003</v>
      </c>
    </row>
    <row r="1662" spans="4:9" x14ac:dyDescent="0.3">
      <c r="E1662" t="s">
        <v>20</v>
      </c>
      <c r="F1662">
        <v>7</v>
      </c>
      <c r="G1662">
        <v>0.7</v>
      </c>
      <c r="H1662" s="2">
        <v>49.006799999999998</v>
      </c>
      <c r="I1662" s="2">
        <v>117.804</v>
      </c>
    </row>
    <row r="1663" spans="4:9" x14ac:dyDescent="0.3">
      <c r="E1663" t="s">
        <v>33</v>
      </c>
      <c r="F1663">
        <v>1</v>
      </c>
      <c r="G1663">
        <v>0</v>
      </c>
      <c r="H1663" s="2">
        <v>15.185000000000002</v>
      </c>
      <c r="I1663" s="2">
        <v>60.74</v>
      </c>
    </row>
    <row r="1664" spans="4:9" x14ac:dyDescent="0.3">
      <c r="E1664" t="s">
        <v>21</v>
      </c>
      <c r="F1664">
        <v>2</v>
      </c>
      <c r="G1664">
        <v>0</v>
      </c>
      <c r="H1664" s="2">
        <v>27.359200000000001</v>
      </c>
      <c r="I1664" s="2">
        <v>124.36</v>
      </c>
    </row>
    <row r="1665" spans="2:9" x14ac:dyDescent="0.3">
      <c r="E1665" t="s">
        <v>43</v>
      </c>
      <c r="F1665">
        <v>4</v>
      </c>
      <c r="G1665">
        <v>0.2</v>
      </c>
      <c r="H1665" s="2">
        <v>4.1999999999999993</v>
      </c>
      <c r="I1665" s="2">
        <v>12</v>
      </c>
    </row>
    <row r="1666" spans="2:9" x14ac:dyDescent="0.3">
      <c r="E1666" t="s">
        <v>14</v>
      </c>
      <c r="F1666">
        <v>11</v>
      </c>
      <c r="G1666">
        <v>0.4</v>
      </c>
      <c r="H1666" s="2">
        <v>247.96779999999984</v>
      </c>
      <c r="I1666" s="2">
        <v>1834.248</v>
      </c>
    </row>
    <row r="1667" spans="2:9" x14ac:dyDescent="0.3">
      <c r="B1667" t="s">
        <v>187</v>
      </c>
      <c r="C1667" t="s">
        <v>11</v>
      </c>
      <c r="D1667" t="s">
        <v>8</v>
      </c>
      <c r="E1667" t="s">
        <v>20</v>
      </c>
      <c r="F1667">
        <v>4</v>
      </c>
      <c r="G1667">
        <v>0.8</v>
      </c>
      <c r="H1667" s="2">
        <v>-145.17600000000002</v>
      </c>
      <c r="I1667" s="2">
        <v>96.783999999999978</v>
      </c>
    </row>
    <row r="1668" spans="2:9" x14ac:dyDescent="0.3">
      <c r="E1668" t="s">
        <v>21</v>
      </c>
      <c r="F1668">
        <v>3</v>
      </c>
      <c r="G1668">
        <v>0.6</v>
      </c>
      <c r="H1668" s="2">
        <v>-6.8094000000000037</v>
      </c>
      <c r="I1668" s="2">
        <v>10.476000000000001</v>
      </c>
    </row>
    <row r="1669" spans="2:9" x14ac:dyDescent="0.3">
      <c r="E1669" t="s">
        <v>16</v>
      </c>
      <c r="F1669">
        <v>3</v>
      </c>
      <c r="G1669">
        <v>0.2</v>
      </c>
      <c r="H1669" s="2">
        <v>20.576399999999996</v>
      </c>
      <c r="I1669" s="2">
        <v>63.311999999999998</v>
      </c>
    </row>
    <row r="1670" spans="2:9" x14ac:dyDescent="0.3">
      <c r="C1670" t="s">
        <v>27</v>
      </c>
      <c r="D1670" t="s">
        <v>8</v>
      </c>
      <c r="E1670" t="s">
        <v>33</v>
      </c>
      <c r="F1670">
        <v>1</v>
      </c>
      <c r="G1670">
        <v>0.1</v>
      </c>
      <c r="H1670" s="2">
        <v>6.8388000000000009</v>
      </c>
      <c r="I1670" s="2">
        <v>102.58200000000001</v>
      </c>
    </row>
    <row r="1671" spans="2:9" x14ac:dyDescent="0.3">
      <c r="E1671" t="s">
        <v>16</v>
      </c>
      <c r="F1671">
        <v>3</v>
      </c>
      <c r="G1671">
        <v>0</v>
      </c>
      <c r="H1671" s="2">
        <v>9.6191999999999993</v>
      </c>
      <c r="I1671" s="2">
        <v>20.04</v>
      </c>
    </row>
    <row r="1672" spans="2:9" x14ac:dyDescent="0.3">
      <c r="C1672" t="s">
        <v>7</v>
      </c>
      <c r="D1672" t="s">
        <v>8</v>
      </c>
      <c r="E1672" t="s">
        <v>20</v>
      </c>
      <c r="F1672">
        <v>2</v>
      </c>
      <c r="G1672">
        <v>0.2</v>
      </c>
      <c r="H1672" s="2">
        <v>6.0367999999999986</v>
      </c>
      <c r="I1672" s="2">
        <v>17.248000000000001</v>
      </c>
    </row>
    <row r="1673" spans="2:9" x14ac:dyDescent="0.3">
      <c r="C1673" t="s">
        <v>22</v>
      </c>
      <c r="D1673" t="s">
        <v>8</v>
      </c>
      <c r="E1673" t="s">
        <v>19</v>
      </c>
      <c r="F1673">
        <v>3</v>
      </c>
      <c r="G1673">
        <v>0</v>
      </c>
      <c r="H1673" s="2">
        <v>14.345999999999995</v>
      </c>
      <c r="I1673" s="2">
        <v>47.82</v>
      </c>
    </row>
    <row r="1674" spans="2:9" x14ac:dyDescent="0.3">
      <c r="E1674" t="s">
        <v>21</v>
      </c>
      <c r="F1674">
        <v>3</v>
      </c>
      <c r="G1674">
        <v>0</v>
      </c>
      <c r="H1674" s="2">
        <v>64.518000000000001</v>
      </c>
      <c r="I1674" s="2">
        <v>322.59000000000003</v>
      </c>
    </row>
    <row r="1675" spans="2:9" x14ac:dyDescent="0.3">
      <c r="E1675" t="s">
        <v>43</v>
      </c>
      <c r="F1675">
        <v>5</v>
      </c>
      <c r="G1675">
        <v>0</v>
      </c>
      <c r="H1675" s="2">
        <v>6.0029999999999992</v>
      </c>
      <c r="I1675" s="2">
        <v>13.049999999999999</v>
      </c>
    </row>
    <row r="1676" spans="2:9" x14ac:dyDescent="0.3">
      <c r="D1676" t="s">
        <v>15</v>
      </c>
      <c r="E1676" t="s">
        <v>14</v>
      </c>
      <c r="F1676">
        <v>2</v>
      </c>
      <c r="G1676">
        <v>0.2</v>
      </c>
      <c r="H1676" s="2">
        <v>3.9591999999999992</v>
      </c>
      <c r="I1676" s="2">
        <v>45.248000000000005</v>
      </c>
    </row>
    <row r="1677" spans="2:9" x14ac:dyDescent="0.3">
      <c r="B1677" t="s">
        <v>188</v>
      </c>
      <c r="C1677" t="s">
        <v>11</v>
      </c>
      <c r="D1677" t="s">
        <v>15</v>
      </c>
      <c r="E1677" t="s">
        <v>24</v>
      </c>
      <c r="F1677">
        <v>4</v>
      </c>
      <c r="G1677">
        <v>0</v>
      </c>
      <c r="H1677" s="2">
        <v>22.388800000000003</v>
      </c>
      <c r="I1677" s="2">
        <v>79.959999999999994</v>
      </c>
    </row>
    <row r="1678" spans="2:9" x14ac:dyDescent="0.3">
      <c r="C1678" t="s">
        <v>27</v>
      </c>
      <c r="D1678" t="s">
        <v>15</v>
      </c>
      <c r="E1678" t="s">
        <v>14</v>
      </c>
      <c r="F1678">
        <v>2</v>
      </c>
      <c r="G1678">
        <v>0</v>
      </c>
      <c r="H1678" s="2">
        <v>37.533999999999992</v>
      </c>
      <c r="I1678" s="2">
        <v>750.68</v>
      </c>
    </row>
    <row r="1679" spans="2:9" x14ac:dyDescent="0.3">
      <c r="D1679" t="s">
        <v>17</v>
      </c>
      <c r="E1679" t="s">
        <v>21</v>
      </c>
      <c r="F1679">
        <v>2</v>
      </c>
      <c r="G1679">
        <v>0</v>
      </c>
      <c r="H1679" s="2">
        <v>7.0048000000000012</v>
      </c>
      <c r="I1679" s="2">
        <v>15.92</v>
      </c>
    </row>
    <row r="1680" spans="2:9" x14ac:dyDescent="0.3">
      <c r="C1680" t="s">
        <v>7</v>
      </c>
      <c r="D1680" t="s">
        <v>8</v>
      </c>
      <c r="E1680" t="s">
        <v>16</v>
      </c>
      <c r="F1680">
        <v>5</v>
      </c>
      <c r="G1680">
        <v>0</v>
      </c>
      <c r="H1680" s="2">
        <v>15.593999999999999</v>
      </c>
      <c r="I1680" s="2">
        <v>33.9</v>
      </c>
    </row>
    <row r="1681" spans="2:9" x14ac:dyDescent="0.3">
      <c r="C1681" t="s">
        <v>22</v>
      </c>
      <c r="D1681" t="s">
        <v>8</v>
      </c>
      <c r="E1681" t="s">
        <v>16</v>
      </c>
      <c r="F1681">
        <v>1</v>
      </c>
      <c r="G1681">
        <v>0</v>
      </c>
      <c r="H1681" s="2">
        <v>50.327999999999996</v>
      </c>
      <c r="I1681" s="2">
        <v>104.85</v>
      </c>
    </row>
    <row r="1682" spans="2:9" x14ac:dyDescent="0.3">
      <c r="D1682" t="s">
        <v>15</v>
      </c>
      <c r="E1682" t="s">
        <v>12</v>
      </c>
      <c r="F1682">
        <v>7</v>
      </c>
      <c r="G1682">
        <v>0</v>
      </c>
      <c r="H1682" s="2">
        <v>15.688400000000001</v>
      </c>
      <c r="I1682" s="2">
        <v>60.339999999999996</v>
      </c>
    </row>
    <row r="1683" spans="2:9" x14ac:dyDescent="0.3">
      <c r="E1683" t="s">
        <v>19</v>
      </c>
      <c r="F1683">
        <v>7</v>
      </c>
      <c r="G1683">
        <v>0</v>
      </c>
      <c r="H1683" s="2">
        <v>5.0595999999999997</v>
      </c>
      <c r="I1683" s="2">
        <v>19.459999999999997</v>
      </c>
    </row>
    <row r="1684" spans="2:9" x14ac:dyDescent="0.3">
      <c r="E1684" t="s">
        <v>20</v>
      </c>
      <c r="F1684">
        <v>5</v>
      </c>
      <c r="G1684">
        <v>0</v>
      </c>
      <c r="H1684" s="2">
        <v>25.871999999999996</v>
      </c>
      <c r="I1684" s="2">
        <v>53.9</v>
      </c>
    </row>
    <row r="1685" spans="2:9" x14ac:dyDescent="0.3">
      <c r="B1685" t="s">
        <v>189</v>
      </c>
      <c r="C1685" t="s">
        <v>11</v>
      </c>
      <c r="D1685" t="s">
        <v>8</v>
      </c>
      <c r="E1685" t="s">
        <v>12</v>
      </c>
      <c r="F1685">
        <v>4</v>
      </c>
      <c r="G1685">
        <v>0</v>
      </c>
      <c r="H1685" s="2">
        <v>45.770399999999995</v>
      </c>
      <c r="I1685" s="2">
        <v>176.04</v>
      </c>
    </row>
    <row r="1686" spans="2:9" x14ac:dyDescent="0.3">
      <c r="E1686" t="s">
        <v>19</v>
      </c>
      <c r="F1686">
        <v>9</v>
      </c>
      <c r="G1686">
        <v>0</v>
      </c>
      <c r="H1686" s="2">
        <v>4.4855999999999998</v>
      </c>
      <c r="I1686" s="2">
        <v>16.02</v>
      </c>
    </row>
    <row r="1687" spans="2:9" x14ac:dyDescent="0.3">
      <c r="E1687" t="s">
        <v>20</v>
      </c>
      <c r="F1687">
        <v>4</v>
      </c>
      <c r="G1687">
        <v>0.2</v>
      </c>
      <c r="H1687" s="2">
        <v>62.74799999999999</v>
      </c>
      <c r="I1687" s="2">
        <v>185.92000000000002</v>
      </c>
    </row>
    <row r="1688" spans="2:9" x14ac:dyDescent="0.3">
      <c r="E1688" t="s">
        <v>45</v>
      </c>
      <c r="F1688">
        <v>2</v>
      </c>
      <c r="G1688">
        <v>0.2</v>
      </c>
      <c r="H1688" s="2">
        <v>59.997999999999962</v>
      </c>
      <c r="I1688" s="2">
        <v>479.98400000000004</v>
      </c>
    </row>
    <row r="1689" spans="2:9" x14ac:dyDescent="0.3">
      <c r="E1689" t="s">
        <v>24</v>
      </c>
      <c r="F1689">
        <v>4</v>
      </c>
      <c r="G1689">
        <v>0.2</v>
      </c>
      <c r="H1689" s="2">
        <v>15.837600000000009</v>
      </c>
      <c r="I1689" s="2">
        <v>211.16800000000001</v>
      </c>
    </row>
    <row r="1690" spans="2:9" x14ac:dyDescent="0.3">
      <c r="C1690" t="s">
        <v>7</v>
      </c>
      <c r="D1690" t="s">
        <v>8</v>
      </c>
      <c r="E1690" t="s">
        <v>20</v>
      </c>
      <c r="F1690">
        <v>14</v>
      </c>
      <c r="G1690">
        <v>0.60000000000000009</v>
      </c>
      <c r="H1690" s="2">
        <v>92.112299999999962</v>
      </c>
      <c r="I1690" s="2">
        <v>281.24</v>
      </c>
    </row>
    <row r="1691" spans="2:9" x14ac:dyDescent="0.3">
      <c r="E1691" t="s">
        <v>34</v>
      </c>
      <c r="F1691">
        <v>3</v>
      </c>
      <c r="G1691">
        <v>0.15</v>
      </c>
      <c r="H1691" s="2">
        <v>11.998799999999989</v>
      </c>
      <c r="I1691" s="2">
        <v>254.97449999999998</v>
      </c>
    </row>
    <row r="1692" spans="2:9" x14ac:dyDescent="0.3">
      <c r="E1692" t="s">
        <v>21</v>
      </c>
      <c r="F1692">
        <v>3</v>
      </c>
      <c r="G1692">
        <v>0</v>
      </c>
      <c r="H1692" s="2">
        <v>27.254099999999998</v>
      </c>
      <c r="I1692" s="2">
        <v>71.41</v>
      </c>
    </row>
    <row r="1693" spans="2:9" x14ac:dyDescent="0.3">
      <c r="E1693" t="s">
        <v>25</v>
      </c>
      <c r="F1693">
        <v>23</v>
      </c>
      <c r="G1693">
        <v>0.60000000000000009</v>
      </c>
      <c r="H1693" s="2">
        <v>239.70730000000009</v>
      </c>
      <c r="I1693" s="2">
        <v>5072.6959999999999</v>
      </c>
    </row>
    <row r="1694" spans="2:9" x14ac:dyDescent="0.3">
      <c r="C1694" t="s">
        <v>22</v>
      </c>
      <c r="D1694" t="s">
        <v>8</v>
      </c>
      <c r="E1694" t="s">
        <v>16</v>
      </c>
      <c r="F1694">
        <v>1</v>
      </c>
      <c r="G1694">
        <v>0</v>
      </c>
      <c r="H1694" s="2">
        <v>2.6909999999999998</v>
      </c>
      <c r="I1694" s="2">
        <v>5.98</v>
      </c>
    </row>
    <row r="1695" spans="2:9" x14ac:dyDescent="0.3">
      <c r="E1695" t="s">
        <v>14</v>
      </c>
      <c r="F1695">
        <v>7</v>
      </c>
      <c r="G1695">
        <v>0</v>
      </c>
      <c r="H1695" s="2">
        <v>0.97719999999999807</v>
      </c>
      <c r="I1695" s="2">
        <v>48.86</v>
      </c>
    </row>
    <row r="1696" spans="2:9" x14ac:dyDescent="0.3">
      <c r="D1696" t="s">
        <v>15</v>
      </c>
      <c r="E1696" t="s">
        <v>23</v>
      </c>
      <c r="F1696">
        <v>5</v>
      </c>
      <c r="G1696">
        <v>0</v>
      </c>
      <c r="H1696" s="2">
        <v>118.98299999999999</v>
      </c>
      <c r="I1696" s="2">
        <v>349.95</v>
      </c>
    </row>
    <row r="1697" spans="2:9" x14ac:dyDescent="0.3">
      <c r="E1697" t="s">
        <v>12</v>
      </c>
      <c r="F1697">
        <v>2</v>
      </c>
      <c r="G1697">
        <v>0</v>
      </c>
      <c r="H1697" s="2">
        <v>11.351200000000002</v>
      </c>
      <c r="I1697" s="2">
        <v>40.54</v>
      </c>
    </row>
    <row r="1698" spans="2:9" x14ac:dyDescent="0.3">
      <c r="E1698" t="s">
        <v>20</v>
      </c>
      <c r="F1698">
        <v>4</v>
      </c>
      <c r="G1698">
        <v>0.4</v>
      </c>
      <c r="H1698" s="2">
        <v>4.0711999999999993</v>
      </c>
      <c r="I1698" s="2">
        <v>11.632000000000001</v>
      </c>
    </row>
    <row r="1699" spans="2:9" x14ac:dyDescent="0.3">
      <c r="E1699" t="s">
        <v>16</v>
      </c>
      <c r="F1699">
        <v>3</v>
      </c>
      <c r="G1699">
        <v>0</v>
      </c>
      <c r="H1699" s="2">
        <v>7.0218000000000007</v>
      </c>
      <c r="I1699" s="2">
        <v>14.940000000000001</v>
      </c>
    </row>
    <row r="1700" spans="2:9" x14ac:dyDescent="0.3">
      <c r="E1700" t="s">
        <v>24</v>
      </c>
      <c r="F1700">
        <v>9</v>
      </c>
      <c r="G1700">
        <v>0.2</v>
      </c>
      <c r="H1700" s="2">
        <v>141.72300000000001</v>
      </c>
      <c r="I1700" s="2">
        <v>377.92800000000005</v>
      </c>
    </row>
    <row r="1701" spans="2:9" x14ac:dyDescent="0.3">
      <c r="D1701" t="s">
        <v>17</v>
      </c>
      <c r="E1701" t="s">
        <v>34</v>
      </c>
      <c r="F1701">
        <v>2</v>
      </c>
      <c r="G1701">
        <v>0.15</v>
      </c>
      <c r="H1701" s="2">
        <v>21.293999999999993</v>
      </c>
      <c r="I1701" s="2">
        <v>120.666</v>
      </c>
    </row>
    <row r="1702" spans="2:9" x14ac:dyDescent="0.3">
      <c r="E1702" t="s">
        <v>16</v>
      </c>
      <c r="F1702">
        <v>7</v>
      </c>
      <c r="G1702">
        <v>0</v>
      </c>
      <c r="H1702" s="2">
        <v>80.243599999999986</v>
      </c>
      <c r="I1702" s="2">
        <v>168.57999999999998</v>
      </c>
    </row>
    <row r="1703" spans="2:9" x14ac:dyDescent="0.3">
      <c r="B1703" t="s">
        <v>190</v>
      </c>
      <c r="C1703" t="s">
        <v>7</v>
      </c>
      <c r="D1703" t="s">
        <v>8</v>
      </c>
      <c r="E1703" t="s">
        <v>21</v>
      </c>
      <c r="F1703">
        <v>6</v>
      </c>
      <c r="G1703">
        <v>0.6</v>
      </c>
      <c r="H1703" s="2">
        <v>-17.443199999999997</v>
      </c>
      <c r="I1703" s="2">
        <v>30.336000000000006</v>
      </c>
    </row>
    <row r="1704" spans="2:9" x14ac:dyDescent="0.3">
      <c r="C1704" t="s">
        <v>22</v>
      </c>
      <c r="D1704" t="s">
        <v>17</v>
      </c>
      <c r="E1704" t="s">
        <v>23</v>
      </c>
      <c r="F1704">
        <v>4</v>
      </c>
      <c r="G1704">
        <v>0.2</v>
      </c>
      <c r="H1704" s="2">
        <v>-1.3583999999999987</v>
      </c>
      <c r="I1704" s="2">
        <v>27.168000000000003</v>
      </c>
    </row>
    <row r="1705" spans="2:9" x14ac:dyDescent="0.3">
      <c r="B1705" t="s">
        <v>191</v>
      </c>
      <c r="C1705" t="s">
        <v>22</v>
      </c>
      <c r="D1705" t="s">
        <v>15</v>
      </c>
      <c r="E1705" t="s">
        <v>34</v>
      </c>
      <c r="F1705">
        <v>3</v>
      </c>
      <c r="G1705">
        <v>0</v>
      </c>
      <c r="H1705" s="2">
        <v>38.266800000000003</v>
      </c>
      <c r="I1705" s="2">
        <v>173.94</v>
      </c>
    </row>
    <row r="1706" spans="2:9" x14ac:dyDescent="0.3">
      <c r="E1706" t="s">
        <v>24</v>
      </c>
      <c r="F1706">
        <v>2</v>
      </c>
      <c r="G1706">
        <v>0</v>
      </c>
      <c r="H1706" s="2">
        <v>67.274199999999979</v>
      </c>
      <c r="I1706" s="2">
        <v>231.98</v>
      </c>
    </row>
    <row r="1707" spans="2:9" x14ac:dyDescent="0.3">
      <c r="B1707" t="s">
        <v>192</v>
      </c>
      <c r="C1707" t="s">
        <v>11</v>
      </c>
      <c r="D1707" t="s">
        <v>8</v>
      </c>
      <c r="E1707" t="s">
        <v>19</v>
      </c>
      <c r="F1707">
        <v>2</v>
      </c>
      <c r="G1707">
        <v>0</v>
      </c>
      <c r="H1707" s="2">
        <v>1.7279999999999998</v>
      </c>
      <c r="I1707" s="2">
        <v>5.76</v>
      </c>
    </row>
    <row r="1708" spans="2:9" x14ac:dyDescent="0.3">
      <c r="E1708" t="s">
        <v>18</v>
      </c>
      <c r="F1708">
        <v>1</v>
      </c>
      <c r="G1708">
        <v>0</v>
      </c>
      <c r="H1708" s="2">
        <v>1.8010999999999999</v>
      </c>
      <c r="I1708" s="2">
        <v>5.81</v>
      </c>
    </row>
    <row r="1709" spans="2:9" x14ac:dyDescent="0.3">
      <c r="E1709" t="s">
        <v>16</v>
      </c>
      <c r="F1709">
        <v>2</v>
      </c>
      <c r="G1709">
        <v>0</v>
      </c>
      <c r="H1709" s="2">
        <v>4.2929999999999993</v>
      </c>
      <c r="I1709" s="2">
        <v>9.5399999999999991</v>
      </c>
    </row>
    <row r="1710" spans="2:9" x14ac:dyDescent="0.3">
      <c r="C1710" t="s">
        <v>27</v>
      </c>
      <c r="D1710" t="s">
        <v>15</v>
      </c>
      <c r="E1710" t="s">
        <v>14</v>
      </c>
      <c r="F1710">
        <v>1</v>
      </c>
      <c r="G1710">
        <v>0</v>
      </c>
      <c r="H1710" s="2">
        <v>7.9895999999999994</v>
      </c>
      <c r="I1710" s="2">
        <v>33.29</v>
      </c>
    </row>
    <row r="1711" spans="2:9" x14ac:dyDescent="0.3">
      <c r="C1711" t="s">
        <v>22</v>
      </c>
      <c r="D1711" t="s">
        <v>15</v>
      </c>
      <c r="E1711" t="s">
        <v>24</v>
      </c>
      <c r="F1711">
        <v>2</v>
      </c>
      <c r="G1711">
        <v>0</v>
      </c>
      <c r="H1711" s="2">
        <v>74.8142</v>
      </c>
      <c r="I1711" s="2">
        <v>257.98</v>
      </c>
    </row>
    <row r="1712" spans="2:9" x14ac:dyDescent="0.3">
      <c r="B1712" t="s">
        <v>193</v>
      </c>
      <c r="C1712" t="s">
        <v>11</v>
      </c>
      <c r="D1712" t="s">
        <v>8</v>
      </c>
      <c r="E1712" t="s">
        <v>20</v>
      </c>
      <c r="F1712">
        <v>4</v>
      </c>
      <c r="G1712">
        <v>0.8</v>
      </c>
      <c r="H1712" s="2">
        <v>-32.088000000000008</v>
      </c>
      <c r="I1712" s="2">
        <v>18.335999999999999</v>
      </c>
    </row>
    <row r="1713" spans="2:9" x14ac:dyDescent="0.3">
      <c r="E1713" t="s">
        <v>43</v>
      </c>
      <c r="F1713">
        <v>5</v>
      </c>
      <c r="G1713">
        <v>0.2</v>
      </c>
      <c r="H1713" s="2">
        <v>3.3929999999999989</v>
      </c>
      <c r="I1713" s="2">
        <v>10.440000000000001</v>
      </c>
    </row>
    <row r="1714" spans="2:9" x14ac:dyDescent="0.3">
      <c r="D1714" t="s">
        <v>17</v>
      </c>
      <c r="E1714" t="s">
        <v>21</v>
      </c>
      <c r="F1714">
        <v>2</v>
      </c>
      <c r="G1714">
        <v>0.6</v>
      </c>
      <c r="H1714" s="2">
        <v>-7.4759999999999991</v>
      </c>
      <c r="I1714" s="2">
        <v>8.5440000000000005</v>
      </c>
    </row>
    <row r="1715" spans="2:9" x14ac:dyDescent="0.3">
      <c r="C1715" t="s">
        <v>7</v>
      </c>
      <c r="D1715" t="s">
        <v>17</v>
      </c>
      <c r="E1715" t="s">
        <v>19</v>
      </c>
      <c r="F1715">
        <v>1</v>
      </c>
      <c r="G1715">
        <v>0.2</v>
      </c>
      <c r="H1715" s="2">
        <v>3.7979999999999947</v>
      </c>
      <c r="I1715" s="2">
        <v>30.384</v>
      </c>
    </row>
    <row r="1716" spans="2:9" x14ac:dyDescent="0.3">
      <c r="B1716" t="s">
        <v>194</v>
      </c>
      <c r="C1716" t="s">
        <v>22</v>
      </c>
      <c r="D1716" t="s">
        <v>17</v>
      </c>
      <c r="E1716" t="s">
        <v>23</v>
      </c>
      <c r="F1716">
        <v>12</v>
      </c>
      <c r="G1716">
        <v>0.4</v>
      </c>
      <c r="H1716" s="2">
        <v>131.38199999999995</v>
      </c>
      <c r="I1716" s="2">
        <v>700.70399999999995</v>
      </c>
    </row>
    <row r="1717" spans="2:9" x14ac:dyDescent="0.3">
      <c r="E1717" t="s">
        <v>20</v>
      </c>
      <c r="F1717">
        <v>2</v>
      </c>
      <c r="G1717">
        <v>0.7</v>
      </c>
      <c r="H1717" s="2">
        <v>-145.35079999999999</v>
      </c>
      <c r="I1717" s="2">
        <v>189.58800000000005</v>
      </c>
    </row>
    <row r="1718" spans="2:9" x14ac:dyDescent="0.3">
      <c r="E1718" t="s">
        <v>14</v>
      </c>
      <c r="F1718">
        <v>2</v>
      </c>
      <c r="G1718">
        <v>0.2</v>
      </c>
      <c r="H1718" s="2">
        <v>-0.7748000000000006</v>
      </c>
      <c r="I1718" s="2">
        <v>4.7679999999999998</v>
      </c>
    </row>
    <row r="1719" spans="2:9" x14ac:dyDescent="0.3">
      <c r="B1719" t="s">
        <v>195</v>
      </c>
      <c r="C1719" t="s">
        <v>7</v>
      </c>
      <c r="D1719" t="s">
        <v>8</v>
      </c>
      <c r="E1719" t="s">
        <v>12</v>
      </c>
      <c r="F1719">
        <v>4</v>
      </c>
      <c r="G1719">
        <v>0</v>
      </c>
      <c r="H1719" s="2">
        <v>50.876800000000003</v>
      </c>
      <c r="I1719" s="2">
        <v>195.68</v>
      </c>
    </row>
    <row r="1720" spans="2:9" x14ac:dyDescent="0.3">
      <c r="E1720" t="s">
        <v>18</v>
      </c>
      <c r="F1720">
        <v>4</v>
      </c>
      <c r="G1720">
        <v>0</v>
      </c>
      <c r="H1720" s="2">
        <v>6.6739999999999995</v>
      </c>
      <c r="I1720" s="2">
        <v>14.2</v>
      </c>
    </row>
    <row r="1721" spans="2:9" x14ac:dyDescent="0.3">
      <c r="E1721" t="s">
        <v>24</v>
      </c>
      <c r="F1721">
        <v>2</v>
      </c>
      <c r="G1721">
        <v>0</v>
      </c>
      <c r="H1721" s="2">
        <v>195.99440000000004</v>
      </c>
      <c r="I1721" s="2">
        <v>699.98</v>
      </c>
    </row>
    <row r="1722" spans="2:9" x14ac:dyDescent="0.3">
      <c r="E1722" t="s">
        <v>14</v>
      </c>
      <c r="F1722">
        <v>9</v>
      </c>
      <c r="G1722">
        <v>0</v>
      </c>
      <c r="H1722" s="2">
        <v>70.178400000000025</v>
      </c>
      <c r="I1722" s="2">
        <v>584.82000000000005</v>
      </c>
    </row>
    <row r="1723" spans="2:9" x14ac:dyDescent="0.3">
      <c r="C1723" t="s">
        <v>22</v>
      </c>
      <c r="D1723" t="s">
        <v>8</v>
      </c>
      <c r="E1723" t="s">
        <v>19</v>
      </c>
      <c r="F1723">
        <v>3</v>
      </c>
      <c r="G1723">
        <v>0</v>
      </c>
      <c r="H1723" s="2">
        <v>2.5343999999999998</v>
      </c>
      <c r="I1723" s="2">
        <v>5.28</v>
      </c>
    </row>
    <row r="1724" spans="2:9" x14ac:dyDescent="0.3">
      <c r="E1724" t="s">
        <v>20</v>
      </c>
      <c r="F1724">
        <v>6</v>
      </c>
      <c r="G1724">
        <v>0</v>
      </c>
      <c r="H1724" s="2">
        <v>54.691199999999995</v>
      </c>
      <c r="I1724" s="2">
        <v>113.94</v>
      </c>
    </row>
    <row r="1725" spans="2:9" x14ac:dyDescent="0.3">
      <c r="E1725" t="s">
        <v>21</v>
      </c>
      <c r="F1725">
        <v>3</v>
      </c>
      <c r="G1725">
        <v>0</v>
      </c>
      <c r="H1725" s="2">
        <v>16.614000000000001</v>
      </c>
      <c r="I1725" s="2">
        <v>42.599999999999994</v>
      </c>
    </row>
    <row r="1726" spans="2:9" x14ac:dyDescent="0.3">
      <c r="E1726" t="s">
        <v>14</v>
      </c>
      <c r="F1726">
        <v>4</v>
      </c>
      <c r="G1726">
        <v>0</v>
      </c>
      <c r="H1726" s="2">
        <v>5.1967999999999961</v>
      </c>
      <c r="I1726" s="2">
        <v>129.91999999999999</v>
      </c>
    </row>
    <row r="1727" spans="2:9" x14ac:dyDescent="0.3">
      <c r="B1727" t="s">
        <v>196</v>
      </c>
      <c r="C1727" t="s">
        <v>22</v>
      </c>
      <c r="D1727" t="s">
        <v>8</v>
      </c>
      <c r="E1727" t="s">
        <v>21</v>
      </c>
      <c r="F1727">
        <v>10</v>
      </c>
      <c r="G1727">
        <v>0.4</v>
      </c>
      <c r="H1727" s="2">
        <v>-25.400000000000038</v>
      </c>
      <c r="I1727" s="2">
        <v>404.96000000000004</v>
      </c>
    </row>
    <row r="1728" spans="2:9" x14ac:dyDescent="0.3">
      <c r="E1728" t="s">
        <v>16</v>
      </c>
      <c r="F1728">
        <v>2</v>
      </c>
      <c r="G1728">
        <v>0.2</v>
      </c>
      <c r="H1728" s="2">
        <v>2.9899999999999993</v>
      </c>
      <c r="I1728" s="2">
        <v>9.5680000000000014</v>
      </c>
    </row>
    <row r="1729" spans="2:9" x14ac:dyDescent="0.3">
      <c r="E1729" t="s">
        <v>14</v>
      </c>
      <c r="F1729">
        <v>2</v>
      </c>
      <c r="G1729">
        <v>0.2</v>
      </c>
      <c r="H1729" s="2">
        <v>-19.562399999999997</v>
      </c>
      <c r="I1729" s="2">
        <v>82.367999999999995</v>
      </c>
    </row>
    <row r="1730" spans="2:9" x14ac:dyDescent="0.3">
      <c r="D1730" t="s">
        <v>15</v>
      </c>
      <c r="E1730" t="s">
        <v>19</v>
      </c>
      <c r="F1730">
        <v>8</v>
      </c>
      <c r="G1730">
        <v>0.2</v>
      </c>
      <c r="H1730" s="2">
        <v>111.30239999999998</v>
      </c>
      <c r="I1730" s="2">
        <v>1113.0240000000001</v>
      </c>
    </row>
    <row r="1731" spans="2:9" x14ac:dyDescent="0.3">
      <c r="E1731" t="s">
        <v>33</v>
      </c>
      <c r="F1731">
        <v>4</v>
      </c>
      <c r="G1731">
        <v>0.2</v>
      </c>
      <c r="H1731" s="2">
        <v>99.431999999999931</v>
      </c>
      <c r="I1731" s="2">
        <v>883.84</v>
      </c>
    </row>
    <row r="1732" spans="2:9" x14ac:dyDescent="0.3">
      <c r="E1732" t="s">
        <v>21</v>
      </c>
      <c r="F1732">
        <v>4</v>
      </c>
      <c r="G1732">
        <v>0.2</v>
      </c>
      <c r="H1732" s="2">
        <v>46.631999999999977</v>
      </c>
      <c r="I1732" s="2">
        <v>621.7600000000001</v>
      </c>
    </row>
    <row r="1733" spans="2:9" x14ac:dyDescent="0.3">
      <c r="E1733" t="s">
        <v>43</v>
      </c>
      <c r="F1733">
        <v>2</v>
      </c>
      <c r="G1733">
        <v>0.2</v>
      </c>
      <c r="H1733" s="2">
        <v>1.9925999999999999</v>
      </c>
      <c r="I1733" s="2">
        <v>5.9039999999999999</v>
      </c>
    </row>
    <row r="1734" spans="2:9" x14ac:dyDescent="0.3">
      <c r="E1734" t="s">
        <v>24</v>
      </c>
      <c r="F1734">
        <v>4</v>
      </c>
      <c r="G1734">
        <v>0.2</v>
      </c>
      <c r="H1734" s="2">
        <v>62.988</v>
      </c>
      <c r="I1734" s="2">
        <v>167.96800000000002</v>
      </c>
    </row>
    <row r="1735" spans="2:9" x14ac:dyDescent="0.3">
      <c r="D1735" t="s">
        <v>17</v>
      </c>
      <c r="E1735" t="s">
        <v>23</v>
      </c>
      <c r="F1735">
        <v>1</v>
      </c>
      <c r="G1735">
        <v>0.2</v>
      </c>
      <c r="H1735" s="2">
        <v>4.7987999999999964</v>
      </c>
      <c r="I1735" s="2">
        <v>31.992000000000004</v>
      </c>
    </row>
    <row r="1736" spans="2:9" x14ac:dyDescent="0.3">
      <c r="E1736" t="s">
        <v>38</v>
      </c>
      <c r="F1736">
        <v>5</v>
      </c>
      <c r="G1736">
        <v>0.2</v>
      </c>
      <c r="H1736" s="2">
        <v>3.8570000000000002</v>
      </c>
      <c r="I1736" s="2">
        <v>10.64</v>
      </c>
    </row>
    <row r="1737" spans="2:9" x14ac:dyDescent="0.3">
      <c r="E1737" t="s">
        <v>21</v>
      </c>
      <c r="F1737">
        <v>2</v>
      </c>
      <c r="G1737">
        <v>0.2</v>
      </c>
      <c r="H1737" s="2">
        <v>16.317200000000003</v>
      </c>
      <c r="I1737" s="2">
        <v>68.703999999999994</v>
      </c>
    </row>
    <row r="1738" spans="2:9" x14ac:dyDescent="0.3">
      <c r="E1738" t="s">
        <v>24</v>
      </c>
      <c r="F1738">
        <v>3</v>
      </c>
      <c r="G1738">
        <v>0.2</v>
      </c>
      <c r="H1738" s="2">
        <v>25.018199999999993</v>
      </c>
      <c r="I1738" s="2">
        <v>333.57600000000002</v>
      </c>
    </row>
    <row r="1739" spans="2:9" x14ac:dyDescent="0.3">
      <c r="E1739" t="s">
        <v>14</v>
      </c>
      <c r="F1739">
        <v>2</v>
      </c>
      <c r="G1739">
        <v>0.2</v>
      </c>
      <c r="H1739" s="2">
        <v>-6.3960000000000008</v>
      </c>
      <c r="I1739" s="2">
        <v>51.168000000000006</v>
      </c>
    </row>
    <row r="1740" spans="2:9" x14ac:dyDescent="0.3">
      <c r="E1740" t="s">
        <v>25</v>
      </c>
      <c r="F1740">
        <v>9</v>
      </c>
      <c r="G1740">
        <v>0.5</v>
      </c>
      <c r="H1740" s="2">
        <v>-185.71679999999998</v>
      </c>
      <c r="I1740" s="2">
        <v>386.91</v>
      </c>
    </row>
    <row r="1741" spans="2:9" x14ac:dyDescent="0.3">
      <c r="B1741" t="s">
        <v>197</v>
      </c>
      <c r="C1741" t="s">
        <v>11</v>
      </c>
      <c r="D1741" t="s">
        <v>8</v>
      </c>
      <c r="E1741" t="s">
        <v>23</v>
      </c>
      <c r="F1741">
        <v>2</v>
      </c>
      <c r="G1741">
        <v>0</v>
      </c>
      <c r="H1741" s="2">
        <v>12.172799999999999</v>
      </c>
      <c r="I1741" s="2">
        <v>38.04</v>
      </c>
    </row>
    <row r="1742" spans="2:9" x14ac:dyDescent="0.3">
      <c r="E1742" t="s">
        <v>21</v>
      </c>
      <c r="F1742">
        <v>3</v>
      </c>
      <c r="G1742">
        <v>0</v>
      </c>
      <c r="H1742" s="2">
        <v>40.415999999999997</v>
      </c>
      <c r="I1742" s="2">
        <v>126.30000000000001</v>
      </c>
    </row>
    <row r="1743" spans="2:9" x14ac:dyDescent="0.3">
      <c r="B1743" t="s">
        <v>198</v>
      </c>
      <c r="C1743" t="s">
        <v>27</v>
      </c>
      <c r="D1743" t="s">
        <v>8</v>
      </c>
      <c r="E1743" t="s">
        <v>20</v>
      </c>
      <c r="F1743">
        <v>3</v>
      </c>
      <c r="G1743">
        <v>0.7</v>
      </c>
      <c r="H1743" s="2">
        <v>-7.1147999999999989</v>
      </c>
      <c r="I1743" s="2">
        <v>9.7020000000000017</v>
      </c>
    </row>
    <row r="1744" spans="2:9" x14ac:dyDescent="0.3">
      <c r="E1744" t="s">
        <v>33</v>
      </c>
      <c r="F1744">
        <v>4</v>
      </c>
      <c r="G1744">
        <v>0.2</v>
      </c>
      <c r="H1744" s="2">
        <v>105.02279999999996</v>
      </c>
      <c r="I1744" s="2">
        <v>933.53600000000006</v>
      </c>
    </row>
    <row r="1745" spans="3:9" x14ac:dyDescent="0.3">
      <c r="E1745" t="s">
        <v>14</v>
      </c>
      <c r="F1745">
        <v>4</v>
      </c>
      <c r="G1745">
        <v>0.2</v>
      </c>
      <c r="H1745" s="2">
        <v>4.2976000000000028</v>
      </c>
      <c r="I1745" s="2">
        <v>42.975999999999999</v>
      </c>
    </row>
    <row r="1746" spans="3:9" x14ac:dyDescent="0.3">
      <c r="D1746" t="s">
        <v>17</v>
      </c>
      <c r="E1746" t="s">
        <v>23</v>
      </c>
      <c r="F1746">
        <v>4</v>
      </c>
      <c r="G1746">
        <v>0.2</v>
      </c>
      <c r="H1746" s="2">
        <v>12.999999999999998</v>
      </c>
      <c r="I1746" s="2">
        <v>41.6</v>
      </c>
    </row>
    <row r="1747" spans="3:9" x14ac:dyDescent="0.3">
      <c r="E1747" t="s">
        <v>33</v>
      </c>
      <c r="F1747">
        <v>2</v>
      </c>
      <c r="G1747">
        <v>0.2</v>
      </c>
      <c r="H1747" s="2">
        <v>9.9651999999999994</v>
      </c>
      <c r="I1747" s="2">
        <v>113.88800000000002</v>
      </c>
    </row>
    <row r="1748" spans="3:9" x14ac:dyDescent="0.3">
      <c r="E1748" t="s">
        <v>21</v>
      </c>
      <c r="F1748">
        <v>2</v>
      </c>
      <c r="G1748">
        <v>0.2</v>
      </c>
      <c r="H1748" s="2">
        <v>-5.6784000000000034</v>
      </c>
      <c r="I1748" s="2">
        <v>113.56800000000001</v>
      </c>
    </row>
    <row r="1749" spans="3:9" x14ac:dyDescent="0.3">
      <c r="E1749" t="s">
        <v>16</v>
      </c>
      <c r="F1749">
        <v>5</v>
      </c>
      <c r="G1749">
        <v>0.2</v>
      </c>
      <c r="H1749" s="2">
        <v>8.3810000000000002</v>
      </c>
      <c r="I1749" s="2">
        <v>23.120000000000005</v>
      </c>
    </row>
    <row r="1750" spans="3:9" x14ac:dyDescent="0.3">
      <c r="E1750" t="s">
        <v>24</v>
      </c>
      <c r="F1750">
        <v>4</v>
      </c>
      <c r="G1750">
        <v>0.4</v>
      </c>
      <c r="H1750" s="2">
        <v>51.091800000000021</v>
      </c>
      <c r="I1750" s="2">
        <v>679.904</v>
      </c>
    </row>
    <row r="1751" spans="3:9" x14ac:dyDescent="0.3">
      <c r="C1751" t="s">
        <v>7</v>
      </c>
      <c r="D1751" t="s">
        <v>15</v>
      </c>
      <c r="E1751" t="s">
        <v>14</v>
      </c>
      <c r="F1751">
        <v>1</v>
      </c>
      <c r="G1751">
        <v>0.2</v>
      </c>
      <c r="H1751" s="2">
        <v>6.5434999999999981</v>
      </c>
      <c r="I1751" s="2">
        <v>104.69600000000001</v>
      </c>
    </row>
    <row r="1752" spans="3:9" x14ac:dyDescent="0.3">
      <c r="D1752" t="s">
        <v>17</v>
      </c>
      <c r="E1752" t="s">
        <v>16</v>
      </c>
      <c r="F1752">
        <v>3</v>
      </c>
      <c r="G1752">
        <v>0.2</v>
      </c>
      <c r="H1752" s="2">
        <v>33.721199999999996</v>
      </c>
      <c r="I1752" s="2">
        <v>93.024000000000001</v>
      </c>
    </row>
    <row r="1753" spans="3:9" x14ac:dyDescent="0.3">
      <c r="C1753" t="s">
        <v>22</v>
      </c>
      <c r="D1753" t="s">
        <v>8</v>
      </c>
      <c r="E1753" t="s">
        <v>23</v>
      </c>
      <c r="F1753">
        <v>10</v>
      </c>
      <c r="G1753">
        <v>0.4</v>
      </c>
      <c r="H1753" s="2">
        <v>1.5149999999999828</v>
      </c>
      <c r="I1753" s="2">
        <v>185.52000000000004</v>
      </c>
    </row>
    <row r="1754" spans="3:9" x14ac:dyDescent="0.3">
      <c r="E1754" t="s">
        <v>20</v>
      </c>
      <c r="F1754">
        <v>3</v>
      </c>
      <c r="G1754">
        <v>1.4</v>
      </c>
      <c r="H1754" s="2">
        <v>-54.953899999999983</v>
      </c>
      <c r="I1754" s="2">
        <v>81.147000000000006</v>
      </c>
    </row>
    <row r="1755" spans="3:9" x14ac:dyDescent="0.3">
      <c r="E1755" t="s">
        <v>21</v>
      </c>
      <c r="F1755">
        <v>4</v>
      </c>
      <c r="G1755">
        <v>0.2</v>
      </c>
      <c r="H1755" s="2">
        <v>-3.0344000000000122</v>
      </c>
      <c r="I1755" s="2">
        <v>121.376</v>
      </c>
    </row>
    <row r="1756" spans="3:9" x14ac:dyDescent="0.3">
      <c r="E1756" t="s">
        <v>16</v>
      </c>
      <c r="F1756">
        <v>2</v>
      </c>
      <c r="G1756">
        <v>0.2</v>
      </c>
      <c r="H1756" s="2">
        <v>2.3879999999999999</v>
      </c>
      <c r="I1756" s="2">
        <v>6.3680000000000003</v>
      </c>
    </row>
    <row r="1757" spans="3:9" x14ac:dyDescent="0.3">
      <c r="E1757" t="s">
        <v>14</v>
      </c>
      <c r="F1757">
        <v>3</v>
      </c>
      <c r="G1757">
        <v>0.4</v>
      </c>
      <c r="H1757" s="2">
        <v>-7.5466000000000015</v>
      </c>
      <c r="I1757" s="2">
        <v>45.911999999999999</v>
      </c>
    </row>
    <row r="1758" spans="3:9" x14ac:dyDescent="0.3">
      <c r="D1758" t="s">
        <v>15</v>
      </c>
      <c r="E1758" t="s">
        <v>33</v>
      </c>
      <c r="F1758">
        <v>3</v>
      </c>
      <c r="G1758">
        <v>0.2</v>
      </c>
      <c r="H1758" s="2">
        <v>13.317599999999985</v>
      </c>
      <c r="I1758" s="2">
        <v>266.35200000000003</v>
      </c>
    </row>
    <row r="1759" spans="3:9" x14ac:dyDescent="0.3">
      <c r="E1759" t="s">
        <v>18</v>
      </c>
      <c r="F1759">
        <v>2</v>
      </c>
      <c r="G1759">
        <v>0.2</v>
      </c>
      <c r="H1759" s="2">
        <v>0.82879999999999987</v>
      </c>
      <c r="I1759" s="2">
        <v>2.3679999999999999</v>
      </c>
    </row>
    <row r="1760" spans="3:9" x14ac:dyDescent="0.3">
      <c r="E1760" t="s">
        <v>16</v>
      </c>
      <c r="F1760">
        <v>3</v>
      </c>
      <c r="G1760">
        <v>0.2</v>
      </c>
      <c r="H1760" s="2">
        <v>6.8903999999999979</v>
      </c>
      <c r="I1760" s="2">
        <v>19.008000000000003</v>
      </c>
    </row>
    <row r="1761" spans="2:9" x14ac:dyDescent="0.3">
      <c r="E1761" t="s">
        <v>9</v>
      </c>
      <c r="F1761">
        <v>5</v>
      </c>
      <c r="G1761">
        <v>0.2</v>
      </c>
      <c r="H1761" s="2">
        <v>4.2249999999999979</v>
      </c>
      <c r="I1761" s="2">
        <v>33.799999999999997</v>
      </c>
    </row>
    <row r="1762" spans="2:9" x14ac:dyDescent="0.3">
      <c r="B1762" t="s">
        <v>199</v>
      </c>
      <c r="C1762" t="s">
        <v>7</v>
      </c>
      <c r="D1762" t="s">
        <v>8</v>
      </c>
      <c r="E1762" t="s">
        <v>24</v>
      </c>
      <c r="F1762">
        <v>3</v>
      </c>
      <c r="G1762">
        <v>0.2</v>
      </c>
      <c r="H1762" s="2">
        <v>13.857900000000008</v>
      </c>
      <c r="I1762" s="2">
        <v>158.376</v>
      </c>
    </row>
    <row r="1763" spans="2:9" x14ac:dyDescent="0.3">
      <c r="B1763" t="s">
        <v>200</v>
      </c>
      <c r="C1763" t="s">
        <v>11</v>
      </c>
      <c r="D1763" t="s">
        <v>8</v>
      </c>
      <c r="E1763" t="s">
        <v>12</v>
      </c>
      <c r="F1763">
        <v>3</v>
      </c>
      <c r="G1763">
        <v>0.2</v>
      </c>
      <c r="H1763" s="2">
        <v>3.0576000000000008</v>
      </c>
      <c r="I1763" s="2">
        <v>34.944000000000003</v>
      </c>
    </row>
    <row r="1764" spans="2:9" x14ac:dyDescent="0.3">
      <c r="B1764" t="s">
        <v>201</v>
      </c>
      <c r="C1764" t="s">
        <v>7</v>
      </c>
      <c r="D1764" t="s">
        <v>8</v>
      </c>
      <c r="E1764" t="s">
        <v>16</v>
      </c>
      <c r="F1764">
        <v>2</v>
      </c>
      <c r="G1764">
        <v>0</v>
      </c>
      <c r="H1764" s="2">
        <v>7.98</v>
      </c>
      <c r="I1764" s="2">
        <v>15.96</v>
      </c>
    </row>
    <row r="1765" spans="2:9" x14ac:dyDescent="0.3">
      <c r="B1765" t="s">
        <v>202</v>
      </c>
      <c r="C1765" t="s">
        <v>22</v>
      </c>
      <c r="D1765" t="s">
        <v>8</v>
      </c>
      <c r="E1765" t="s">
        <v>23</v>
      </c>
      <c r="F1765">
        <v>5</v>
      </c>
      <c r="G1765">
        <v>0.2</v>
      </c>
      <c r="H1765" s="2">
        <v>-8.1800000000000033</v>
      </c>
      <c r="I1765" s="2">
        <v>65.44</v>
      </c>
    </row>
    <row r="1766" spans="2:9" x14ac:dyDescent="0.3">
      <c r="E1766" t="s">
        <v>12</v>
      </c>
      <c r="F1766">
        <v>2</v>
      </c>
      <c r="G1766">
        <v>0.8</v>
      </c>
      <c r="H1766" s="2">
        <v>-49.551600000000022</v>
      </c>
      <c r="I1766" s="2">
        <v>19.431999999999995</v>
      </c>
    </row>
    <row r="1767" spans="2:9" x14ac:dyDescent="0.3">
      <c r="E1767" t="s">
        <v>20</v>
      </c>
      <c r="F1767">
        <v>4</v>
      </c>
      <c r="G1767">
        <v>0.8</v>
      </c>
      <c r="H1767" s="2">
        <v>-5.8496000000000024</v>
      </c>
      <c r="I1767" s="2">
        <v>3.6559999999999993</v>
      </c>
    </row>
    <row r="1768" spans="2:9" x14ac:dyDescent="0.3">
      <c r="E1768" t="s">
        <v>33</v>
      </c>
      <c r="F1768">
        <v>5</v>
      </c>
      <c r="G1768">
        <v>0.6</v>
      </c>
      <c r="H1768" s="2">
        <v>-43.494000000000014</v>
      </c>
      <c r="I1768" s="2">
        <v>514.42999999999995</v>
      </c>
    </row>
    <row r="1769" spans="2:9" x14ac:dyDescent="0.3">
      <c r="E1769" t="s">
        <v>38</v>
      </c>
      <c r="F1769">
        <v>3</v>
      </c>
      <c r="G1769">
        <v>0.2</v>
      </c>
      <c r="H1769" s="2">
        <v>9.3443999999999985</v>
      </c>
      <c r="I1769" s="2">
        <v>28.752000000000002</v>
      </c>
    </row>
    <row r="1770" spans="2:9" x14ac:dyDescent="0.3">
      <c r="E1770" t="s">
        <v>21</v>
      </c>
      <c r="F1770">
        <v>5</v>
      </c>
      <c r="G1770">
        <v>0.6</v>
      </c>
      <c r="H1770" s="2">
        <v>-11.439000000000004</v>
      </c>
      <c r="I1770" s="2">
        <v>14.76</v>
      </c>
    </row>
    <row r="1771" spans="2:9" x14ac:dyDescent="0.3">
      <c r="E1771" t="s">
        <v>16</v>
      </c>
      <c r="F1771">
        <v>3</v>
      </c>
      <c r="G1771">
        <v>0.2</v>
      </c>
      <c r="H1771" s="2">
        <v>9.8657999999999983</v>
      </c>
      <c r="I1771" s="2">
        <v>27.216000000000001</v>
      </c>
    </row>
    <row r="1772" spans="2:9" x14ac:dyDescent="0.3">
      <c r="E1772" t="s">
        <v>24</v>
      </c>
      <c r="F1772">
        <v>5</v>
      </c>
      <c r="G1772">
        <v>0.2</v>
      </c>
      <c r="H1772" s="2">
        <v>24.727499999999971</v>
      </c>
      <c r="I1772" s="2">
        <v>219.80000000000004</v>
      </c>
    </row>
    <row r="1773" spans="2:9" x14ac:dyDescent="0.3">
      <c r="D1773" t="s">
        <v>15</v>
      </c>
      <c r="E1773" t="s">
        <v>21</v>
      </c>
      <c r="F1773">
        <v>5</v>
      </c>
      <c r="G1773">
        <v>0.6</v>
      </c>
      <c r="H1773" s="2">
        <v>-29.512000000000008</v>
      </c>
      <c r="I1773" s="2">
        <v>38.08</v>
      </c>
    </row>
    <row r="1774" spans="2:9" x14ac:dyDescent="0.3">
      <c r="E1774" t="s">
        <v>16</v>
      </c>
      <c r="F1774">
        <v>3</v>
      </c>
      <c r="G1774">
        <v>0.2</v>
      </c>
      <c r="H1774" s="2">
        <v>6.2549999999999963</v>
      </c>
      <c r="I1774" s="2">
        <v>20.016000000000002</v>
      </c>
    </row>
    <row r="1775" spans="2:9" x14ac:dyDescent="0.3">
      <c r="E1775" t="s">
        <v>14</v>
      </c>
      <c r="F1775">
        <v>3</v>
      </c>
      <c r="G1775">
        <v>0.2</v>
      </c>
      <c r="H1775" s="2">
        <v>3.7224000000000004</v>
      </c>
      <c r="I1775" s="2">
        <v>37.224000000000004</v>
      </c>
    </row>
    <row r="1776" spans="2:9" x14ac:dyDescent="0.3">
      <c r="D1776" t="s">
        <v>17</v>
      </c>
      <c r="E1776" t="s">
        <v>43</v>
      </c>
      <c r="F1776">
        <v>2</v>
      </c>
      <c r="G1776">
        <v>0.2</v>
      </c>
      <c r="H1776" s="2">
        <v>8.879999999999999</v>
      </c>
      <c r="I1776" s="2">
        <v>23.680000000000003</v>
      </c>
    </row>
    <row r="1777" spans="2:9" x14ac:dyDescent="0.3">
      <c r="B1777" t="s">
        <v>203</v>
      </c>
      <c r="C1777" t="s">
        <v>7</v>
      </c>
      <c r="D1777" t="s">
        <v>17</v>
      </c>
      <c r="E1777" t="s">
        <v>16</v>
      </c>
      <c r="F1777">
        <v>3</v>
      </c>
      <c r="G1777">
        <v>0</v>
      </c>
      <c r="H1777" s="2">
        <v>9.5256000000000007</v>
      </c>
      <c r="I1777" s="2">
        <v>19.440000000000001</v>
      </c>
    </row>
    <row r="1778" spans="2:9" x14ac:dyDescent="0.3">
      <c r="C1778" t="s">
        <v>22</v>
      </c>
      <c r="D1778" t="s">
        <v>8</v>
      </c>
      <c r="E1778" t="s">
        <v>20</v>
      </c>
      <c r="F1778">
        <v>10</v>
      </c>
      <c r="G1778">
        <v>0</v>
      </c>
      <c r="H1778" s="2">
        <v>67.913999999999987</v>
      </c>
      <c r="I1778" s="2">
        <v>138.6</v>
      </c>
    </row>
    <row r="1779" spans="2:9" x14ac:dyDescent="0.3">
      <c r="E1779" t="s">
        <v>16</v>
      </c>
      <c r="F1779">
        <v>7</v>
      </c>
      <c r="G1779">
        <v>0</v>
      </c>
      <c r="H1779" s="2">
        <v>16.713200000000001</v>
      </c>
      <c r="I1779" s="2">
        <v>35.56</v>
      </c>
    </row>
    <row r="1780" spans="2:9" x14ac:dyDescent="0.3">
      <c r="E1780" t="s">
        <v>24</v>
      </c>
      <c r="F1780">
        <v>2</v>
      </c>
      <c r="G1780">
        <v>0</v>
      </c>
      <c r="H1780" s="2">
        <v>27.434400000000011</v>
      </c>
      <c r="I1780" s="2">
        <v>97.98</v>
      </c>
    </row>
    <row r="1781" spans="2:9" x14ac:dyDescent="0.3">
      <c r="D1781" t="s">
        <v>15</v>
      </c>
      <c r="E1781" t="s">
        <v>18</v>
      </c>
      <c r="F1781">
        <v>7</v>
      </c>
      <c r="G1781">
        <v>0</v>
      </c>
      <c r="H1781" s="2">
        <v>11.679499999999999</v>
      </c>
      <c r="I1781" s="2">
        <v>24.849999999999998</v>
      </c>
    </row>
    <row r="1782" spans="2:9" x14ac:dyDescent="0.3">
      <c r="E1782" t="s">
        <v>16</v>
      </c>
      <c r="F1782">
        <v>2</v>
      </c>
      <c r="G1782">
        <v>0</v>
      </c>
      <c r="H1782" s="2">
        <v>100.65599999999999</v>
      </c>
      <c r="I1782" s="2">
        <v>209.7</v>
      </c>
    </row>
    <row r="1783" spans="2:9" x14ac:dyDescent="0.3">
      <c r="B1783" t="s">
        <v>204</v>
      </c>
      <c r="C1783" t="s">
        <v>22</v>
      </c>
      <c r="D1783" t="s">
        <v>15</v>
      </c>
      <c r="E1783" t="s">
        <v>19</v>
      </c>
      <c r="F1783">
        <v>7</v>
      </c>
      <c r="G1783">
        <v>0.2</v>
      </c>
      <c r="H1783" s="2">
        <v>5.8603999999999967</v>
      </c>
      <c r="I1783" s="2">
        <v>33.488000000000007</v>
      </c>
    </row>
    <row r="1784" spans="2:9" x14ac:dyDescent="0.3">
      <c r="E1784" t="s">
        <v>18</v>
      </c>
      <c r="F1784">
        <v>5</v>
      </c>
      <c r="G1784">
        <v>0.2</v>
      </c>
      <c r="H1784" s="2">
        <v>2.9144999999999994</v>
      </c>
      <c r="I1784" s="2">
        <v>8.0399999999999991</v>
      </c>
    </row>
    <row r="1785" spans="2:9" x14ac:dyDescent="0.3">
      <c r="B1785" t="s">
        <v>205</v>
      </c>
      <c r="C1785" t="s">
        <v>22</v>
      </c>
      <c r="D1785" t="s">
        <v>8</v>
      </c>
      <c r="E1785" t="s">
        <v>23</v>
      </c>
      <c r="F1785">
        <v>6</v>
      </c>
      <c r="G1785">
        <v>0</v>
      </c>
      <c r="H1785" s="2">
        <v>91.32480000000001</v>
      </c>
      <c r="I1785" s="2">
        <v>217.44</v>
      </c>
    </row>
    <row r="1786" spans="2:9" x14ac:dyDescent="0.3">
      <c r="E1786" t="s">
        <v>24</v>
      </c>
      <c r="F1786">
        <v>2</v>
      </c>
      <c r="G1786">
        <v>0.2</v>
      </c>
      <c r="H1786" s="2">
        <v>9.2386000000000053</v>
      </c>
      <c r="I1786" s="2">
        <v>105.584</v>
      </c>
    </row>
    <row r="1787" spans="2:9" x14ac:dyDescent="0.3">
      <c r="E1787" t="s">
        <v>14</v>
      </c>
      <c r="F1787">
        <v>7</v>
      </c>
      <c r="G1787">
        <v>0</v>
      </c>
      <c r="H1787" s="2">
        <v>24.382400000000001</v>
      </c>
      <c r="I1787" s="2">
        <v>87.08</v>
      </c>
    </row>
    <row r="1788" spans="2:9" x14ac:dyDescent="0.3">
      <c r="D1788" t="s">
        <v>17</v>
      </c>
      <c r="E1788" t="s">
        <v>20</v>
      </c>
      <c r="F1788">
        <v>2</v>
      </c>
      <c r="G1788">
        <v>0.2</v>
      </c>
      <c r="H1788" s="2">
        <v>2.2098</v>
      </c>
      <c r="I1788" s="2">
        <v>6.0960000000000001</v>
      </c>
    </row>
    <row r="1789" spans="2:9" x14ac:dyDescent="0.3">
      <c r="E1789" t="s">
        <v>45</v>
      </c>
      <c r="F1789">
        <v>5</v>
      </c>
      <c r="G1789">
        <v>0</v>
      </c>
      <c r="H1789" s="2">
        <v>1379.9769999999999</v>
      </c>
      <c r="I1789" s="2">
        <v>2999.95</v>
      </c>
    </row>
    <row r="1790" spans="2:9" x14ac:dyDescent="0.3">
      <c r="E1790" t="s">
        <v>16</v>
      </c>
      <c r="F1790">
        <v>2</v>
      </c>
      <c r="G1790">
        <v>0</v>
      </c>
      <c r="H1790" s="2">
        <v>5.3819999999999997</v>
      </c>
      <c r="I1790" s="2">
        <v>11.96</v>
      </c>
    </row>
    <row r="1791" spans="2:9" x14ac:dyDescent="0.3">
      <c r="E1791" t="s">
        <v>14</v>
      </c>
      <c r="F1791">
        <v>6</v>
      </c>
      <c r="G1791">
        <v>0</v>
      </c>
      <c r="H1791" s="2">
        <v>70.192499999999981</v>
      </c>
      <c r="I1791" s="2">
        <v>1177.47</v>
      </c>
    </row>
    <row r="1792" spans="2:9" x14ac:dyDescent="0.3">
      <c r="B1792" t="s">
        <v>206</v>
      </c>
      <c r="C1792" t="s">
        <v>11</v>
      </c>
      <c r="D1792" t="s">
        <v>8</v>
      </c>
      <c r="E1792" t="s">
        <v>38</v>
      </c>
      <c r="F1792">
        <v>2</v>
      </c>
      <c r="G1792">
        <v>0.2</v>
      </c>
      <c r="H1792" s="2">
        <v>7.008</v>
      </c>
      <c r="I1792" s="2">
        <v>18.687999999999999</v>
      </c>
    </row>
    <row r="1793" spans="2:9" x14ac:dyDescent="0.3">
      <c r="E1793" t="s">
        <v>21</v>
      </c>
      <c r="F1793">
        <v>3</v>
      </c>
      <c r="G1793">
        <v>0.2</v>
      </c>
      <c r="H1793" s="2">
        <v>3.3534000000000006</v>
      </c>
      <c r="I1793" s="2">
        <v>11.664000000000001</v>
      </c>
    </row>
    <row r="1794" spans="2:9" x14ac:dyDescent="0.3">
      <c r="B1794" t="s">
        <v>207</v>
      </c>
      <c r="C1794" t="s">
        <v>11</v>
      </c>
      <c r="D1794" t="s">
        <v>8</v>
      </c>
      <c r="E1794" t="s">
        <v>23</v>
      </c>
      <c r="F1794">
        <v>6</v>
      </c>
      <c r="G1794">
        <v>0</v>
      </c>
      <c r="H1794" s="2">
        <v>206.31600000000006</v>
      </c>
      <c r="I1794" s="2">
        <v>468.90000000000003</v>
      </c>
    </row>
    <row r="1795" spans="2:9" x14ac:dyDescent="0.3">
      <c r="C1795" t="s">
        <v>22</v>
      </c>
      <c r="D1795" t="s">
        <v>15</v>
      </c>
      <c r="E1795" t="s">
        <v>21</v>
      </c>
      <c r="F1795">
        <v>4</v>
      </c>
      <c r="G1795">
        <v>0</v>
      </c>
      <c r="H1795" s="2">
        <v>11.936400000000001</v>
      </c>
      <c r="I1795" s="2">
        <v>35.700000000000003</v>
      </c>
    </row>
    <row r="1796" spans="2:9" x14ac:dyDescent="0.3">
      <c r="E1796" t="s">
        <v>16</v>
      </c>
      <c r="F1796">
        <v>4</v>
      </c>
      <c r="G1796">
        <v>0</v>
      </c>
      <c r="H1796" s="2">
        <v>10.223999999999998</v>
      </c>
      <c r="I1796" s="2">
        <v>22.72</v>
      </c>
    </row>
    <row r="1797" spans="2:9" x14ac:dyDescent="0.3">
      <c r="B1797" t="s">
        <v>208</v>
      </c>
      <c r="C1797" t="s">
        <v>11</v>
      </c>
      <c r="D1797" t="s">
        <v>15</v>
      </c>
      <c r="E1797" t="s">
        <v>19</v>
      </c>
      <c r="F1797">
        <v>7</v>
      </c>
      <c r="G1797">
        <v>0.2</v>
      </c>
      <c r="H1797" s="2">
        <v>8.0849999999999973</v>
      </c>
      <c r="I1797" s="2">
        <v>64.680000000000007</v>
      </c>
    </row>
    <row r="1798" spans="2:9" x14ac:dyDescent="0.3">
      <c r="E1798" t="s">
        <v>24</v>
      </c>
      <c r="F1798">
        <v>5</v>
      </c>
      <c r="G1798">
        <v>0.2</v>
      </c>
      <c r="H1798" s="2">
        <v>118.99650000000003</v>
      </c>
      <c r="I1798" s="2">
        <v>1359.96</v>
      </c>
    </row>
    <row r="1799" spans="2:9" x14ac:dyDescent="0.3">
      <c r="E1799" t="s">
        <v>25</v>
      </c>
      <c r="F1799">
        <v>3</v>
      </c>
      <c r="G1799">
        <v>0.4</v>
      </c>
      <c r="H1799" s="2">
        <v>-192.04680000000008</v>
      </c>
      <c r="I1799" s="2">
        <v>523.76400000000001</v>
      </c>
    </row>
    <row r="1800" spans="2:9" x14ac:dyDescent="0.3">
      <c r="C1800" t="s">
        <v>22</v>
      </c>
      <c r="D1800" t="s">
        <v>8</v>
      </c>
      <c r="E1800" t="s">
        <v>19</v>
      </c>
      <c r="F1800">
        <v>1</v>
      </c>
      <c r="G1800">
        <v>0.2</v>
      </c>
      <c r="H1800" s="2">
        <v>2.4581999999999997</v>
      </c>
      <c r="I1800" s="2">
        <v>32.776000000000003</v>
      </c>
    </row>
    <row r="1801" spans="2:9" x14ac:dyDescent="0.3">
      <c r="E1801" t="s">
        <v>20</v>
      </c>
      <c r="F1801">
        <v>9</v>
      </c>
      <c r="G1801">
        <v>1.4</v>
      </c>
      <c r="H1801" s="2">
        <v>-45.31689999999999</v>
      </c>
      <c r="I1801" s="2">
        <v>59.109000000000016</v>
      </c>
    </row>
    <row r="1802" spans="2:9" x14ac:dyDescent="0.3">
      <c r="E1802" t="s">
        <v>33</v>
      </c>
      <c r="F1802">
        <v>9</v>
      </c>
      <c r="G1802">
        <v>0.2</v>
      </c>
      <c r="H1802" s="2">
        <v>11.69100000000001</v>
      </c>
      <c r="I1802" s="2">
        <v>187.05600000000001</v>
      </c>
    </row>
    <row r="1803" spans="2:9" x14ac:dyDescent="0.3">
      <c r="D1803" t="s">
        <v>15</v>
      </c>
      <c r="E1803" t="s">
        <v>23</v>
      </c>
      <c r="F1803">
        <v>3</v>
      </c>
      <c r="G1803">
        <v>0.2</v>
      </c>
      <c r="H1803" s="2">
        <v>0.33989999999999654</v>
      </c>
      <c r="I1803" s="2">
        <v>27.192</v>
      </c>
    </row>
    <row r="1804" spans="2:9" x14ac:dyDescent="0.3">
      <c r="E1804" t="s">
        <v>20</v>
      </c>
      <c r="F1804">
        <v>8</v>
      </c>
      <c r="G1804">
        <v>1.4</v>
      </c>
      <c r="H1804" s="2">
        <v>-12.780000000000001</v>
      </c>
      <c r="I1804" s="2">
        <v>16.155000000000001</v>
      </c>
    </row>
    <row r="1805" spans="2:9" x14ac:dyDescent="0.3">
      <c r="E1805" t="s">
        <v>33</v>
      </c>
      <c r="F1805">
        <v>1</v>
      </c>
      <c r="G1805">
        <v>0.2</v>
      </c>
      <c r="H1805" s="2">
        <v>-11.069100000000006</v>
      </c>
      <c r="I1805" s="2">
        <v>98.391999999999996</v>
      </c>
    </row>
    <row r="1806" spans="2:9" x14ac:dyDescent="0.3">
      <c r="E1806" t="s">
        <v>21</v>
      </c>
      <c r="F1806">
        <v>2</v>
      </c>
      <c r="G1806">
        <v>0.2</v>
      </c>
      <c r="H1806" s="2">
        <v>1.0679999999999996</v>
      </c>
      <c r="I1806" s="2">
        <v>17.088000000000001</v>
      </c>
    </row>
    <row r="1807" spans="2:9" x14ac:dyDescent="0.3">
      <c r="E1807" t="s">
        <v>9</v>
      </c>
      <c r="F1807">
        <v>2</v>
      </c>
      <c r="G1807">
        <v>0.2</v>
      </c>
      <c r="H1807" s="2">
        <v>-4.3792000000000009</v>
      </c>
      <c r="I1807" s="2">
        <v>20.608000000000004</v>
      </c>
    </row>
    <row r="1808" spans="2:9" x14ac:dyDescent="0.3">
      <c r="B1808" t="s">
        <v>209</v>
      </c>
      <c r="C1808" t="s">
        <v>22</v>
      </c>
      <c r="D1808" t="s">
        <v>8</v>
      </c>
      <c r="E1808" t="s">
        <v>23</v>
      </c>
      <c r="F1808">
        <v>6</v>
      </c>
      <c r="G1808">
        <v>0.4</v>
      </c>
      <c r="H1808" s="2">
        <v>15.395399999999995</v>
      </c>
      <c r="I1808" s="2">
        <v>84.671999999999997</v>
      </c>
    </row>
    <row r="1809" spans="2:9" x14ac:dyDescent="0.3">
      <c r="E1809" t="s">
        <v>34</v>
      </c>
      <c r="F1809">
        <v>5</v>
      </c>
      <c r="G1809">
        <v>0.2</v>
      </c>
      <c r="H1809" s="2">
        <v>5.7980000000000018</v>
      </c>
      <c r="I1809" s="2">
        <v>231.92000000000002</v>
      </c>
    </row>
    <row r="1810" spans="2:9" x14ac:dyDescent="0.3">
      <c r="E1810" t="s">
        <v>33</v>
      </c>
      <c r="F1810">
        <v>2</v>
      </c>
      <c r="G1810">
        <v>0.2</v>
      </c>
      <c r="H1810" s="2">
        <v>-22.138200000000012</v>
      </c>
      <c r="I1810" s="2">
        <v>196.78399999999999</v>
      </c>
    </row>
    <row r="1811" spans="2:9" x14ac:dyDescent="0.3">
      <c r="E1811" t="s">
        <v>46</v>
      </c>
      <c r="F1811">
        <v>2</v>
      </c>
      <c r="G1811">
        <v>0.5</v>
      </c>
      <c r="H1811" s="2">
        <v>-571.99559999999997</v>
      </c>
      <c r="I1811" s="2">
        <v>1299.99</v>
      </c>
    </row>
    <row r="1812" spans="2:9" x14ac:dyDescent="0.3">
      <c r="E1812" t="s">
        <v>24</v>
      </c>
      <c r="F1812">
        <v>2</v>
      </c>
      <c r="G1812">
        <v>0.2</v>
      </c>
      <c r="H1812" s="2">
        <v>31.197999999999986</v>
      </c>
      <c r="I1812" s="2">
        <v>249.58400000000003</v>
      </c>
    </row>
    <row r="1813" spans="2:9" x14ac:dyDescent="0.3">
      <c r="D1813" t="s">
        <v>15</v>
      </c>
      <c r="E1813" t="s">
        <v>20</v>
      </c>
      <c r="F1813">
        <v>4</v>
      </c>
      <c r="G1813">
        <v>0.7</v>
      </c>
      <c r="H1813" s="2">
        <v>-14.0928</v>
      </c>
      <c r="I1813" s="2">
        <v>17.616000000000003</v>
      </c>
    </row>
    <row r="1814" spans="2:9" x14ac:dyDescent="0.3">
      <c r="D1814" t="s">
        <v>17</v>
      </c>
      <c r="E1814" t="s">
        <v>43</v>
      </c>
      <c r="F1814">
        <v>4</v>
      </c>
      <c r="G1814">
        <v>0.2</v>
      </c>
      <c r="H1814" s="2">
        <v>3.3408000000000002</v>
      </c>
      <c r="I1814" s="2">
        <v>9.2159999999999993</v>
      </c>
    </row>
    <row r="1815" spans="2:9" x14ac:dyDescent="0.3">
      <c r="E1815" t="s">
        <v>9</v>
      </c>
      <c r="F1815">
        <v>2</v>
      </c>
      <c r="G1815">
        <v>0.2</v>
      </c>
      <c r="H1815" s="2">
        <v>3.5059999999999967</v>
      </c>
      <c r="I1815" s="2">
        <v>28.048000000000002</v>
      </c>
    </row>
    <row r="1816" spans="2:9" x14ac:dyDescent="0.3">
      <c r="B1816" t="s">
        <v>210</v>
      </c>
      <c r="C1816" t="s">
        <v>11</v>
      </c>
      <c r="D1816" t="s">
        <v>17</v>
      </c>
      <c r="E1816" t="s">
        <v>16</v>
      </c>
      <c r="F1816">
        <v>14</v>
      </c>
      <c r="G1816">
        <v>0</v>
      </c>
      <c r="H1816" s="2">
        <v>115.5072</v>
      </c>
      <c r="I1816" s="2">
        <v>240.14999999999998</v>
      </c>
    </row>
    <row r="1817" spans="2:9" x14ac:dyDescent="0.3">
      <c r="C1817" t="s">
        <v>27</v>
      </c>
      <c r="D1817" t="s">
        <v>8</v>
      </c>
      <c r="E1817" t="s">
        <v>33</v>
      </c>
      <c r="F1817">
        <v>5</v>
      </c>
      <c r="G1817">
        <v>0</v>
      </c>
      <c r="H1817" s="2">
        <v>356.22500000000002</v>
      </c>
      <c r="I1817" s="2">
        <v>1424.9</v>
      </c>
    </row>
    <row r="1818" spans="2:9" x14ac:dyDescent="0.3">
      <c r="B1818" t="s">
        <v>211</v>
      </c>
      <c r="C1818" t="s">
        <v>22</v>
      </c>
      <c r="D1818" t="s">
        <v>8</v>
      </c>
      <c r="E1818" t="s">
        <v>20</v>
      </c>
      <c r="F1818">
        <v>8</v>
      </c>
      <c r="G1818">
        <v>0.7</v>
      </c>
      <c r="H1818" s="2">
        <v>-18.446399999999997</v>
      </c>
      <c r="I1818" s="2">
        <v>26.352000000000004</v>
      </c>
    </row>
    <row r="1819" spans="2:9" x14ac:dyDescent="0.3">
      <c r="E1819" t="s">
        <v>33</v>
      </c>
      <c r="F1819">
        <v>9</v>
      </c>
      <c r="G1819">
        <v>0.4</v>
      </c>
      <c r="H1819" s="2">
        <v>136.50800000000007</v>
      </c>
      <c r="I1819" s="2">
        <v>1682.1759999999999</v>
      </c>
    </row>
    <row r="1820" spans="2:9" x14ac:dyDescent="0.3">
      <c r="E1820" t="s">
        <v>38</v>
      </c>
      <c r="F1820">
        <v>7</v>
      </c>
      <c r="G1820">
        <v>0.2</v>
      </c>
      <c r="H1820" s="2">
        <v>7.6047999999999991</v>
      </c>
      <c r="I1820" s="2">
        <v>21.728000000000002</v>
      </c>
    </row>
    <row r="1821" spans="2:9" x14ac:dyDescent="0.3">
      <c r="D1821" t="s">
        <v>15</v>
      </c>
      <c r="E1821" t="s">
        <v>24</v>
      </c>
      <c r="F1821">
        <v>4</v>
      </c>
      <c r="G1821">
        <v>0.2</v>
      </c>
      <c r="H1821" s="2">
        <v>25.198000000000008</v>
      </c>
      <c r="I1821" s="2">
        <v>403.16800000000001</v>
      </c>
    </row>
    <row r="1822" spans="2:9" x14ac:dyDescent="0.3">
      <c r="B1822" t="s">
        <v>212</v>
      </c>
      <c r="C1822" t="s">
        <v>7</v>
      </c>
      <c r="D1822" t="s">
        <v>8</v>
      </c>
      <c r="E1822" t="s">
        <v>20</v>
      </c>
      <c r="F1822">
        <v>2</v>
      </c>
      <c r="G1822">
        <v>0.7</v>
      </c>
      <c r="H1822" s="2">
        <v>-2.7967999999999993</v>
      </c>
      <c r="I1822" s="2">
        <v>3.6480000000000006</v>
      </c>
    </row>
    <row r="1823" spans="2:9" x14ac:dyDescent="0.3">
      <c r="E1823" t="s">
        <v>24</v>
      </c>
      <c r="F1823">
        <v>10</v>
      </c>
      <c r="G1823">
        <v>0.4</v>
      </c>
      <c r="H1823" s="2">
        <v>15.99199999999999</v>
      </c>
      <c r="I1823" s="2">
        <v>119.93999999999998</v>
      </c>
    </row>
    <row r="1824" spans="2:9" x14ac:dyDescent="0.3">
      <c r="B1824" t="s">
        <v>213</v>
      </c>
      <c r="C1824" t="s">
        <v>7</v>
      </c>
      <c r="D1824" t="s">
        <v>15</v>
      </c>
      <c r="E1824" t="s">
        <v>20</v>
      </c>
      <c r="F1824">
        <v>4</v>
      </c>
      <c r="G1824">
        <v>0</v>
      </c>
      <c r="H1824" s="2">
        <v>15.68</v>
      </c>
      <c r="I1824" s="2">
        <v>31.36</v>
      </c>
    </row>
    <row r="1825" spans="2:9" x14ac:dyDescent="0.3">
      <c r="E1825" t="s">
        <v>21</v>
      </c>
      <c r="F1825">
        <v>7</v>
      </c>
      <c r="G1825">
        <v>0</v>
      </c>
      <c r="H1825" s="2">
        <v>38.038000000000004</v>
      </c>
      <c r="I1825" s="2">
        <v>86.45</v>
      </c>
    </row>
    <row r="1826" spans="2:9" x14ac:dyDescent="0.3">
      <c r="C1826" t="s">
        <v>22</v>
      </c>
      <c r="D1826" t="s">
        <v>8</v>
      </c>
      <c r="E1826" t="s">
        <v>38</v>
      </c>
      <c r="F1826">
        <v>9</v>
      </c>
      <c r="G1826">
        <v>0</v>
      </c>
      <c r="H1826" s="2">
        <v>23.8581</v>
      </c>
      <c r="I1826" s="2">
        <v>48.69</v>
      </c>
    </row>
    <row r="1827" spans="2:9" x14ac:dyDescent="0.3">
      <c r="B1827" t="s">
        <v>214</v>
      </c>
      <c r="C1827" t="s">
        <v>22</v>
      </c>
      <c r="D1827" t="s">
        <v>15</v>
      </c>
      <c r="E1827" t="s">
        <v>33</v>
      </c>
      <c r="F1827">
        <v>3</v>
      </c>
      <c r="G1827">
        <v>0</v>
      </c>
      <c r="H1827" s="2">
        <v>213.73500000000001</v>
      </c>
      <c r="I1827" s="2">
        <v>854.94</v>
      </c>
    </row>
    <row r="1828" spans="2:9" x14ac:dyDescent="0.3">
      <c r="E1828" t="s">
        <v>21</v>
      </c>
      <c r="F1828">
        <v>12</v>
      </c>
      <c r="G1828">
        <v>0</v>
      </c>
      <c r="H1828" s="2">
        <v>89.768400000000014</v>
      </c>
      <c r="I1828" s="2">
        <v>211.64999999999998</v>
      </c>
    </row>
    <row r="1829" spans="2:9" x14ac:dyDescent="0.3">
      <c r="E1829" t="s">
        <v>43</v>
      </c>
      <c r="F1829">
        <v>5</v>
      </c>
      <c r="G1829">
        <v>0</v>
      </c>
      <c r="H1829" s="2">
        <v>7.056</v>
      </c>
      <c r="I1829" s="2">
        <v>14.399999999999999</v>
      </c>
    </row>
    <row r="1830" spans="2:9" x14ac:dyDescent="0.3">
      <c r="E1830" t="s">
        <v>16</v>
      </c>
      <c r="F1830">
        <v>5</v>
      </c>
      <c r="G1830">
        <v>0</v>
      </c>
      <c r="H1830" s="2">
        <v>83.283999999999992</v>
      </c>
      <c r="I1830" s="2">
        <v>177.2</v>
      </c>
    </row>
    <row r="1831" spans="2:9" x14ac:dyDescent="0.3">
      <c r="E1831" t="s">
        <v>24</v>
      </c>
      <c r="F1831">
        <v>3</v>
      </c>
      <c r="G1831">
        <v>0</v>
      </c>
      <c r="H1831" s="2">
        <v>57.41129999999999</v>
      </c>
      <c r="I1831" s="2">
        <v>197.96999999999997</v>
      </c>
    </row>
    <row r="1832" spans="2:9" x14ac:dyDescent="0.3">
      <c r="B1832" t="s">
        <v>215</v>
      </c>
      <c r="C1832" t="s">
        <v>7</v>
      </c>
      <c r="D1832" t="s">
        <v>8</v>
      </c>
      <c r="E1832" t="s">
        <v>20</v>
      </c>
      <c r="F1832">
        <v>6</v>
      </c>
      <c r="G1832">
        <v>0</v>
      </c>
      <c r="H1832" s="2">
        <v>20.585999999999999</v>
      </c>
      <c r="I1832" s="2">
        <v>43.8</v>
      </c>
    </row>
    <row r="1833" spans="2:9" x14ac:dyDescent="0.3">
      <c r="B1833" t="s">
        <v>216</v>
      </c>
      <c r="C1833" t="s">
        <v>11</v>
      </c>
      <c r="D1833" t="s">
        <v>15</v>
      </c>
      <c r="E1833" t="s">
        <v>23</v>
      </c>
      <c r="F1833">
        <v>2</v>
      </c>
      <c r="G1833">
        <v>0.2</v>
      </c>
      <c r="H1833" s="2">
        <v>36.397199999999998</v>
      </c>
      <c r="I1833" s="2">
        <v>207.98400000000004</v>
      </c>
    </row>
    <row r="1834" spans="2:9" x14ac:dyDescent="0.3">
      <c r="E1834" t="s">
        <v>16</v>
      </c>
      <c r="F1834">
        <v>7</v>
      </c>
      <c r="G1834">
        <v>0.2</v>
      </c>
      <c r="H1834" s="2">
        <v>11.733400000000001</v>
      </c>
      <c r="I1834" s="2">
        <v>32.368000000000002</v>
      </c>
    </row>
    <row r="1835" spans="2:9" x14ac:dyDescent="0.3">
      <c r="E1835" t="s">
        <v>9</v>
      </c>
      <c r="F1835">
        <v>2</v>
      </c>
      <c r="G1835">
        <v>0.2</v>
      </c>
      <c r="H1835" s="2">
        <v>1.6776</v>
      </c>
      <c r="I1835" s="2">
        <v>22.368000000000002</v>
      </c>
    </row>
    <row r="1836" spans="2:9" x14ac:dyDescent="0.3">
      <c r="C1836" t="s">
        <v>22</v>
      </c>
      <c r="D1836" t="s">
        <v>15</v>
      </c>
      <c r="E1836" t="s">
        <v>38</v>
      </c>
      <c r="F1836">
        <v>2</v>
      </c>
      <c r="G1836">
        <v>0.2</v>
      </c>
      <c r="H1836" s="2">
        <v>2.1475999999999997</v>
      </c>
      <c r="I1836" s="2">
        <v>6.6080000000000005</v>
      </c>
    </row>
    <row r="1837" spans="2:9" x14ac:dyDescent="0.3">
      <c r="B1837" t="s">
        <v>217</v>
      </c>
      <c r="C1837" t="s">
        <v>22</v>
      </c>
      <c r="D1837" t="s">
        <v>8</v>
      </c>
      <c r="E1837" t="s">
        <v>12</v>
      </c>
      <c r="F1837">
        <v>5</v>
      </c>
      <c r="G1837">
        <v>0.2</v>
      </c>
      <c r="H1837" s="2">
        <v>9.2939999999999969</v>
      </c>
      <c r="I1837" s="2">
        <v>123.92000000000002</v>
      </c>
    </row>
    <row r="1838" spans="2:9" x14ac:dyDescent="0.3">
      <c r="E1838" t="s">
        <v>19</v>
      </c>
      <c r="F1838">
        <v>5</v>
      </c>
      <c r="G1838">
        <v>0.4</v>
      </c>
      <c r="H1838" s="2">
        <v>2.7914000000000003</v>
      </c>
      <c r="I1838" s="2">
        <v>13.456</v>
      </c>
    </row>
    <row r="1839" spans="2:9" x14ac:dyDescent="0.3">
      <c r="E1839" t="s">
        <v>21</v>
      </c>
      <c r="F1839">
        <v>3</v>
      </c>
      <c r="G1839">
        <v>0.2</v>
      </c>
      <c r="H1839" s="2">
        <v>-21.470400000000026</v>
      </c>
      <c r="I1839" s="2">
        <v>190.84800000000001</v>
      </c>
    </row>
    <row r="1840" spans="2:9" x14ac:dyDescent="0.3">
      <c r="B1840" t="s">
        <v>218</v>
      </c>
      <c r="C1840" t="s">
        <v>27</v>
      </c>
      <c r="D1840" t="s">
        <v>8</v>
      </c>
      <c r="E1840" t="s">
        <v>33</v>
      </c>
      <c r="F1840">
        <v>5</v>
      </c>
      <c r="G1840">
        <v>0</v>
      </c>
      <c r="H1840" s="2">
        <v>40.472999999999999</v>
      </c>
      <c r="I1840" s="2">
        <v>149.9</v>
      </c>
    </row>
    <row r="1841" spans="2:9" x14ac:dyDescent="0.3">
      <c r="C1841" t="s">
        <v>7</v>
      </c>
      <c r="D1841" t="s">
        <v>8</v>
      </c>
      <c r="E1841" t="s">
        <v>12</v>
      </c>
      <c r="F1841">
        <v>3</v>
      </c>
      <c r="G1841">
        <v>0</v>
      </c>
      <c r="H1841" s="2">
        <v>18.660600000000002</v>
      </c>
      <c r="I1841" s="2">
        <v>44.43</v>
      </c>
    </row>
    <row r="1842" spans="2:9" x14ac:dyDescent="0.3">
      <c r="E1842" t="s">
        <v>19</v>
      </c>
      <c r="F1842">
        <v>12</v>
      </c>
      <c r="G1842">
        <v>0</v>
      </c>
      <c r="H1842" s="2">
        <v>86.732999999999961</v>
      </c>
      <c r="I1842" s="2">
        <v>293.75999999999993</v>
      </c>
    </row>
    <row r="1843" spans="2:9" x14ac:dyDescent="0.3">
      <c r="E1843" t="s">
        <v>33</v>
      </c>
      <c r="F1843">
        <v>1</v>
      </c>
      <c r="G1843">
        <v>0</v>
      </c>
      <c r="H1843" s="2">
        <v>75.654799999999994</v>
      </c>
      <c r="I1843" s="2">
        <v>290.98</v>
      </c>
    </row>
    <row r="1844" spans="2:9" x14ac:dyDescent="0.3">
      <c r="E1844" t="s">
        <v>21</v>
      </c>
      <c r="F1844">
        <v>3</v>
      </c>
      <c r="G1844">
        <v>0</v>
      </c>
      <c r="H1844" s="2">
        <v>41.038800000000002</v>
      </c>
      <c r="I1844" s="2">
        <v>186.54</v>
      </c>
    </row>
    <row r="1845" spans="2:9" x14ac:dyDescent="0.3">
      <c r="E1845" t="s">
        <v>24</v>
      </c>
      <c r="F1845">
        <v>5</v>
      </c>
      <c r="G1845">
        <v>0</v>
      </c>
      <c r="H1845" s="2">
        <v>58.811999999999998</v>
      </c>
      <c r="I1845" s="2">
        <v>226.20000000000002</v>
      </c>
    </row>
    <row r="1846" spans="2:9" x14ac:dyDescent="0.3">
      <c r="C1846" t="s">
        <v>22</v>
      </c>
      <c r="D1846" t="s">
        <v>15</v>
      </c>
      <c r="E1846" t="s">
        <v>20</v>
      </c>
      <c r="F1846">
        <v>1</v>
      </c>
      <c r="G1846">
        <v>0</v>
      </c>
      <c r="H1846" s="2">
        <v>421.58529999999996</v>
      </c>
      <c r="I1846" s="2">
        <v>896.99</v>
      </c>
    </row>
    <row r="1847" spans="2:9" x14ac:dyDescent="0.3">
      <c r="E1847" t="s">
        <v>33</v>
      </c>
      <c r="F1847">
        <v>13</v>
      </c>
      <c r="G1847">
        <v>0</v>
      </c>
      <c r="H1847" s="2">
        <v>145.06959999999992</v>
      </c>
      <c r="I1847" s="2">
        <v>500.23999999999995</v>
      </c>
    </row>
    <row r="1848" spans="2:9" x14ac:dyDescent="0.3">
      <c r="E1848" t="s">
        <v>16</v>
      </c>
      <c r="F1848">
        <v>2</v>
      </c>
      <c r="G1848">
        <v>0</v>
      </c>
      <c r="H1848" s="2">
        <v>9.2552000000000003</v>
      </c>
      <c r="I1848" s="2">
        <v>20.12</v>
      </c>
    </row>
    <row r="1849" spans="2:9" x14ac:dyDescent="0.3">
      <c r="D1849" t="s">
        <v>17</v>
      </c>
      <c r="E1849" t="s">
        <v>20</v>
      </c>
      <c r="F1849">
        <v>3</v>
      </c>
      <c r="G1849">
        <v>0</v>
      </c>
      <c r="H1849" s="2">
        <v>56.550000000000004</v>
      </c>
      <c r="I1849" s="2">
        <v>113.10000000000001</v>
      </c>
    </row>
    <row r="1850" spans="2:9" x14ac:dyDescent="0.3">
      <c r="B1850" t="s">
        <v>219</v>
      </c>
      <c r="C1850" t="s">
        <v>11</v>
      </c>
      <c r="D1850" t="s">
        <v>8</v>
      </c>
      <c r="E1850" t="s">
        <v>19</v>
      </c>
      <c r="F1850">
        <v>7</v>
      </c>
      <c r="G1850">
        <v>0.2</v>
      </c>
      <c r="H1850" s="2">
        <v>16.373699999999992</v>
      </c>
      <c r="I1850" s="2">
        <v>145.54400000000001</v>
      </c>
    </row>
    <row r="1851" spans="2:9" x14ac:dyDescent="0.3">
      <c r="E1851" t="s">
        <v>34</v>
      </c>
      <c r="F1851">
        <v>5</v>
      </c>
      <c r="G1851">
        <v>0.32</v>
      </c>
      <c r="H1851" s="2">
        <v>-14.195999999999998</v>
      </c>
      <c r="I1851" s="2">
        <v>241.33199999999999</v>
      </c>
    </row>
    <row r="1852" spans="2:9" x14ac:dyDescent="0.3">
      <c r="E1852" t="s">
        <v>16</v>
      </c>
      <c r="F1852">
        <v>1</v>
      </c>
      <c r="G1852">
        <v>0.2</v>
      </c>
      <c r="H1852" s="2">
        <v>1.8792</v>
      </c>
      <c r="I1852" s="2">
        <v>5.1840000000000011</v>
      </c>
    </row>
    <row r="1853" spans="2:9" x14ac:dyDescent="0.3">
      <c r="C1853" t="s">
        <v>22</v>
      </c>
      <c r="D1853" t="s">
        <v>8</v>
      </c>
      <c r="E1853" t="s">
        <v>16</v>
      </c>
      <c r="F1853">
        <v>5</v>
      </c>
      <c r="G1853">
        <v>0.2</v>
      </c>
      <c r="H1853" s="2">
        <v>9.3960000000000008</v>
      </c>
      <c r="I1853" s="2">
        <v>25.920000000000005</v>
      </c>
    </row>
    <row r="1854" spans="2:9" x14ac:dyDescent="0.3">
      <c r="E1854" t="s">
        <v>14</v>
      </c>
      <c r="F1854">
        <v>3</v>
      </c>
      <c r="G1854">
        <v>0.2</v>
      </c>
      <c r="H1854" s="2">
        <v>4.6746000000000016</v>
      </c>
      <c r="I1854" s="2">
        <v>53.424000000000007</v>
      </c>
    </row>
    <row r="1855" spans="2:9" x14ac:dyDescent="0.3">
      <c r="B1855" t="s">
        <v>220</v>
      </c>
      <c r="C1855" t="s">
        <v>11</v>
      </c>
      <c r="D1855" t="s">
        <v>17</v>
      </c>
      <c r="E1855" t="s">
        <v>20</v>
      </c>
      <c r="F1855">
        <v>3</v>
      </c>
      <c r="G1855">
        <v>0</v>
      </c>
      <c r="H1855" s="2">
        <v>29.285699999999999</v>
      </c>
      <c r="I1855" s="2">
        <v>62.31</v>
      </c>
    </row>
    <row r="1856" spans="2:9" x14ac:dyDescent="0.3">
      <c r="E1856" t="s">
        <v>14</v>
      </c>
      <c r="F1856">
        <v>2</v>
      </c>
      <c r="G1856">
        <v>0</v>
      </c>
      <c r="H1856" s="2">
        <v>0</v>
      </c>
      <c r="I1856" s="2">
        <v>122.48</v>
      </c>
    </row>
    <row r="1857" spans="2:9" x14ac:dyDescent="0.3">
      <c r="E1857" t="s">
        <v>25</v>
      </c>
      <c r="F1857">
        <v>9</v>
      </c>
      <c r="G1857">
        <v>0</v>
      </c>
      <c r="H1857" s="2">
        <v>593.9076</v>
      </c>
      <c r="I1857" s="2">
        <v>2699.58</v>
      </c>
    </row>
    <row r="1858" spans="2:9" x14ac:dyDescent="0.3">
      <c r="C1858" t="s">
        <v>7</v>
      </c>
      <c r="D1858" t="s">
        <v>8</v>
      </c>
      <c r="E1858" t="s">
        <v>25</v>
      </c>
      <c r="F1858">
        <v>7</v>
      </c>
      <c r="G1858">
        <v>0</v>
      </c>
      <c r="H1858" s="2">
        <v>245.0209999999999</v>
      </c>
      <c r="I1858" s="2">
        <v>1441.3</v>
      </c>
    </row>
    <row r="1859" spans="2:9" x14ac:dyDescent="0.3">
      <c r="C1859" t="s">
        <v>22</v>
      </c>
      <c r="D1859" t="s">
        <v>8</v>
      </c>
      <c r="E1859" t="s">
        <v>23</v>
      </c>
      <c r="F1859">
        <v>2</v>
      </c>
      <c r="G1859">
        <v>0</v>
      </c>
      <c r="H1859" s="2">
        <v>6.9239999999999995</v>
      </c>
      <c r="I1859" s="2">
        <v>23.08</v>
      </c>
    </row>
    <row r="1860" spans="2:9" x14ac:dyDescent="0.3">
      <c r="D1860" t="s">
        <v>17</v>
      </c>
      <c r="E1860" t="s">
        <v>21</v>
      </c>
      <c r="F1860">
        <v>2</v>
      </c>
      <c r="G1860">
        <v>0</v>
      </c>
      <c r="H1860" s="2">
        <v>14.3856</v>
      </c>
      <c r="I1860" s="2">
        <v>39.96</v>
      </c>
    </row>
    <row r="1861" spans="2:9" x14ac:dyDescent="0.3">
      <c r="B1861" t="s">
        <v>221</v>
      </c>
      <c r="C1861" t="s">
        <v>22</v>
      </c>
      <c r="D1861" t="s">
        <v>8</v>
      </c>
      <c r="E1861" t="s">
        <v>23</v>
      </c>
      <c r="F1861">
        <v>4</v>
      </c>
      <c r="G1861">
        <v>0</v>
      </c>
      <c r="H1861" s="2">
        <v>23.4</v>
      </c>
      <c r="I1861" s="2">
        <v>52</v>
      </c>
    </row>
    <row r="1862" spans="2:9" x14ac:dyDescent="0.3">
      <c r="E1862" t="s">
        <v>12</v>
      </c>
      <c r="F1862">
        <v>4</v>
      </c>
      <c r="G1862">
        <v>0</v>
      </c>
      <c r="H1862" s="2">
        <v>89.779200000000003</v>
      </c>
      <c r="I1862" s="2">
        <v>320.64</v>
      </c>
    </row>
    <row r="1863" spans="2:9" x14ac:dyDescent="0.3">
      <c r="E1863" t="s">
        <v>20</v>
      </c>
      <c r="F1863">
        <v>3</v>
      </c>
      <c r="G1863">
        <v>0</v>
      </c>
      <c r="H1863" s="2">
        <v>39.7196</v>
      </c>
      <c r="I1863" s="2">
        <v>86.16</v>
      </c>
    </row>
    <row r="1864" spans="2:9" x14ac:dyDescent="0.3">
      <c r="E1864" t="s">
        <v>34</v>
      </c>
      <c r="F1864">
        <v>5</v>
      </c>
      <c r="G1864">
        <v>0</v>
      </c>
      <c r="H1864" s="2">
        <v>126.22500000000002</v>
      </c>
      <c r="I1864" s="2">
        <v>504.90000000000003</v>
      </c>
    </row>
    <row r="1865" spans="2:9" x14ac:dyDescent="0.3">
      <c r="E1865" t="s">
        <v>21</v>
      </c>
      <c r="F1865">
        <v>6</v>
      </c>
      <c r="G1865">
        <v>0</v>
      </c>
      <c r="H1865" s="2">
        <v>76.087800000000001</v>
      </c>
      <c r="I1865" s="2">
        <v>185.57999999999998</v>
      </c>
    </row>
    <row r="1866" spans="2:9" x14ac:dyDescent="0.3">
      <c r="E1866" t="s">
        <v>16</v>
      </c>
      <c r="F1866">
        <v>6</v>
      </c>
      <c r="G1866">
        <v>0</v>
      </c>
      <c r="H1866" s="2">
        <v>120.51060000000001</v>
      </c>
      <c r="I1866" s="2">
        <v>245.94</v>
      </c>
    </row>
    <row r="1867" spans="2:9" x14ac:dyDescent="0.3">
      <c r="E1867" t="s">
        <v>14</v>
      </c>
      <c r="F1867">
        <v>4</v>
      </c>
      <c r="G1867">
        <v>0</v>
      </c>
      <c r="H1867" s="2">
        <v>0.87919999999999732</v>
      </c>
      <c r="I1867" s="2">
        <v>87.92</v>
      </c>
    </row>
    <row r="1868" spans="2:9" x14ac:dyDescent="0.3">
      <c r="D1868" t="s">
        <v>15</v>
      </c>
      <c r="E1868" t="s">
        <v>23</v>
      </c>
      <c r="F1868">
        <v>6</v>
      </c>
      <c r="G1868">
        <v>0</v>
      </c>
      <c r="H1868" s="2">
        <v>105.46800000000002</v>
      </c>
      <c r="I1868" s="2">
        <v>239.70000000000002</v>
      </c>
    </row>
    <row r="1869" spans="2:9" x14ac:dyDescent="0.3">
      <c r="B1869" t="s">
        <v>222</v>
      </c>
      <c r="C1869" t="s">
        <v>11</v>
      </c>
      <c r="D1869" t="s">
        <v>15</v>
      </c>
      <c r="E1869" t="s">
        <v>14</v>
      </c>
      <c r="F1869">
        <v>5</v>
      </c>
      <c r="G1869">
        <v>0</v>
      </c>
      <c r="H1869" s="2">
        <v>10.373999999999999</v>
      </c>
      <c r="I1869" s="2">
        <v>39.900000000000006</v>
      </c>
    </row>
    <row r="1870" spans="2:9" x14ac:dyDescent="0.3">
      <c r="C1870" t="s">
        <v>22</v>
      </c>
      <c r="D1870" t="s">
        <v>17</v>
      </c>
      <c r="E1870" t="s">
        <v>21</v>
      </c>
      <c r="F1870">
        <v>7</v>
      </c>
      <c r="G1870">
        <v>0</v>
      </c>
      <c r="H1870" s="2">
        <v>21.7532</v>
      </c>
      <c r="I1870" s="2">
        <v>63.980000000000004</v>
      </c>
    </row>
    <row r="1871" spans="2:9" x14ac:dyDescent="0.3">
      <c r="E1871" t="s">
        <v>24</v>
      </c>
      <c r="F1871">
        <v>5</v>
      </c>
      <c r="G1871">
        <v>0.2</v>
      </c>
      <c r="H1871" s="2">
        <v>42.494999999999948</v>
      </c>
      <c r="I1871" s="2">
        <v>339.96000000000004</v>
      </c>
    </row>
    <row r="1872" spans="2:9" x14ac:dyDescent="0.3">
      <c r="B1872" t="s">
        <v>223</v>
      </c>
      <c r="C1872" t="s">
        <v>11</v>
      </c>
      <c r="D1872" t="s">
        <v>15</v>
      </c>
      <c r="E1872" t="s">
        <v>38</v>
      </c>
      <c r="F1872">
        <v>3</v>
      </c>
      <c r="G1872">
        <v>0</v>
      </c>
      <c r="H1872" s="2">
        <v>3.9102000000000006</v>
      </c>
      <c r="I1872" s="2">
        <v>7.98</v>
      </c>
    </row>
    <row r="1873" spans="2:9" x14ac:dyDescent="0.3">
      <c r="C1873" t="s">
        <v>22</v>
      </c>
      <c r="D1873" t="s">
        <v>8</v>
      </c>
      <c r="E1873" t="s">
        <v>19</v>
      </c>
      <c r="F1873">
        <v>4</v>
      </c>
      <c r="G1873">
        <v>0</v>
      </c>
      <c r="H1873" s="2">
        <v>10.499999999999996</v>
      </c>
      <c r="I1873" s="2">
        <v>35</v>
      </c>
    </row>
    <row r="1874" spans="2:9" x14ac:dyDescent="0.3">
      <c r="E1874" t="s">
        <v>20</v>
      </c>
      <c r="F1874">
        <v>3</v>
      </c>
      <c r="G1874">
        <v>0.2</v>
      </c>
      <c r="H1874" s="2">
        <v>14.337599999999998</v>
      </c>
      <c r="I1874" s="2">
        <v>39.552000000000007</v>
      </c>
    </row>
    <row r="1875" spans="2:9" x14ac:dyDescent="0.3">
      <c r="E1875" t="s">
        <v>33</v>
      </c>
      <c r="F1875">
        <v>7</v>
      </c>
      <c r="G1875">
        <v>0.2</v>
      </c>
      <c r="H1875" s="2">
        <v>76.431200000000018</v>
      </c>
      <c r="I1875" s="2">
        <v>726.17399999999998</v>
      </c>
    </row>
    <row r="1876" spans="2:9" x14ac:dyDescent="0.3">
      <c r="E1876" t="s">
        <v>38</v>
      </c>
      <c r="F1876">
        <v>5</v>
      </c>
      <c r="G1876">
        <v>0</v>
      </c>
      <c r="H1876" s="2">
        <v>19.457999999999998</v>
      </c>
      <c r="I1876" s="2">
        <v>41.4</v>
      </c>
    </row>
    <row r="1877" spans="2:9" x14ac:dyDescent="0.3">
      <c r="E1877" t="s">
        <v>21</v>
      </c>
      <c r="F1877">
        <v>3</v>
      </c>
      <c r="G1877">
        <v>0</v>
      </c>
      <c r="H1877" s="2">
        <v>11.376000000000001</v>
      </c>
      <c r="I1877" s="2">
        <v>28.44</v>
      </c>
    </row>
    <row r="1878" spans="2:9" x14ac:dyDescent="0.3">
      <c r="E1878" t="s">
        <v>24</v>
      </c>
      <c r="F1878">
        <v>4</v>
      </c>
      <c r="G1878">
        <v>0</v>
      </c>
      <c r="H1878" s="2">
        <v>10.389600000000002</v>
      </c>
      <c r="I1878" s="2">
        <v>39.96</v>
      </c>
    </row>
    <row r="1879" spans="2:9" x14ac:dyDescent="0.3">
      <c r="D1879" t="s">
        <v>15</v>
      </c>
      <c r="E1879" t="s">
        <v>20</v>
      </c>
      <c r="F1879">
        <v>20</v>
      </c>
      <c r="G1879">
        <v>0.4</v>
      </c>
      <c r="H1879" s="2">
        <v>392.66500000000008</v>
      </c>
      <c r="I1879" s="2">
        <v>1191.096</v>
      </c>
    </row>
    <row r="1880" spans="2:9" x14ac:dyDescent="0.3">
      <c r="E1880" t="s">
        <v>45</v>
      </c>
      <c r="F1880">
        <v>2</v>
      </c>
      <c r="G1880">
        <v>0.2</v>
      </c>
      <c r="H1880" s="2">
        <v>89.996999999999986</v>
      </c>
      <c r="I1880" s="2">
        <v>479.98400000000004</v>
      </c>
    </row>
    <row r="1881" spans="2:9" x14ac:dyDescent="0.3">
      <c r="B1881" t="s">
        <v>224</v>
      </c>
      <c r="C1881" t="s">
        <v>11</v>
      </c>
      <c r="D1881" t="s">
        <v>15</v>
      </c>
      <c r="E1881" t="s">
        <v>20</v>
      </c>
      <c r="F1881">
        <v>2</v>
      </c>
      <c r="G1881">
        <v>0.2</v>
      </c>
      <c r="H1881" s="2">
        <v>2.0047999999999995</v>
      </c>
      <c r="I1881" s="2">
        <v>5.7280000000000006</v>
      </c>
    </row>
    <row r="1882" spans="2:9" x14ac:dyDescent="0.3">
      <c r="E1882" t="s">
        <v>21</v>
      </c>
      <c r="F1882">
        <v>5</v>
      </c>
      <c r="G1882">
        <v>0</v>
      </c>
      <c r="H1882" s="2">
        <v>70.72199999999998</v>
      </c>
      <c r="I1882" s="2">
        <v>196.45</v>
      </c>
    </row>
    <row r="1883" spans="2:9" x14ac:dyDescent="0.3">
      <c r="E1883" t="s">
        <v>25</v>
      </c>
      <c r="F1883">
        <v>6</v>
      </c>
      <c r="G1883">
        <v>0</v>
      </c>
      <c r="H1883" s="2">
        <v>320.31720000000001</v>
      </c>
      <c r="I1883" s="2">
        <v>1685.88</v>
      </c>
    </row>
    <row r="1884" spans="2:9" x14ac:dyDescent="0.3">
      <c r="C1884" t="s">
        <v>27</v>
      </c>
      <c r="D1884" t="s">
        <v>15</v>
      </c>
      <c r="E1884" t="s">
        <v>43</v>
      </c>
      <c r="F1884">
        <v>8</v>
      </c>
      <c r="G1884">
        <v>0</v>
      </c>
      <c r="H1884" s="2">
        <v>14.034999999999998</v>
      </c>
      <c r="I1884" s="2">
        <v>30.099999999999998</v>
      </c>
    </row>
    <row r="1885" spans="2:9" x14ac:dyDescent="0.3">
      <c r="E1885" t="s">
        <v>16</v>
      </c>
      <c r="F1885">
        <v>7</v>
      </c>
      <c r="G1885">
        <v>0</v>
      </c>
      <c r="H1885" s="2">
        <v>21.772800000000004</v>
      </c>
      <c r="I1885" s="2">
        <v>45.36</v>
      </c>
    </row>
    <row r="1886" spans="2:9" x14ac:dyDescent="0.3">
      <c r="E1886" t="s">
        <v>14</v>
      </c>
      <c r="F1886">
        <v>3</v>
      </c>
      <c r="G1886">
        <v>0</v>
      </c>
      <c r="H1886" s="2">
        <v>14.984999999999992</v>
      </c>
      <c r="I1886" s="2">
        <v>83.25</v>
      </c>
    </row>
    <row r="1887" spans="2:9" x14ac:dyDescent="0.3">
      <c r="C1887" t="s">
        <v>7</v>
      </c>
      <c r="D1887" t="s">
        <v>8</v>
      </c>
      <c r="E1887" t="s">
        <v>19</v>
      </c>
      <c r="F1887">
        <v>4</v>
      </c>
      <c r="G1887">
        <v>0</v>
      </c>
      <c r="H1887" s="2">
        <v>4.6997999999999989</v>
      </c>
      <c r="I1887" s="2">
        <v>16.73</v>
      </c>
    </row>
    <row r="1888" spans="2:9" x14ac:dyDescent="0.3">
      <c r="E1888" t="s">
        <v>34</v>
      </c>
      <c r="F1888">
        <v>2</v>
      </c>
      <c r="G1888">
        <v>0</v>
      </c>
      <c r="H1888" s="2">
        <v>41.913600000000002</v>
      </c>
      <c r="I1888" s="2">
        <v>261.95999999999998</v>
      </c>
    </row>
    <row r="1889" spans="3:9" x14ac:dyDescent="0.3">
      <c r="E1889" t="s">
        <v>33</v>
      </c>
      <c r="F1889">
        <v>3</v>
      </c>
      <c r="G1889">
        <v>0</v>
      </c>
      <c r="H1889" s="2">
        <v>219.58199999999997</v>
      </c>
      <c r="I1889" s="2">
        <v>731.93999999999994</v>
      </c>
    </row>
    <row r="1890" spans="3:9" x14ac:dyDescent="0.3">
      <c r="E1890" t="s">
        <v>18</v>
      </c>
      <c r="F1890">
        <v>4</v>
      </c>
      <c r="G1890">
        <v>0</v>
      </c>
      <c r="H1890" s="2">
        <v>9.6</v>
      </c>
      <c r="I1890" s="2">
        <v>20</v>
      </c>
    </row>
    <row r="1891" spans="3:9" x14ac:dyDescent="0.3">
      <c r="E1891" t="s">
        <v>21</v>
      </c>
      <c r="F1891">
        <v>5</v>
      </c>
      <c r="G1891">
        <v>0</v>
      </c>
      <c r="H1891" s="2">
        <v>9.1580000000000013</v>
      </c>
      <c r="I1891" s="2">
        <v>24.1</v>
      </c>
    </row>
    <row r="1892" spans="3:9" x14ac:dyDescent="0.3">
      <c r="E1892" t="s">
        <v>25</v>
      </c>
      <c r="F1892">
        <v>3</v>
      </c>
      <c r="G1892">
        <v>0</v>
      </c>
      <c r="H1892" s="2">
        <v>160.15860000000001</v>
      </c>
      <c r="I1892" s="2">
        <v>842.94</v>
      </c>
    </row>
    <row r="1893" spans="3:9" x14ac:dyDescent="0.3">
      <c r="D1893" t="s">
        <v>15</v>
      </c>
      <c r="E1893" t="s">
        <v>23</v>
      </c>
      <c r="F1893">
        <v>9</v>
      </c>
      <c r="G1893">
        <v>0</v>
      </c>
      <c r="H1893" s="2">
        <v>517.47930000000008</v>
      </c>
      <c r="I1893" s="2">
        <v>2249.91</v>
      </c>
    </row>
    <row r="1894" spans="3:9" x14ac:dyDescent="0.3">
      <c r="E1894" t="s">
        <v>20</v>
      </c>
      <c r="F1894">
        <v>27</v>
      </c>
      <c r="G1894">
        <v>0</v>
      </c>
      <c r="H1894" s="2">
        <v>284.20349999999996</v>
      </c>
      <c r="I1894" s="2">
        <v>608.87</v>
      </c>
    </row>
    <row r="1895" spans="3:9" x14ac:dyDescent="0.3">
      <c r="E1895" t="s">
        <v>33</v>
      </c>
      <c r="F1895">
        <v>4</v>
      </c>
      <c r="G1895">
        <v>0</v>
      </c>
      <c r="H1895" s="2">
        <v>292.77599999999995</v>
      </c>
      <c r="I1895" s="2">
        <v>975.92</v>
      </c>
    </row>
    <row r="1896" spans="3:9" x14ac:dyDescent="0.3">
      <c r="E1896" t="s">
        <v>38</v>
      </c>
      <c r="F1896">
        <v>2</v>
      </c>
      <c r="G1896">
        <v>0</v>
      </c>
      <c r="H1896" s="2">
        <v>2.6068000000000002</v>
      </c>
      <c r="I1896" s="2">
        <v>5.32</v>
      </c>
    </row>
    <row r="1897" spans="3:9" x14ac:dyDescent="0.3">
      <c r="E1897" t="s">
        <v>14</v>
      </c>
      <c r="F1897">
        <v>4</v>
      </c>
      <c r="G1897">
        <v>0</v>
      </c>
      <c r="H1897" s="2">
        <v>16.7776</v>
      </c>
      <c r="I1897" s="2">
        <v>59.92</v>
      </c>
    </row>
    <row r="1898" spans="3:9" x14ac:dyDescent="0.3">
      <c r="D1898" t="s">
        <v>17</v>
      </c>
      <c r="E1898" t="s">
        <v>38</v>
      </c>
      <c r="F1898">
        <v>4</v>
      </c>
      <c r="G1898">
        <v>0</v>
      </c>
      <c r="H1898" s="2">
        <v>40.561599999999999</v>
      </c>
      <c r="I1898" s="2">
        <v>89.36</v>
      </c>
    </row>
    <row r="1899" spans="3:9" x14ac:dyDescent="0.3">
      <c r="E1899" t="s">
        <v>21</v>
      </c>
      <c r="F1899">
        <v>5</v>
      </c>
      <c r="G1899">
        <v>0</v>
      </c>
      <c r="H1899" s="2">
        <v>25.620000000000005</v>
      </c>
      <c r="I1899" s="2">
        <v>61</v>
      </c>
    </row>
    <row r="1900" spans="3:9" x14ac:dyDescent="0.3">
      <c r="E1900" t="s">
        <v>24</v>
      </c>
      <c r="F1900">
        <v>7</v>
      </c>
      <c r="G1900">
        <v>0</v>
      </c>
      <c r="H1900" s="2">
        <v>188.1404</v>
      </c>
      <c r="I1900" s="2">
        <v>671.93</v>
      </c>
    </row>
    <row r="1901" spans="3:9" x14ac:dyDescent="0.3">
      <c r="C1901" t="s">
        <v>22</v>
      </c>
      <c r="D1901" t="s">
        <v>8</v>
      </c>
      <c r="E1901" t="s">
        <v>12</v>
      </c>
      <c r="F1901">
        <v>6</v>
      </c>
      <c r="G1901">
        <v>0</v>
      </c>
      <c r="H1901" s="2">
        <v>87.057000000000016</v>
      </c>
      <c r="I1901" s="2">
        <v>316.38</v>
      </c>
    </row>
    <row r="1902" spans="3:9" x14ac:dyDescent="0.3">
      <c r="E1902" t="s">
        <v>19</v>
      </c>
      <c r="F1902">
        <v>2</v>
      </c>
      <c r="G1902">
        <v>0</v>
      </c>
      <c r="H1902" s="2">
        <v>11.117599999999999</v>
      </c>
      <c r="I1902" s="2">
        <v>42.76</v>
      </c>
    </row>
    <row r="1903" spans="3:9" x14ac:dyDescent="0.3">
      <c r="E1903" t="s">
        <v>20</v>
      </c>
      <c r="F1903">
        <v>6</v>
      </c>
      <c r="G1903">
        <v>0</v>
      </c>
      <c r="H1903" s="2">
        <v>770.78160000000003</v>
      </c>
      <c r="I1903" s="2">
        <v>1605.7</v>
      </c>
    </row>
    <row r="1904" spans="3:9" x14ac:dyDescent="0.3">
      <c r="E1904" t="s">
        <v>33</v>
      </c>
      <c r="F1904">
        <v>4</v>
      </c>
      <c r="G1904">
        <v>0</v>
      </c>
      <c r="H1904" s="2">
        <v>70.980000000000018</v>
      </c>
      <c r="I1904" s="2">
        <v>283.92</v>
      </c>
    </row>
    <row r="1905" spans="2:9" x14ac:dyDescent="0.3">
      <c r="E1905" t="s">
        <v>38</v>
      </c>
      <c r="F1905">
        <v>1</v>
      </c>
      <c r="G1905">
        <v>0</v>
      </c>
      <c r="H1905" s="2">
        <v>4.9081999999999999</v>
      </c>
      <c r="I1905" s="2">
        <v>10.67</v>
      </c>
    </row>
    <row r="1906" spans="2:9" x14ac:dyDescent="0.3">
      <c r="E1906" t="s">
        <v>21</v>
      </c>
      <c r="F1906">
        <v>22</v>
      </c>
      <c r="G1906">
        <v>0</v>
      </c>
      <c r="H1906" s="2">
        <v>270.74849999999998</v>
      </c>
      <c r="I1906" s="2">
        <v>1197.1699999999998</v>
      </c>
    </row>
    <row r="1907" spans="2:9" x14ac:dyDescent="0.3">
      <c r="E1907" t="s">
        <v>16</v>
      </c>
      <c r="F1907">
        <v>8</v>
      </c>
      <c r="G1907">
        <v>0</v>
      </c>
      <c r="H1907" s="2">
        <v>74.198899999999995</v>
      </c>
      <c r="I1907" s="2">
        <v>157.87</v>
      </c>
    </row>
    <row r="1908" spans="2:9" x14ac:dyDescent="0.3">
      <c r="E1908" t="s">
        <v>14</v>
      </c>
      <c r="F1908">
        <v>3</v>
      </c>
      <c r="G1908">
        <v>0</v>
      </c>
      <c r="H1908" s="2">
        <v>9.8901000000000039</v>
      </c>
      <c r="I1908" s="2">
        <v>36.630000000000003</v>
      </c>
    </row>
    <row r="1909" spans="2:9" x14ac:dyDescent="0.3">
      <c r="D1909" t="s">
        <v>15</v>
      </c>
      <c r="E1909" t="s">
        <v>14</v>
      </c>
      <c r="F1909">
        <v>6</v>
      </c>
      <c r="G1909">
        <v>0</v>
      </c>
      <c r="H1909" s="2">
        <v>0</v>
      </c>
      <c r="I1909" s="2">
        <v>828.83999999999992</v>
      </c>
    </row>
    <row r="1910" spans="2:9" x14ac:dyDescent="0.3">
      <c r="D1910" t="s">
        <v>17</v>
      </c>
      <c r="E1910" t="s">
        <v>19</v>
      </c>
      <c r="F1910">
        <v>2</v>
      </c>
      <c r="G1910">
        <v>0</v>
      </c>
      <c r="H1910" s="2">
        <v>1.4796000000000005</v>
      </c>
      <c r="I1910" s="2">
        <v>5.48</v>
      </c>
    </row>
    <row r="1911" spans="2:9" x14ac:dyDescent="0.3">
      <c r="E1911" t="s">
        <v>20</v>
      </c>
      <c r="F1911">
        <v>2</v>
      </c>
      <c r="G1911">
        <v>0</v>
      </c>
      <c r="H1911" s="2">
        <v>274.49099999999999</v>
      </c>
      <c r="I1911" s="2">
        <v>609.98</v>
      </c>
    </row>
    <row r="1912" spans="2:9" x14ac:dyDescent="0.3">
      <c r="E1912" t="s">
        <v>33</v>
      </c>
      <c r="F1912">
        <v>9</v>
      </c>
      <c r="G1912">
        <v>0</v>
      </c>
      <c r="H1912" s="2">
        <v>746.40779999999972</v>
      </c>
      <c r="I1912" s="2">
        <v>2573.8200000000002</v>
      </c>
    </row>
    <row r="1913" spans="2:9" x14ac:dyDescent="0.3">
      <c r="E1913" t="s">
        <v>18</v>
      </c>
      <c r="F1913">
        <v>4</v>
      </c>
      <c r="G1913">
        <v>0</v>
      </c>
      <c r="H1913" s="2">
        <v>0.31119999999999948</v>
      </c>
      <c r="I1913" s="2">
        <v>31.12</v>
      </c>
    </row>
    <row r="1914" spans="2:9" x14ac:dyDescent="0.3">
      <c r="E1914" t="s">
        <v>21</v>
      </c>
      <c r="F1914">
        <v>2</v>
      </c>
      <c r="G1914">
        <v>0</v>
      </c>
      <c r="H1914" s="2">
        <v>11.583600000000001</v>
      </c>
      <c r="I1914" s="2">
        <v>27.58</v>
      </c>
    </row>
    <row r="1915" spans="2:9" x14ac:dyDescent="0.3">
      <c r="E1915" t="s">
        <v>16</v>
      </c>
      <c r="F1915">
        <v>1</v>
      </c>
      <c r="G1915">
        <v>0</v>
      </c>
      <c r="H1915" s="2">
        <v>3.0084</v>
      </c>
      <c r="I1915" s="2">
        <v>6.54</v>
      </c>
    </row>
    <row r="1916" spans="2:9" x14ac:dyDescent="0.3">
      <c r="E1916" t="s">
        <v>24</v>
      </c>
      <c r="F1916">
        <v>6</v>
      </c>
      <c r="G1916">
        <v>0</v>
      </c>
      <c r="H1916" s="2">
        <v>317.78339999999997</v>
      </c>
      <c r="I1916" s="2">
        <v>1147.94</v>
      </c>
    </row>
    <row r="1917" spans="2:9" x14ac:dyDescent="0.3">
      <c r="B1917" t="s">
        <v>225</v>
      </c>
      <c r="C1917" t="s">
        <v>22</v>
      </c>
      <c r="D1917" t="s">
        <v>8</v>
      </c>
      <c r="E1917" t="s">
        <v>19</v>
      </c>
      <c r="F1917">
        <v>7</v>
      </c>
      <c r="G1917">
        <v>0.2</v>
      </c>
      <c r="H1917" s="2">
        <v>1.0730999999999993</v>
      </c>
      <c r="I1917" s="2">
        <v>12.263999999999999</v>
      </c>
    </row>
    <row r="1918" spans="2:9" x14ac:dyDescent="0.3">
      <c r="E1918" t="s">
        <v>21</v>
      </c>
      <c r="F1918">
        <v>4</v>
      </c>
      <c r="G1918">
        <v>0.2</v>
      </c>
      <c r="H1918" s="2">
        <v>19.084800000000005</v>
      </c>
      <c r="I1918" s="2">
        <v>72.703999999999994</v>
      </c>
    </row>
    <row r="1919" spans="2:9" x14ac:dyDescent="0.3">
      <c r="E1919" t="s">
        <v>14</v>
      </c>
      <c r="F1919">
        <v>3</v>
      </c>
      <c r="G1919">
        <v>0.2</v>
      </c>
      <c r="H1919" s="2">
        <v>-54.588000000000008</v>
      </c>
      <c r="I1919" s="2">
        <v>218.35200000000003</v>
      </c>
    </row>
    <row r="1920" spans="2:9" x14ac:dyDescent="0.3">
      <c r="D1920" t="s">
        <v>17</v>
      </c>
      <c r="E1920" t="s">
        <v>20</v>
      </c>
      <c r="F1920">
        <v>8</v>
      </c>
      <c r="G1920">
        <v>1.4</v>
      </c>
      <c r="H1920" s="2">
        <v>-10.956599999999998</v>
      </c>
      <c r="I1920" s="2">
        <v>16.218000000000004</v>
      </c>
    </row>
    <row r="1921" spans="2:9" x14ac:dyDescent="0.3">
      <c r="B1921" t="s">
        <v>226</v>
      </c>
      <c r="C1921" t="s">
        <v>22</v>
      </c>
      <c r="D1921" t="s">
        <v>15</v>
      </c>
      <c r="E1921" t="s">
        <v>23</v>
      </c>
      <c r="F1921">
        <v>1</v>
      </c>
      <c r="G1921">
        <v>0</v>
      </c>
      <c r="H1921" s="2">
        <v>34.996499999999997</v>
      </c>
      <c r="I1921" s="2">
        <v>99.99</v>
      </c>
    </row>
    <row r="1922" spans="2:9" x14ac:dyDescent="0.3">
      <c r="E1922" t="s">
        <v>20</v>
      </c>
      <c r="F1922">
        <v>6</v>
      </c>
      <c r="G1922">
        <v>0.2</v>
      </c>
      <c r="H1922" s="2">
        <v>81.744</v>
      </c>
      <c r="I1922" s="2">
        <v>251.52</v>
      </c>
    </row>
    <row r="1923" spans="2:9" x14ac:dyDescent="0.3">
      <c r="E1923" t="s">
        <v>34</v>
      </c>
      <c r="F1923">
        <v>5</v>
      </c>
      <c r="G1923">
        <v>0.15</v>
      </c>
      <c r="H1923" s="2">
        <v>19.997999999999976</v>
      </c>
      <c r="I1923" s="2">
        <v>424.95749999999992</v>
      </c>
    </row>
    <row r="1924" spans="2:9" x14ac:dyDescent="0.3">
      <c r="E1924" t="s">
        <v>33</v>
      </c>
      <c r="F1924">
        <v>6</v>
      </c>
      <c r="G1924">
        <v>0.2</v>
      </c>
      <c r="H1924" s="2">
        <v>-38.211600000000033</v>
      </c>
      <c r="I1924" s="2">
        <v>436.70400000000006</v>
      </c>
    </row>
    <row r="1925" spans="2:9" x14ac:dyDescent="0.3">
      <c r="B1925" t="s">
        <v>227</v>
      </c>
      <c r="C1925" t="s">
        <v>11</v>
      </c>
      <c r="D1925" t="s">
        <v>8</v>
      </c>
      <c r="E1925" t="s">
        <v>21</v>
      </c>
      <c r="F1925">
        <v>3</v>
      </c>
      <c r="G1925">
        <v>0.2</v>
      </c>
      <c r="H1925" s="2">
        <v>5.7750000000000021</v>
      </c>
      <c r="I1925" s="2">
        <v>21</v>
      </c>
    </row>
    <row r="1926" spans="2:9" x14ac:dyDescent="0.3">
      <c r="E1926" t="s">
        <v>46</v>
      </c>
      <c r="F1926">
        <v>5</v>
      </c>
      <c r="G1926">
        <v>1</v>
      </c>
      <c r="H1926" s="2">
        <v>-9.1791000000000054</v>
      </c>
      <c r="I1926" s="2">
        <v>152.98500000000001</v>
      </c>
    </row>
    <row r="1927" spans="2:9" x14ac:dyDescent="0.3">
      <c r="D1927" t="s">
        <v>17</v>
      </c>
      <c r="E1927" t="s">
        <v>20</v>
      </c>
      <c r="F1927">
        <v>8</v>
      </c>
      <c r="G1927">
        <v>0.7</v>
      </c>
      <c r="H1927" s="2">
        <v>-331.95999999999992</v>
      </c>
      <c r="I1927" s="2">
        <v>398.35200000000003</v>
      </c>
    </row>
    <row r="1928" spans="2:9" x14ac:dyDescent="0.3">
      <c r="E1928" t="s">
        <v>18</v>
      </c>
      <c r="F1928">
        <v>2</v>
      </c>
      <c r="G1928">
        <v>0.2</v>
      </c>
      <c r="H1928" s="2">
        <v>2.3976000000000002</v>
      </c>
      <c r="I1928" s="2">
        <v>7.104000000000001</v>
      </c>
    </row>
    <row r="1929" spans="2:9" x14ac:dyDescent="0.3">
      <c r="E1929" t="s">
        <v>24</v>
      </c>
      <c r="F1929">
        <v>3</v>
      </c>
      <c r="G1929">
        <v>0.2</v>
      </c>
      <c r="H1929" s="2">
        <v>13.857900000000008</v>
      </c>
      <c r="I1929" s="2">
        <v>158.376</v>
      </c>
    </row>
    <row r="1930" spans="2:9" x14ac:dyDescent="0.3">
      <c r="E1930" t="s">
        <v>14</v>
      </c>
      <c r="F1930">
        <v>5</v>
      </c>
      <c r="G1930">
        <v>0.2</v>
      </c>
      <c r="H1930" s="2">
        <v>5.3970000000000073</v>
      </c>
      <c r="I1930" s="2">
        <v>61.68</v>
      </c>
    </row>
    <row r="1931" spans="2:9" x14ac:dyDescent="0.3">
      <c r="C1931" t="s">
        <v>7</v>
      </c>
      <c r="D1931" t="s">
        <v>8</v>
      </c>
      <c r="E1931" t="s">
        <v>19</v>
      </c>
      <c r="F1931">
        <v>8</v>
      </c>
      <c r="G1931">
        <v>0.2</v>
      </c>
      <c r="H1931" s="2">
        <v>5.0335999999999999</v>
      </c>
      <c r="I1931" s="2">
        <v>30.975999999999999</v>
      </c>
    </row>
    <row r="1932" spans="2:9" x14ac:dyDescent="0.3">
      <c r="E1932" t="s">
        <v>20</v>
      </c>
      <c r="F1932">
        <v>4</v>
      </c>
      <c r="G1932">
        <v>0.7</v>
      </c>
      <c r="H1932" s="2">
        <v>-4.49</v>
      </c>
      <c r="I1932" s="2">
        <v>5.3880000000000008</v>
      </c>
    </row>
    <row r="1933" spans="2:9" x14ac:dyDescent="0.3">
      <c r="D1933" t="s">
        <v>15</v>
      </c>
      <c r="E1933" t="s">
        <v>33</v>
      </c>
      <c r="F1933">
        <v>9</v>
      </c>
      <c r="G1933">
        <v>0.2</v>
      </c>
      <c r="H1933" s="2">
        <v>101.38319999999999</v>
      </c>
      <c r="I1933" s="2">
        <v>1013.8320000000001</v>
      </c>
    </row>
    <row r="1934" spans="2:9" x14ac:dyDescent="0.3">
      <c r="E1934" t="s">
        <v>18</v>
      </c>
      <c r="F1934">
        <v>2</v>
      </c>
      <c r="G1934">
        <v>0.2</v>
      </c>
      <c r="H1934" s="2">
        <v>0.66959999999999997</v>
      </c>
      <c r="I1934" s="2">
        <v>1.984</v>
      </c>
    </row>
    <row r="1935" spans="2:9" x14ac:dyDescent="0.3">
      <c r="C1935" t="s">
        <v>22</v>
      </c>
      <c r="D1935" t="s">
        <v>8</v>
      </c>
      <c r="E1935" t="s">
        <v>12</v>
      </c>
      <c r="F1935">
        <v>5</v>
      </c>
      <c r="G1935">
        <v>0.2</v>
      </c>
      <c r="H1935" s="2">
        <v>1.1200000000000001</v>
      </c>
      <c r="I1935" s="2">
        <v>17.920000000000002</v>
      </c>
    </row>
    <row r="1936" spans="2:9" x14ac:dyDescent="0.3">
      <c r="E1936" t="s">
        <v>21</v>
      </c>
      <c r="F1936">
        <v>1</v>
      </c>
      <c r="G1936">
        <v>0.2</v>
      </c>
      <c r="H1936" s="2">
        <v>4.0383000000000013</v>
      </c>
      <c r="I1936" s="2">
        <v>15.384</v>
      </c>
    </row>
    <row r="1937" spans="2:9" x14ac:dyDescent="0.3">
      <c r="E1937" t="s">
        <v>16</v>
      </c>
      <c r="F1937">
        <v>3</v>
      </c>
      <c r="G1937">
        <v>0.2</v>
      </c>
      <c r="H1937" s="2">
        <v>5.4432</v>
      </c>
      <c r="I1937" s="2">
        <v>15.552000000000003</v>
      </c>
    </row>
    <row r="1938" spans="2:9" x14ac:dyDescent="0.3">
      <c r="D1938" t="s">
        <v>15</v>
      </c>
      <c r="E1938" t="s">
        <v>9</v>
      </c>
      <c r="F1938">
        <v>7</v>
      </c>
      <c r="G1938">
        <v>0.2</v>
      </c>
      <c r="H1938" s="2">
        <v>5.1281999999999996</v>
      </c>
      <c r="I1938" s="2">
        <v>45.584000000000003</v>
      </c>
    </row>
    <row r="1939" spans="2:9" x14ac:dyDescent="0.3">
      <c r="D1939" t="s">
        <v>17</v>
      </c>
      <c r="E1939" t="s">
        <v>12</v>
      </c>
      <c r="F1939">
        <v>2</v>
      </c>
      <c r="G1939">
        <v>0.2</v>
      </c>
      <c r="H1939" s="2">
        <v>4.2384000000000022</v>
      </c>
      <c r="I1939" s="2">
        <v>42.384</v>
      </c>
    </row>
    <row r="1940" spans="2:9" x14ac:dyDescent="0.3">
      <c r="E1940" t="s">
        <v>34</v>
      </c>
      <c r="F1940">
        <v>5</v>
      </c>
      <c r="G1940">
        <v>0.2</v>
      </c>
      <c r="H1940" s="2">
        <v>8.4979999999999762</v>
      </c>
      <c r="I1940" s="2">
        <v>339.92000000000007</v>
      </c>
    </row>
    <row r="1941" spans="2:9" x14ac:dyDescent="0.3">
      <c r="E1941" t="s">
        <v>16</v>
      </c>
      <c r="F1941">
        <v>4</v>
      </c>
      <c r="G1941">
        <v>0.2</v>
      </c>
      <c r="H1941" s="2">
        <v>3.4215999999999993</v>
      </c>
      <c r="I1941" s="2">
        <v>10.528</v>
      </c>
    </row>
    <row r="1942" spans="2:9" x14ac:dyDescent="0.3">
      <c r="B1942" t="s">
        <v>228</v>
      </c>
      <c r="C1942" t="s">
        <v>27</v>
      </c>
      <c r="D1942" t="s">
        <v>8</v>
      </c>
      <c r="E1942" t="s">
        <v>24</v>
      </c>
      <c r="F1942">
        <v>1</v>
      </c>
      <c r="G1942">
        <v>0.2</v>
      </c>
      <c r="H1942" s="2">
        <v>2.7143999999999995</v>
      </c>
      <c r="I1942" s="2">
        <v>36.192</v>
      </c>
    </row>
    <row r="1943" spans="2:9" x14ac:dyDescent="0.3">
      <c r="C1943" t="s">
        <v>22</v>
      </c>
      <c r="D1943" t="s">
        <v>8</v>
      </c>
      <c r="E1943" t="s">
        <v>20</v>
      </c>
      <c r="F1943">
        <v>4</v>
      </c>
      <c r="G1943">
        <v>0.7</v>
      </c>
      <c r="H1943" s="2">
        <v>-3.8100000000000005</v>
      </c>
      <c r="I1943" s="2">
        <v>4.572000000000001</v>
      </c>
    </row>
    <row r="1944" spans="2:9" x14ac:dyDescent="0.3">
      <c r="B1944" t="s">
        <v>229</v>
      </c>
      <c r="C1944" t="s">
        <v>22</v>
      </c>
      <c r="D1944" t="s">
        <v>8</v>
      </c>
      <c r="E1944" t="s">
        <v>20</v>
      </c>
      <c r="F1944">
        <v>5</v>
      </c>
      <c r="G1944">
        <v>0.8</v>
      </c>
      <c r="H1944" s="2">
        <v>-4.4639999999999995</v>
      </c>
      <c r="I1944" s="2">
        <v>2.879999999999999</v>
      </c>
    </row>
    <row r="1945" spans="2:9" x14ac:dyDescent="0.3">
      <c r="E1945" t="s">
        <v>34</v>
      </c>
      <c r="F1945">
        <v>9</v>
      </c>
      <c r="G1945">
        <v>0.6</v>
      </c>
      <c r="H1945" s="2">
        <v>-178.6775999999999</v>
      </c>
      <c r="I1945" s="2">
        <v>1298.374</v>
      </c>
    </row>
    <row r="1946" spans="2:9" x14ac:dyDescent="0.3">
      <c r="E1946" t="s">
        <v>24</v>
      </c>
      <c r="F1946">
        <v>2</v>
      </c>
      <c r="G1946">
        <v>0.2</v>
      </c>
      <c r="H1946" s="2">
        <v>13.438599999999994</v>
      </c>
      <c r="I1946" s="2">
        <v>153.584</v>
      </c>
    </row>
    <row r="1947" spans="2:9" x14ac:dyDescent="0.3">
      <c r="D1947" t="s">
        <v>15</v>
      </c>
      <c r="E1947" t="s">
        <v>33</v>
      </c>
      <c r="F1947">
        <v>3</v>
      </c>
      <c r="G1947">
        <v>0.3</v>
      </c>
      <c r="H1947" s="2">
        <v>-7.7094000000001017</v>
      </c>
      <c r="I1947" s="2">
        <v>539.65800000000002</v>
      </c>
    </row>
    <row r="1948" spans="2:9" x14ac:dyDescent="0.3">
      <c r="E1948" t="s">
        <v>16</v>
      </c>
      <c r="F1948">
        <v>7</v>
      </c>
      <c r="G1948">
        <v>0.2</v>
      </c>
      <c r="H1948" s="2">
        <v>12.175799999999999</v>
      </c>
      <c r="I1948" s="2">
        <v>37.463999999999999</v>
      </c>
    </row>
    <row r="1949" spans="2:9" x14ac:dyDescent="0.3">
      <c r="D1949" t="s">
        <v>17</v>
      </c>
      <c r="E1949" t="s">
        <v>20</v>
      </c>
      <c r="F1949">
        <v>2</v>
      </c>
      <c r="G1949">
        <v>0.8</v>
      </c>
      <c r="H1949" s="2">
        <v>-4.7040000000000006</v>
      </c>
      <c r="I1949" s="2">
        <v>3.1359999999999992</v>
      </c>
    </row>
    <row r="1950" spans="2:9" x14ac:dyDescent="0.3">
      <c r="B1950" t="s">
        <v>230</v>
      </c>
      <c r="C1950" t="s">
        <v>11</v>
      </c>
      <c r="D1950" t="s">
        <v>8</v>
      </c>
      <c r="E1950" t="s">
        <v>23</v>
      </c>
      <c r="F1950">
        <v>3</v>
      </c>
      <c r="G1950">
        <v>0.2</v>
      </c>
      <c r="H1950" s="2">
        <v>-4.6409999999999982</v>
      </c>
      <c r="I1950" s="2">
        <v>53.040000000000006</v>
      </c>
    </row>
    <row r="1951" spans="2:9" x14ac:dyDescent="0.3">
      <c r="E1951" t="s">
        <v>21</v>
      </c>
      <c r="F1951">
        <v>1</v>
      </c>
      <c r="G1951">
        <v>0.2</v>
      </c>
      <c r="H1951" s="2">
        <v>3.0338000000000003</v>
      </c>
      <c r="I1951" s="2">
        <v>11.032</v>
      </c>
    </row>
    <row r="1952" spans="2:9" x14ac:dyDescent="0.3">
      <c r="C1952" t="s">
        <v>22</v>
      </c>
      <c r="D1952" t="s">
        <v>15</v>
      </c>
      <c r="E1952" t="s">
        <v>20</v>
      </c>
      <c r="F1952">
        <v>7</v>
      </c>
      <c r="G1952">
        <v>0.7</v>
      </c>
      <c r="H1952" s="2">
        <v>-3.4649999999999999</v>
      </c>
      <c r="I1952" s="2">
        <v>4.1580000000000004</v>
      </c>
    </row>
    <row r="1953" spans="2:9" x14ac:dyDescent="0.3">
      <c r="E1953" t="s">
        <v>16</v>
      </c>
      <c r="F1953">
        <v>3</v>
      </c>
      <c r="G1953">
        <v>0.2</v>
      </c>
      <c r="H1953" s="2">
        <v>6.6177000000000001</v>
      </c>
      <c r="I1953" s="2">
        <v>19.608000000000001</v>
      </c>
    </row>
    <row r="1954" spans="2:9" x14ac:dyDescent="0.3">
      <c r="B1954" t="s">
        <v>231</v>
      </c>
      <c r="C1954" t="s">
        <v>7</v>
      </c>
      <c r="D1954" t="s">
        <v>8</v>
      </c>
      <c r="E1954" t="s">
        <v>43</v>
      </c>
      <c r="F1954">
        <v>2</v>
      </c>
      <c r="G1954">
        <v>0</v>
      </c>
      <c r="H1954" s="2">
        <v>3.5999999999999996</v>
      </c>
      <c r="I1954" s="2">
        <v>7.5</v>
      </c>
    </row>
    <row r="1955" spans="2:9" x14ac:dyDescent="0.3">
      <c r="C1955" t="s">
        <v>22</v>
      </c>
      <c r="D1955" t="s">
        <v>17</v>
      </c>
      <c r="E1955" t="s">
        <v>18</v>
      </c>
      <c r="F1955">
        <v>7</v>
      </c>
      <c r="G1955">
        <v>0</v>
      </c>
      <c r="H1955" s="2">
        <v>9.1979999999999986</v>
      </c>
      <c r="I1955" s="2">
        <v>20.439999999999998</v>
      </c>
    </row>
    <row r="1956" spans="2:9" x14ac:dyDescent="0.3">
      <c r="E1956" t="s">
        <v>16</v>
      </c>
      <c r="F1956">
        <v>2</v>
      </c>
      <c r="G1956">
        <v>0</v>
      </c>
      <c r="H1956" s="2">
        <v>53.860799999999998</v>
      </c>
      <c r="I1956" s="2">
        <v>109.92</v>
      </c>
    </row>
    <row r="1957" spans="2:9" x14ac:dyDescent="0.3">
      <c r="B1957" t="s">
        <v>232</v>
      </c>
      <c r="C1957" t="s">
        <v>11</v>
      </c>
      <c r="D1957" t="s">
        <v>8</v>
      </c>
      <c r="E1957" t="s">
        <v>12</v>
      </c>
      <c r="F1957">
        <v>5</v>
      </c>
      <c r="G1957">
        <v>0.2</v>
      </c>
      <c r="H1957" s="2">
        <v>17.126999999999988</v>
      </c>
      <c r="I1957" s="2">
        <v>152.24</v>
      </c>
    </row>
    <row r="1958" spans="2:9" x14ac:dyDescent="0.3">
      <c r="E1958" t="s">
        <v>16</v>
      </c>
      <c r="F1958">
        <v>5</v>
      </c>
      <c r="G1958">
        <v>0.2</v>
      </c>
      <c r="H1958" s="2">
        <v>29.691999999999993</v>
      </c>
      <c r="I1958" s="2">
        <v>91.360000000000014</v>
      </c>
    </row>
    <row r="1959" spans="2:9" x14ac:dyDescent="0.3">
      <c r="C1959" t="s">
        <v>7</v>
      </c>
      <c r="D1959" t="s">
        <v>8</v>
      </c>
      <c r="E1959" t="s">
        <v>16</v>
      </c>
      <c r="F1959">
        <v>6</v>
      </c>
      <c r="G1959">
        <v>0.2</v>
      </c>
      <c r="H1959" s="2">
        <v>11.222399999999999</v>
      </c>
      <c r="I1959" s="2">
        <v>32.064</v>
      </c>
    </row>
    <row r="1960" spans="2:9" x14ac:dyDescent="0.3">
      <c r="E1960" t="s">
        <v>14</v>
      </c>
      <c r="F1960">
        <v>1</v>
      </c>
      <c r="G1960">
        <v>0.2</v>
      </c>
      <c r="H1960" s="2">
        <v>0.99520000000000008</v>
      </c>
      <c r="I1960" s="2">
        <v>9.952</v>
      </c>
    </row>
    <row r="1961" spans="2:9" x14ac:dyDescent="0.3">
      <c r="D1961" t="s">
        <v>17</v>
      </c>
      <c r="E1961" t="s">
        <v>20</v>
      </c>
      <c r="F1961">
        <v>5</v>
      </c>
      <c r="G1961">
        <v>0.7</v>
      </c>
      <c r="H1961" s="2">
        <v>-7.6799999999999962</v>
      </c>
      <c r="I1961" s="2">
        <v>11.520000000000001</v>
      </c>
    </row>
    <row r="1962" spans="2:9" x14ac:dyDescent="0.3">
      <c r="C1962" t="s">
        <v>22</v>
      </c>
      <c r="D1962" t="s">
        <v>8</v>
      </c>
      <c r="E1962" t="s">
        <v>21</v>
      </c>
      <c r="F1962">
        <v>4</v>
      </c>
      <c r="G1962">
        <v>0.2</v>
      </c>
      <c r="H1962" s="2">
        <v>16.854399999999984</v>
      </c>
      <c r="I1962" s="2">
        <v>337.08800000000002</v>
      </c>
    </row>
    <row r="1963" spans="2:9" x14ac:dyDescent="0.3">
      <c r="E1963" t="s">
        <v>16</v>
      </c>
      <c r="F1963">
        <v>6</v>
      </c>
      <c r="G1963">
        <v>0.4</v>
      </c>
      <c r="H1963" s="2">
        <v>9.6714000000000002</v>
      </c>
      <c r="I1963" s="2">
        <v>27.504000000000005</v>
      </c>
    </row>
    <row r="1964" spans="2:9" x14ac:dyDescent="0.3">
      <c r="D1964" t="s">
        <v>15</v>
      </c>
      <c r="E1964" t="s">
        <v>43</v>
      </c>
      <c r="F1964">
        <v>4</v>
      </c>
      <c r="G1964">
        <v>0.2</v>
      </c>
      <c r="H1964" s="2">
        <v>3.3408000000000002</v>
      </c>
      <c r="I1964" s="2">
        <v>9.2159999999999993</v>
      </c>
    </row>
    <row r="1965" spans="2:9" x14ac:dyDescent="0.3">
      <c r="D1965" t="s">
        <v>17</v>
      </c>
      <c r="E1965" t="s">
        <v>20</v>
      </c>
      <c r="F1965">
        <v>3</v>
      </c>
      <c r="G1965">
        <v>0.7</v>
      </c>
      <c r="H1965" s="2">
        <v>-11.417999999999999</v>
      </c>
      <c r="I1965" s="2">
        <v>15.570000000000004</v>
      </c>
    </row>
    <row r="1966" spans="2:9" x14ac:dyDescent="0.3">
      <c r="E1966" t="s">
        <v>24</v>
      </c>
      <c r="F1966">
        <v>5</v>
      </c>
      <c r="G1966">
        <v>0.2</v>
      </c>
      <c r="H1966" s="2">
        <v>38.396000000000015</v>
      </c>
      <c r="I1966" s="2">
        <v>383.96000000000004</v>
      </c>
    </row>
    <row r="1967" spans="2:9" x14ac:dyDescent="0.3">
      <c r="B1967" t="s">
        <v>233</v>
      </c>
      <c r="C1967" t="s">
        <v>22</v>
      </c>
      <c r="D1967" t="s">
        <v>17</v>
      </c>
      <c r="E1967" t="s">
        <v>34</v>
      </c>
      <c r="F1967">
        <v>2</v>
      </c>
      <c r="G1967">
        <v>0</v>
      </c>
      <c r="H1967" s="2">
        <v>60.391999999999996</v>
      </c>
      <c r="I1967" s="2">
        <v>301.95999999999998</v>
      </c>
    </row>
    <row r="1968" spans="2:9" x14ac:dyDescent="0.3">
      <c r="B1968" t="s">
        <v>234</v>
      </c>
      <c r="C1968" t="s">
        <v>27</v>
      </c>
      <c r="D1968" t="s">
        <v>8</v>
      </c>
      <c r="E1968" t="s">
        <v>14</v>
      </c>
      <c r="F1968">
        <v>3</v>
      </c>
      <c r="G1968">
        <v>0.2</v>
      </c>
      <c r="H1968" s="2">
        <v>7.4571000000000041</v>
      </c>
      <c r="I1968" s="2">
        <v>85.224000000000004</v>
      </c>
    </row>
    <row r="1969" spans="2:9" x14ac:dyDescent="0.3">
      <c r="C1969" t="s">
        <v>22</v>
      </c>
      <c r="D1969" t="s">
        <v>8</v>
      </c>
      <c r="E1969" t="s">
        <v>16</v>
      </c>
      <c r="F1969">
        <v>1</v>
      </c>
      <c r="G1969">
        <v>0.2</v>
      </c>
      <c r="H1969" s="2">
        <v>15.534399999999998</v>
      </c>
      <c r="I1969" s="2">
        <v>44.384</v>
      </c>
    </row>
    <row r="1970" spans="2:9" x14ac:dyDescent="0.3">
      <c r="E1970" t="s">
        <v>9</v>
      </c>
      <c r="F1970">
        <v>1</v>
      </c>
      <c r="G1970">
        <v>0.2</v>
      </c>
      <c r="H1970" s="2">
        <v>-0.66240000000000021</v>
      </c>
      <c r="I1970" s="2">
        <v>2.9440000000000004</v>
      </c>
    </row>
    <row r="1971" spans="2:9" x14ac:dyDescent="0.3">
      <c r="B1971" t="s">
        <v>235</v>
      </c>
      <c r="C1971" t="s">
        <v>11</v>
      </c>
      <c r="D1971" t="s">
        <v>15</v>
      </c>
      <c r="E1971" t="s">
        <v>23</v>
      </c>
      <c r="F1971">
        <v>2</v>
      </c>
      <c r="G1971">
        <v>0</v>
      </c>
      <c r="H1971" s="2">
        <v>1.558799999999998</v>
      </c>
      <c r="I1971" s="2">
        <v>25.98</v>
      </c>
    </row>
    <row r="1972" spans="2:9" x14ac:dyDescent="0.3">
      <c r="E1972" t="s">
        <v>9</v>
      </c>
      <c r="F1972">
        <v>4</v>
      </c>
      <c r="G1972">
        <v>0</v>
      </c>
      <c r="H1972" s="2">
        <v>9.5448000000000093</v>
      </c>
      <c r="I1972" s="2">
        <v>477.24</v>
      </c>
    </row>
    <row r="1973" spans="2:9" x14ac:dyDescent="0.3">
      <c r="C1973" t="s">
        <v>7</v>
      </c>
      <c r="D1973" t="s">
        <v>15</v>
      </c>
      <c r="E1973" t="s">
        <v>19</v>
      </c>
      <c r="F1973">
        <v>7</v>
      </c>
      <c r="G1973">
        <v>0</v>
      </c>
      <c r="H1973" s="2">
        <v>4.1768999999999998</v>
      </c>
      <c r="I1973" s="2">
        <v>15.469999999999999</v>
      </c>
    </row>
    <row r="1974" spans="2:9" x14ac:dyDescent="0.3">
      <c r="E1974" t="s">
        <v>20</v>
      </c>
      <c r="F1974">
        <v>2</v>
      </c>
      <c r="G1974">
        <v>0</v>
      </c>
      <c r="H1974" s="2">
        <v>3.4367999999999999</v>
      </c>
      <c r="I1974" s="2">
        <v>7.16</v>
      </c>
    </row>
    <row r="1975" spans="2:9" x14ac:dyDescent="0.3">
      <c r="B1975" t="s">
        <v>236</v>
      </c>
      <c r="C1975" t="s">
        <v>22</v>
      </c>
      <c r="D1975" t="s">
        <v>8</v>
      </c>
      <c r="E1975" t="s">
        <v>23</v>
      </c>
      <c r="F1975">
        <v>1</v>
      </c>
      <c r="G1975">
        <v>0</v>
      </c>
      <c r="H1975" s="2">
        <v>2.9989999999999988</v>
      </c>
      <c r="I1975" s="2">
        <v>29.99</v>
      </c>
    </row>
    <row r="1976" spans="2:9" x14ac:dyDescent="0.3">
      <c r="D1976" t="s">
        <v>17</v>
      </c>
      <c r="E1976" t="s">
        <v>18</v>
      </c>
      <c r="F1976">
        <v>6</v>
      </c>
      <c r="G1976">
        <v>0</v>
      </c>
      <c r="H1976" s="2">
        <v>14.399999999999999</v>
      </c>
      <c r="I1976" s="2">
        <v>30</v>
      </c>
    </row>
    <row r="1977" spans="2:9" x14ac:dyDescent="0.3">
      <c r="E1977" t="s">
        <v>21</v>
      </c>
      <c r="F1977">
        <v>4</v>
      </c>
      <c r="G1977">
        <v>0</v>
      </c>
      <c r="H1977" s="2">
        <v>31.983999999999995</v>
      </c>
      <c r="I1977" s="2">
        <v>159.91999999999999</v>
      </c>
    </row>
    <row r="1978" spans="2:9" x14ac:dyDescent="0.3">
      <c r="E1978" t="s">
        <v>16</v>
      </c>
      <c r="F1978">
        <v>4</v>
      </c>
      <c r="G1978">
        <v>0</v>
      </c>
      <c r="H1978" s="2">
        <v>12.700800000000001</v>
      </c>
      <c r="I1978" s="2">
        <v>25.92</v>
      </c>
    </row>
    <row r="1979" spans="2:9" x14ac:dyDescent="0.3">
      <c r="B1979" t="s">
        <v>237</v>
      </c>
      <c r="C1979" t="s">
        <v>11</v>
      </c>
      <c r="D1979" t="s">
        <v>8</v>
      </c>
      <c r="E1979" t="s">
        <v>19</v>
      </c>
      <c r="F1979">
        <v>12</v>
      </c>
      <c r="G1979">
        <v>0.60000000000000009</v>
      </c>
      <c r="H1979" s="2">
        <v>12.525000000000002</v>
      </c>
      <c r="I1979" s="2">
        <v>97.08</v>
      </c>
    </row>
    <row r="1980" spans="2:9" x14ac:dyDescent="0.3">
      <c r="E1980" t="s">
        <v>20</v>
      </c>
      <c r="F1980">
        <v>11</v>
      </c>
      <c r="G1980">
        <v>2.4000000000000004</v>
      </c>
      <c r="H1980" s="2">
        <v>-2295.2772000000004</v>
      </c>
      <c r="I1980" s="2">
        <v>1529.8199999999995</v>
      </c>
    </row>
    <row r="1981" spans="2:9" x14ac:dyDescent="0.3">
      <c r="E1981" t="s">
        <v>33</v>
      </c>
      <c r="F1981">
        <v>8</v>
      </c>
      <c r="G1981">
        <v>0.6</v>
      </c>
      <c r="H1981" s="2">
        <v>-59.248800000000173</v>
      </c>
      <c r="I1981" s="2">
        <v>1090.4879999999998</v>
      </c>
    </row>
    <row r="1982" spans="2:9" x14ac:dyDescent="0.3">
      <c r="E1982" t="s">
        <v>18</v>
      </c>
      <c r="F1982">
        <v>6</v>
      </c>
      <c r="G1982">
        <v>0.2</v>
      </c>
      <c r="H1982" s="2">
        <v>1.8467999999999996</v>
      </c>
      <c r="I1982" s="2">
        <v>5.4719999999999995</v>
      </c>
    </row>
    <row r="1983" spans="2:9" x14ac:dyDescent="0.3">
      <c r="E1983" t="s">
        <v>21</v>
      </c>
      <c r="F1983">
        <v>9</v>
      </c>
      <c r="G1983">
        <v>0.6</v>
      </c>
      <c r="H1983" s="2">
        <v>-20.730599999999995</v>
      </c>
      <c r="I1983" s="2">
        <v>75.384000000000015</v>
      </c>
    </row>
    <row r="1984" spans="2:9" x14ac:dyDescent="0.3">
      <c r="E1984" t="s">
        <v>43</v>
      </c>
      <c r="F1984">
        <v>2</v>
      </c>
      <c r="G1984">
        <v>0.2</v>
      </c>
      <c r="H1984" s="2">
        <v>1.6704000000000001</v>
      </c>
      <c r="I1984" s="2">
        <v>4.6079999999999997</v>
      </c>
    </row>
    <row r="1985" spans="4:9" x14ac:dyDescent="0.3">
      <c r="E1985" t="s">
        <v>16</v>
      </c>
      <c r="F1985">
        <v>28</v>
      </c>
      <c r="G1985">
        <v>1.2</v>
      </c>
      <c r="H1985" s="2">
        <v>137.07219999999998</v>
      </c>
      <c r="I1985" s="2">
        <v>413.64800000000002</v>
      </c>
    </row>
    <row r="1986" spans="4:9" x14ac:dyDescent="0.3">
      <c r="E1986" t="s">
        <v>24</v>
      </c>
      <c r="F1986">
        <v>11</v>
      </c>
      <c r="G1986">
        <v>0.60000000000000009</v>
      </c>
      <c r="H1986" s="2">
        <v>27.251300000000008</v>
      </c>
      <c r="I1986" s="2">
        <v>273.51199999999994</v>
      </c>
    </row>
    <row r="1987" spans="4:9" x14ac:dyDescent="0.3">
      <c r="E1987" t="s">
        <v>14</v>
      </c>
      <c r="F1987">
        <v>3</v>
      </c>
      <c r="G1987">
        <v>0.4</v>
      </c>
      <c r="H1987" s="2">
        <v>2.6248000000000009</v>
      </c>
      <c r="I1987" s="2">
        <v>28.944000000000003</v>
      </c>
    </row>
    <row r="1988" spans="4:9" x14ac:dyDescent="0.3">
      <c r="D1988" t="s">
        <v>15</v>
      </c>
      <c r="E1988" t="s">
        <v>23</v>
      </c>
      <c r="F1988">
        <v>6</v>
      </c>
      <c r="G1988">
        <v>0.4</v>
      </c>
      <c r="H1988" s="2">
        <v>40.525799999999997</v>
      </c>
      <c r="I1988" s="2">
        <v>199.17600000000002</v>
      </c>
    </row>
    <row r="1989" spans="4:9" x14ac:dyDescent="0.3">
      <c r="E1989" t="s">
        <v>19</v>
      </c>
      <c r="F1989">
        <v>2</v>
      </c>
      <c r="G1989">
        <v>0.2</v>
      </c>
      <c r="H1989" s="2">
        <v>6.2243999999999957</v>
      </c>
      <c r="I1989" s="2">
        <v>55.328000000000003</v>
      </c>
    </row>
    <row r="1990" spans="4:9" x14ac:dyDescent="0.3">
      <c r="E1990" t="s">
        <v>20</v>
      </c>
      <c r="F1990">
        <v>8</v>
      </c>
      <c r="G1990">
        <v>2.4000000000000004</v>
      </c>
      <c r="H1990" s="2">
        <v>-57.799800000000005</v>
      </c>
      <c r="I1990" s="2">
        <v>34.109999999999992</v>
      </c>
    </row>
    <row r="1991" spans="4:9" x14ac:dyDescent="0.3">
      <c r="E1991" t="s">
        <v>34</v>
      </c>
      <c r="F1991">
        <v>6</v>
      </c>
      <c r="G1991">
        <v>0.32</v>
      </c>
      <c r="H1991" s="2">
        <v>-36.117600000000152</v>
      </c>
      <c r="I1991" s="2">
        <v>1227.9983999999999</v>
      </c>
    </row>
    <row r="1992" spans="4:9" x14ac:dyDescent="0.3">
      <c r="E1992" t="s">
        <v>38</v>
      </c>
      <c r="F1992">
        <v>3</v>
      </c>
      <c r="G1992">
        <v>0.2</v>
      </c>
      <c r="H1992" s="2">
        <v>26.952599999999997</v>
      </c>
      <c r="I1992" s="2">
        <v>74.352000000000004</v>
      </c>
    </row>
    <row r="1993" spans="4:9" x14ac:dyDescent="0.3">
      <c r="E1993" t="s">
        <v>21</v>
      </c>
      <c r="F1993">
        <v>10</v>
      </c>
      <c r="G1993">
        <v>1.7999999999999998</v>
      </c>
      <c r="H1993" s="2">
        <v>-18.965399999999999</v>
      </c>
      <c r="I1993" s="2">
        <v>35.840000000000003</v>
      </c>
    </row>
    <row r="1994" spans="4:9" x14ac:dyDescent="0.3">
      <c r="E1994" t="s">
        <v>16</v>
      </c>
      <c r="F1994">
        <v>7</v>
      </c>
      <c r="G1994">
        <v>0.4</v>
      </c>
      <c r="H1994" s="2">
        <v>17.123399999999997</v>
      </c>
      <c r="I1994" s="2">
        <v>47.952000000000005</v>
      </c>
    </row>
    <row r="1995" spans="4:9" x14ac:dyDescent="0.3">
      <c r="E1995" t="s">
        <v>24</v>
      </c>
      <c r="F1995">
        <v>7</v>
      </c>
      <c r="G1995">
        <v>0.2</v>
      </c>
      <c r="H1995" s="2">
        <v>118.29299999999989</v>
      </c>
      <c r="I1995" s="2">
        <v>946.34400000000005</v>
      </c>
    </row>
    <row r="1996" spans="4:9" x14ac:dyDescent="0.3">
      <c r="E1996" t="s">
        <v>14</v>
      </c>
      <c r="F1996">
        <v>3</v>
      </c>
      <c r="G1996">
        <v>0.2</v>
      </c>
      <c r="H1996" s="2">
        <v>2.724000000000002</v>
      </c>
      <c r="I1996" s="2">
        <v>27.240000000000002</v>
      </c>
    </row>
    <row r="1997" spans="4:9" x14ac:dyDescent="0.3">
      <c r="D1997" t="s">
        <v>17</v>
      </c>
      <c r="E1997" t="s">
        <v>23</v>
      </c>
      <c r="F1997">
        <v>6</v>
      </c>
      <c r="G1997">
        <v>0.4</v>
      </c>
      <c r="H1997" s="2">
        <v>18.501999999999999</v>
      </c>
      <c r="I1997" s="2">
        <v>147.488</v>
      </c>
    </row>
    <row r="1998" spans="4:9" x14ac:dyDescent="0.3">
      <c r="E1998" t="s">
        <v>19</v>
      </c>
      <c r="F1998">
        <v>9</v>
      </c>
      <c r="G1998">
        <v>0.4</v>
      </c>
      <c r="H1998" s="2">
        <v>56.184900000000006</v>
      </c>
      <c r="I1998" s="2">
        <v>197.304</v>
      </c>
    </row>
    <row r="1999" spans="4:9" x14ac:dyDescent="0.3">
      <c r="E1999" t="s">
        <v>20</v>
      </c>
      <c r="F1999">
        <v>17</v>
      </c>
      <c r="G1999">
        <v>3.2</v>
      </c>
      <c r="H1999" s="2">
        <v>-90.956400000000031</v>
      </c>
      <c r="I1999" s="2">
        <v>57.399999999999991</v>
      </c>
    </row>
    <row r="2000" spans="4:9" x14ac:dyDescent="0.3">
      <c r="E2000" t="s">
        <v>34</v>
      </c>
      <c r="F2000">
        <v>5</v>
      </c>
      <c r="G2000">
        <v>0.64</v>
      </c>
      <c r="H2000" s="2">
        <v>-84.697800000000001</v>
      </c>
      <c r="I2000" s="2">
        <v>472.53199999999993</v>
      </c>
    </row>
    <row r="2001" spans="3:9" x14ac:dyDescent="0.3">
      <c r="E2001" t="s">
        <v>16</v>
      </c>
      <c r="F2001">
        <v>7</v>
      </c>
      <c r="G2001">
        <v>0.4</v>
      </c>
      <c r="H2001" s="2">
        <v>83.209699999999998</v>
      </c>
      <c r="I2001" s="2">
        <v>229.54400000000001</v>
      </c>
    </row>
    <row r="2002" spans="3:9" x14ac:dyDescent="0.3">
      <c r="E2002" t="s">
        <v>24</v>
      </c>
      <c r="F2002">
        <v>7</v>
      </c>
      <c r="G2002">
        <v>0.4</v>
      </c>
      <c r="H2002" s="2">
        <v>-72.909000000000049</v>
      </c>
      <c r="I2002" s="2">
        <v>635.11200000000008</v>
      </c>
    </row>
    <row r="2003" spans="3:9" x14ac:dyDescent="0.3">
      <c r="E2003" t="s">
        <v>14</v>
      </c>
      <c r="F2003">
        <v>9</v>
      </c>
      <c r="G2003">
        <v>0.2</v>
      </c>
      <c r="H2003" s="2">
        <v>7.5527999999999977</v>
      </c>
      <c r="I2003" s="2">
        <v>151.05600000000001</v>
      </c>
    </row>
    <row r="2004" spans="3:9" x14ac:dyDescent="0.3">
      <c r="E2004" t="s">
        <v>25</v>
      </c>
      <c r="F2004">
        <v>1</v>
      </c>
      <c r="G2004">
        <v>0.3</v>
      </c>
      <c r="H2004" s="2">
        <v>-22.948000000000008</v>
      </c>
      <c r="I2004" s="2">
        <v>200.79500000000002</v>
      </c>
    </row>
    <row r="2005" spans="3:9" x14ac:dyDescent="0.3">
      <c r="C2005" t="s">
        <v>27</v>
      </c>
      <c r="D2005" t="s">
        <v>8</v>
      </c>
      <c r="E2005" t="s">
        <v>23</v>
      </c>
      <c r="F2005">
        <v>7</v>
      </c>
      <c r="G2005">
        <v>0.4</v>
      </c>
      <c r="H2005" s="2">
        <v>47.194400000000016</v>
      </c>
      <c r="I2005" s="2">
        <v>383.94400000000002</v>
      </c>
    </row>
    <row r="2006" spans="3:9" x14ac:dyDescent="0.3">
      <c r="E2006" t="s">
        <v>12</v>
      </c>
      <c r="F2006">
        <v>4</v>
      </c>
      <c r="G2006">
        <v>0.8</v>
      </c>
      <c r="H2006" s="2">
        <v>-85.238399999999999</v>
      </c>
      <c r="I2006" s="2">
        <v>32.783999999999992</v>
      </c>
    </row>
    <row r="2007" spans="3:9" x14ac:dyDescent="0.3">
      <c r="E2007" t="s">
        <v>20</v>
      </c>
      <c r="F2007">
        <v>3</v>
      </c>
      <c r="G2007">
        <v>1.6</v>
      </c>
      <c r="H2007" s="2">
        <v>-7.9672000000000001</v>
      </c>
      <c r="I2007" s="2">
        <v>4.9099999999999984</v>
      </c>
    </row>
    <row r="2008" spans="3:9" x14ac:dyDescent="0.3">
      <c r="E2008" t="s">
        <v>21</v>
      </c>
      <c r="F2008">
        <v>11</v>
      </c>
      <c r="G2008">
        <v>1.7999999999999998</v>
      </c>
      <c r="H2008" s="2">
        <v>-24.538599999999995</v>
      </c>
      <c r="I2008" s="2">
        <v>34.671999999999997</v>
      </c>
    </row>
    <row r="2009" spans="3:9" x14ac:dyDescent="0.3">
      <c r="E2009" t="s">
        <v>16</v>
      </c>
      <c r="F2009">
        <v>14</v>
      </c>
      <c r="G2009">
        <v>0.60000000000000009</v>
      </c>
      <c r="H2009" s="2">
        <v>128.51159999999999</v>
      </c>
      <c r="I2009" s="2">
        <v>351.88800000000003</v>
      </c>
    </row>
    <row r="2010" spans="3:9" x14ac:dyDescent="0.3">
      <c r="E2010" t="s">
        <v>24</v>
      </c>
      <c r="F2010">
        <v>8</v>
      </c>
      <c r="G2010">
        <v>0.4</v>
      </c>
      <c r="H2010" s="2">
        <v>-4.4185999999999908</v>
      </c>
      <c r="I2010" s="2">
        <v>135.136</v>
      </c>
    </row>
    <row r="2011" spans="3:9" x14ac:dyDescent="0.3">
      <c r="E2011" t="s">
        <v>14</v>
      </c>
      <c r="F2011">
        <v>17</v>
      </c>
      <c r="G2011">
        <v>0.60000000000000009</v>
      </c>
      <c r="H2011" s="2">
        <v>-74.698800000000034</v>
      </c>
      <c r="I2011" s="2">
        <v>548.5440000000001</v>
      </c>
    </row>
    <row r="2012" spans="3:9" x14ac:dyDescent="0.3">
      <c r="C2012" t="s">
        <v>7</v>
      </c>
      <c r="D2012" t="s">
        <v>8</v>
      </c>
      <c r="E2012" t="s">
        <v>23</v>
      </c>
      <c r="F2012">
        <v>6</v>
      </c>
      <c r="G2012">
        <v>0.60000000000000009</v>
      </c>
      <c r="H2012" s="2">
        <v>-5.252200000000002</v>
      </c>
      <c r="I2012" s="2">
        <v>107.76</v>
      </c>
    </row>
    <row r="2013" spans="3:9" x14ac:dyDescent="0.3">
      <c r="E2013" t="s">
        <v>12</v>
      </c>
      <c r="F2013">
        <v>9</v>
      </c>
      <c r="G2013">
        <v>1.6</v>
      </c>
      <c r="H2013" s="2">
        <v>-1009.172</v>
      </c>
      <c r="I2013" s="2">
        <v>391.8839999999999</v>
      </c>
    </row>
    <row r="2014" spans="3:9" x14ac:dyDescent="0.3">
      <c r="E2014" t="s">
        <v>20</v>
      </c>
      <c r="F2014">
        <v>18</v>
      </c>
      <c r="G2014">
        <v>3.2</v>
      </c>
      <c r="H2014" s="2">
        <v>-75.454000000000008</v>
      </c>
      <c r="I2014" s="2">
        <v>47.489999999999988</v>
      </c>
    </row>
    <row r="2015" spans="3:9" x14ac:dyDescent="0.3">
      <c r="E2015" t="s">
        <v>34</v>
      </c>
      <c r="F2015">
        <v>4</v>
      </c>
      <c r="G2015">
        <v>0.32</v>
      </c>
      <c r="H2015" s="2">
        <v>-317.15280000000007</v>
      </c>
      <c r="I2015" s="2">
        <v>2396.2655999999997</v>
      </c>
    </row>
    <row r="2016" spans="3:9" x14ac:dyDescent="0.3">
      <c r="E2016" t="s">
        <v>33</v>
      </c>
      <c r="F2016">
        <v>5</v>
      </c>
      <c r="G2016">
        <v>0.89999999999999991</v>
      </c>
      <c r="H2016" s="2">
        <v>-49.917800000000014</v>
      </c>
      <c r="I2016" s="2">
        <v>249.70400000000001</v>
      </c>
    </row>
    <row r="2017" spans="4:9" x14ac:dyDescent="0.3">
      <c r="E2017" t="s">
        <v>38</v>
      </c>
      <c r="F2017">
        <v>8</v>
      </c>
      <c r="G2017">
        <v>0.4</v>
      </c>
      <c r="H2017" s="2">
        <v>26.1096</v>
      </c>
      <c r="I2017" s="2">
        <v>71.711999999999989</v>
      </c>
    </row>
    <row r="2018" spans="4:9" x14ac:dyDescent="0.3">
      <c r="E2018" t="s">
        <v>18</v>
      </c>
      <c r="F2018">
        <v>4</v>
      </c>
      <c r="G2018">
        <v>0.2</v>
      </c>
      <c r="H2018" s="2">
        <v>7.8899999999999979</v>
      </c>
      <c r="I2018" s="2">
        <v>25.248000000000001</v>
      </c>
    </row>
    <row r="2019" spans="4:9" x14ac:dyDescent="0.3">
      <c r="E2019" t="s">
        <v>21</v>
      </c>
      <c r="F2019">
        <v>16</v>
      </c>
      <c r="G2019">
        <v>3</v>
      </c>
      <c r="H2019" s="2">
        <v>-60.343399999999995</v>
      </c>
      <c r="I2019" s="2">
        <v>90.052000000000007</v>
      </c>
    </row>
    <row r="2020" spans="4:9" x14ac:dyDescent="0.3">
      <c r="E2020" t="s">
        <v>16</v>
      </c>
      <c r="F2020">
        <v>26</v>
      </c>
      <c r="G2020">
        <v>1.2</v>
      </c>
      <c r="H2020" s="2">
        <v>48.899499999999989</v>
      </c>
      <c r="I2020" s="2">
        <v>147.78400000000002</v>
      </c>
    </row>
    <row r="2021" spans="4:9" x14ac:dyDescent="0.3">
      <c r="E2021" t="s">
        <v>24</v>
      </c>
      <c r="F2021">
        <v>19</v>
      </c>
      <c r="G2021">
        <v>0.60000000000000009</v>
      </c>
      <c r="H2021" s="2">
        <v>482.6</v>
      </c>
      <c r="I2021" s="2">
        <v>2254.3040000000001</v>
      </c>
    </row>
    <row r="2022" spans="4:9" x14ac:dyDescent="0.3">
      <c r="E2022" t="s">
        <v>14</v>
      </c>
      <c r="F2022">
        <v>13</v>
      </c>
      <c r="G2022">
        <v>0.8</v>
      </c>
      <c r="H2022" s="2">
        <v>-22.252200000000006</v>
      </c>
      <c r="I2022" s="2">
        <v>238.56</v>
      </c>
    </row>
    <row r="2023" spans="4:9" x14ac:dyDescent="0.3">
      <c r="E2023" t="s">
        <v>9</v>
      </c>
      <c r="F2023">
        <v>1</v>
      </c>
      <c r="G2023">
        <v>0.2</v>
      </c>
      <c r="H2023" s="2">
        <v>0.36499999999999977</v>
      </c>
      <c r="I2023" s="2">
        <v>2.92</v>
      </c>
    </row>
    <row r="2024" spans="4:9" x14ac:dyDescent="0.3">
      <c r="E2024" t="s">
        <v>25</v>
      </c>
      <c r="F2024">
        <v>12</v>
      </c>
      <c r="G2024">
        <v>0.89999999999999991</v>
      </c>
      <c r="H2024" s="2">
        <v>-262.01300000000009</v>
      </c>
      <c r="I2024" s="2">
        <v>1446.62</v>
      </c>
    </row>
    <row r="2025" spans="4:9" x14ac:dyDescent="0.3">
      <c r="D2025" t="s">
        <v>15</v>
      </c>
      <c r="E2025" t="s">
        <v>23</v>
      </c>
      <c r="F2025">
        <v>9</v>
      </c>
      <c r="G2025">
        <v>0.4</v>
      </c>
      <c r="H2025" s="2">
        <v>26.953800000000005</v>
      </c>
      <c r="I2025" s="2">
        <v>219.57600000000002</v>
      </c>
    </row>
    <row r="2026" spans="4:9" x14ac:dyDescent="0.3">
      <c r="E2026" t="s">
        <v>12</v>
      </c>
      <c r="F2026">
        <v>8</v>
      </c>
      <c r="G2026">
        <v>1.6</v>
      </c>
      <c r="H2026" s="2">
        <v>-94.880400000000023</v>
      </c>
      <c r="I2026" s="2">
        <v>37.207999999999991</v>
      </c>
    </row>
    <row r="2027" spans="4:9" x14ac:dyDescent="0.3">
      <c r="E2027" t="s">
        <v>20</v>
      </c>
      <c r="F2027">
        <v>4</v>
      </c>
      <c r="G2027">
        <v>0.8</v>
      </c>
      <c r="H2027" s="2">
        <v>-53.072000000000017</v>
      </c>
      <c r="I2027" s="2">
        <v>34.239999999999988</v>
      </c>
    </row>
    <row r="2028" spans="4:9" x14ac:dyDescent="0.3">
      <c r="E2028" t="s">
        <v>34</v>
      </c>
      <c r="F2028">
        <v>10</v>
      </c>
      <c r="G2028">
        <v>0.32</v>
      </c>
      <c r="H2028" s="2">
        <v>-137.97600000000008</v>
      </c>
      <c r="I2028" s="2">
        <v>781.86399999999992</v>
      </c>
    </row>
    <row r="2029" spans="4:9" x14ac:dyDescent="0.3">
      <c r="E2029" t="s">
        <v>33</v>
      </c>
      <c r="F2029">
        <v>5</v>
      </c>
      <c r="G2029">
        <v>0.6</v>
      </c>
      <c r="H2029" s="2">
        <v>-54.772400000000005</v>
      </c>
      <c r="I2029" s="2">
        <v>829.43</v>
      </c>
    </row>
    <row r="2030" spans="4:9" x14ac:dyDescent="0.3">
      <c r="E2030" t="s">
        <v>18</v>
      </c>
      <c r="F2030">
        <v>8</v>
      </c>
      <c r="G2030">
        <v>0.2</v>
      </c>
      <c r="H2030" s="2">
        <v>5.3352000000000004</v>
      </c>
      <c r="I2030" s="2">
        <v>15.808000000000002</v>
      </c>
    </row>
    <row r="2031" spans="4:9" x14ac:dyDescent="0.3">
      <c r="E2031" t="s">
        <v>21</v>
      </c>
      <c r="F2031">
        <v>5</v>
      </c>
      <c r="G2031">
        <v>1.2</v>
      </c>
      <c r="H2031" s="2">
        <v>-4.577399999999999</v>
      </c>
      <c r="I2031" s="2">
        <v>11.879999999999999</v>
      </c>
    </row>
    <row r="2032" spans="4:9" x14ac:dyDescent="0.3">
      <c r="E2032" t="s">
        <v>43</v>
      </c>
      <c r="F2032">
        <v>9</v>
      </c>
      <c r="G2032">
        <v>0.2</v>
      </c>
      <c r="H2032" s="2">
        <v>14.741999999999997</v>
      </c>
      <c r="I2032" s="2">
        <v>45.36</v>
      </c>
    </row>
    <row r="2033" spans="3:9" x14ac:dyDescent="0.3">
      <c r="E2033" t="s">
        <v>46</v>
      </c>
      <c r="F2033">
        <v>13</v>
      </c>
      <c r="G2033">
        <v>1.2000000000000002</v>
      </c>
      <c r="H2033" s="2">
        <v>-712.2318000000007</v>
      </c>
      <c r="I2033" s="2">
        <v>6177.0720000000001</v>
      </c>
    </row>
    <row r="2034" spans="3:9" x14ac:dyDescent="0.3">
      <c r="E2034" t="s">
        <v>16</v>
      </c>
      <c r="F2034">
        <v>28</v>
      </c>
      <c r="G2034">
        <v>1</v>
      </c>
      <c r="H2034" s="2">
        <v>142.87229999999997</v>
      </c>
      <c r="I2034" s="2">
        <v>420.92000000000007</v>
      </c>
    </row>
    <row r="2035" spans="3:9" x14ac:dyDescent="0.3">
      <c r="E2035" t="s">
        <v>24</v>
      </c>
      <c r="F2035">
        <v>9</v>
      </c>
      <c r="G2035">
        <v>0.60000000000000009</v>
      </c>
      <c r="H2035" s="2">
        <v>90.509399999999971</v>
      </c>
      <c r="I2035" s="2">
        <v>873.33600000000001</v>
      </c>
    </row>
    <row r="2036" spans="3:9" x14ac:dyDescent="0.3">
      <c r="E2036" t="s">
        <v>14</v>
      </c>
      <c r="F2036">
        <v>10</v>
      </c>
      <c r="G2036">
        <v>0.60000000000000009</v>
      </c>
      <c r="H2036" s="2">
        <v>-8.7487999999999992</v>
      </c>
      <c r="I2036" s="2">
        <v>203.87200000000001</v>
      </c>
    </row>
    <row r="2037" spans="3:9" x14ac:dyDescent="0.3">
      <c r="D2037" t="s">
        <v>17</v>
      </c>
      <c r="E2037" t="s">
        <v>23</v>
      </c>
      <c r="F2037">
        <v>8</v>
      </c>
      <c r="G2037">
        <v>0.4</v>
      </c>
      <c r="H2037" s="2">
        <v>98.580500000000001</v>
      </c>
      <c r="I2037" s="2">
        <v>418.25600000000003</v>
      </c>
    </row>
    <row r="2038" spans="3:9" x14ac:dyDescent="0.3">
      <c r="E2038" t="s">
        <v>12</v>
      </c>
      <c r="F2038">
        <v>10</v>
      </c>
      <c r="G2038">
        <v>1.6</v>
      </c>
      <c r="H2038" s="2">
        <v>-185.6686</v>
      </c>
      <c r="I2038" s="2">
        <v>73.707999999999984</v>
      </c>
    </row>
    <row r="2039" spans="3:9" x14ac:dyDescent="0.3">
      <c r="E2039" t="s">
        <v>19</v>
      </c>
      <c r="F2039">
        <v>11</v>
      </c>
      <c r="G2039">
        <v>0.4</v>
      </c>
      <c r="H2039" s="2">
        <v>7.1637999999999993</v>
      </c>
      <c r="I2039" s="2">
        <v>21.176000000000002</v>
      </c>
    </row>
    <row r="2040" spans="3:9" x14ac:dyDescent="0.3">
      <c r="E2040" t="s">
        <v>20</v>
      </c>
      <c r="F2040">
        <v>15</v>
      </c>
      <c r="G2040">
        <v>2.4000000000000004</v>
      </c>
      <c r="H2040" s="2">
        <v>-26.159400000000005</v>
      </c>
      <c r="I2040" s="2">
        <v>15.931999999999997</v>
      </c>
    </row>
    <row r="2041" spans="3:9" x14ac:dyDescent="0.3">
      <c r="E2041" t="s">
        <v>33</v>
      </c>
      <c r="F2041">
        <v>10</v>
      </c>
      <c r="G2041">
        <v>0.89999999999999991</v>
      </c>
      <c r="H2041" s="2">
        <v>-205.14360000000011</v>
      </c>
      <c r="I2041" s="2">
        <v>1298.3600000000001</v>
      </c>
    </row>
    <row r="2042" spans="3:9" x14ac:dyDescent="0.3">
      <c r="E2042" t="s">
        <v>21</v>
      </c>
      <c r="F2042">
        <v>14</v>
      </c>
      <c r="G2042">
        <v>2.4</v>
      </c>
      <c r="H2042" s="2">
        <v>-88.12299999999999</v>
      </c>
      <c r="I2042" s="2">
        <v>125.38</v>
      </c>
    </row>
    <row r="2043" spans="3:9" x14ac:dyDescent="0.3">
      <c r="E2043" t="s">
        <v>43</v>
      </c>
      <c r="F2043">
        <v>1</v>
      </c>
      <c r="G2043">
        <v>0.2</v>
      </c>
      <c r="H2043" s="2">
        <v>0.86239999999999983</v>
      </c>
      <c r="I2043" s="2">
        <v>2.4640000000000004</v>
      </c>
    </row>
    <row r="2044" spans="3:9" x14ac:dyDescent="0.3">
      <c r="E2044" t="s">
        <v>16</v>
      </c>
      <c r="F2044">
        <v>6</v>
      </c>
      <c r="G2044">
        <v>0.4</v>
      </c>
      <c r="H2044" s="2">
        <v>15.584399999999999</v>
      </c>
      <c r="I2044" s="2">
        <v>45.024000000000001</v>
      </c>
    </row>
    <row r="2045" spans="3:9" x14ac:dyDescent="0.3">
      <c r="E2045" t="s">
        <v>24</v>
      </c>
      <c r="F2045">
        <v>11</v>
      </c>
      <c r="G2045">
        <v>0.4</v>
      </c>
      <c r="H2045" s="2">
        <v>100.48100000000008</v>
      </c>
      <c r="I2045" s="2">
        <v>1535.72</v>
      </c>
    </row>
    <row r="2046" spans="3:9" x14ac:dyDescent="0.3">
      <c r="E2046" t="s">
        <v>14</v>
      </c>
      <c r="F2046">
        <v>17</v>
      </c>
      <c r="G2046">
        <v>0.60000000000000009</v>
      </c>
      <c r="H2046" s="2">
        <v>21.264799999999997</v>
      </c>
      <c r="I2046" s="2">
        <v>234.62400000000002</v>
      </c>
    </row>
    <row r="2047" spans="3:9" x14ac:dyDescent="0.3">
      <c r="C2047" t="s">
        <v>22</v>
      </c>
      <c r="D2047" t="s">
        <v>8</v>
      </c>
      <c r="E2047" t="s">
        <v>23</v>
      </c>
      <c r="F2047">
        <v>36</v>
      </c>
      <c r="G2047">
        <v>2.1999999999999997</v>
      </c>
      <c r="H2047" s="2">
        <v>231.57559999999989</v>
      </c>
      <c r="I2047" s="2">
        <v>1413.0880000000002</v>
      </c>
    </row>
    <row r="2048" spans="3:9" x14ac:dyDescent="0.3">
      <c r="E2048" t="s">
        <v>12</v>
      </c>
      <c r="F2048">
        <v>22</v>
      </c>
      <c r="G2048">
        <v>6.3999999999999995</v>
      </c>
      <c r="H2048" s="2">
        <v>-749.42980000000011</v>
      </c>
      <c r="I2048" s="2">
        <v>288.83999999999997</v>
      </c>
    </row>
    <row r="2049" spans="4:9" x14ac:dyDescent="0.3">
      <c r="E2049" t="s">
        <v>19</v>
      </c>
      <c r="F2049">
        <v>49</v>
      </c>
      <c r="G2049">
        <v>2.4</v>
      </c>
      <c r="H2049" s="2">
        <v>49.298399999999987</v>
      </c>
      <c r="I2049" s="2">
        <v>401.77599999999995</v>
      </c>
    </row>
    <row r="2050" spans="4:9" x14ac:dyDescent="0.3">
      <c r="E2050" t="s">
        <v>20</v>
      </c>
      <c r="F2050">
        <v>118</v>
      </c>
      <c r="G2050">
        <v>24.800000000000011</v>
      </c>
      <c r="H2050" s="2">
        <v>-4131.0941000000021</v>
      </c>
      <c r="I2050" s="2">
        <v>2476.2819999999988</v>
      </c>
    </row>
    <row r="2051" spans="4:9" x14ac:dyDescent="0.3">
      <c r="E2051" t="s">
        <v>34</v>
      </c>
      <c r="F2051">
        <v>15</v>
      </c>
      <c r="G2051">
        <v>0.96</v>
      </c>
      <c r="H2051" s="2">
        <v>-273.25440000000015</v>
      </c>
      <c r="I2051" s="2">
        <v>2593.9959999999996</v>
      </c>
    </row>
    <row r="2052" spans="4:9" x14ac:dyDescent="0.3">
      <c r="E2052" t="s">
        <v>33</v>
      </c>
      <c r="F2052">
        <v>30</v>
      </c>
      <c r="G2052">
        <v>2.6999999999999997</v>
      </c>
      <c r="H2052" s="2">
        <v>-170.49720000000011</v>
      </c>
      <c r="I2052" s="2">
        <v>4244.8139999999994</v>
      </c>
    </row>
    <row r="2053" spans="4:9" x14ac:dyDescent="0.3">
      <c r="E2053" t="s">
        <v>38</v>
      </c>
      <c r="F2053">
        <v>17</v>
      </c>
      <c r="G2053">
        <v>0.8</v>
      </c>
      <c r="H2053" s="2">
        <v>301.90859999999992</v>
      </c>
      <c r="I2053" s="2">
        <v>894.54399999999998</v>
      </c>
    </row>
    <row r="2054" spans="4:9" x14ac:dyDescent="0.3">
      <c r="E2054" t="s">
        <v>18</v>
      </c>
      <c r="F2054">
        <v>17</v>
      </c>
      <c r="G2054">
        <v>0.60000000000000009</v>
      </c>
      <c r="H2054" s="2">
        <v>25.074300000000001</v>
      </c>
      <c r="I2054" s="2">
        <v>71.016000000000005</v>
      </c>
    </row>
    <row r="2055" spans="4:9" x14ac:dyDescent="0.3">
      <c r="E2055" t="s">
        <v>21</v>
      </c>
      <c r="F2055">
        <v>28</v>
      </c>
      <c r="G2055">
        <v>5.3999999999999995</v>
      </c>
      <c r="H2055" s="2">
        <v>-267.29379999999998</v>
      </c>
      <c r="I2055" s="2">
        <v>265.93600000000004</v>
      </c>
    </row>
    <row r="2056" spans="4:9" x14ac:dyDescent="0.3">
      <c r="E2056" t="s">
        <v>43</v>
      </c>
      <c r="F2056">
        <v>1</v>
      </c>
      <c r="G2056">
        <v>0.2</v>
      </c>
      <c r="H2056" s="2">
        <v>0.67859999999999987</v>
      </c>
      <c r="I2056" s="2">
        <v>2.0880000000000001</v>
      </c>
    </row>
    <row r="2057" spans="4:9" x14ac:dyDescent="0.3">
      <c r="E2057" t="s">
        <v>46</v>
      </c>
      <c r="F2057">
        <v>8</v>
      </c>
      <c r="G2057">
        <v>0.8</v>
      </c>
      <c r="H2057" s="2">
        <v>-166.18050000000011</v>
      </c>
      <c r="I2057" s="2">
        <v>1286.7599999999998</v>
      </c>
    </row>
    <row r="2058" spans="4:9" x14ac:dyDescent="0.3">
      <c r="E2058" t="s">
        <v>16</v>
      </c>
      <c r="F2058">
        <v>70</v>
      </c>
      <c r="G2058">
        <v>3.4000000000000008</v>
      </c>
      <c r="H2058" s="2">
        <v>422.76949999999994</v>
      </c>
      <c r="I2058" s="2">
        <v>1213.6640000000002</v>
      </c>
    </row>
    <row r="2059" spans="4:9" x14ac:dyDescent="0.3">
      <c r="E2059" t="s">
        <v>24</v>
      </c>
      <c r="F2059">
        <v>43</v>
      </c>
      <c r="G2059">
        <v>2.4</v>
      </c>
      <c r="H2059" s="2">
        <v>347.3116999999998</v>
      </c>
      <c r="I2059" s="2">
        <v>3163.4479999999999</v>
      </c>
    </row>
    <row r="2060" spans="4:9" x14ac:dyDescent="0.3">
      <c r="E2060" t="s">
        <v>14</v>
      </c>
      <c r="F2060">
        <v>29</v>
      </c>
      <c r="G2060">
        <v>1.9999999999999998</v>
      </c>
      <c r="H2060" s="2">
        <v>-233.20660000000012</v>
      </c>
      <c r="I2060" s="2">
        <v>1456.1360000000004</v>
      </c>
    </row>
    <row r="2061" spans="4:9" x14ac:dyDescent="0.3">
      <c r="E2061" t="s">
        <v>9</v>
      </c>
      <c r="F2061">
        <v>7</v>
      </c>
      <c r="G2061">
        <v>0.2</v>
      </c>
      <c r="H2061" s="2">
        <v>3.5623000000000022</v>
      </c>
      <c r="I2061" s="2">
        <v>40.711999999999996</v>
      </c>
    </row>
    <row r="2062" spans="4:9" x14ac:dyDescent="0.3">
      <c r="E2062" t="s">
        <v>25</v>
      </c>
      <c r="F2062">
        <v>16</v>
      </c>
      <c r="G2062">
        <v>0.89999999999999991</v>
      </c>
      <c r="H2062" s="2">
        <v>-269.17780000000016</v>
      </c>
      <c r="I2062" s="2">
        <v>1751.827</v>
      </c>
    </row>
    <row r="2063" spans="4:9" x14ac:dyDescent="0.3">
      <c r="D2063" t="s">
        <v>15</v>
      </c>
      <c r="E2063" t="s">
        <v>23</v>
      </c>
      <c r="F2063">
        <v>8</v>
      </c>
      <c r="G2063">
        <v>0.4</v>
      </c>
      <c r="H2063" s="2">
        <v>22.671400000000002</v>
      </c>
      <c r="I2063" s="2">
        <v>223.47200000000004</v>
      </c>
    </row>
    <row r="2064" spans="4:9" x14ac:dyDescent="0.3">
      <c r="E2064" t="s">
        <v>12</v>
      </c>
      <c r="F2064">
        <v>12</v>
      </c>
      <c r="G2064">
        <v>2.4000000000000004</v>
      </c>
      <c r="H2064" s="2">
        <v>-497.42520000000002</v>
      </c>
      <c r="I2064" s="2">
        <v>188.91199999999998</v>
      </c>
    </row>
    <row r="2065" spans="4:9" x14ac:dyDescent="0.3">
      <c r="E2065" t="s">
        <v>19</v>
      </c>
      <c r="F2065">
        <v>7</v>
      </c>
      <c r="G2065">
        <v>0.60000000000000009</v>
      </c>
      <c r="H2065" s="2">
        <v>2.9659999999999984</v>
      </c>
      <c r="I2065" s="2">
        <v>16.176000000000002</v>
      </c>
    </row>
    <row r="2066" spans="4:9" x14ac:dyDescent="0.3">
      <c r="E2066" t="s">
        <v>20</v>
      </c>
      <c r="F2066">
        <v>16</v>
      </c>
      <c r="G2066">
        <v>3.2</v>
      </c>
      <c r="H2066" s="2">
        <v>-83.521900000000016</v>
      </c>
      <c r="I2066" s="2">
        <v>55.253999999999984</v>
      </c>
    </row>
    <row r="2067" spans="4:9" x14ac:dyDescent="0.3">
      <c r="E2067" t="s">
        <v>34</v>
      </c>
      <c r="F2067">
        <v>4</v>
      </c>
      <c r="G2067">
        <v>0.64</v>
      </c>
      <c r="H2067" s="2">
        <v>-127.01609999999997</v>
      </c>
      <c r="I2067" s="2">
        <v>437.19239999999996</v>
      </c>
    </row>
    <row r="2068" spans="4:9" x14ac:dyDescent="0.3">
      <c r="E2068" t="s">
        <v>33</v>
      </c>
      <c r="F2068">
        <v>18</v>
      </c>
      <c r="G2068">
        <v>1.2</v>
      </c>
      <c r="H2068" s="2">
        <v>-307.29490000000004</v>
      </c>
      <c r="I2068" s="2">
        <v>1359.2669999999998</v>
      </c>
    </row>
    <row r="2069" spans="4:9" x14ac:dyDescent="0.3">
      <c r="E2069" t="s">
        <v>45</v>
      </c>
      <c r="F2069">
        <v>5</v>
      </c>
      <c r="G2069">
        <v>0.2</v>
      </c>
      <c r="H2069" s="2">
        <v>569.99050000000011</v>
      </c>
      <c r="I2069" s="2">
        <v>2399.96</v>
      </c>
    </row>
    <row r="2070" spans="4:9" x14ac:dyDescent="0.3">
      <c r="E2070" t="s">
        <v>38</v>
      </c>
      <c r="F2070">
        <v>7</v>
      </c>
      <c r="G2070">
        <v>0.2</v>
      </c>
      <c r="H2070" s="2">
        <v>69.964999999999975</v>
      </c>
      <c r="I2070" s="2">
        <v>223.88799999999998</v>
      </c>
    </row>
    <row r="2071" spans="4:9" x14ac:dyDescent="0.3">
      <c r="E2071" t="s">
        <v>18</v>
      </c>
      <c r="F2071">
        <v>10</v>
      </c>
      <c r="G2071">
        <v>0.4</v>
      </c>
      <c r="H2071" s="2">
        <v>10.6204</v>
      </c>
      <c r="I2071" s="2">
        <v>35.744000000000007</v>
      </c>
    </row>
    <row r="2072" spans="4:9" x14ac:dyDescent="0.3">
      <c r="E2072" t="s">
        <v>21</v>
      </c>
      <c r="F2072">
        <v>23</v>
      </c>
      <c r="G2072">
        <v>3.6</v>
      </c>
      <c r="H2072" s="2">
        <v>-198.01000000000002</v>
      </c>
      <c r="I2072" s="2">
        <v>304.76</v>
      </c>
    </row>
    <row r="2073" spans="4:9" x14ac:dyDescent="0.3">
      <c r="E2073" t="s">
        <v>43</v>
      </c>
      <c r="F2073">
        <v>13</v>
      </c>
      <c r="G2073">
        <v>0.8</v>
      </c>
      <c r="H2073" s="2">
        <v>24.040300000000002</v>
      </c>
      <c r="I2073" s="2">
        <v>66.352000000000004</v>
      </c>
    </row>
    <row r="2074" spans="4:9" x14ac:dyDescent="0.3">
      <c r="E2074" t="s">
        <v>46</v>
      </c>
      <c r="F2074">
        <v>3</v>
      </c>
      <c r="G2074">
        <v>0.4</v>
      </c>
      <c r="H2074" s="2">
        <v>-121.27049999999997</v>
      </c>
      <c r="I2074" s="2">
        <v>559.71</v>
      </c>
    </row>
    <row r="2075" spans="4:9" x14ac:dyDescent="0.3">
      <c r="E2075" t="s">
        <v>16</v>
      </c>
      <c r="F2075">
        <v>45</v>
      </c>
      <c r="G2075">
        <v>2.4</v>
      </c>
      <c r="H2075" s="2">
        <v>141.8871</v>
      </c>
      <c r="I2075" s="2">
        <v>410.1760000000001</v>
      </c>
    </row>
    <row r="2076" spans="4:9" x14ac:dyDescent="0.3">
      <c r="E2076" t="s">
        <v>24</v>
      </c>
      <c r="F2076">
        <v>17</v>
      </c>
      <c r="G2076">
        <v>0.60000000000000009</v>
      </c>
      <c r="H2076" s="2">
        <v>178.24589999999989</v>
      </c>
      <c r="I2076" s="2">
        <v>1227.6400000000001</v>
      </c>
    </row>
    <row r="2077" spans="4:9" x14ac:dyDescent="0.3">
      <c r="E2077" t="s">
        <v>14</v>
      </c>
      <c r="F2077">
        <v>9</v>
      </c>
      <c r="G2077">
        <v>0.8</v>
      </c>
      <c r="H2077" s="2">
        <v>71.629400000000018</v>
      </c>
      <c r="I2077" s="2">
        <v>1712.3680000000002</v>
      </c>
    </row>
    <row r="2078" spans="4:9" x14ac:dyDescent="0.3">
      <c r="E2078" t="s">
        <v>9</v>
      </c>
      <c r="F2078">
        <v>6</v>
      </c>
      <c r="G2078">
        <v>0.2</v>
      </c>
      <c r="H2078" s="2">
        <v>-3.123000000000002</v>
      </c>
      <c r="I2078" s="2">
        <v>16.656000000000002</v>
      </c>
    </row>
    <row r="2079" spans="4:9" x14ac:dyDescent="0.3">
      <c r="E2079" t="s">
        <v>25</v>
      </c>
      <c r="F2079">
        <v>9</v>
      </c>
      <c r="G2079">
        <v>0.6</v>
      </c>
      <c r="H2079" s="2">
        <v>-70.891799999999961</v>
      </c>
      <c r="I2079" s="2">
        <v>446.733</v>
      </c>
    </row>
    <row r="2080" spans="4:9" x14ac:dyDescent="0.3">
      <c r="D2080" t="s">
        <v>17</v>
      </c>
      <c r="E2080" t="s">
        <v>12</v>
      </c>
      <c r="F2080">
        <v>7</v>
      </c>
      <c r="G2080">
        <v>1.6</v>
      </c>
      <c r="H2080" s="2">
        <v>-265.49670000000003</v>
      </c>
      <c r="I2080" s="2">
        <v>101.65399999999998</v>
      </c>
    </row>
    <row r="2081" spans="2:9" x14ac:dyDescent="0.3">
      <c r="E2081" t="s">
        <v>19</v>
      </c>
      <c r="F2081">
        <v>6</v>
      </c>
      <c r="G2081">
        <v>0.4</v>
      </c>
      <c r="H2081" s="2">
        <v>1.548</v>
      </c>
      <c r="I2081" s="2">
        <v>14.256</v>
      </c>
    </row>
    <row r="2082" spans="2:9" x14ac:dyDescent="0.3">
      <c r="E2082" t="s">
        <v>20</v>
      </c>
      <c r="F2082">
        <v>19</v>
      </c>
      <c r="G2082">
        <v>4</v>
      </c>
      <c r="H2082" s="2">
        <v>-73.337000000000018</v>
      </c>
      <c r="I2082" s="2">
        <v>46.503999999999991</v>
      </c>
    </row>
    <row r="2083" spans="2:9" x14ac:dyDescent="0.3">
      <c r="E2083" t="s">
        <v>34</v>
      </c>
      <c r="F2083">
        <v>5</v>
      </c>
      <c r="G2083">
        <v>0.64</v>
      </c>
      <c r="H2083" s="2">
        <v>-144.20760000000004</v>
      </c>
      <c r="I2083" s="2">
        <v>832.9319999999999</v>
      </c>
    </row>
    <row r="2084" spans="2:9" x14ac:dyDescent="0.3">
      <c r="E2084" t="s">
        <v>33</v>
      </c>
      <c r="F2084">
        <v>10</v>
      </c>
      <c r="G2084">
        <v>0.89999999999999991</v>
      </c>
      <c r="H2084" s="2">
        <v>-107.6544</v>
      </c>
      <c r="I2084" s="2">
        <v>561.70799999999997</v>
      </c>
    </row>
    <row r="2085" spans="2:9" x14ac:dyDescent="0.3">
      <c r="E2085" t="s">
        <v>38</v>
      </c>
      <c r="F2085">
        <v>12</v>
      </c>
      <c r="G2085">
        <v>0.60000000000000009</v>
      </c>
      <c r="H2085" s="2">
        <v>43.582499999999996</v>
      </c>
      <c r="I2085" s="2">
        <v>137.52799999999999</v>
      </c>
    </row>
    <row r="2086" spans="2:9" x14ac:dyDescent="0.3">
      <c r="E2086" t="s">
        <v>18</v>
      </c>
      <c r="F2086">
        <v>9</v>
      </c>
      <c r="G2086">
        <v>0.2</v>
      </c>
      <c r="H2086" s="2">
        <v>4.2659999999999973</v>
      </c>
      <c r="I2086" s="2">
        <v>28.44</v>
      </c>
    </row>
    <row r="2087" spans="2:9" x14ac:dyDescent="0.3">
      <c r="E2087" t="s">
        <v>21</v>
      </c>
      <c r="F2087">
        <v>2</v>
      </c>
      <c r="G2087">
        <v>0.6</v>
      </c>
      <c r="H2087" s="2">
        <v>-22.238800000000001</v>
      </c>
      <c r="I2087" s="2">
        <v>16.784000000000002</v>
      </c>
    </row>
    <row r="2088" spans="2:9" x14ac:dyDescent="0.3">
      <c r="E2088" t="s">
        <v>43</v>
      </c>
      <c r="F2088">
        <v>12</v>
      </c>
      <c r="G2088">
        <v>0.4</v>
      </c>
      <c r="H2088" s="2">
        <v>42.710999999999984</v>
      </c>
      <c r="I2088" s="2">
        <v>123.92000000000002</v>
      </c>
    </row>
    <row r="2089" spans="2:9" x14ac:dyDescent="0.3">
      <c r="E2089" t="s">
        <v>16</v>
      </c>
      <c r="F2089">
        <v>17</v>
      </c>
      <c r="G2089">
        <v>0.8</v>
      </c>
      <c r="H2089" s="2">
        <v>24.656399999999998</v>
      </c>
      <c r="I2089" s="2">
        <v>75.168000000000006</v>
      </c>
    </row>
    <row r="2090" spans="2:9" x14ac:dyDescent="0.3">
      <c r="E2090" t="s">
        <v>24</v>
      </c>
      <c r="F2090">
        <v>4</v>
      </c>
      <c r="G2090">
        <v>0.2</v>
      </c>
      <c r="H2090" s="2">
        <v>41.756399999999957</v>
      </c>
      <c r="I2090" s="2">
        <v>371.16800000000001</v>
      </c>
    </row>
    <row r="2091" spans="2:9" x14ac:dyDescent="0.3">
      <c r="E2091" t="s">
        <v>14</v>
      </c>
      <c r="F2091">
        <v>5</v>
      </c>
      <c r="G2091">
        <v>0.2</v>
      </c>
      <c r="H2091" s="2">
        <v>14.307499999999997</v>
      </c>
      <c r="I2091" s="2">
        <v>228.92</v>
      </c>
    </row>
    <row r="2092" spans="2:9" x14ac:dyDescent="0.3">
      <c r="E2092" t="s">
        <v>9</v>
      </c>
      <c r="F2092">
        <v>11</v>
      </c>
      <c r="G2092">
        <v>0.4</v>
      </c>
      <c r="H2092" s="2">
        <v>-15.728999999999999</v>
      </c>
      <c r="I2092" s="2">
        <v>74.672000000000011</v>
      </c>
    </row>
    <row r="2093" spans="2:9" x14ac:dyDescent="0.3">
      <c r="B2093" t="s">
        <v>238</v>
      </c>
      <c r="C2093" t="s">
        <v>27</v>
      </c>
      <c r="D2093" t="s">
        <v>15</v>
      </c>
      <c r="E2093" t="s">
        <v>45</v>
      </c>
      <c r="F2093">
        <v>5</v>
      </c>
      <c r="G2093">
        <v>0.2</v>
      </c>
      <c r="H2093" s="2">
        <v>839.9860000000001</v>
      </c>
      <c r="I2093" s="2">
        <v>2399.96</v>
      </c>
    </row>
    <row r="2094" spans="2:9" x14ac:dyDescent="0.3">
      <c r="C2094" t="s">
        <v>7</v>
      </c>
      <c r="D2094" t="s">
        <v>17</v>
      </c>
      <c r="E2094" t="s">
        <v>38</v>
      </c>
      <c r="F2094">
        <v>1</v>
      </c>
      <c r="G2094">
        <v>0</v>
      </c>
      <c r="H2094" s="2">
        <v>5.7509999999999994</v>
      </c>
      <c r="I2094" s="2">
        <v>12.78</v>
      </c>
    </row>
    <row r="2095" spans="2:9" x14ac:dyDescent="0.3">
      <c r="C2095" t="s">
        <v>22</v>
      </c>
      <c r="D2095" t="s">
        <v>8</v>
      </c>
      <c r="E2095" t="s">
        <v>19</v>
      </c>
      <c r="F2095">
        <v>8</v>
      </c>
      <c r="G2095">
        <v>0</v>
      </c>
      <c r="H2095" s="2">
        <v>25.898399999999995</v>
      </c>
      <c r="I2095" s="2">
        <v>95.92</v>
      </c>
    </row>
    <row r="2096" spans="2:9" x14ac:dyDescent="0.3">
      <c r="D2096" t="s">
        <v>15</v>
      </c>
      <c r="E2096" t="s">
        <v>19</v>
      </c>
      <c r="F2096">
        <v>1</v>
      </c>
      <c r="G2096">
        <v>0</v>
      </c>
      <c r="H2096" s="2">
        <v>1.2505999999999999</v>
      </c>
      <c r="I2096" s="2">
        <v>3.38</v>
      </c>
    </row>
    <row r="2097" spans="2:9" x14ac:dyDescent="0.3">
      <c r="E2097" t="s">
        <v>43</v>
      </c>
      <c r="F2097">
        <v>2</v>
      </c>
      <c r="G2097">
        <v>0</v>
      </c>
      <c r="H2097" s="2">
        <v>2.4011999999999998</v>
      </c>
      <c r="I2097" s="2">
        <v>5.22</v>
      </c>
    </row>
    <row r="2098" spans="2:9" x14ac:dyDescent="0.3">
      <c r="E2098" t="s">
        <v>16</v>
      </c>
      <c r="F2098">
        <v>2</v>
      </c>
      <c r="G2098">
        <v>0</v>
      </c>
      <c r="H2098" s="2">
        <v>4.7519999999999998</v>
      </c>
      <c r="I2098" s="2">
        <v>10.56</v>
      </c>
    </row>
    <row r="2099" spans="2:9" x14ac:dyDescent="0.3">
      <c r="B2099" t="s">
        <v>239</v>
      </c>
      <c r="C2099" t="s">
        <v>11</v>
      </c>
      <c r="D2099" t="s">
        <v>15</v>
      </c>
      <c r="E2099" t="s">
        <v>33</v>
      </c>
      <c r="F2099">
        <v>5</v>
      </c>
      <c r="G2099">
        <v>0.3</v>
      </c>
      <c r="H2099" s="2">
        <v>0</v>
      </c>
      <c r="I2099" s="2">
        <v>528.42999999999995</v>
      </c>
    </row>
    <row r="2100" spans="2:9" x14ac:dyDescent="0.3">
      <c r="E2100" t="s">
        <v>16</v>
      </c>
      <c r="F2100">
        <v>8</v>
      </c>
      <c r="G2100">
        <v>0.2</v>
      </c>
      <c r="H2100" s="2">
        <v>14.5152</v>
      </c>
      <c r="I2100" s="2">
        <v>41.472000000000008</v>
      </c>
    </row>
    <row r="2101" spans="2:9" x14ac:dyDescent="0.3">
      <c r="C2101" t="s">
        <v>27</v>
      </c>
      <c r="D2101" t="s">
        <v>8</v>
      </c>
      <c r="E2101" t="s">
        <v>23</v>
      </c>
      <c r="F2101">
        <v>2</v>
      </c>
      <c r="G2101">
        <v>0</v>
      </c>
      <c r="H2101" s="2">
        <v>7.25</v>
      </c>
      <c r="I2101" s="2">
        <v>29</v>
      </c>
    </row>
    <row r="2102" spans="2:9" x14ac:dyDescent="0.3">
      <c r="C2102" t="s">
        <v>7</v>
      </c>
      <c r="D2102" t="s">
        <v>15</v>
      </c>
      <c r="E2102" t="s">
        <v>23</v>
      </c>
      <c r="F2102">
        <v>4</v>
      </c>
      <c r="G2102">
        <v>0</v>
      </c>
      <c r="H2102" s="2">
        <v>527.98400000000004</v>
      </c>
      <c r="I2102" s="2">
        <v>1319.96</v>
      </c>
    </row>
    <row r="2103" spans="2:9" x14ac:dyDescent="0.3">
      <c r="D2103" t="s">
        <v>17</v>
      </c>
      <c r="E2103" t="s">
        <v>23</v>
      </c>
      <c r="F2103">
        <v>2</v>
      </c>
      <c r="G2103">
        <v>0.2</v>
      </c>
      <c r="H2103" s="2">
        <v>10.397399999999998</v>
      </c>
      <c r="I2103" s="2">
        <v>63.984000000000009</v>
      </c>
    </row>
    <row r="2104" spans="2:9" x14ac:dyDescent="0.3">
      <c r="E2104" t="s">
        <v>19</v>
      </c>
      <c r="F2104">
        <v>2</v>
      </c>
      <c r="G2104">
        <v>0.2</v>
      </c>
      <c r="H2104" s="2">
        <v>6.1572000000000031</v>
      </c>
      <c r="I2104" s="2">
        <v>70.367999999999995</v>
      </c>
    </row>
    <row r="2105" spans="2:9" x14ac:dyDescent="0.3">
      <c r="E2105" t="s">
        <v>18</v>
      </c>
      <c r="F2105">
        <v>2</v>
      </c>
      <c r="G2105">
        <v>0</v>
      </c>
      <c r="H2105" s="2">
        <v>1.1945999999999999</v>
      </c>
      <c r="I2105" s="2">
        <v>3.62</v>
      </c>
    </row>
    <row r="2106" spans="2:9" x14ac:dyDescent="0.3">
      <c r="E2106" t="s">
        <v>16</v>
      </c>
      <c r="F2106">
        <v>8</v>
      </c>
      <c r="G2106">
        <v>0</v>
      </c>
      <c r="H2106" s="2">
        <v>348.08639999999997</v>
      </c>
      <c r="I2106" s="2">
        <v>725.18</v>
      </c>
    </row>
    <row r="2107" spans="2:9" x14ac:dyDescent="0.3">
      <c r="E2107" t="s">
        <v>24</v>
      </c>
      <c r="F2107">
        <v>3</v>
      </c>
      <c r="G2107">
        <v>0.2</v>
      </c>
      <c r="H2107" s="2">
        <v>24.124199999999998</v>
      </c>
      <c r="I2107" s="2">
        <v>98.472000000000008</v>
      </c>
    </row>
    <row r="2108" spans="2:9" x14ac:dyDescent="0.3">
      <c r="C2108" t="s">
        <v>22</v>
      </c>
      <c r="D2108" t="s">
        <v>8</v>
      </c>
      <c r="E2108" t="s">
        <v>12</v>
      </c>
      <c r="F2108">
        <v>2</v>
      </c>
      <c r="G2108">
        <v>0.8</v>
      </c>
      <c r="H2108" s="2">
        <v>-38.821200000000012</v>
      </c>
      <c r="I2108" s="2">
        <v>15.223999999999997</v>
      </c>
    </row>
    <row r="2109" spans="2:9" x14ac:dyDescent="0.3">
      <c r="E2109" t="s">
        <v>19</v>
      </c>
      <c r="F2109">
        <v>4</v>
      </c>
      <c r="G2109">
        <v>0.2</v>
      </c>
      <c r="H2109" s="2">
        <v>2.2287999999999988</v>
      </c>
      <c r="I2109" s="2">
        <v>12.736000000000001</v>
      </c>
    </row>
    <row r="2110" spans="2:9" x14ac:dyDescent="0.3">
      <c r="E2110" t="s">
        <v>20</v>
      </c>
      <c r="F2110">
        <v>26</v>
      </c>
      <c r="G2110">
        <v>2.4000000000000004</v>
      </c>
      <c r="H2110" s="2">
        <v>-50.641700000000014</v>
      </c>
      <c r="I2110" s="2">
        <v>30.647999999999993</v>
      </c>
    </row>
    <row r="2111" spans="2:9" x14ac:dyDescent="0.3">
      <c r="E2111" t="s">
        <v>33</v>
      </c>
      <c r="F2111">
        <v>4</v>
      </c>
      <c r="G2111">
        <v>0.3</v>
      </c>
      <c r="H2111" s="2">
        <v>-26.635199999999998</v>
      </c>
      <c r="I2111" s="2">
        <v>310.74399999999997</v>
      </c>
    </row>
    <row r="2112" spans="2:9" x14ac:dyDescent="0.3">
      <c r="E2112" t="s">
        <v>21</v>
      </c>
      <c r="F2112">
        <v>10</v>
      </c>
      <c r="G2112">
        <v>1.7999999999999998</v>
      </c>
      <c r="H2112" s="2">
        <v>-316.0437</v>
      </c>
      <c r="I2112" s="2">
        <v>274.71600000000001</v>
      </c>
    </row>
    <row r="2113" spans="2:9" x14ac:dyDescent="0.3">
      <c r="E2113" t="s">
        <v>16</v>
      </c>
      <c r="F2113">
        <v>7</v>
      </c>
      <c r="G2113">
        <v>0.2</v>
      </c>
      <c r="H2113" s="2">
        <v>12.700800000000001</v>
      </c>
      <c r="I2113" s="2">
        <v>36.288000000000011</v>
      </c>
    </row>
    <row r="2114" spans="2:9" x14ac:dyDescent="0.3">
      <c r="E2114" t="s">
        <v>24</v>
      </c>
      <c r="F2114">
        <v>3</v>
      </c>
      <c r="G2114">
        <v>0.2</v>
      </c>
      <c r="H2114" s="2">
        <v>17.998199999999997</v>
      </c>
      <c r="I2114" s="2">
        <v>239.976</v>
      </c>
    </row>
    <row r="2115" spans="2:9" x14ac:dyDescent="0.3">
      <c r="E2115" t="s">
        <v>14</v>
      </c>
      <c r="F2115">
        <v>14</v>
      </c>
      <c r="G2115">
        <v>0.4</v>
      </c>
      <c r="H2115" s="2">
        <v>-120.48960000000005</v>
      </c>
      <c r="I2115" s="2">
        <v>671.64800000000002</v>
      </c>
    </row>
    <row r="2116" spans="2:9" x14ac:dyDescent="0.3">
      <c r="E2116" t="s">
        <v>25</v>
      </c>
      <c r="F2116">
        <v>6</v>
      </c>
      <c r="G2116">
        <v>0.6</v>
      </c>
      <c r="H2116" s="2">
        <v>-158.57600000000005</v>
      </c>
      <c r="I2116" s="2">
        <v>821.35199999999986</v>
      </c>
    </row>
    <row r="2117" spans="2:9" x14ac:dyDescent="0.3">
      <c r="D2117" t="s">
        <v>15</v>
      </c>
      <c r="E2117" t="s">
        <v>19</v>
      </c>
      <c r="F2117">
        <v>11</v>
      </c>
      <c r="G2117">
        <v>0</v>
      </c>
      <c r="H2117" s="2">
        <v>64.591799999999978</v>
      </c>
      <c r="I2117" s="2">
        <v>216.60999999999999</v>
      </c>
    </row>
    <row r="2118" spans="2:9" x14ac:dyDescent="0.3">
      <c r="E2118" t="s">
        <v>20</v>
      </c>
      <c r="F2118">
        <v>10</v>
      </c>
      <c r="G2118">
        <v>1.6</v>
      </c>
      <c r="H2118" s="2">
        <v>-7.9211000000000098</v>
      </c>
      <c r="I2118" s="2">
        <v>39.037999999999997</v>
      </c>
    </row>
    <row r="2119" spans="2:9" x14ac:dyDescent="0.3">
      <c r="E2119" t="s">
        <v>34</v>
      </c>
      <c r="F2119">
        <v>7</v>
      </c>
      <c r="G2119">
        <v>0.32</v>
      </c>
      <c r="H2119" s="2">
        <v>-225.09759999999991</v>
      </c>
      <c r="I2119" s="2">
        <v>956.6647999999999</v>
      </c>
    </row>
    <row r="2120" spans="2:9" x14ac:dyDescent="0.3">
      <c r="E2120" t="s">
        <v>33</v>
      </c>
      <c r="F2120">
        <v>8</v>
      </c>
      <c r="G2120">
        <v>0.3</v>
      </c>
      <c r="H2120" s="2">
        <v>-69.311999999999898</v>
      </c>
      <c r="I2120" s="2">
        <v>1212.9599999999998</v>
      </c>
    </row>
    <row r="2121" spans="2:9" x14ac:dyDescent="0.3">
      <c r="E2121" t="s">
        <v>24</v>
      </c>
      <c r="F2121">
        <v>13</v>
      </c>
      <c r="G2121">
        <v>0.4</v>
      </c>
      <c r="H2121" s="2">
        <v>138.14029999999997</v>
      </c>
      <c r="I2121" s="2">
        <v>1475.8960000000002</v>
      </c>
    </row>
    <row r="2122" spans="2:9" x14ac:dyDescent="0.3">
      <c r="B2122" t="s">
        <v>240</v>
      </c>
      <c r="C2122" t="s">
        <v>22</v>
      </c>
      <c r="D2122" t="s">
        <v>8</v>
      </c>
      <c r="E2122" t="s">
        <v>12</v>
      </c>
      <c r="F2122">
        <v>3</v>
      </c>
      <c r="G2122">
        <v>0</v>
      </c>
      <c r="H2122" s="2">
        <v>218.25179999999997</v>
      </c>
      <c r="I2122" s="2">
        <v>839.43000000000006</v>
      </c>
    </row>
    <row r="2123" spans="2:9" x14ac:dyDescent="0.3">
      <c r="D2123" t="s">
        <v>17</v>
      </c>
      <c r="E2123" t="s">
        <v>20</v>
      </c>
      <c r="F2123">
        <v>3</v>
      </c>
      <c r="G2123">
        <v>0</v>
      </c>
      <c r="H2123" s="2">
        <v>757.41120000000001</v>
      </c>
      <c r="I2123" s="2">
        <v>1577.94</v>
      </c>
    </row>
    <row r="2124" spans="2:9" x14ac:dyDescent="0.3">
      <c r="B2124" t="s">
        <v>241</v>
      </c>
      <c r="C2124" t="s">
        <v>11</v>
      </c>
      <c r="D2124" t="s">
        <v>8</v>
      </c>
      <c r="E2124" t="s">
        <v>20</v>
      </c>
      <c r="F2124">
        <v>3</v>
      </c>
      <c r="G2124">
        <v>0</v>
      </c>
      <c r="H2124" s="2">
        <v>496.78649999999993</v>
      </c>
      <c r="I2124" s="2">
        <v>1103.97</v>
      </c>
    </row>
    <row r="2125" spans="2:9" x14ac:dyDescent="0.3">
      <c r="E2125" t="s">
        <v>43</v>
      </c>
      <c r="F2125">
        <v>1</v>
      </c>
      <c r="G2125">
        <v>0</v>
      </c>
      <c r="H2125" s="2">
        <v>1.7343</v>
      </c>
      <c r="I2125" s="2">
        <v>3.69</v>
      </c>
    </row>
    <row r="2126" spans="2:9" x14ac:dyDescent="0.3">
      <c r="D2126" t="s">
        <v>15</v>
      </c>
      <c r="E2126" t="s">
        <v>12</v>
      </c>
      <c r="F2126">
        <v>3</v>
      </c>
      <c r="G2126">
        <v>0</v>
      </c>
      <c r="H2126" s="2">
        <v>15.938399999999998</v>
      </c>
      <c r="I2126" s="2">
        <v>54.96</v>
      </c>
    </row>
    <row r="2127" spans="2:9" x14ac:dyDescent="0.3">
      <c r="E2127" t="s">
        <v>14</v>
      </c>
      <c r="F2127">
        <v>10</v>
      </c>
      <c r="G2127">
        <v>0</v>
      </c>
      <c r="H2127" s="2">
        <v>63.178799999999967</v>
      </c>
      <c r="I2127" s="2">
        <v>1295.46</v>
      </c>
    </row>
    <row r="2128" spans="2:9" x14ac:dyDescent="0.3">
      <c r="C2128" t="s">
        <v>7</v>
      </c>
      <c r="D2128" t="s">
        <v>8</v>
      </c>
      <c r="E2128" t="s">
        <v>19</v>
      </c>
      <c r="F2128">
        <v>8</v>
      </c>
      <c r="G2128">
        <v>0</v>
      </c>
      <c r="H2128" s="2">
        <v>8.2687999999999988</v>
      </c>
      <c r="I2128" s="2">
        <v>24.32</v>
      </c>
    </row>
    <row r="2129" spans="2:9" x14ac:dyDescent="0.3">
      <c r="E2129" t="s">
        <v>14</v>
      </c>
      <c r="F2129">
        <v>2</v>
      </c>
      <c r="G2129">
        <v>0</v>
      </c>
      <c r="H2129" s="2">
        <v>11.451599999999985</v>
      </c>
      <c r="I2129" s="2">
        <v>190.86</v>
      </c>
    </row>
    <row r="2130" spans="2:9" x14ac:dyDescent="0.3">
      <c r="D2130" t="s">
        <v>15</v>
      </c>
      <c r="E2130" t="s">
        <v>23</v>
      </c>
      <c r="F2130">
        <v>4</v>
      </c>
      <c r="G2130">
        <v>0</v>
      </c>
      <c r="H2130" s="2">
        <v>30.713599999999992</v>
      </c>
      <c r="I2130" s="2">
        <v>123.86</v>
      </c>
    </row>
    <row r="2131" spans="2:9" x14ac:dyDescent="0.3">
      <c r="E2131" t="s">
        <v>12</v>
      </c>
      <c r="F2131">
        <v>8</v>
      </c>
      <c r="G2131">
        <v>0</v>
      </c>
      <c r="H2131" s="2">
        <v>793.71599999999989</v>
      </c>
      <c r="I2131" s="2">
        <v>2405.1999999999998</v>
      </c>
    </row>
    <row r="2132" spans="2:9" x14ac:dyDescent="0.3">
      <c r="E2132" t="s">
        <v>20</v>
      </c>
      <c r="F2132">
        <v>2</v>
      </c>
      <c r="G2132">
        <v>0</v>
      </c>
      <c r="H2132" s="2">
        <v>8.69</v>
      </c>
      <c r="I2132" s="2">
        <v>17.38</v>
      </c>
    </row>
    <row r="2133" spans="2:9" x14ac:dyDescent="0.3">
      <c r="E2133" t="s">
        <v>33</v>
      </c>
      <c r="F2133">
        <v>6</v>
      </c>
      <c r="G2133">
        <v>0</v>
      </c>
      <c r="H2133" s="2">
        <v>539.24639999999999</v>
      </c>
      <c r="I2133" s="2">
        <v>1925.88</v>
      </c>
    </row>
    <row r="2134" spans="2:9" x14ac:dyDescent="0.3">
      <c r="D2134" t="s">
        <v>17</v>
      </c>
      <c r="E2134" t="s">
        <v>45</v>
      </c>
      <c r="F2134">
        <v>2</v>
      </c>
      <c r="G2134">
        <v>0</v>
      </c>
      <c r="H2134" s="2">
        <v>449.99099999999999</v>
      </c>
      <c r="I2134" s="2">
        <v>999.98</v>
      </c>
    </row>
    <row r="2135" spans="2:9" x14ac:dyDescent="0.3">
      <c r="C2135" t="s">
        <v>22</v>
      </c>
      <c r="D2135" t="s">
        <v>8</v>
      </c>
      <c r="E2135" t="s">
        <v>23</v>
      </c>
      <c r="F2135">
        <v>2</v>
      </c>
      <c r="G2135">
        <v>0</v>
      </c>
      <c r="H2135" s="2">
        <v>29.518599999999999</v>
      </c>
      <c r="I2135" s="2">
        <v>79.78</v>
      </c>
    </row>
    <row r="2136" spans="2:9" x14ac:dyDescent="0.3">
      <c r="E2136" t="s">
        <v>20</v>
      </c>
      <c r="F2136">
        <v>11</v>
      </c>
      <c r="G2136">
        <v>0</v>
      </c>
      <c r="H2136" s="2">
        <v>65.5184</v>
      </c>
      <c r="I2136" s="2">
        <v>136.28</v>
      </c>
    </row>
    <row r="2137" spans="2:9" x14ac:dyDescent="0.3">
      <c r="E2137" t="s">
        <v>43</v>
      </c>
      <c r="F2137">
        <v>12</v>
      </c>
      <c r="G2137">
        <v>0</v>
      </c>
      <c r="H2137" s="2">
        <v>72.299400000000006</v>
      </c>
      <c r="I2137" s="2">
        <v>145.59000000000003</v>
      </c>
    </row>
    <row r="2138" spans="2:9" x14ac:dyDescent="0.3">
      <c r="E2138" t="s">
        <v>16</v>
      </c>
      <c r="F2138">
        <v>5</v>
      </c>
      <c r="G2138">
        <v>0</v>
      </c>
      <c r="H2138" s="2">
        <v>15.387</v>
      </c>
      <c r="I2138" s="2">
        <v>33.450000000000003</v>
      </c>
    </row>
    <row r="2139" spans="2:9" x14ac:dyDescent="0.3">
      <c r="D2139" t="s">
        <v>15</v>
      </c>
      <c r="E2139" t="s">
        <v>19</v>
      </c>
      <c r="F2139">
        <v>7</v>
      </c>
      <c r="G2139">
        <v>0</v>
      </c>
      <c r="H2139" s="2">
        <v>35.260400000000004</v>
      </c>
      <c r="I2139" s="2">
        <v>125.92999999999999</v>
      </c>
    </row>
    <row r="2140" spans="2:9" x14ac:dyDescent="0.3">
      <c r="D2140" t="s">
        <v>17</v>
      </c>
      <c r="E2140" t="s">
        <v>20</v>
      </c>
      <c r="F2140">
        <v>1</v>
      </c>
      <c r="G2140">
        <v>0</v>
      </c>
      <c r="H2140" s="2">
        <v>78.195399999999992</v>
      </c>
      <c r="I2140" s="2">
        <v>169.99</v>
      </c>
    </row>
    <row r="2141" spans="2:9" x14ac:dyDescent="0.3">
      <c r="E2141" t="s">
        <v>16</v>
      </c>
      <c r="F2141">
        <v>4</v>
      </c>
      <c r="G2141">
        <v>0</v>
      </c>
      <c r="H2141" s="2">
        <v>12.441600000000001</v>
      </c>
      <c r="I2141" s="2">
        <v>25.92</v>
      </c>
    </row>
    <row r="2142" spans="2:9" x14ac:dyDescent="0.3">
      <c r="E2142" t="s">
        <v>14</v>
      </c>
      <c r="F2142">
        <v>4</v>
      </c>
      <c r="G2142">
        <v>0</v>
      </c>
      <c r="H2142" s="2">
        <v>13.317600000000027</v>
      </c>
      <c r="I2142" s="2">
        <v>443.92</v>
      </c>
    </row>
    <row r="2143" spans="2:9" x14ac:dyDescent="0.3">
      <c r="B2143" t="s">
        <v>242</v>
      </c>
      <c r="C2143" t="s">
        <v>11</v>
      </c>
      <c r="D2143" t="s">
        <v>8</v>
      </c>
      <c r="E2143" t="s">
        <v>21</v>
      </c>
      <c r="F2143">
        <v>2</v>
      </c>
      <c r="G2143">
        <v>0</v>
      </c>
      <c r="H2143" s="2">
        <v>15.468000000000004</v>
      </c>
      <c r="I2143" s="2">
        <v>128.9</v>
      </c>
    </row>
    <row r="2144" spans="2:9" x14ac:dyDescent="0.3">
      <c r="E2144" t="s">
        <v>16</v>
      </c>
      <c r="F2144">
        <v>9</v>
      </c>
      <c r="G2144">
        <v>0</v>
      </c>
      <c r="H2144" s="2">
        <v>28.857599999999998</v>
      </c>
      <c r="I2144" s="2">
        <v>60.12</v>
      </c>
    </row>
    <row r="2145" spans="2:9" x14ac:dyDescent="0.3">
      <c r="E2145" t="s">
        <v>14</v>
      </c>
      <c r="F2145">
        <v>3</v>
      </c>
      <c r="G2145">
        <v>0</v>
      </c>
      <c r="H2145" s="2">
        <v>8.6390999999999956</v>
      </c>
      <c r="I2145" s="2">
        <v>29.79</v>
      </c>
    </row>
    <row r="2146" spans="2:9" x14ac:dyDescent="0.3">
      <c r="D2146" t="s">
        <v>15</v>
      </c>
      <c r="E2146" t="s">
        <v>19</v>
      </c>
      <c r="F2146">
        <v>1</v>
      </c>
      <c r="G2146">
        <v>0</v>
      </c>
      <c r="H2146" s="2">
        <v>1.5548000000000002</v>
      </c>
      <c r="I2146" s="2">
        <v>5.98</v>
      </c>
    </row>
    <row r="2147" spans="2:9" x14ac:dyDescent="0.3">
      <c r="E2147" t="s">
        <v>16</v>
      </c>
      <c r="F2147">
        <v>2</v>
      </c>
      <c r="G2147">
        <v>0</v>
      </c>
      <c r="H2147" s="2">
        <v>4.0571999999999999</v>
      </c>
      <c r="I2147" s="2">
        <v>8.82</v>
      </c>
    </row>
    <row r="2148" spans="2:9" x14ac:dyDescent="0.3">
      <c r="C2148" t="s">
        <v>7</v>
      </c>
      <c r="D2148" t="s">
        <v>15</v>
      </c>
      <c r="E2148" t="s">
        <v>12</v>
      </c>
      <c r="F2148">
        <v>4</v>
      </c>
      <c r="G2148">
        <v>0</v>
      </c>
      <c r="H2148" s="2">
        <v>96.575999999999993</v>
      </c>
      <c r="I2148" s="2">
        <v>321.92</v>
      </c>
    </row>
    <row r="2149" spans="2:9" x14ac:dyDescent="0.3">
      <c r="E2149" t="s">
        <v>20</v>
      </c>
      <c r="F2149">
        <v>2</v>
      </c>
      <c r="G2149">
        <v>0.2</v>
      </c>
      <c r="H2149" s="2">
        <v>294.54879999999991</v>
      </c>
      <c r="I2149" s="2">
        <v>841.5680000000001</v>
      </c>
    </row>
    <row r="2150" spans="2:9" x14ac:dyDescent="0.3">
      <c r="E2150" t="s">
        <v>33</v>
      </c>
      <c r="F2150">
        <v>3</v>
      </c>
      <c r="G2150">
        <v>0.2</v>
      </c>
      <c r="H2150" s="2">
        <v>23.027999999999992</v>
      </c>
      <c r="I2150" s="2">
        <v>230.28000000000003</v>
      </c>
    </row>
    <row r="2151" spans="2:9" x14ac:dyDescent="0.3">
      <c r="E2151" t="s">
        <v>45</v>
      </c>
      <c r="F2151">
        <v>2</v>
      </c>
      <c r="G2151">
        <v>0.2</v>
      </c>
      <c r="H2151" s="2">
        <v>329.99400000000003</v>
      </c>
      <c r="I2151" s="2">
        <v>879.98400000000004</v>
      </c>
    </row>
    <row r="2152" spans="2:9" x14ac:dyDescent="0.3">
      <c r="E2152" t="s">
        <v>21</v>
      </c>
      <c r="F2152">
        <v>2</v>
      </c>
      <c r="G2152">
        <v>0</v>
      </c>
      <c r="H2152" s="2">
        <v>99.23</v>
      </c>
      <c r="I2152" s="2">
        <v>198.46</v>
      </c>
    </row>
    <row r="2153" spans="2:9" x14ac:dyDescent="0.3">
      <c r="E2153" t="s">
        <v>16</v>
      </c>
      <c r="F2153">
        <v>3</v>
      </c>
      <c r="G2153">
        <v>0</v>
      </c>
      <c r="H2153" s="2">
        <v>56.977199999999996</v>
      </c>
      <c r="I2153" s="2">
        <v>116.28</v>
      </c>
    </row>
    <row r="2154" spans="2:9" x14ac:dyDescent="0.3">
      <c r="E2154" t="s">
        <v>14</v>
      </c>
      <c r="F2154">
        <v>5</v>
      </c>
      <c r="G2154">
        <v>0</v>
      </c>
      <c r="H2154" s="2">
        <v>17.744999999999962</v>
      </c>
      <c r="I2154" s="2">
        <v>354.90000000000003</v>
      </c>
    </row>
    <row r="2155" spans="2:9" x14ac:dyDescent="0.3">
      <c r="E2155" t="s">
        <v>9</v>
      </c>
      <c r="F2155">
        <v>5</v>
      </c>
      <c r="G2155">
        <v>0</v>
      </c>
      <c r="H2155" s="2">
        <v>8.2359999999999989</v>
      </c>
      <c r="I2155" s="2">
        <v>28.4</v>
      </c>
    </row>
    <row r="2156" spans="2:9" x14ac:dyDescent="0.3">
      <c r="C2156" t="s">
        <v>22</v>
      </c>
      <c r="D2156" t="s">
        <v>8</v>
      </c>
      <c r="E2156" t="s">
        <v>12</v>
      </c>
      <c r="F2156">
        <v>4</v>
      </c>
      <c r="G2156">
        <v>0</v>
      </c>
      <c r="H2156" s="2">
        <v>16.295999999999999</v>
      </c>
      <c r="I2156" s="2">
        <v>54.32</v>
      </c>
    </row>
    <row r="2157" spans="2:9" x14ac:dyDescent="0.3">
      <c r="E2157" t="s">
        <v>16</v>
      </c>
      <c r="F2157">
        <v>3</v>
      </c>
      <c r="G2157">
        <v>0</v>
      </c>
      <c r="H2157" s="2">
        <v>10.7301</v>
      </c>
      <c r="I2157" s="2">
        <v>22.830000000000002</v>
      </c>
    </row>
    <row r="2158" spans="2:9" x14ac:dyDescent="0.3">
      <c r="E2158" t="s">
        <v>24</v>
      </c>
      <c r="F2158">
        <v>3</v>
      </c>
      <c r="G2158">
        <v>0.2</v>
      </c>
      <c r="H2158" s="2">
        <v>14.758199999999995</v>
      </c>
      <c r="I2158" s="2">
        <v>196.77600000000001</v>
      </c>
    </row>
    <row r="2159" spans="2:9" x14ac:dyDescent="0.3">
      <c r="B2159" t="s">
        <v>243</v>
      </c>
      <c r="C2159" t="s">
        <v>7</v>
      </c>
      <c r="D2159" t="s">
        <v>15</v>
      </c>
      <c r="E2159" t="s">
        <v>16</v>
      </c>
      <c r="F2159">
        <v>1</v>
      </c>
      <c r="G2159">
        <v>0</v>
      </c>
      <c r="H2159" s="2">
        <v>4.4954999999999998</v>
      </c>
      <c r="I2159" s="2">
        <v>9.99</v>
      </c>
    </row>
    <row r="2160" spans="2:9" x14ac:dyDescent="0.3">
      <c r="B2160" t="s">
        <v>244</v>
      </c>
      <c r="C2160" t="s">
        <v>7</v>
      </c>
      <c r="D2160" t="s">
        <v>8</v>
      </c>
      <c r="E2160" t="s">
        <v>16</v>
      </c>
      <c r="F2160">
        <v>5</v>
      </c>
      <c r="G2160">
        <v>0.2</v>
      </c>
      <c r="H2160" s="2">
        <v>79.691999999999979</v>
      </c>
      <c r="I2160" s="2">
        <v>219.84000000000003</v>
      </c>
    </row>
    <row r="2161" spans="2:9" x14ac:dyDescent="0.3">
      <c r="C2161" t="s">
        <v>22</v>
      </c>
      <c r="D2161" t="s">
        <v>8</v>
      </c>
      <c r="E2161" t="s">
        <v>12</v>
      </c>
      <c r="F2161">
        <v>1</v>
      </c>
      <c r="G2161">
        <v>0.8</v>
      </c>
      <c r="H2161" s="2">
        <v>-153.20240000000001</v>
      </c>
      <c r="I2161" s="2">
        <v>58.923999999999985</v>
      </c>
    </row>
    <row r="2162" spans="2:9" x14ac:dyDescent="0.3">
      <c r="E2162" t="s">
        <v>43</v>
      </c>
      <c r="F2162">
        <v>2</v>
      </c>
      <c r="G2162">
        <v>0.2</v>
      </c>
      <c r="H2162" s="2">
        <v>1.764</v>
      </c>
      <c r="I2162" s="2">
        <v>5.04</v>
      </c>
    </row>
    <row r="2163" spans="2:9" x14ac:dyDescent="0.3">
      <c r="E2163" t="s">
        <v>24</v>
      </c>
      <c r="F2163">
        <v>3</v>
      </c>
      <c r="G2163">
        <v>0.2</v>
      </c>
      <c r="H2163" s="2">
        <v>7.7679000000000009</v>
      </c>
      <c r="I2163" s="2">
        <v>88.77600000000001</v>
      </c>
    </row>
    <row r="2164" spans="2:9" x14ac:dyDescent="0.3">
      <c r="E2164" t="s">
        <v>14</v>
      </c>
      <c r="F2164">
        <v>6</v>
      </c>
      <c r="G2164">
        <v>0.4</v>
      </c>
      <c r="H2164" s="2">
        <v>-6.9552000000000032</v>
      </c>
      <c r="I2164" s="2">
        <v>31.608000000000001</v>
      </c>
    </row>
    <row r="2165" spans="2:9" x14ac:dyDescent="0.3">
      <c r="E2165" t="s">
        <v>9</v>
      </c>
      <c r="F2165">
        <v>2</v>
      </c>
      <c r="G2165">
        <v>0.2</v>
      </c>
      <c r="H2165" s="2">
        <v>-34.758000000000017</v>
      </c>
      <c r="I2165" s="2">
        <v>185.376</v>
      </c>
    </row>
    <row r="2166" spans="2:9" x14ac:dyDescent="0.3">
      <c r="D2166" t="s">
        <v>15</v>
      </c>
      <c r="E2166" t="s">
        <v>43</v>
      </c>
      <c r="F2166">
        <v>4</v>
      </c>
      <c r="G2166">
        <v>0.2</v>
      </c>
      <c r="H2166" s="2">
        <v>5.1791999999999998</v>
      </c>
      <c r="I2166" s="2">
        <v>15.936000000000002</v>
      </c>
    </row>
    <row r="2167" spans="2:9" x14ac:dyDescent="0.3">
      <c r="B2167" t="s">
        <v>245</v>
      </c>
      <c r="C2167" t="s">
        <v>11</v>
      </c>
      <c r="D2167" t="s">
        <v>8</v>
      </c>
      <c r="E2167" t="s">
        <v>23</v>
      </c>
      <c r="F2167">
        <v>3</v>
      </c>
      <c r="G2167">
        <v>0</v>
      </c>
      <c r="H2167" s="2">
        <v>163.18979999999999</v>
      </c>
      <c r="I2167" s="2">
        <v>479.97</v>
      </c>
    </row>
    <row r="2168" spans="2:9" x14ac:dyDescent="0.3">
      <c r="E2168" t="s">
        <v>43</v>
      </c>
      <c r="F2168">
        <v>2</v>
      </c>
      <c r="G2168">
        <v>0</v>
      </c>
      <c r="H2168" s="2">
        <v>6.8713999999999995</v>
      </c>
      <c r="I2168" s="2">
        <v>14.62</v>
      </c>
    </row>
    <row r="2169" spans="2:9" x14ac:dyDescent="0.3">
      <c r="E2169" t="s">
        <v>16</v>
      </c>
      <c r="F2169">
        <v>3</v>
      </c>
      <c r="G2169">
        <v>0</v>
      </c>
      <c r="H2169" s="2">
        <v>9.3312000000000008</v>
      </c>
      <c r="I2169" s="2">
        <v>19.440000000000001</v>
      </c>
    </row>
    <row r="2170" spans="2:9" x14ac:dyDescent="0.3">
      <c r="C2170" t="s">
        <v>7</v>
      </c>
      <c r="D2170" t="s">
        <v>8</v>
      </c>
      <c r="E2170" t="s">
        <v>23</v>
      </c>
      <c r="F2170">
        <v>3</v>
      </c>
      <c r="G2170">
        <v>0</v>
      </c>
      <c r="H2170" s="2">
        <v>16.2486</v>
      </c>
      <c r="I2170" s="2">
        <v>47.79</v>
      </c>
    </row>
    <row r="2171" spans="2:9" x14ac:dyDescent="0.3">
      <c r="E2171" t="s">
        <v>19</v>
      </c>
      <c r="F2171">
        <v>2</v>
      </c>
      <c r="G2171">
        <v>0.2</v>
      </c>
      <c r="H2171" s="2">
        <v>1.702399999999999</v>
      </c>
      <c r="I2171" s="2">
        <v>9.7280000000000015</v>
      </c>
    </row>
    <row r="2172" spans="2:9" x14ac:dyDescent="0.3">
      <c r="E2172" t="s">
        <v>20</v>
      </c>
      <c r="F2172">
        <v>4</v>
      </c>
      <c r="G2172">
        <v>0</v>
      </c>
      <c r="H2172" s="2">
        <v>2504.2215999999999</v>
      </c>
      <c r="I2172" s="2">
        <v>5443.96</v>
      </c>
    </row>
    <row r="2173" spans="2:9" x14ac:dyDescent="0.3">
      <c r="E2173" t="s">
        <v>33</v>
      </c>
      <c r="F2173">
        <v>7</v>
      </c>
      <c r="G2173">
        <v>0</v>
      </c>
      <c r="H2173" s="2">
        <v>297.90480000000002</v>
      </c>
      <c r="I2173" s="2">
        <v>1169.07</v>
      </c>
    </row>
    <row r="2174" spans="2:9" x14ac:dyDescent="0.3">
      <c r="E2174" t="s">
        <v>16</v>
      </c>
      <c r="F2174">
        <v>11</v>
      </c>
      <c r="G2174">
        <v>0.2</v>
      </c>
      <c r="H2174" s="2">
        <v>35.064499999999995</v>
      </c>
      <c r="I2174" s="2">
        <v>78.543999999999997</v>
      </c>
    </row>
    <row r="2175" spans="2:9" x14ac:dyDescent="0.3">
      <c r="E2175" t="s">
        <v>14</v>
      </c>
      <c r="F2175">
        <v>9</v>
      </c>
      <c r="G2175">
        <v>0.2</v>
      </c>
      <c r="H2175" s="2">
        <v>6.9794999999999909</v>
      </c>
      <c r="I2175" s="2">
        <v>111.67200000000001</v>
      </c>
    </row>
    <row r="2176" spans="2:9" x14ac:dyDescent="0.3">
      <c r="D2176" t="s">
        <v>17</v>
      </c>
      <c r="E2176" t="s">
        <v>23</v>
      </c>
      <c r="F2176">
        <v>3</v>
      </c>
      <c r="G2176">
        <v>0</v>
      </c>
      <c r="H2176" s="2">
        <v>257.98710000000005</v>
      </c>
      <c r="I2176" s="2">
        <v>599.97</v>
      </c>
    </row>
    <row r="2177" spans="3:9" x14ac:dyDescent="0.3">
      <c r="E2177" t="s">
        <v>20</v>
      </c>
      <c r="F2177">
        <v>8</v>
      </c>
      <c r="G2177">
        <v>0</v>
      </c>
      <c r="H2177" s="2">
        <v>22.0032</v>
      </c>
      <c r="I2177" s="2">
        <v>45.84</v>
      </c>
    </row>
    <row r="2178" spans="3:9" x14ac:dyDescent="0.3">
      <c r="E2178" t="s">
        <v>24</v>
      </c>
      <c r="F2178">
        <v>6</v>
      </c>
      <c r="G2178">
        <v>0</v>
      </c>
      <c r="H2178" s="2">
        <v>95.271900000000002</v>
      </c>
      <c r="I2178" s="2">
        <v>416.93999999999994</v>
      </c>
    </row>
    <row r="2179" spans="3:9" x14ac:dyDescent="0.3">
      <c r="C2179" t="s">
        <v>22</v>
      </c>
      <c r="D2179" t="s">
        <v>8</v>
      </c>
      <c r="E2179" t="s">
        <v>23</v>
      </c>
      <c r="F2179">
        <v>7</v>
      </c>
      <c r="G2179">
        <v>0.2</v>
      </c>
      <c r="H2179" s="2">
        <v>41.426000000000002</v>
      </c>
      <c r="I2179" s="2">
        <v>173.14400000000001</v>
      </c>
    </row>
    <row r="2180" spans="3:9" x14ac:dyDescent="0.3">
      <c r="E2180" t="s">
        <v>12</v>
      </c>
      <c r="F2180">
        <v>6</v>
      </c>
      <c r="G2180">
        <v>0.30000000000000004</v>
      </c>
      <c r="H2180" s="2">
        <v>39.686399999999999</v>
      </c>
      <c r="I2180" s="2">
        <v>121.16900000000001</v>
      </c>
    </row>
    <row r="2181" spans="3:9" x14ac:dyDescent="0.3">
      <c r="E2181" t="s">
        <v>19</v>
      </c>
      <c r="F2181">
        <v>20</v>
      </c>
      <c r="G2181">
        <v>0.2</v>
      </c>
      <c r="H2181" s="2">
        <v>121.7654</v>
      </c>
      <c r="I2181" s="2">
        <v>473.18799999999999</v>
      </c>
    </row>
    <row r="2182" spans="3:9" x14ac:dyDescent="0.3">
      <c r="E2182" t="s">
        <v>20</v>
      </c>
      <c r="F2182">
        <v>4</v>
      </c>
      <c r="G2182">
        <v>0</v>
      </c>
      <c r="H2182" s="2">
        <v>21.059999999999995</v>
      </c>
      <c r="I2182" s="2">
        <v>46.8</v>
      </c>
    </row>
    <row r="2183" spans="3:9" x14ac:dyDescent="0.3">
      <c r="E2183" t="s">
        <v>33</v>
      </c>
      <c r="F2183">
        <v>2</v>
      </c>
      <c r="G2183">
        <v>0.2</v>
      </c>
      <c r="H2183" s="2">
        <v>-23.576400000000007</v>
      </c>
      <c r="I2183" s="2">
        <v>209.56799999999998</v>
      </c>
    </row>
    <row r="2184" spans="3:9" x14ac:dyDescent="0.3">
      <c r="E2184" t="s">
        <v>18</v>
      </c>
      <c r="F2184">
        <v>4</v>
      </c>
      <c r="G2184">
        <v>0</v>
      </c>
      <c r="H2184" s="2">
        <v>5.2559999999999993</v>
      </c>
      <c r="I2184" s="2">
        <v>11.68</v>
      </c>
    </row>
    <row r="2185" spans="3:9" x14ac:dyDescent="0.3">
      <c r="E2185" t="s">
        <v>21</v>
      </c>
      <c r="F2185">
        <v>6</v>
      </c>
      <c r="G2185">
        <v>0</v>
      </c>
      <c r="H2185" s="2">
        <v>58.687200000000011</v>
      </c>
      <c r="I2185" s="2">
        <v>133.38</v>
      </c>
    </row>
    <row r="2186" spans="3:9" x14ac:dyDescent="0.3">
      <c r="E2186" t="s">
        <v>16</v>
      </c>
      <c r="F2186">
        <v>5</v>
      </c>
      <c r="G2186">
        <v>0</v>
      </c>
      <c r="H2186" s="2">
        <v>32.094999999999999</v>
      </c>
      <c r="I2186" s="2">
        <v>65.5</v>
      </c>
    </row>
    <row r="2187" spans="3:9" x14ac:dyDescent="0.3">
      <c r="E2187" t="s">
        <v>24</v>
      </c>
      <c r="F2187">
        <v>7</v>
      </c>
      <c r="G2187">
        <v>0</v>
      </c>
      <c r="H2187" s="2">
        <v>234.02469999999994</v>
      </c>
      <c r="I2187" s="2">
        <v>784.6</v>
      </c>
    </row>
    <row r="2188" spans="3:9" x14ac:dyDescent="0.3">
      <c r="E2188" t="s">
        <v>14</v>
      </c>
      <c r="F2188">
        <v>9</v>
      </c>
      <c r="G2188">
        <v>0.2</v>
      </c>
      <c r="H2188" s="2">
        <v>45.727599999999981</v>
      </c>
      <c r="I2188" s="2">
        <v>207.84999999999997</v>
      </c>
    </row>
    <row r="2189" spans="3:9" x14ac:dyDescent="0.3">
      <c r="E2189" t="s">
        <v>25</v>
      </c>
      <c r="F2189">
        <v>14</v>
      </c>
      <c r="G2189">
        <v>0.4</v>
      </c>
      <c r="H2189" s="2">
        <v>139.49120000000016</v>
      </c>
      <c r="I2189" s="2">
        <v>3365.0360000000001</v>
      </c>
    </row>
    <row r="2190" spans="3:9" x14ac:dyDescent="0.3">
      <c r="D2190" t="s">
        <v>15</v>
      </c>
      <c r="E2190" t="s">
        <v>23</v>
      </c>
      <c r="F2190">
        <v>8</v>
      </c>
      <c r="G2190">
        <v>0</v>
      </c>
      <c r="H2190" s="2">
        <v>62.400000000000006</v>
      </c>
      <c r="I2190" s="2">
        <v>160</v>
      </c>
    </row>
    <row r="2191" spans="3:9" x14ac:dyDescent="0.3">
      <c r="E2191" t="s">
        <v>12</v>
      </c>
      <c r="F2191">
        <v>6</v>
      </c>
      <c r="G2191">
        <v>0.1</v>
      </c>
      <c r="H2191" s="2">
        <v>56.827799999999975</v>
      </c>
      <c r="I2191" s="2">
        <v>239.81400000000002</v>
      </c>
    </row>
    <row r="2192" spans="3:9" x14ac:dyDescent="0.3">
      <c r="E2192" t="s">
        <v>19</v>
      </c>
      <c r="F2192">
        <v>13</v>
      </c>
      <c r="G2192">
        <v>0</v>
      </c>
      <c r="H2192" s="2">
        <v>66.613999999999976</v>
      </c>
      <c r="I2192" s="2">
        <v>226.01999999999998</v>
      </c>
    </row>
    <row r="2193" spans="4:9" x14ac:dyDescent="0.3">
      <c r="E2193" t="s">
        <v>20</v>
      </c>
      <c r="F2193">
        <v>6</v>
      </c>
      <c r="G2193">
        <v>0</v>
      </c>
      <c r="H2193" s="2">
        <v>28.591700000000003</v>
      </c>
      <c r="I2193" s="2">
        <v>59.17</v>
      </c>
    </row>
    <row r="2194" spans="4:9" x14ac:dyDescent="0.3">
      <c r="E2194" t="s">
        <v>33</v>
      </c>
      <c r="F2194">
        <v>2</v>
      </c>
      <c r="G2194">
        <v>0</v>
      </c>
      <c r="H2194" s="2">
        <v>32.633199999999988</v>
      </c>
      <c r="I2194" s="2">
        <v>191.96</v>
      </c>
    </row>
    <row r="2195" spans="4:9" x14ac:dyDescent="0.3">
      <c r="E2195" t="s">
        <v>21</v>
      </c>
      <c r="F2195">
        <v>13</v>
      </c>
      <c r="G2195">
        <v>0.2</v>
      </c>
      <c r="H2195" s="2">
        <v>192.40100000000007</v>
      </c>
      <c r="I2195" s="2">
        <v>698.63199999999995</v>
      </c>
    </row>
    <row r="2196" spans="4:9" x14ac:dyDescent="0.3">
      <c r="E2196" t="s">
        <v>43</v>
      </c>
      <c r="F2196">
        <v>3</v>
      </c>
      <c r="G2196">
        <v>0</v>
      </c>
      <c r="H2196" s="2">
        <v>97.544399999999996</v>
      </c>
      <c r="I2196" s="2">
        <v>199.23000000000002</v>
      </c>
    </row>
    <row r="2197" spans="4:9" x14ac:dyDescent="0.3">
      <c r="E2197" t="s">
        <v>16</v>
      </c>
      <c r="F2197">
        <v>11</v>
      </c>
      <c r="G2197">
        <v>0</v>
      </c>
      <c r="H2197" s="2">
        <v>91.187999999999988</v>
      </c>
      <c r="I2197" s="2">
        <v>189.04000000000002</v>
      </c>
    </row>
    <row r="2198" spans="4:9" x14ac:dyDescent="0.3">
      <c r="E2198" t="s">
        <v>25</v>
      </c>
      <c r="F2198">
        <v>11</v>
      </c>
      <c r="G2198">
        <v>0</v>
      </c>
      <c r="H2198" s="2">
        <v>529.8981</v>
      </c>
      <c r="I2198" s="2">
        <v>2370.5699999999997</v>
      </c>
    </row>
    <row r="2199" spans="4:9" x14ac:dyDescent="0.3">
      <c r="D2199" t="s">
        <v>17</v>
      </c>
      <c r="E2199" t="s">
        <v>23</v>
      </c>
      <c r="F2199">
        <v>12</v>
      </c>
      <c r="G2199">
        <v>0</v>
      </c>
      <c r="H2199" s="2">
        <v>940.96640000000025</v>
      </c>
      <c r="I2199" s="2">
        <v>2548.73</v>
      </c>
    </row>
    <row r="2200" spans="4:9" x14ac:dyDescent="0.3">
      <c r="E2200" t="s">
        <v>19</v>
      </c>
      <c r="F2200">
        <v>14</v>
      </c>
      <c r="G2200">
        <v>0</v>
      </c>
      <c r="H2200" s="2">
        <v>32.550400000000003</v>
      </c>
      <c r="I2200" s="2">
        <v>117.83999999999999</v>
      </c>
    </row>
    <row r="2201" spans="4:9" x14ac:dyDescent="0.3">
      <c r="E2201" t="s">
        <v>20</v>
      </c>
      <c r="F2201">
        <v>19</v>
      </c>
      <c r="G2201">
        <v>0</v>
      </c>
      <c r="H2201" s="2">
        <v>296.63420000000002</v>
      </c>
      <c r="I2201" s="2">
        <v>631.17999999999995</v>
      </c>
    </row>
    <row r="2202" spans="4:9" x14ac:dyDescent="0.3">
      <c r="E2202" t="s">
        <v>18</v>
      </c>
      <c r="F2202">
        <v>3</v>
      </c>
      <c r="G2202">
        <v>0</v>
      </c>
      <c r="H2202" s="2">
        <v>0.23339999999999961</v>
      </c>
      <c r="I2202" s="2">
        <v>23.34</v>
      </c>
    </row>
    <row r="2203" spans="4:9" x14ac:dyDescent="0.3">
      <c r="E2203" t="s">
        <v>21</v>
      </c>
      <c r="F2203">
        <v>8</v>
      </c>
      <c r="G2203">
        <v>0</v>
      </c>
      <c r="H2203" s="2">
        <v>16.083600000000001</v>
      </c>
      <c r="I2203" s="2">
        <v>52.4</v>
      </c>
    </row>
    <row r="2204" spans="4:9" x14ac:dyDescent="0.3">
      <c r="E2204" t="s">
        <v>46</v>
      </c>
      <c r="F2204">
        <v>3</v>
      </c>
      <c r="G2204">
        <v>0.1</v>
      </c>
      <c r="H2204" s="2">
        <v>152.08829999999998</v>
      </c>
      <c r="I2204" s="2">
        <v>350.97300000000007</v>
      </c>
    </row>
    <row r="2205" spans="4:9" x14ac:dyDescent="0.3">
      <c r="E2205" t="s">
        <v>16</v>
      </c>
      <c r="F2205">
        <v>21</v>
      </c>
      <c r="G2205">
        <v>0</v>
      </c>
      <c r="H2205" s="2">
        <v>186.14739999999998</v>
      </c>
      <c r="I2205" s="2">
        <v>403.42</v>
      </c>
    </row>
    <row r="2206" spans="4:9" x14ac:dyDescent="0.3">
      <c r="E2206" t="s">
        <v>24</v>
      </c>
      <c r="F2206">
        <v>12</v>
      </c>
      <c r="G2206">
        <v>0</v>
      </c>
      <c r="H2206" s="2">
        <v>557.66339999999991</v>
      </c>
      <c r="I2206" s="2">
        <v>2022.7199999999998</v>
      </c>
    </row>
    <row r="2207" spans="4:9" x14ac:dyDescent="0.3">
      <c r="E2207" t="s">
        <v>14</v>
      </c>
      <c r="F2207">
        <v>4</v>
      </c>
      <c r="G2207">
        <v>0</v>
      </c>
      <c r="H2207" s="2">
        <v>87.762399999999985</v>
      </c>
      <c r="I2207" s="2">
        <v>379.24</v>
      </c>
    </row>
    <row r="2208" spans="4:9" x14ac:dyDescent="0.3">
      <c r="E2208" t="s">
        <v>9</v>
      </c>
      <c r="F2208">
        <v>4</v>
      </c>
      <c r="G2208">
        <v>0</v>
      </c>
      <c r="H2208" s="2">
        <v>21.035999999999994</v>
      </c>
      <c r="I2208" s="2">
        <v>70.12</v>
      </c>
    </row>
    <row r="2209" spans="2:9" x14ac:dyDescent="0.3">
      <c r="B2209" t="s">
        <v>246</v>
      </c>
      <c r="C2209" t="s">
        <v>11</v>
      </c>
      <c r="D2209" t="s">
        <v>8</v>
      </c>
      <c r="E2209" t="s">
        <v>23</v>
      </c>
      <c r="F2209">
        <v>3</v>
      </c>
      <c r="G2209">
        <v>0.2</v>
      </c>
      <c r="H2209" s="2">
        <v>-17.996400000000019</v>
      </c>
      <c r="I2209" s="2">
        <v>119.97600000000001</v>
      </c>
    </row>
    <row r="2210" spans="2:9" x14ac:dyDescent="0.3">
      <c r="E2210" t="s">
        <v>19</v>
      </c>
      <c r="F2210">
        <v>2</v>
      </c>
      <c r="G2210">
        <v>0.2</v>
      </c>
      <c r="H2210" s="2">
        <v>6.0059999999999993</v>
      </c>
      <c r="I2210" s="2">
        <v>18.48</v>
      </c>
    </row>
    <row r="2211" spans="2:9" x14ac:dyDescent="0.3">
      <c r="E2211" t="s">
        <v>20</v>
      </c>
      <c r="F2211">
        <v>1</v>
      </c>
      <c r="G2211">
        <v>0.7</v>
      </c>
      <c r="H2211" s="2">
        <v>-13.363000000000003</v>
      </c>
      <c r="I2211" s="2">
        <v>17.430000000000003</v>
      </c>
    </row>
    <row r="2212" spans="2:9" x14ac:dyDescent="0.3">
      <c r="E2212" t="s">
        <v>38</v>
      </c>
      <c r="F2212">
        <v>1</v>
      </c>
      <c r="G2212">
        <v>0.2</v>
      </c>
      <c r="H2212" s="2">
        <v>7.3385999999999996</v>
      </c>
      <c r="I2212" s="2">
        <v>21.744</v>
      </c>
    </row>
    <row r="2213" spans="2:9" x14ac:dyDescent="0.3">
      <c r="E2213" t="s">
        <v>21</v>
      </c>
      <c r="F2213">
        <v>1</v>
      </c>
      <c r="G2213">
        <v>0.2</v>
      </c>
      <c r="H2213" s="2">
        <v>6.0381999999999998</v>
      </c>
      <c r="I2213" s="2">
        <v>34.504000000000005</v>
      </c>
    </row>
    <row r="2214" spans="2:9" x14ac:dyDescent="0.3">
      <c r="E2214" t="s">
        <v>43</v>
      </c>
      <c r="F2214">
        <v>3</v>
      </c>
      <c r="G2214">
        <v>0.2</v>
      </c>
      <c r="H2214" s="2">
        <v>4.9139999999999988</v>
      </c>
      <c r="I2214" s="2">
        <v>15.120000000000001</v>
      </c>
    </row>
    <row r="2215" spans="2:9" x14ac:dyDescent="0.3">
      <c r="E2215" t="s">
        <v>16</v>
      </c>
      <c r="F2215">
        <v>3</v>
      </c>
      <c r="G2215">
        <v>0.2</v>
      </c>
      <c r="H2215" s="2">
        <v>88.073999999999984</v>
      </c>
      <c r="I2215" s="2">
        <v>251.64</v>
      </c>
    </row>
    <row r="2216" spans="2:9" x14ac:dyDescent="0.3">
      <c r="E2216" t="s">
        <v>24</v>
      </c>
      <c r="F2216">
        <v>8</v>
      </c>
      <c r="G2216">
        <v>0.4</v>
      </c>
      <c r="H2216" s="2">
        <v>5.4906000000000024</v>
      </c>
      <c r="I2216" s="2">
        <v>55.896000000000001</v>
      </c>
    </row>
    <row r="2217" spans="2:9" x14ac:dyDescent="0.3">
      <c r="E2217" t="s">
        <v>14</v>
      </c>
      <c r="F2217">
        <v>5</v>
      </c>
      <c r="G2217">
        <v>0.2</v>
      </c>
      <c r="H2217" s="2">
        <v>5.9184999999999981</v>
      </c>
      <c r="I2217" s="2">
        <v>67.64</v>
      </c>
    </row>
    <row r="2218" spans="2:9" x14ac:dyDescent="0.3">
      <c r="D2218" t="s">
        <v>15</v>
      </c>
      <c r="E2218" t="s">
        <v>20</v>
      </c>
      <c r="F2218">
        <v>11</v>
      </c>
      <c r="G2218">
        <v>1.4</v>
      </c>
      <c r="H2218" s="2">
        <v>-33.687599999999989</v>
      </c>
      <c r="I2218" s="2">
        <v>44.51400000000001</v>
      </c>
    </row>
    <row r="2219" spans="2:9" x14ac:dyDescent="0.3">
      <c r="E2219" t="s">
        <v>33</v>
      </c>
      <c r="F2219">
        <v>5</v>
      </c>
      <c r="G2219">
        <v>0.4</v>
      </c>
      <c r="H2219" s="2">
        <v>-2.722800000000035</v>
      </c>
      <c r="I2219" s="2">
        <v>414.98400000000004</v>
      </c>
    </row>
    <row r="2220" spans="2:9" x14ac:dyDescent="0.3">
      <c r="E2220" t="s">
        <v>38</v>
      </c>
      <c r="F2220">
        <v>3</v>
      </c>
      <c r="G2220">
        <v>0.2</v>
      </c>
      <c r="H2220" s="2">
        <v>22.015799999999999</v>
      </c>
      <c r="I2220" s="2">
        <v>65.231999999999999</v>
      </c>
    </row>
    <row r="2221" spans="2:9" x14ac:dyDescent="0.3">
      <c r="E2221" t="s">
        <v>21</v>
      </c>
      <c r="F2221">
        <v>4</v>
      </c>
      <c r="G2221">
        <v>0.4</v>
      </c>
      <c r="H2221" s="2">
        <v>6.8477999999999959</v>
      </c>
      <c r="I2221" s="2">
        <v>52.656000000000006</v>
      </c>
    </row>
    <row r="2222" spans="2:9" x14ac:dyDescent="0.3">
      <c r="E2222" t="s">
        <v>46</v>
      </c>
      <c r="F2222">
        <v>2</v>
      </c>
      <c r="G2222">
        <v>0.5</v>
      </c>
      <c r="H2222" s="2">
        <v>-27.827999999999975</v>
      </c>
      <c r="I2222" s="2">
        <v>695.7</v>
      </c>
    </row>
    <row r="2223" spans="2:9" x14ac:dyDescent="0.3">
      <c r="E2223" t="s">
        <v>16</v>
      </c>
      <c r="F2223">
        <v>4</v>
      </c>
      <c r="G2223">
        <v>0.4</v>
      </c>
      <c r="H2223" s="2">
        <v>43.707999999999998</v>
      </c>
      <c r="I2223" s="2">
        <v>124.88</v>
      </c>
    </row>
    <row r="2224" spans="2:9" x14ac:dyDescent="0.3">
      <c r="C2224" t="s">
        <v>27</v>
      </c>
      <c r="D2224" t="s">
        <v>8</v>
      </c>
      <c r="E2224" t="s">
        <v>19</v>
      </c>
      <c r="F2224">
        <v>2</v>
      </c>
      <c r="G2224">
        <v>0.2</v>
      </c>
      <c r="H2224" s="2">
        <v>1.1119999999999999</v>
      </c>
      <c r="I2224" s="2">
        <v>4.4479999999999995</v>
      </c>
    </row>
    <row r="2225" spans="3:9" x14ac:dyDescent="0.3">
      <c r="E2225" t="s">
        <v>21</v>
      </c>
      <c r="F2225">
        <v>4</v>
      </c>
      <c r="G2225">
        <v>0.2</v>
      </c>
      <c r="H2225" s="2">
        <v>6.0411999999999964</v>
      </c>
      <c r="I2225" s="2">
        <v>43.936000000000007</v>
      </c>
    </row>
    <row r="2226" spans="3:9" x14ac:dyDescent="0.3">
      <c r="E2226" t="s">
        <v>16</v>
      </c>
      <c r="F2226">
        <v>7</v>
      </c>
      <c r="G2226">
        <v>0.60000000000000009</v>
      </c>
      <c r="H2226" s="2">
        <v>16.684199999999997</v>
      </c>
      <c r="I2226" s="2">
        <v>48</v>
      </c>
    </row>
    <row r="2227" spans="3:9" x14ac:dyDescent="0.3">
      <c r="E2227" t="s">
        <v>24</v>
      </c>
      <c r="F2227">
        <v>5</v>
      </c>
      <c r="G2227">
        <v>0.2</v>
      </c>
      <c r="H2227" s="2">
        <v>51.497499999999974</v>
      </c>
      <c r="I2227" s="2">
        <v>823.96000000000015</v>
      </c>
    </row>
    <row r="2228" spans="3:9" x14ac:dyDescent="0.3">
      <c r="E2228" t="s">
        <v>14</v>
      </c>
      <c r="F2228">
        <v>2</v>
      </c>
      <c r="G2228">
        <v>0.2</v>
      </c>
      <c r="H2228" s="2">
        <v>-0.7748000000000006</v>
      </c>
      <c r="I2228" s="2">
        <v>4.7679999999999998</v>
      </c>
    </row>
    <row r="2229" spans="3:9" x14ac:dyDescent="0.3">
      <c r="D2229" t="s">
        <v>17</v>
      </c>
      <c r="E2229" t="s">
        <v>23</v>
      </c>
      <c r="F2229">
        <v>4</v>
      </c>
      <c r="G2229">
        <v>0.2</v>
      </c>
      <c r="H2229" s="2">
        <v>31.995999999999974</v>
      </c>
      <c r="I2229" s="2">
        <v>255.96799999999999</v>
      </c>
    </row>
    <row r="2230" spans="3:9" x14ac:dyDescent="0.3">
      <c r="C2230" t="s">
        <v>7</v>
      </c>
      <c r="D2230" t="s">
        <v>8</v>
      </c>
      <c r="E2230" t="s">
        <v>23</v>
      </c>
      <c r="F2230">
        <v>2</v>
      </c>
      <c r="G2230">
        <v>0.4</v>
      </c>
      <c r="H2230" s="2">
        <v>29.196599999999997</v>
      </c>
      <c r="I2230" s="2">
        <v>127.98400000000001</v>
      </c>
    </row>
    <row r="2231" spans="3:9" x14ac:dyDescent="0.3">
      <c r="E2231" t="s">
        <v>12</v>
      </c>
      <c r="F2231">
        <v>2</v>
      </c>
      <c r="G2231">
        <v>0.2</v>
      </c>
      <c r="H2231" s="2">
        <v>6.5339999999999971</v>
      </c>
      <c r="I2231" s="2">
        <v>34.848000000000006</v>
      </c>
    </row>
    <row r="2232" spans="3:9" x14ac:dyDescent="0.3">
      <c r="E2232" t="s">
        <v>19</v>
      </c>
      <c r="F2232">
        <v>3</v>
      </c>
      <c r="G2232">
        <v>0.2</v>
      </c>
      <c r="H2232" s="2">
        <v>0.3822000000000001</v>
      </c>
      <c r="I2232" s="2">
        <v>4.3680000000000003</v>
      </c>
    </row>
    <row r="2233" spans="3:9" x14ac:dyDescent="0.3">
      <c r="E2233" t="s">
        <v>20</v>
      </c>
      <c r="F2233">
        <v>8</v>
      </c>
      <c r="G2233">
        <v>0.7</v>
      </c>
      <c r="H2233" s="2">
        <v>-8.2367999999999988</v>
      </c>
      <c r="I2233" s="2">
        <v>11.232000000000001</v>
      </c>
    </row>
    <row r="2234" spans="3:9" x14ac:dyDescent="0.3">
      <c r="E2234" t="s">
        <v>34</v>
      </c>
      <c r="F2234">
        <v>4</v>
      </c>
      <c r="G2234">
        <v>0.2</v>
      </c>
      <c r="H2234" s="2">
        <v>-7.7727999999999895</v>
      </c>
      <c r="I2234" s="2">
        <v>155.45600000000002</v>
      </c>
    </row>
    <row r="2235" spans="3:9" x14ac:dyDescent="0.3">
      <c r="E2235" t="s">
        <v>21</v>
      </c>
      <c r="F2235">
        <v>3</v>
      </c>
      <c r="G2235">
        <v>0.2</v>
      </c>
      <c r="H2235" s="2">
        <v>-2.2758000000000109</v>
      </c>
      <c r="I2235" s="2">
        <v>91.032000000000011</v>
      </c>
    </row>
    <row r="2236" spans="3:9" x14ac:dyDescent="0.3">
      <c r="E2236" t="s">
        <v>16</v>
      </c>
      <c r="F2236">
        <v>3</v>
      </c>
      <c r="G2236">
        <v>0.2</v>
      </c>
      <c r="H2236" s="2">
        <v>3.2099999999999982</v>
      </c>
      <c r="I2236" s="2">
        <v>10.272000000000002</v>
      </c>
    </row>
    <row r="2237" spans="3:9" x14ac:dyDescent="0.3">
      <c r="E2237" t="s">
        <v>24</v>
      </c>
      <c r="F2237">
        <v>5</v>
      </c>
      <c r="G2237">
        <v>0.2</v>
      </c>
      <c r="H2237" s="2">
        <v>1.375</v>
      </c>
      <c r="I2237" s="2">
        <v>22</v>
      </c>
    </row>
    <row r="2238" spans="3:9" x14ac:dyDescent="0.3">
      <c r="D2238" t="s">
        <v>15</v>
      </c>
      <c r="E2238" t="s">
        <v>23</v>
      </c>
      <c r="F2238">
        <v>15</v>
      </c>
      <c r="G2238">
        <v>0.4</v>
      </c>
      <c r="H2238" s="2">
        <v>193.07579999999993</v>
      </c>
      <c r="I2238" s="2">
        <v>908.5920000000001</v>
      </c>
    </row>
    <row r="2239" spans="3:9" x14ac:dyDescent="0.3">
      <c r="E2239" t="s">
        <v>12</v>
      </c>
      <c r="F2239">
        <v>3</v>
      </c>
      <c r="G2239">
        <v>0.2</v>
      </c>
      <c r="H2239" s="2">
        <v>1.8207000000000013</v>
      </c>
      <c r="I2239" s="2">
        <v>20.808</v>
      </c>
    </row>
    <row r="2240" spans="3:9" x14ac:dyDescent="0.3">
      <c r="E2240" t="s">
        <v>19</v>
      </c>
      <c r="F2240">
        <v>2</v>
      </c>
      <c r="G2240">
        <v>0.2</v>
      </c>
      <c r="H2240" s="2">
        <v>0.59039999999999915</v>
      </c>
      <c r="I2240" s="2">
        <v>5.2480000000000002</v>
      </c>
    </row>
    <row r="2241" spans="3:9" x14ac:dyDescent="0.3">
      <c r="E2241" t="s">
        <v>20</v>
      </c>
      <c r="F2241">
        <v>3</v>
      </c>
      <c r="G2241">
        <v>0.7</v>
      </c>
      <c r="H2241" s="2">
        <v>-3.0933000000000002</v>
      </c>
      <c r="I2241" s="2">
        <v>4.4190000000000005</v>
      </c>
    </row>
    <row r="2242" spans="3:9" x14ac:dyDescent="0.3">
      <c r="E2242" t="s">
        <v>33</v>
      </c>
      <c r="F2242">
        <v>3</v>
      </c>
      <c r="G2242">
        <v>0.2</v>
      </c>
      <c r="H2242" s="2">
        <v>-19.105800000000016</v>
      </c>
      <c r="I2242" s="2">
        <v>218.35200000000003</v>
      </c>
    </row>
    <row r="2243" spans="3:9" x14ac:dyDescent="0.3">
      <c r="E2243" t="s">
        <v>21</v>
      </c>
      <c r="F2243">
        <v>5</v>
      </c>
      <c r="G2243">
        <v>0.2</v>
      </c>
      <c r="H2243" s="2">
        <v>1.8479999999999985</v>
      </c>
      <c r="I2243" s="2">
        <v>12.320000000000002</v>
      </c>
    </row>
    <row r="2244" spans="3:9" x14ac:dyDescent="0.3">
      <c r="E2244" t="s">
        <v>43</v>
      </c>
      <c r="F2244">
        <v>3</v>
      </c>
      <c r="G2244">
        <v>0.2</v>
      </c>
      <c r="H2244" s="2">
        <v>2.0358000000000001</v>
      </c>
      <c r="I2244" s="2">
        <v>6.2640000000000002</v>
      </c>
    </row>
    <row r="2245" spans="3:9" x14ac:dyDescent="0.3">
      <c r="E2245" t="s">
        <v>24</v>
      </c>
      <c r="F2245">
        <v>5</v>
      </c>
      <c r="G2245">
        <v>0.4</v>
      </c>
      <c r="H2245" s="2">
        <v>-0.51569999999999983</v>
      </c>
      <c r="I2245" s="2">
        <v>83.160000000000011</v>
      </c>
    </row>
    <row r="2246" spans="3:9" x14ac:dyDescent="0.3">
      <c r="D2246" t="s">
        <v>17</v>
      </c>
      <c r="E2246" t="s">
        <v>23</v>
      </c>
      <c r="F2246">
        <v>7</v>
      </c>
      <c r="G2246">
        <v>0.2</v>
      </c>
      <c r="H2246" s="2">
        <v>50.383200000000016</v>
      </c>
      <c r="I2246" s="2">
        <v>167.94400000000002</v>
      </c>
    </row>
    <row r="2247" spans="3:9" x14ac:dyDescent="0.3">
      <c r="E2247" t="s">
        <v>33</v>
      </c>
      <c r="F2247">
        <v>5</v>
      </c>
      <c r="G2247">
        <v>0.2</v>
      </c>
      <c r="H2247" s="2">
        <v>131.27849999999995</v>
      </c>
      <c r="I2247" s="2">
        <v>1166.92</v>
      </c>
    </row>
    <row r="2248" spans="3:9" x14ac:dyDescent="0.3">
      <c r="E2248" t="s">
        <v>38</v>
      </c>
      <c r="F2248">
        <v>2</v>
      </c>
      <c r="G2248">
        <v>0.2</v>
      </c>
      <c r="H2248" s="2">
        <v>4.4311999999999996</v>
      </c>
      <c r="I2248" s="2">
        <v>12.224</v>
      </c>
    </row>
    <row r="2249" spans="3:9" x14ac:dyDescent="0.3">
      <c r="E2249" t="s">
        <v>16</v>
      </c>
      <c r="F2249">
        <v>5</v>
      </c>
      <c r="G2249">
        <v>0.4</v>
      </c>
      <c r="H2249" s="2">
        <v>59.743199999999987</v>
      </c>
      <c r="I2249" s="2">
        <v>172</v>
      </c>
    </row>
    <row r="2250" spans="3:9" x14ac:dyDescent="0.3">
      <c r="C2250" t="s">
        <v>22</v>
      </c>
      <c r="D2250" t="s">
        <v>8</v>
      </c>
      <c r="E2250" t="s">
        <v>23</v>
      </c>
      <c r="F2250">
        <v>8</v>
      </c>
      <c r="G2250">
        <v>0.60000000000000009</v>
      </c>
      <c r="H2250" s="2">
        <v>-15.325199999999993</v>
      </c>
      <c r="I2250" s="2">
        <v>294.50400000000002</v>
      </c>
    </row>
    <row r="2251" spans="3:9" x14ac:dyDescent="0.3">
      <c r="E2251" t="s">
        <v>12</v>
      </c>
      <c r="F2251">
        <v>4</v>
      </c>
      <c r="G2251">
        <v>0.2</v>
      </c>
      <c r="H2251" s="2">
        <v>156.33799999999997</v>
      </c>
      <c r="I2251" s="2">
        <v>962.07999999999993</v>
      </c>
    </row>
    <row r="2252" spans="3:9" x14ac:dyDescent="0.3">
      <c r="E2252" t="s">
        <v>19</v>
      </c>
      <c r="F2252">
        <v>5</v>
      </c>
      <c r="G2252">
        <v>0.4</v>
      </c>
      <c r="H2252" s="2">
        <v>4.7392000000000003</v>
      </c>
      <c r="I2252" s="2">
        <v>56.96</v>
      </c>
    </row>
    <row r="2253" spans="3:9" x14ac:dyDescent="0.3">
      <c r="E2253" t="s">
        <v>20</v>
      </c>
      <c r="F2253">
        <v>24</v>
      </c>
      <c r="G2253">
        <v>4.9000000000000004</v>
      </c>
      <c r="H2253" s="2">
        <v>-117.52669999999996</v>
      </c>
      <c r="I2253" s="2">
        <v>155.21100000000001</v>
      </c>
    </row>
    <row r="2254" spans="3:9" x14ac:dyDescent="0.3">
      <c r="E2254" t="s">
        <v>33</v>
      </c>
      <c r="F2254">
        <v>6</v>
      </c>
      <c r="G2254">
        <v>0.4</v>
      </c>
      <c r="H2254" s="2">
        <v>10.2592</v>
      </c>
      <c r="I2254" s="2">
        <v>2906.5120000000002</v>
      </c>
    </row>
    <row r="2255" spans="3:9" x14ac:dyDescent="0.3">
      <c r="E2255" t="s">
        <v>38</v>
      </c>
      <c r="F2255">
        <v>4</v>
      </c>
      <c r="G2255">
        <v>0.2</v>
      </c>
      <c r="H2255" s="2">
        <v>13.127999999999998</v>
      </c>
      <c r="I2255" s="2">
        <v>35.008000000000003</v>
      </c>
    </row>
    <row r="2256" spans="3:9" x14ac:dyDescent="0.3">
      <c r="E2256" t="s">
        <v>21</v>
      </c>
      <c r="F2256">
        <v>6</v>
      </c>
      <c r="G2256">
        <v>0.4</v>
      </c>
      <c r="H2256" s="2">
        <v>-38.626800000000046</v>
      </c>
      <c r="I2256" s="2">
        <v>488.30399999999997</v>
      </c>
    </row>
    <row r="2257" spans="4:9" x14ac:dyDescent="0.3">
      <c r="E2257" t="s">
        <v>43</v>
      </c>
      <c r="F2257">
        <v>1</v>
      </c>
      <c r="G2257">
        <v>0.2</v>
      </c>
      <c r="H2257" s="2">
        <v>1.0499999999999998</v>
      </c>
      <c r="I2257" s="2">
        <v>3</v>
      </c>
    </row>
    <row r="2258" spans="4:9" x14ac:dyDescent="0.3">
      <c r="E2258" t="s">
        <v>16</v>
      </c>
      <c r="F2258">
        <v>31</v>
      </c>
      <c r="G2258">
        <v>1.4</v>
      </c>
      <c r="H2258" s="2">
        <v>231.66259999999994</v>
      </c>
      <c r="I2258" s="2">
        <v>676.37600000000009</v>
      </c>
    </row>
    <row r="2259" spans="4:9" x14ac:dyDescent="0.3">
      <c r="E2259" t="s">
        <v>24</v>
      </c>
      <c r="F2259">
        <v>9</v>
      </c>
      <c r="G2259">
        <v>0.60000000000000009</v>
      </c>
      <c r="H2259" s="2">
        <v>126.82039999999996</v>
      </c>
      <c r="I2259" s="2">
        <v>1065.4319999999998</v>
      </c>
    </row>
    <row r="2260" spans="4:9" x14ac:dyDescent="0.3">
      <c r="E2260" t="s">
        <v>14</v>
      </c>
      <c r="F2260">
        <v>8</v>
      </c>
      <c r="G2260">
        <v>0.4</v>
      </c>
      <c r="H2260" s="2">
        <v>-339.43000000000006</v>
      </c>
      <c r="I2260" s="2">
        <v>1827.616</v>
      </c>
    </row>
    <row r="2261" spans="4:9" x14ac:dyDescent="0.3">
      <c r="E2261" t="s">
        <v>9</v>
      </c>
      <c r="F2261">
        <v>4</v>
      </c>
      <c r="G2261">
        <v>0.4</v>
      </c>
      <c r="H2261" s="2">
        <v>1.8523999999999987</v>
      </c>
      <c r="I2261" s="2">
        <v>16.096</v>
      </c>
    </row>
    <row r="2262" spans="4:9" x14ac:dyDescent="0.3">
      <c r="E2262" t="s">
        <v>25</v>
      </c>
      <c r="F2262">
        <v>10</v>
      </c>
      <c r="G2262">
        <v>0.85000000000000009</v>
      </c>
      <c r="H2262" s="2">
        <v>-757.40820000000008</v>
      </c>
      <c r="I2262" s="2">
        <v>1878.2980000000002</v>
      </c>
    </row>
    <row r="2263" spans="4:9" x14ac:dyDescent="0.3">
      <c r="D2263" t="s">
        <v>15</v>
      </c>
      <c r="E2263" t="s">
        <v>19</v>
      </c>
      <c r="F2263">
        <v>5</v>
      </c>
      <c r="G2263">
        <v>0.60000000000000009</v>
      </c>
      <c r="H2263" s="2">
        <v>2.7612000000000005</v>
      </c>
      <c r="I2263" s="2">
        <v>21.167999999999999</v>
      </c>
    </row>
    <row r="2264" spans="4:9" x14ac:dyDescent="0.3">
      <c r="E2264" t="s">
        <v>20</v>
      </c>
      <c r="F2264">
        <v>30</v>
      </c>
      <c r="G2264">
        <v>4.2</v>
      </c>
      <c r="H2264" s="2">
        <v>-139.79879999999994</v>
      </c>
      <c r="I2264" s="2">
        <v>191.14200000000002</v>
      </c>
    </row>
    <row r="2265" spans="4:9" x14ac:dyDescent="0.3">
      <c r="E2265" t="s">
        <v>33</v>
      </c>
      <c r="F2265">
        <v>1</v>
      </c>
      <c r="G2265">
        <v>0.2</v>
      </c>
      <c r="H2265" s="2">
        <v>-12.147000000000009</v>
      </c>
      <c r="I2265" s="2">
        <v>64.784000000000006</v>
      </c>
    </row>
    <row r="2266" spans="4:9" x14ac:dyDescent="0.3">
      <c r="E2266" t="s">
        <v>18</v>
      </c>
      <c r="F2266">
        <v>11</v>
      </c>
      <c r="G2266">
        <v>0.2</v>
      </c>
      <c r="H2266" s="2">
        <v>11.814</v>
      </c>
      <c r="I2266" s="2">
        <v>31.504000000000005</v>
      </c>
    </row>
    <row r="2267" spans="4:9" x14ac:dyDescent="0.3">
      <c r="E2267" t="s">
        <v>21</v>
      </c>
      <c r="F2267">
        <v>4</v>
      </c>
      <c r="G2267">
        <v>0.4</v>
      </c>
      <c r="H2267" s="2">
        <v>9.7164000000000037</v>
      </c>
      <c r="I2267" s="2">
        <v>34.903999999999996</v>
      </c>
    </row>
    <row r="2268" spans="4:9" x14ac:dyDescent="0.3">
      <c r="E2268" t="s">
        <v>43</v>
      </c>
      <c r="F2268">
        <v>3</v>
      </c>
      <c r="G2268">
        <v>0.4</v>
      </c>
      <c r="H2268" s="2">
        <v>3.3083999999999998</v>
      </c>
      <c r="I2268" s="2">
        <v>9.6479999999999997</v>
      </c>
    </row>
    <row r="2269" spans="4:9" x14ac:dyDescent="0.3">
      <c r="E2269" t="s">
        <v>16</v>
      </c>
      <c r="F2269">
        <v>10</v>
      </c>
      <c r="G2269">
        <v>0.60000000000000009</v>
      </c>
      <c r="H2269" s="2">
        <v>45.583999999999996</v>
      </c>
      <c r="I2269" s="2">
        <v>130.24</v>
      </c>
    </row>
    <row r="2270" spans="4:9" x14ac:dyDescent="0.3">
      <c r="E2270" t="s">
        <v>24</v>
      </c>
      <c r="F2270">
        <v>14</v>
      </c>
      <c r="G2270">
        <v>0.60000000000000009</v>
      </c>
      <c r="H2270" s="2">
        <v>15.793200000000002</v>
      </c>
      <c r="I2270" s="2">
        <v>197.12799999999999</v>
      </c>
    </row>
    <row r="2271" spans="4:9" x14ac:dyDescent="0.3">
      <c r="E2271" t="s">
        <v>14</v>
      </c>
      <c r="F2271">
        <v>10</v>
      </c>
      <c r="G2271">
        <v>0.4</v>
      </c>
      <c r="H2271" s="2">
        <v>62.925999999999839</v>
      </c>
      <c r="I2271" s="2">
        <v>1461.0880000000002</v>
      </c>
    </row>
    <row r="2272" spans="4:9" x14ac:dyDescent="0.3">
      <c r="E2272" t="s">
        <v>25</v>
      </c>
      <c r="F2272">
        <v>10</v>
      </c>
      <c r="G2272">
        <v>0.9</v>
      </c>
      <c r="H2272" s="2">
        <v>-587.3184</v>
      </c>
      <c r="I2272" s="2">
        <v>1105.3130000000001</v>
      </c>
    </row>
    <row r="2273" spans="2:9" x14ac:dyDescent="0.3">
      <c r="D2273" t="s">
        <v>17</v>
      </c>
      <c r="E2273" t="s">
        <v>23</v>
      </c>
      <c r="F2273">
        <v>3</v>
      </c>
      <c r="G2273">
        <v>0.2</v>
      </c>
      <c r="H2273" s="2">
        <v>38.395199999999988</v>
      </c>
      <c r="I2273" s="2">
        <v>191.976</v>
      </c>
    </row>
    <row r="2274" spans="2:9" x14ac:dyDescent="0.3">
      <c r="E2274" t="s">
        <v>19</v>
      </c>
      <c r="F2274">
        <v>5</v>
      </c>
      <c r="G2274">
        <v>0.4</v>
      </c>
      <c r="H2274" s="2">
        <v>2.2212000000000001</v>
      </c>
      <c r="I2274" s="2">
        <v>24.271999999999998</v>
      </c>
    </row>
    <row r="2275" spans="2:9" x14ac:dyDescent="0.3">
      <c r="E2275" t="s">
        <v>18</v>
      </c>
      <c r="F2275">
        <v>3</v>
      </c>
      <c r="G2275">
        <v>0.2</v>
      </c>
      <c r="H2275" s="2">
        <v>5.9174999999999986</v>
      </c>
      <c r="I2275" s="2">
        <v>18.936</v>
      </c>
    </row>
    <row r="2276" spans="2:9" x14ac:dyDescent="0.3">
      <c r="E2276" t="s">
        <v>21</v>
      </c>
      <c r="F2276">
        <v>5</v>
      </c>
      <c r="G2276">
        <v>0.4</v>
      </c>
      <c r="H2276" s="2">
        <v>23.370599999999992</v>
      </c>
      <c r="I2276" s="2">
        <v>153.12</v>
      </c>
    </row>
    <row r="2277" spans="2:9" x14ac:dyDescent="0.3">
      <c r="E2277" t="s">
        <v>46</v>
      </c>
      <c r="F2277">
        <v>10</v>
      </c>
      <c r="G2277">
        <v>1</v>
      </c>
      <c r="H2277" s="2">
        <v>-1827.5044000000021</v>
      </c>
      <c r="I2277" s="2">
        <v>23459.78</v>
      </c>
    </row>
    <row r="2278" spans="2:9" x14ac:dyDescent="0.3">
      <c r="E2278" t="s">
        <v>16</v>
      </c>
      <c r="F2278">
        <v>11</v>
      </c>
      <c r="G2278">
        <v>0.60000000000000009</v>
      </c>
      <c r="H2278" s="2">
        <v>41.002199999999995</v>
      </c>
      <c r="I2278" s="2">
        <v>117.512</v>
      </c>
    </row>
    <row r="2279" spans="2:9" x14ac:dyDescent="0.3">
      <c r="E2279" t="s">
        <v>24</v>
      </c>
      <c r="F2279">
        <v>6</v>
      </c>
      <c r="G2279">
        <v>0.4</v>
      </c>
      <c r="H2279" s="2">
        <v>50.376599999999996</v>
      </c>
      <c r="I2279" s="2">
        <v>718.35200000000009</v>
      </c>
    </row>
    <row r="2280" spans="2:9" x14ac:dyDescent="0.3">
      <c r="B2280" t="s">
        <v>247</v>
      </c>
      <c r="C2280" t="s">
        <v>22</v>
      </c>
      <c r="D2280" t="s">
        <v>8</v>
      </c>
      <c r="E2280" t="s">
        <v>24</v>
      </c>
      <c r="F2280">
        <v>7</v>
      </c>
      <c r="G2280">
        <v>0</v>
      </c>
      <c r="H2280" s="2">
        <v>1228.1787000000004</v>
      </c>
      <c r="I2280" s="2">
        <v>4548.8100000000004</v>
      </c>
    </row>
    <row r="2281" spans="2:9" x14ac:dyDescent="0.3">
      <c r="D2281" t="s">
        <v>15</v>
      </c>
      <c r="E2281" t="s">
        <v>23</v>
      </c>
      <c r="F2281">
        <v>2</v>
      </c>
      <c r="G2281">
        <v>0</v>
      </c>
      <c r="H2281" s="2">
        <v>57.592799999999997</v>
      </c>
      <c r="I2281" s="2">
        <v>159.97999999999999</v>
      </c>
    </row>
    <row r="2282" spans="2:9" x14ac:dyDescent="0.3">
      <c r="B2282" t="s">
        <v>248</v>
      </c>
      <c r="C2282" t="s">
        <v>22</v>
      </c>
      <c r="D2282" t="s">
        <v>17</v>
      </c>
      <c r="E2282" t="s">
        <v>21</v>
      </c>
      <c r="F2282">
        <v>2</v>
      </c>
      <c r="G2282">
        <v>0</v>
      </c>
      <c r="H2282" s="2">
        <v>8.6619999999999919</v>
      </c>
      <c r="I2282" s="2">
        <v>86.62</v>
      </c>
    </row>
    <row r="2283" spans="2:9" x14ac:dyDescent="0.3">
      <c r="B2283" t="s">
        <v>249</v>
      </c>
      <c r="C2283" t="s">
        <v>7</v>
      </c>
      <c r="D2283" t="s">
        <v>8</v>
      </c>
      <c r="E2283" t="s">
        <v>20</v>
      </c>
      <c r="F2283">
        <v>7</v>
      </c>
      <c r="G2283">
        <v>0.7</v>
      </c>
      <c r="H2283" s="2">
        <v>-63.109199999999987</v>
      </c>
      <c r="I2283" s="2">
        <v>86.058000000000007</v>
      </c>
    </row>
    <row r="2284" spans="2:9" x14ac:dyDescent="0.3">
      <c r="E2284" t="s">
        <v>38</v>
      </c>
      <c r="F2284">
        <v>3</v>
      </c>
      <c r="G2284">
        <v>0.2</v>
      </c>
      <c r="H2284" s="2">
        <v>7.6283999999999974</v>
      </c>
      <c r="I2284" s="2">
        <v>23.472000000000001</v>
      </c>
    </row>
    <row r="2285" spans="2:9" x14ac:dyDescent="0.3">
      <c r="E2285" t="s">
        <v>16</v>
      </c>
      <c r="F2285">
        <v>3</v>
      </c>
      <c r="G2285">
        <v>0.2</v>
      </c>
      <c r="H2285" s="2">
        <v>3.2099999999999982</v>
      </c>
      <c r="I2285" s="2">
        <v>10.272000000000002</v>
      </c>
    </row>
    <row r="2286" spans="2:9" x14ac:dyDescent="0.3">
      <c r="E2286" t="s">
        <v>24</v>
      </c>
      <c r="F2286">
        <v>2</v>
      </c>
      <c r="G2286">
        <v>0.2</v>
      </c>
      <c r="H2286" s="2">
        <v>6.7990000000000066</v>
      </c>
      <c r="I2286" s="2">
        <v>108.78399999999999</v>
      </c>
    </row>
    <row r="2287" spans="2:9" x14ac:dyDescent="0.3">
      <c r="C2287" t="s">
        <v>22</v>
      </c>
      <c r="D2287" t="s">
        <v>8</v>
      </c>
      <c r="E2287" t="s">
        <v>12</v>
      </c>
      <c r="F2287">
        <v>2</v>
      </c>
      <c r="G2287">
        <v>0.2</v>
      </c>
      <c r="H2287" s="2">
        <v>29.142400000000009</v>
      </c>
      <c r="I2287" s="2">
        <v>333.05600000000004</v>
      </c>
    </row>
    <row r="2288" spans="2:9" x14ac:dyDescent="0.3">
      <c r="E2288" t="s">
        <v>19</v>
      </c>
      <c r="F2288">
        <v>3</v>
      </c>
      <c r="G2288">
        <v>0.2</v>
      </c>
      <c r="H2288" s="2">
        <v>0.47519999999999984</v>
      </c>
      <c r="I2288" s="2">
        <v>4.2240000000000002</v>
      </c>
    </row>
    <row r="2289" spans="2:9" x14ac:dyDescent="0.3">
      <c r="E2289" t="s">
        <v>20</v>
      </c>
      <c r="F2289">
        <v>7</v>
      </c>
      <c r="G2289">
        <v>1.4</v>
      </c>
      <c r="H2289" s="2">
        <v>-6.4161999999999999</v>
      </c>
      <c r="I2289" s="2">
        <v>8.4780000000000015</v>
      </c>
    </row>
    <row r="2290" spans="2:9" x14ac:dyDescent="0.3">
      <c r="E2290" t="s">
        <v>38</v>
      </c>
      <c r="F2290">
        <v>3</v>
      </c>
      <c r="G2290">
        <v>0.2</v>
      </c>
      <c r="H2290" s="2">
        <v>6.6467999999999989</v>
      </c>
      <c r="I2290" s="2">
        <v>18.335999999999999</v>
      </c>
    </row>
    <row r="2291" spans="2:9" x14ac:dyDescent="0.3">
      <c r="E2291" t="s">
        <v>16</v>
      </c>
      <c r="F2291">
        <v>11</v>
      </c>
      <c r="G2291">
        <v>0.4</v>
      </c>
      <c r="H2291" s="2">
        <v>20.480799999999999</v>
      </c>
      <c r="I2291" s="2">
        <v>61.184000000000012</v>
      </c>
    </row>
    <row r="2292" spans="2:9" x14ac:dyDescent="0.3">
      <c r="E2292" t="s">
        <v>24</v>
      </c>
      <c r="F2292">
        <v>2</v>
      </c>
      <c r="G2292">
        <v>0.2</v>
      </c>
      <c r="H2292" s="2">
        <v>6.9990000000000059</v>
      </c>
      <c r="I2292" s="2">
        <v>111.98399999999999</v>
      </c>
    </row>
    <row r="2293" spans="2:9" x14ac:dyDescent="0.3">
      <c r="B2293" t="s">
        <v>250</v>
      </c>
      <c r="C2293" t="s">
        <v>11</v>
      </c>
      <c r="D2293" t="s">
        <v>8</v>
      </c>
      <c r="E2293" t="s">
        <v>24</v>
      </c>
      <c r="F2293">
        <v>2</v>
      </c>
      <c r="G2293">
        <v>0</v>
      </c>
      <c r="H2293" s="2">
        <v>17.993999999999993</v>
      </c>
      <c r="I2293" s="2">
        <v>59.98</v>
      </c>
    </row>
    <row r="2294" spans="2:9" x14ac:dyDescent="0.3">
      <c r="C2294" t="s">
        <v>27</v>
      </c>
      <c r="D2294" t="s">
        <v>17</v>
      </c>
      <c r="E2294" t="s">
        <v>20</v>
      </c>
      <c r="F2294">
        <v>10</v>
      </c>
      <c r="G2294">
        <v>0</v>
      </c>
      <c r="H2294" s="2">
        <v>58.428399999999996</v>
      </c>
      <c r="I2294" s="2">
        <v>117.62</v>
      </c>
    </row>
    <row r="2295" spans="2:9" x14ac:dyDescent="0.3">
      <c r="C2295" t="s">
        <v>22</v>
      </c>
      <c r="D2295" t="s">
        <v>8</v>
      </c>
      <c r="E2295" t="s">
        <v>19</v>
      </c>
      <c r="F2295">
        <v>10</v>
      </c>
      <c r="G2295">
        <v>0</v>
      </c>
      <c r="H2295" s="2">
        <v>8.4484999999999975</v>
      </c>
      <c r="I2295" s="2">
        <v>29.589999999999996</v>
      </c>
    </row>
    <row r="2296" spans="2:9" x14ac:dyDescent="0.3">
      <c r="E2296" t="s">
        <v>34</v>
      </c>
      <c r="F2296">
        <v>9</v>
      </c>
      <c r="G2296">
        <v>0</v>
      </c>
      <c r="H2296" s="2">
        <v>172.48140000000001</v>
      </c>
      <c r="I2296" s="2">
        <v>638.82000000000005</v>
      </c>
    </row>
    <row r="2297" spans="2:9" x14ac:dyDescent="0.3">
      <c r="E2297" t="s">
        <v>33</v>
      </c>
      <c r="F2297">
        <v>3</v>
      </c>
      <c r="G2297">
        <v>0</v>
      </c>
      <c r="H2297" s="2">
        <v>224.2673999999999</v>
      </c>
      <c r="I2297" s="2">
        <v>1067.94</v>
      </c>
    </row>
    <row r="2298" spans="2:9" x14ac:dyDescent="0.3">
      <c r="E2298" t="s">
        <v>38</v>
      </c>
      <c r="F2298">
        <v>3</v>
      </c>
      <c r="G2298">
        <v>0</v>
      </c>
      <c r="H2298" s="2">
        <v>10.969799999999999</v>
      </c>
      <c r="I2298" s="2">
        <v>23.34</v>
      </c>
    </row>
    <row r="2299" spans="2:9" x14ac:dyDescent="0.3">
      <c r="E2299" t="s">
        <v>21</v>
      </c>
      <c r="F2299">
        <v>4</v>
      </c>
      <c r="G2299">
        <v>0</v>
      </c>
      <c r="H2299" s="2">
        <v>11.579999999999998</v>
      </c>
      <c r="I2299" s="2">
        <v>38.6</v>
      </c>
    </row>
    <row r="2300" spans="2:9" x14ac:dyDescent="0.3">
      <c r="E2300" t="s">
        <v>16</v>
      </c>
      <c r="F2300">
        <v>5</v>
      </c>
      <c r="G2300">
        <v>0</v>
      </c>
      <c r="H2300" s="2">
        <v>114.95999999999998</v>
      </c>
      <c r="I2300" s="2">
        <v>239.5</v>
      </c>
    </row>
    <row r="2301" spans="2:9" x14ac:dyDescent="0.3">
      <c r="E2301" t="s">
        <v>24</v>
      </c>
      <c r="F2301">
        <v>7</v>
      </c>
      <c r="G2301">
        <v>0</v>
      </c>
      <c r="H2301" s="2">
        <v>181.98179999999999</v>
      </c>
      <c r="I2301" s="2">
        <v>699.93</v>
      </c>
    </row>
    <row r="2302" spans="2:9" x14ac:dyDescent="0.3">
      <c r="B2302" t="s">
        <v>251</v>
      </c>
      <c r="C2302" t="s">
        <v>7</v>
      </c>
      <c r="D2302" t="s">
        <v>8</v>
      </c>
      <c r="E2302" t="s">
        <v>19</v>
      </c>
      <c r="F2302">
        <v>1</v>
      </c>
      <c r="G2302">
        <v>0.2</v>
      </c>
      <c r="H2302" s="2">
        <v>0.15480000000000005</v>
      </c>
      <c r="I2302" s="2">
        <v>2.0640000000000001</v>
      </c>
    </row>
    <row r="2303" spans="2:9" x14ac:dyDescent="0.3">
      <c r="B2303" t="s">
        <v>252</v>
      </c>
      <c r="C2303" t="s">
        <v>7</v>
      </c>
      <c r="D2303" t="s">
        <v>8</v>
      </c>
      <c r="E2303" t="s">
        <v>43</v>
      </c>
      <c r="F2303">
        <v>2</v>
      </c>
      <c r="G2303">
        <v>0.2</v>
      </c>
      <c r="H2303" s="2">
        <v>2.0999999999999996</v>
      </c>
      <c r="I2303" s="2">
        <v>6</v>
      </c>
    </row>
    <row r="2304" spans="2:9" x14ac:dyDescent="0.3">
      <c r="B2304" t="s">
        <v>253</v>
      </c>
      <c r="C2304" t="s">
        <v>27</v>
      </c>
      <c r="D2304" t="s">
        <v>8</v>
      </c>
      <c r="E2304" t="s">
        <v>23</v>
      </c>
      <c r="F2304">
        <v>2</v>
      </c>
      <c r="G2304">
        <v>0</v>
      </c>
      <c r="H2304" s="2">
        <v>15.1158</v>
      </c>
      <c r="I2304" s="2">
        <v>71.98</v>
      </c>
    </row>
    <row r="2305" spans="2:9" x14ac:dyDescent="0.3">
      <c r="E2305" t="s">
        <v>12</v>
      </c>
      <c r="F2305">
        <v>2</v>
      </c>
      <c r="G2305">
        <v>0</v>
      </c>
      <c r="H2305" s="2">
        <v>4.6818000000000008</v>
      </c>
      <c r="I2305" s="2">
        <v>17.34</v>
      </c>
    </row>
    <row r="2306" spans="2:9" x14ac:dyDescent="0.3">
      <c r="B2306" t="s">
        <v>254</v>
      </c>
      <c r="C2306" t="s">
        <v>11</v>
      </c>
      <c r="D2306" t="s">
        <v>17</v>
      </c>
      <c r="E2306" t="s">
        <v>23</v>
      </c>
      <c r="F2306">
        <v>5</v>
      </c>
      <c r="G2306">
        <v>0</v>
      </c>
      <c r="H2306" s="2">
        <v>143.982</v>
      </c>
      <c r="I2306" s="2">
        <v>399.95</v>
      </c>
    </row>
    <row r="2307" spans="2:9" x14ac:dyDescent="0.3">
      <c r="C2307" t="s">
        <v>22</v>
      </c>
      <c r="D2307" t="s">
        <v>8</v>
      </c>
      <c r="E2307" t="s">
        <v>19</v>
      </c>
      <c r="F2307">
        <v>1</v>
      </c>
      <c r="G2307">
        <v>0</v>
      </c>
      <c r="H2307" s="2">
        <v>4.4939999999999998</v>
      </c>
      <c r="I2307" s="2">
        <v>14.98</v>
      </c>
    </row>
    <row r="2308" spans="2:9" x14ac:dyDescent="0.3">
      <c r="E2308" t="s">
        <v>34</v>
      </c>
      <c r="F2308">
        <v>3</v>
      </c>
      <c r="G2308">
        <v>0</v>
      </c>
      <c r="H2308" s="2">
        <v>97.45859999999999</v>
      </c>
      <c r="I2308" s="2">
        <v>512.93999999999994</v>
      </c>
    </row>
    <row r="2309" spans="2:9" x14ac:dyDescent="0.3">
      <c r="E2309" t="s">
        <v>33</v>
      </c>
      <c r="F2309">
        <v>7</v>
      </c>
      <c r="G2309">
        <v>0</v>
      </c>
      <c r="H2309" s="2">
        <v>189.40460000000002</v>
      </c>
      <c r="I2309" s="2">
        <v>860.93</v>
      </c>
    </row>
    <row r="2310" spans="2:9" x14ac:dyDescent="0.3">
      <c r="E2310" t="s">
        <v>21</v>
      </c>
      <c r="F2310">
        <v>6</v>
      </c>
      <c r="G2310">
        <v>0</v>
      </c>
      <c r="H2310" s="2">
        <v>82.077600000000004</v>
      </c>
      <c r="I2310" s="2">
        <v>373.08</v>
      </c>
    </row>
    <row r="2311" spans="2:9" x14ac:dyDescent="0.3">
      <c r="E2311" t="s">
        <v>24</v>
      </c>
      <c r="F2311">
        <v>5</v>
      </c>
      <c r="G2311">
        <v>0</v>
      </c>
      <c r="H2311" s="2">
        <v>223.28549999999993</v>
      </c>
      <c r="I2311" s="2">
        <v>769.95</v>
      </c>
    </row>
    <row r="2312" spans="2:9" x14ac:dyDescent="0.3">
      <c r="D2312" t="s">
        <v>15</v>
      </c>
      <c r="E2312" t="s">
        <v>23</v>
      </c>
      <c r="F2312">
        <v>5</v>
      </c>
      <c r="G2312">
        <v>0</v>
      </c>
      <c r="H2312" s="2">
        <v>26.590499999999988</v>
      </c>
      <c r="I2312" s="2">
        <v>139.94999999999999</v>
      </c>
    </row>
    <row r="2313" spans="2:9" x14ac:dyDescent="0.3">
      <c r="E2313" t="s">
        <v>24</v>
      </c>
      <c r="F2313">
        <v>5</v>
      </c>
      <c r="G2313">
        <v>0</v>
      </c>
      <c r="H2313" s="2">
        <v>260.78000000000003</v>
      </c>
      <c r="I2313" s="2">
        <v>834.95</v>
      </c>
    </row>
    <row r="2314" spans="2:9" x14ac:dyDescent="0.3">
      <c r="B2314" t="s">
        <v>255</v>
      </c>
      <c r="C2314" t="s">
        <v>7</v>
      </c>
      <c r="D2314" t="s">
        <v>8</v>
      </c>
      <c r="E2314" t="s">
        <v>23</v>
      </c>
      <c r="F2314">
        <v>3</v>
      </c>
      <c r="G2314">
        <v>0.2</v>
      </c>
      <c r="H2314" s="2">
        <v>-8.9970000000000034</v>
      </c>
      <c r="I2314" s="2">
        <v>71.975999999999999</v>
      </c>
    </row>
    <row r="2315" spans="2:9" x14ac:dyDescent="0.3">
      <c r="E2315" t="s">
        <v>12</v>
      </c>
      <c r="F2315">
        <v>5</v>
      </c>
      <c r="G2315">
        <v>0.2</v>
      </c>
      <c r="H2315" s="2">
        <v>6.0449999999999946</v>
      </c>
      <c r="I2315" s="2">
        <v>48.36</v>
      </c>
    </row>
    <row r="2316" spans="2:9" x14ac:dyDescent="0.3">
      <c r="E2316" t="s">
        <v>19</v>
      </c>
      <c r="F2316">
        <v>3</v>
      </c>
      <c r="G2316">
        <v>0.2</v>
      </c>
      <c r="H2316" s="2">
        <v>1.7519999999999998</v>
      </c>
      <c r="I2316" s="2">
        <v>14.015999999999998</v>
      </c>
    </row>
    <row r="2317" spans="2:9" x14ac:dyDescent="0.3">
      <c r="E2317" t="s">
        <v>16</v>
      </c>
      <c r="F2317">
        <v>3</v>
      </c>
      <c r="G2317">
        <v>0</v>
      </c>
      <c r="H2317" s="2">
        <v>9.3312000000000008</v>
      </c>
      <c r="I2317" s="2">
        <v>19.440000000000001</v>
      </c>
    </row>
    <row r="2318" spans="2:9" x14ac:dyDescent="0.3">
      <c r="E2318" t="s">
        <v>24</v>
      </c>
      <c r="F2318">
        <v>6</v>
      </c>
      <c r="G2318">
        <v>0.60000000000000009</v>
      </c>
      <c r="H2318" s="2">
        <v>-17.998500000000003</v>
      </c>
      <c r="I2318" s="2">
        <v>179.958</v>
      </c>
    </row>
    <row r="2319" spans="2:9" x14ac:dyDescent="0.3">
      <c r="C2319" t="s">
        <v>22</v>
      </c>
      <c r="D2319" t="s">
        <v>8</v>
      </c>
      <c r="E2319" t="s">
        <v>23</v>
      </c>
      <c r="F2319">
        <v>2</v>
      </c>
      <c r="G2319">
        <v>0</v>
      </c>
      <c r="H2319" s="2">
        <v>10.5</v>
      </c>
      <c r="I2319" s="2">
        <v>50</v>
      </c>
    </row>
    <row r="2320" spans="2:9" x14ac:dyDescent="0.3">
      <c r="E2320" t="s">
        <v>20</v>
      </c>
      <c r="F2320">
        <v>2</v>
      </c>
      <c r="G2320">
        <v>0.2</v>
      </c>
      <c r="H2320" s="2">
        <v>7.8191999999999995</v>
      </c>
      <c r="I2320" s="2">
        <v>23.168000000000003</v>
      </c>
    </row>
    <row r="2321" spans="2:9" x14ac:dyDescent="0.3">
      <c r="E2321" t="s">
        <v>38</v>
      </c>
      <c r="F2321">
        <v>3</v>
      </c>
      <c r="G2321">
        <v>0</v>
      </c>
      <c r="H2321" s="2">
        <v>77.483699999999999</v>
      </c>
      <c r="I2321" s="2">
        <v>158.13</v>
      </c>
    </row>
    <row r="2322" spans="2:9" x14ac:dyDescent="0.3">
      <c r="E2322" t="s">
        <v>21</v>
      </c>
      <c r="F2322">
        <v>2</v>
      </c>
      <c r="G2322">
        <v>0</v>
      </c>
      <c r="H2322" s="2">
        <v>99.23</v>
      </c>
      <c r="I2322" s="2">
        <v>198.46</v>
      </c>
    </row>
    <row r="2323" spans="2:9" x14ac:dyDescent="0.3">
      <c r="E2323" t="s">
        <v>43</v>
      </c>
      <c r="F2323">
        <v>8</v>
      </c>
      <c r="G2323">
        <v>0</v>
      </c>
      <c r="H2323" s="2">
        <v>385.37520000000001</v>
      </c>
      <c r="I2323" s="2">
        <v>786.48</v>
      </c>
    </row>
    <row r="2324" spans="2:9" x14ac:dyDescent="0.3">
      <c r="E2324" t="s">
        <v>24</v>
      </c>
      <c r="F2324">
        <v>5</v>
      </c>
      <c r="G2324">
        <v>0.2</v>
      </c>
      <c r="H2324" s="2">
        <v>4.3600000000000012</v>
      </c>
      <c r="I2324" s="2">
        <v>43.6</v>
      </c>
    </row>
    <row r="2325" spans="2:9" x14ac:dyDescent="0.3">
      <c r="D2325" t="s">
        <v>15</v>
      </c>
      <c r="E2325" t="s">
        <v>12</v>
      </c>
      <c r="F2325">
        <v>6</v>
      </c>
      <c r="G2325">
        <v>0.2</v>
      </c>
      <c r="H2325" s="2">
        <v>16.894799999999996</v>
      </c>
      <c r="I2325" s="2">
        <v>103.96799999999999</v>
      </c>
    </row>
    <row r="2326" spans="2:9" x14ac:dyDescent="0.3">
      <c r="B2326" t="s">
        <v>256</v>
      </c>
      <c r="C2326" t="s">
        <v>11</v>
      </c>
      <c r="D2326" t="s">
        <v>8</v>
      </c>
      <c r="E2326" t="s">
        <v>20</v>
      </c>
      <c r="F2326">
        <v>4</v>
      </c>
      <c r="G2326">
        <v>0</v>
      </c>
      <c r="H2326" s="2">
        <v>13.063999999999998</v>
      </c>
      <c r="I2326" s="2">
        <v>28.4</v>
      </c>
    </row>
    <row r="2327" spans="2:9" x14ac:dyDescent="0.3">
      <c r="E2327" t="s">
        <v>21</v>
      </c>
      <c r="F2327">
        <v>3</v>
      </c>
      <c r="G2327">
        <v>0</v>
      </c>
      <c r="H2327" s="2">
        <v>34.070399999999999</v>
      </c>
      <c r="I2327" s="2">
        <v>212.94</v>
      </c>
    </row>
    <row r="2328" spans="2:9" x14ac:dyDescent="0.3">
      <c r="B2328" t="s">
        <v>257</v>
      </c>
      <c r="C2328" t="s">
        <v>22</v>
      </c>
      <c r="D2328" t="s">
        <v>8</v>
      </c>
      <c r="E2328" t="s">
        <v>24</v>
      </c>
      <c r="F2328">
        <v>2</v>
      </c>
      <c r="G2328">
        <v>0.2</v>
      </c>
      <c r="H2328" s="2">
        <v>84.598199999999878</v>
      </c>
      <c r="I2328" s="2">
        <v>751.98400000000004</v>
      </c>
    </row>
    <row r="2329" spans="2:9" x14ac:dyDescent="0.3">
      <c r="B2329" t="s">
        <v>258</v>
      </c>
      <c r="C2329" t="s">
        <v>11</v>
      </c>
      <c r="D2329" t="s">
        <v>8</v>
      </c>
      <c r="E2329" t="s">
        <v>21</v>
      </c>
      <c r="F2329">
        <v>5</v>
      </c>
      <c r="G2329">
        <v>0.2</v>
      </c>
      <c r="H2329" s="2">
        <v>14.449499999999986</v>
      </c>
      <c r="I2329" s="2">
        <v>88.920000000000016</v>
      </c>
    </row>
    <row r="2330" spans="2:9" x14ac:dyDescent="0.3">
      <c r="D2330" t="s">
        <v>15</v>
      </c>
      <c r="E2330" t="s">
        <v>14</v>
      </c>
      <c r="F2330">
        <v>3</v>
      </c>
      <c r="G2330">
        <v>0.2</v>
      </c>
      <c r="H2330" s="2">
        <v>-24.588000000000001</v>
      </c>
      <c r="I2330" s="2">
        <v>98.352000000000004</v>
      </c>
    </row>
    <row r="2331" spans="2:9" x14ac:dyDescent="0.3">
      <c r="E2331" t="s">
        <v>25</v>
      </c>
      <c r="F2331">
        <v>3</v>
      </c>
      <c r="G2331">
        <v>0.4</v>
      </c>
      <c r="H2331" s="2">
        <v>-147.8655</v>
      </c>
      <c r="I2331" s="2">
        <v>328.59000000000003</v>
      </c>
    </row>
    <row r="2332" spans="2:9" x14ac:dyDescent="0.3">
      <c r="D2332" t="s">
        <v>17</v>
      </c>
      <c r="E2332" t="s">
        <v>20</v>
      </c>
      <c r="F2332">
        <v>7</v>
      </c>
      <c r="G2332">
        <v>1.4</v>
      </c>
      <c r="H2332" s="2">
        <v>-48.13559999999999</v>
      </c>
      <c r="I2332" s="2">
        <v>61.596000000000004</v>
      </c>
    </row>
    <row r="2333" spans="2:9" x14ac:dyDescent="0.3">
      <c r="E2333" t="s">
        <v>21</v>
      </c>
      <c r="F2333">
        <v>5</v>
      </c>
      <c r="G2333">
        <v>0.60000000000000009</v>
      </c>
      <c r="H2333" s="2">
        <v>8.8254999999999981</v>
      </c>
      <c r="I2333" s="2">
        <v>41.224000000000004</v>
      </c>
    </row>
    <row r="2334" spans="2:9" x14ac:dyDescent="0.3">
      <c r="E2334" t="s">
        <v>16</v>
      </c>
      <c r="F2334">
        <v>4</v>
      </c>
      <c r="G2334">
        <v>0.2</v>
      </c>
      <c r="H2334" s="2">
        <v>7.2576000000000001</v>
      </c>
      <c r="I2334" s="2">
        <v>20.736000000000004</v>
      </c>
    </row>
    <row r="2335" spans="2:9" x14ac:dyDescent="0.3">
      <c r="E2335" t="s">
        <v>25</v>
      </c>
      <c r="F2335">
        <v>7</v>
      </c>
      <c r="G2335">
        <v>0.4</v>
      </c>
      <c r="H2335" s="2">
        <v>-1002.7836000000001</v>
      </c>
      <c r="I2335" s="2">
        <v>2314.116</v>
      </c>
    </row>
    <row r="2336" spans="2:9" x14ac:dyDescent="0.3">
      <c r="C2336" t="s">
        <v>7</v>
      </c>
      <c r="D2336" t="s">
        <v>8</v>
      </c>
      <c r="E2336" t="s">
        <v>12</v>
      </c>
      <c r="F2336">
        <v>2</v>
      </c>
      <c r="G2336">
        <v>0.2</v>
      </c>
      <c r="H2336" s="2">
        <v>8.7168000000000063</v>
      </c>
      <c r="I2336" s="2">
        <v>87.168000000000006</v>
      </c>
    </row>
    <row r="2337" spans="2:9" x14ac:dyDescent="0.3">
      <c r="E2337" t="s">
        <v>19</v>
      </c>
      <c r="F2337">
        <v>2</v>
      </c>
      <c r="G2337">
        <v>0.2</v>
      </c>
      <c r="H2337" s="2">
        <v>8.3328000000000024</v>
      </c>
      <c r="I2337" s="2">
        <v>31.744</v>
      </c>
    </row>
    <row r="2338" spans="2:9" x14ac:dyDescent="0.3">
      <c r="E2338" t="s">
        <v>16</v>
      </c>
      <c r="F2338">
        <v>3</v>
      </c>
      <c r="G2338">
        <v>0.2</v>
      </c>
      <c r="H2338" s="2">
        <v>4.1147999999999998</v>
      </c>
      <c r="I2338" s="2">
        <v>12.192</v>
      </c>
    </row>
    <row r="2339" spans="2:9" x14ac:dyDescent="0.3">
      <c r="D2339" t="s">
        <v>15</v>
      </c>
      <c r="E2339" t="s">
        <v>33</v>
      </c>
      <c r="F2339">
        <v>3</v>
      </c>
      <c r="G2339">
        <v>0.2</v>
      </c>
      <c r="H2339" s="2">
        <v>-35.36460000000001</v>
      </c>
      <c r="I2339" s="2">
        <v>314.35199999999998</v>
      </c>
    </row>
    <row r="2340" spans="2:9" x14ac:dyDescent="0.3">
      <c r="E2340" t="s">
        <v>16</v>
      </c>
      <c r="F2340">
        <v>7</v>
      </c>
      <c r="G2340">
        <v>0.2</v>
      </c>
      <c r="H2340" s="2">
        <v>10.109400000000001</v>
      </c>
      <c r="I2340" s="2">
        <v>27.888000000000002</v>
      </c>
    </row>
    <row r="2341" spans="2:9" x14ac:dyDescent="0.3">
      <c r="C2341" t="s">
        <v>22</v>
      </c>
      <c r="D2341" t="s">
        <v>8</v>
      </c>
      <c r="E2341" t="s">
        <v>23</v>
      </c>
      <c r="F2341">
        <v>4</v>
      </c>
      <c r="G2341">
        <v>0.2</v>
      </c>
      <c r="H2341" s="2">
        <v>-1.119600000000009</v>
      </c>
      <c r="I2341" s="2">
        <v>89.567999999999998</v>
      </c>
    </row>
    <row r="2342" spans="2:9" x14ac:dyDescent="0.3">
      <c r="E2342" t="s">
        <v>19</v>
      </c>
      <c r="F2342">
        <v>7</v>
      </c>
      <c r="G2342">
        <v>0.4</v>
      </c>
      <c r="H2342" s="2">
        <v>7.6076000000000015</v>
      </c>
      <c r="I2342" s="2">
        <v>76.663999999999987</v>
      </c>
    </row>
    <row r="2343" spans="2:9" x14ac:dyDescent="0.3">
      <c r="E2343" t="s">
        <v>33</v>
      </c>
      <c r="F2343">
        <v>3</v>
      </c>
      <c r="G2343">
        <v>0.2</v>
      </c>
      <c r="H2343" s="2">
        <v>-10.918799999999983</v>
      </c>
      <c r="I2343" s="2">
        <v>218.376</v>
      </c>
    </row>
    <row r="2344" spans="2:9" x14ac:dyDescent="0.3">
      <c r="E2344" t="s">
        <v>21</v>
      </c>
      <c r="F2344">
        <v>3</v>
      </c>
      <c r="G2344">
        <v>0.2</v>
      </c>
      <c r="H2344" s="2">
        <v>6.5903999999999989</v>
      </c>
      <c r="I2344" s="2">
        <v>32.952000000000005</v>
      </c>
    </row>
    <row r="2345" spans="2:9" x14ac:dyDescent="0.3">
      <c r="E2345" t="s">
        <v>43</v>
      </c>
      <c r="F2345">
        <v>5</v>
      </c>
      <c r="G2345">
        <v>0.2</v>
      </c>
      <c r="H2345" s="2">
        <v>22.199999999999996</v>
      </c>
      <c r="I2345" s="2">
        <v>59.20000000000001</v>
      </c>
    </row>
    <row r="2346" spans="2:9" x14ac:dyDescent="0.3">
      <c r="E2346" t="s">
        <v>16</v>
      </c>
      <c r="F2346">
        <v>3</v>
      </c>
      <c r="G2346">
        <v>0.2</v>
      </c>
      <c r="H2346" s="2">
        <v>5.4432</v>
      </c>
      <c r="I2346" s="2">
        <v>15.552000000000003</v>
      </c>
    </row>
    <row r="2347" spans="2:9" x14ac:dyDescent="0.3">
      <c r="D2347" t="s">
        <v>15</v>
      </c>
      <c r="E2347" t="s">
        <v>19</v>
      </c>
      <c r="F2347">
        <v>3</v>
      </c>
      <c r="G2347">
        <v>0.2</v>
      </c>
      <c r="H2347" s="2">
        <v>0.3822000000000001</v>
      </c>
      <c r="I2347" s="2">
        <v>4.3680000000000003</v>
      </c>
    </row>
    <row r="2348" spans="2:9" x14ac:dyDescent="0.3">
      <c r="D2348" t="s">
        <v>17</v>
      </c>
      <c r="E2348" t="s">
        <v>43</v>
      </c>
      <c r="F2348">
        <v>2</v>
      </c>
      <c r="G2348">
        <v>0.2</v>
      </c>
      <c r="H2348" s="2">
        <v>1.6704000000000001</v>
      </c>
      <c r="I2348" s="2">
        <v>4.6079999999999997</v>
      </c>
    </row>
    <row r="2349" spans="2:9" x14ac:dyDescent="0.3">
      <c r="B2349" t="s">
        <v>259</v>
      </c>
      <c r="C2349" t="s">
        <v>7</v>
      </c>
      <c r="D2349" t="s">
        <v>8</v>
      </c>
      <c r="E2349" t="s">
        <v>20</v>
      </c>
      <c r="F2349">
        <v>3</v>
      </c>
      <c r="G2349">
        <v>0</v>
      </c>
      <c r="H2349" s="2">
        <v>28.410000000000004</v>
      </c>
      <c r="I2349" s="2">
        <v>56.820000000000007</v>
      </c>
    </row>
    <row r="2350" spans="2:9" x14ac:dyDescent="0.3">
      <c r="C2350" t="s">
        <v>22</v>
      </c>
      <c r="D2350" t="s">
        <v>15</v>
      </c>
      <c r="E2350" t="s">
        <v>23</v>
      </c>
      <c r="F2350">
        <v>5</v>
      </c>
      <c r="G2350">
        <v>0</v>
      </c>
      <c r="H2350" s="2">
        <v>174.98249999999999</v>
      </c>
      <c r="I2350" s="2">
        <v>499.95</v>
      </c>
    </row>
    <row r="2351" spans="2:9" x14ac:dyDescent="0.3">
      <c r="E2351" t="s">
        <v>19</v>
      </c>
      <c r="F2351">
        <v>1</v>
      </c>
      <c r="G2351">
        <v>0</v>
      </c>
      <c r="H2351" s="2">
        <v>1.0335999999999999</v>
      </c>
      <c r="I2351" s="2">
        <v>3.04</v>
      </c>
    </row>
    <row r="2352" spans="2:9" x14ac:dyDescent="0.3">
      <c r="E2352" t="s">
        <v>33</v>
      </c>
      <c r="F2352">
        <v>2</v>
      </c>
      <c r="G2352">
        <v>0</v>
      </c>
      <c r="H2352" s="2">
        <v>50.490000000000009</v>
      </c>
      <c r="I2352" s="2">
        <v>201.96</v>
      </c>
    </row>
    <row r="2353" spans="2:9" x14ac:dyDescent="0.3">
      <c r="E2353" t="s">
        <v>21</v>
      </c>
      <c r="F2353">
        <v>11</v>
      </c>
      <c r="G2353">
        <v>0</v>
      </c>
      <c r="H2353" s="2">
        <v>17.160000000000004</v>
      </c>
      <c r="I2353" s="2">
        <v>68.64</v>
      </c>
    </row>
    <row r="2354" spans="2:9" x14ac:dyDescent="0.3">
      <c r="B2354" t="s">
        <v>260</v>
      </c>
      <c r="C2354" t="s">
        <v>22</v>
      </c>
      <c r="D2354" t="s">
        <v>17</v>
      </c>
      <c r="E2354" t="s">
        <v>23</v>
      </c>
      <c r="F2354">
        <v>3</v>
      </c>
      <c r="G2354">
        <v>0</v>
      </c>
      <c r="H2354" s="2">
        <v>85.490999999999957</v>
      </c>
      <c r="I2354" s="2">
        <v>284.96999999999997</v>
      </c>
    </row>
    <row r="2355" spans="2:9" x14ac:dyDescent="0.3">
      <c r="E2355" t="s">
        <v>20</v>
      </c>
      <c r="F2355">
        <v>5</v>
      </c>
      <c r="G2355">
        <v>0.2</v>
      </c>
      <c r="H2355" s="2">
        <v>28.896000000000001</v>
      </c>
      <c r="I2355" s="2">
        <v>82.56</v>
      </c>
    </row>
    <row r="2356" spans="2:9" x14ac:dyDescent="0.3">
      <c r="B2356" t="s">
        <v>261</v>
      </c>
      <c r="C2356" t="s">
        <v>11</v>
      </c>
      <c r="D2356" t="s">
        <v>8</v>
      </c>
      <c r="E2356" t="s">
        <v>20</v>
      </c>
      <c r="F2356">
        <v>2</v>
      </c>
      <c r="G2356">
        <v>0.8</v>
      </c>
      <c r="H2356" s="2">
        <v>-26.227200000000003</v>
      </c>
      <c r="I2356" s="2">
        <v>16.391999999999996</v>
      </c>
    </row>
    <row r="2357" spans="2:9" x14ac:dyDescent="0.3">
      <c r="E2357" t="s">
        <v>21</v>
      </c>
      <c r="F2357">
        <v>9</v>
      </c>
      <c r="G2357">
        <v>0.6</v>
      </c>
      <c r="H2357" s="2">
        <v>4.5810000000000013</v>
      </c>
      <c r="I2357" s="2">
        <v>55.849999999999994</v>
      </c>
    </row>
    <row r="2358" spans="2:9" x14ac:dyDescent="0.3">
      <c r="E2358" t="s">
        <v>24</v>
      </c>
      <c r="F2358">
        <v>2</v>
      </c>
      <c r="G2358">
        <v>0</v>
      </c>
      <c r="H2358" s="2">
        <v>18.873000000000005</v>
      </c>
      <c r="I2358" s="2">
        <v>69.900000000000006</v>
      </c>
    </row>
    <row r="2359" spans="2:9" x14ac:dyDescent="0.3">
      <c r="C2359" t="s">
        <v>7</v>
      </c>
      <c r="D2359" t="s">
        <v>15</v>
      </c>
      <c r="E2359" t="s">
        <v>12</v>
      </c>
      <c r="F2359">
        <v>2</v>
      </c>
      <c r="G2359">
        <v>0</v>
      </c>
      <c r="H2359" s="2">
        <v>10.5504</v>
      </c>
      <c r="I2359" s="2">
        <v>37.68</v>
      </c>
    </row>
    <row r="2360" spans="2:9" x14ac:dyDescent="0.3">
      <c r="E2360" t="s">
        <v>19</v>
      </c>
      <c r="F2360">
        <v>7</v>
      </c>
      <c r="G2360">
        <v>0</v>
      </c>
      <c r="H2360" s="2">
        <v>5.5566000000000004</v>
      </c>
      <c r="I2360" s="2">
        <v>20.58</v>
      </c>
    </row>
    <row r="2361" spans="2:9" x14ac:dyDescent="0.3">
      <c r="E2361" t="s">
        <v>20</v>
      </c>
      <c r="F2361">
        <v>2</v>
      </c>
      <c r="G2361">
        <v>0</v>
      </c>
      <c r="H2361" s="2">
        <v>8.69</v>
      </c>
      <c r="I2361" s="2">
        <v>17.38</v>
      </c>
    </row>
    <row r="2362" spans="2:9" x14ac:dyDescent="0.3">
      <c r="E2362" t="s">
        <v>38</v>
      </c>
      <c r="F2362">
        <v>8</v>
      </c>
      <c r="G2362">
        <v>0</v>
      </c>
      <c r="H2362" s="2">
        <v>129.38399999999999</v>
      </c>
      <c r="I2362" s="2">
        <v>287.52</v>
      </c>
    </row>
    <row r="2363" spans="2:9" x14ac:dyDescent="0.3">
      <c r="E2363" t="s">
        <v>16</v>
      </c>
      <c r="F2363">
        <v>2</v>
      </c>
      <c r="G2363">
        <v>0</v>
      </c>
      <c r="H2363" s="2">
        <v>8.9909999999999997</v>
      </c>
      <c r="I2363" s="2">
        <v>19.98</v>
      </c>
    </row>
    <row r="2364" spans="2:9" x14ac:dyDescent="0.3">
      <c r="C2364" t="s">
        <v>22</v>
      </c>
      <c r="D2364" t="s">
        <v>8</v>
      </c>
      <c r="E2364" t="s">
        <v>21</v>
      </c>
      <c r="F2364">
        <v>5</v>
      </c>
      <c r="G2364">
        <v>0</v>
      </c>
      <c r="H2364" s="2">
        <v>31.586999999999961</v>
      </c>
      <c r="I2364" s="2">
        <v>526.45000000000005</v>
      </c>
    </row>
    <row r="2365" spans="2:9" x14ac:dyDescent="0.3">
      <c r="B2365" t="s">
        <v>262</v>
      </c>
      <c r="C2365" t="s">
        <v>11</v>
      </c>
      <c r="D2365" t="s">
        <v>15</v>
      </c>
      <c r="E2365" t="s">
        <v>23</v>
      </c>
      <c r="F2365">
        <v>4</v>
      </c>
      <c r="G2365">
        <v>0</v>
      </c>
      <c r="H2365" s="2">
        <v>18.064800000000002</v>
      </c>
      <c r="I2365" s="2">
        <v>46.32</v>
      </c>
    </row>
    <row r="2366" spans="2:9" x14ac:dyDescent="0.3">
      <c r="B2366" t="s">
        <v>263</v>
      </c>
      <c r="C2366" t="s">
        <v>11</v>
      </c>
      <c r="D2366" t="s">
        <v>8</v>
      </c>
      <c r="E2366" t="s">
        <v>19</v>
      </c>
      <c r="F2366">
        <v>5</v>
      </c>
      <c r="G2366">
        <v>0</v>
      </c>
      <c r="H2366" s="2">
        <v>21.227999999999998</v>
      </c>
      <c r="I2366" s="2">
        <v>73.2</v>
      </c>
    </row>
    <row r="2367" spans="2:9" x14ac:dyDescent="0.3">
      <c r="E2367" t="s">
        <v>20</v>
      </c>
      <c r="F2367">
        <v>1</v>
      </c>
      <c r="G2367">
        <v>0</v>
      </c>
      <c r="H2367" s="2">
        <v>1.8672</v>
      </c>
      <c r="I2367" s="2">
        <v>3.89</v>
      </c>
    </row>
    <row r="2368" spans="2:9" x14ac:dyDescent="0.3">
      <c r="E2368" t="s">
        <v>34</v>
      </c>
      <c r="F2368">
        <v>2</v>
      </c>
      <c r="G2368">
        <v>0</v>
      </c>
      <c r="H2368" s="2">
        <v>33.874400000000009</v>
      </c>
      <c r="I2368" s="2">
        <v>241.96</v>
      </c>
    </row>
    <row r="2369" spans="3:9" x14ac:dyDescent="0.3">
      <c r="E2369" t="s">
        <v>21</v>
      </c>
      <c r="F2369">
        <v>3</v>
      </c>
      <c r="G2369">
        <v>0</v>
      </c>
      <c r="H2369" s="2">
        <v>3.0438000000000001</v>
      </c>
      <c r="I2369" s="2">
        <v>8.01</v>
      </c>
    </row>
    <row r="2370" spans="3:9" x14ac:dyDescent="0.3">
      <c r="E2370" t="s">
        <v>43</v>
      </c>
      <c r="F2370">
        <v>3</v>
      </c>
      <c r="G2370">
        <v>0</v>
      </c>
      <c r="H2370" s="2">
        <v>5.2028999999999996</v>
      </c>
      <c r="I2370" s="2">
        <v>11.07</v>
      </c>
    </row>
    <row r="2371" spans="3:9" x14ac:dyDescent="0.3">
      <c r="E2371" t="s">
        <v>16</v>
      </c>
      <c r="F2371">
        <v>4</v>
      </c>
      <c r="G2371">
        <v>0</v>
      </c>
      <c r="H2371" s="2">
        <v>12.441600000000001</v>
      </c>
      <c r="I2371" s="2">
        <v>25.92</v>
      </c>
    </row>
    <row r="2372" spans="3:9" x14ac:dyDescent="0.3">
      <c r="E2372" t="s">
        <v>9</v>
      </c>
      <c r="F2372">
        <v>2</v>
      </c>
      <c r="G2372">
        <v>0</v>
      </c>
      <c r="H2372" s="2">
        <v>33.312400000000025</v>
      </c>
      <c r="I2372" s="2">
        <v>1665.62</v>
      </c>
    </row>
    <row r="2373" spans="3:9" x14ac:dyDescent="0.3">
      <c r="E2373" t="s">
        <v>25</v>
      </c>
      <c r="F2373">
        <v>4</v>
      </c>
      <c r="G2373">
        <v>0</v>
      </c>
      <c r="H2373" s="2">
        <v>346.03960000000006</v>
      </c>
      <c r="I2373" s="2">
        <v>1504.52</v>
      </c>
    </row>
    <row r="2374" spans="3:9" x14ac:dyDescent="0.3">
      <c r="C2374" t="s">
        <v>7</v>
      </c>
      <c r="D2374" t="s">
        <v>8</v>
      </c>
      <c r="E2374" t="s">
        <v>34</v>
      </c>
      <c r="F2374">
        <v>3</v>
      </c>
      <c r="G2374">
        <v>0</v>
      </c>
      <c r="H2374" s="2">
        <v>23.318400000000011</v>
      </c>
      <c r="I2374" s="2">
        <v>145.74</v>
      </c>
    </row>
    <row r="2375" spans="3:9" x14ac:dyDescent="0.3">
      <c r="E2375" t="s">
        <v>21</v>
      </c>
      <c r="F2375">
        <v>5</v>
      </c>
      <c r="G2375">
        <v>0</v>
      </c>
      <c r="H2375" s="2">
        <v>7.3919999999999995</v>
      </c>
      <c r="I2375" s="2">
        <v>15.4</v>
      </c>
    </row>
    <row r="2376" spans="3:9" x14ac:dyDescent="0.3">
      <c r="E2376" t="s">
        <v>24</v>
      </c>
      <c r="F2376">
        <v>3</v>
      </c>
      <c r="G2376">
        <v>0</v>
      </c>
      <c r="H2376" s="2">
        <v>8.4563999999999986</v>
      </c>
      <c r="I2376" s="2">
        <v>29.160000000000004</v>
      </c>
    </row>
    <row r="2377" spans="3:9" x14ac:dyDescent="0.3">
      <c r="E2377" t="s">
        <v>14</v>
      </c>
      <c r="F2377">
        <v>5</v>
      </c>
      <c r="G2377">
        <v>0</v>
      </c>
      <c r="H2377" s="2">
        <v>21.164000000000005</v>
      </c>
      <c r="I2377" s="2">
        <v>81.400000000000006</v>
      </c>
    </row>
    <row r="2378" spans="3:9" x14ac:dyDescent="0.3">
      <c r="E2378" t="s">
        <v>25</v>
      </c>
      <c r="F2378">
        <v>1</v>
      </c>
      <c r="G2378">
        <v>0</v>
      </c>
      <c r="H2378" s="2">
        <v>22.354800000000004</v>
      </c>
      <c r="I2378" s="2">
        <v>85.98</v>
      </c>
    </row>
    <row r="2379" spans="3:9" x14ac:dyDescent="0.3">
      <c r="C2379" t="s">
        <v>22</v>
      </c>
      <c r="D2379" t="s">
        <v>8</v>
      </c>
      <c r="E2379" t="s">
        <v>33</v>
      </c>
      <c r="F2379">
        <v>10</v>
      </c>
      <c r="G2379">
        <v>0</v>
      </c>
      <c r="H2379" s="2">
        <v>215.79879999999994</v>
      </c>
      <c r="I2379" s="2">
        <v>750.38</v>
      </c>
    </row>
    <row r="2380" spans="3:9" x14ac:dyDescent="0.3">
      <c r="E2380" t="s">
        <v>18</v>
      </c>
      <c r="F2380">
        <v>3</v>
      </c>
      <c r="G2380">
        <v>0</v>
      </c>
      <c r="H2380" s="2">
        <v>0</v>
      </c>
      <c r="I2380" s="2">
        <v>5.9399999999999995</v>
      </c>
    </row>
    <row r="2381" spans="3:9" x14ac:dyDescent="0.3">
      <c r="E2381" t="s">
        <v>46</v>
      </c>
      <c r="F2381">
        <v>3</v>
      </c>
      <c r="G2381">
        <v>0</v>
      </c>
      <c r="H2381" s="2">
        <v>239.98500000000001</v>
      </c>
      <c r="I2381" s="2">
        <v>479.97</v>
      </c>
    </row>
    <row r="2382" spans="3:9" x14ac:dyDescent="0.3">
      <c r="E2382" t="s">
        <v>16</v>
      </c>
      <c r="F2382">
        <v>6</v>
      </c>
      <c r="G2382">
        <v>0</v>
      </c>
      <c r="H2382" s="2">
        <v>135.98419999999999</v>
      </c>
      <c r="I2382" s="2">
        <v>283.17999999999995</v>
      </c>
    </row>
    <row r="2383" spans="3:9" x14ac:dyDescent="0.3">
      <c r="E2383" t="s">
        <v>14</v>
      </c>
      <c r="F2383">
        <v>1</v>
      </c>
      <c r="G2383">
        <v>0</v>
      </c>
      <c r="H2383" s="2">
        <v>18.766999999999996</v>
      </c>
      <c r="I2383" s="2">
        <v>375.34</v>
      </c>
    </row>
    <row r="2384" spans="3:9" x14ac:dyDescent="0.3">
      <c r="D2384" t="s">
        <v>15</v>
      </c>
      <c r="E2384" t="s">
        <v>23</v>
      </c>
      <c r="F2384">
        <v>2</v>
      </c>
      <c r="G2384">
        <v>0</v>
      </c>
      <c r="H2384" s="2">
        <v>42.991400000000006</v>
      </c>
      <c r="I2384" s="2">
        <v>99.98</v>
      </c>
    </row>
    <row r="2385" spans="2:9" x14ac:dyDescent="0.3">
      <c r="E2385" t="s">
        <v>19</v>
      </c>
      <c r="F2385">
        <v>7</v>
      </c>
      <c r="G2385">
        <v>0</v>
      </c>
      <c r="H2385" s="2">
        <v>15.714799999999999</v>
      </c>
      <c r="I2385" s="2">
        <v>55.36</v>
      </c>
    </row>
    <row r="2386" spans="2:9" x14ac:dyDescent="0.3">
      <c r="E2386" t="s">
        <v>20</v>
      </c>
      <c r="F2386">
        <v>9</v>
      </c>
      <c r="G2386">
        <v>0</v>
      </c>
      <c r="H2386" s="2">
        <v>348.03229999999996</v>
      </c>
      <c r="I2386" s="2">
        <v>770.35</v>
      </c>
    </row>
    <row r="2387" spans="2:9" x14ac:dyDescent="0.3">
      <c r="E2387" t="s">
        <v>45</v>
      </c>
      <c r="F2387">
        <v>5</v>
      </c>
      <c r="G2387">
        <v>0</v>
      </c>
      <c r="H2387" s="2">
        <v>8399.9759999999987</v>
      </c>
      <c r="I2387" s="2">
        <v>17499.949999999997</v>
      </c>
    </row>
    <row r="2388" spans="2:9" x14ac:dyDescent="0.3">
      <c r="E2388" t="s">
        <v>16</v>
      </c>
      <c r="F2388">
        <v>5</v>
      </c>
      <c r="G2388">
        <v>0</v>
      </c>
      <c r="H2388" s="2">
        <v>15.681600000000001</v>
      </c>
      <c r="I2388" s="2">
        <v>32.400000000000006</v>
      </c>
    </row>
    <row r="2389" spans="2:9" x14ac:dyDescent="0.3">
      <c r="E2389" t="s">
        <v>14</v>
      </c>
      <c r="F2389">
        <v>7</v>
      </c>
      <c r="G2389">
        <v>0</v>
      </c>
      <c r="H2389" s="2">
        <v>14.173999999999992</v>
      </c>
      <c r="I2389" s="2">
        <v>265.02999999999997</v>
      </c>
    </row>
    <row r="2390" spans="2:9" x14ac:dyDescent="0.3">
      <c r="D2390" t="s">
        <v>17</v>
      </c>
      <c r="E2390" t="s">
        <v>21</v>
      </c>
      <c r="F2390">
        <v>5</v>
      </c>
      <c r="G2390">
        <v>0</v>
      </c>
      <c r="H2390" s="2">
        <v>31.586999999999961</v>
      </c>
      <c r="I2390" s="2">
        <v>526.45000000000005</v>
      </c>
    </row>
    <row r="2391" spans="2:9" x14ac:dyDescent="0.3">
      <c r="B2391" t="s">
        <v>264</v>
      </c>
      <c r="C2391" t="s">
        <v>7</v>
      </c>
      <c r="D2391" t="s">
        <v>15</v>
      </c>
      <c r="E2391" t="s">
        <v>16</v>
      </c>
      <c r="F2391">
        <v>6</v>
      </c>
      <c r="G2391">
        <v>0</v>
      </c>
      <c r="H2391" s="2">
        <v>15.335999999999999</v>
      </c>
      <c r="I2391" s="2">
        <v>34.08</v>
      </c>
    </row>
    <row r="2392" spans="2:9" x14ac:dyDescent="0.3">
      <c r="E2392" t="s">
        <v>24</v>
      </c>
      <c r="F2392">
        <v>5</v>
      </c>
      <c r="G2392">
        <v>0.2</v>
      </c>
      <c r="H2392" s="2">
        <v>3.4964999999999993</v>
      </c>
      <c r="I2392" s="2">
        <v>39.960000000000008</v>
      </c>
    </row>
    <row r="2393" spans="2:9" x14ac:dyDescent="0.3">
      <c r="C2393" t="s">
        <v>22</v>
      </c>
      <c r="D2393" t="s">
        <v>17</v>
      </c>
      <c r="E2393" t="s">
        <v>34</v>
      </c>
      <c r="F2393">
        <v>2</v>
      </c>
      <c r="G2393">
        <v>0.15</v>
      </c>
      <c r="H2393" s="2">
        <v>16.798599999999979</v>
      </c>
      <c r="I2393" s="2">
        <v>203.98299999999998</v>
      </c>
    </row>
    <row r="2394" spans="2:9" x14ac:dyDescent="0.3">
      <c r="E2394" t="s">
        <v>16</v>
      </c>
      <c r="F2394">
        <v>2</v>
      </c>
      <c r="G2394">
        <v>0</v>
      </c>
      <c r="H2394" s="2">
        <v>6.3504000000000005</v>
      </c>
      <c r="I2394" s="2">
        <v>12.96</v>
      </c>
    </row>
    <row r="2395" spans="2:9" x14ac:dyDescent="0.3">
      <c r="B2395" t="s">
        <v>265</v>
      </c>
      <c r="C2395" t="s">
        <v>7</v>
      </c>
      <c r="D2395" t="s">
        <v>8</v>
      </c>
      <c r="E2395" t="s">
        <v>20</v>
      </c>
      <c r="F2395">
        <v>3</v>
      </c>
      <c r="G2395">
        <v>0</v>
      </c>
      <c r="H2395" s="2">
        <v>8.6112000000000002</v>
      </c>
      <c r="I2395" s="2">
        <v>17.940000000000001</v>
      </c>
    </row>
    <row r="2396" spans="2:9" x14ac:dyDescent="0.3">
      <c r="E2396" t="s">
        <v>33</v>
      </c>
      <c r="F2396">
        <v>2</v>
      </c>
      <c r="G2396">
        <v>0</v>
      </c>
      <c r="H2396" s="2">
        <v>12.990000000000002</v>
      </c>
      <c r="I2396" s="2">
        <v>51.96</v>
      </c>
    </row>
    <row r="2397" spans="2:9" x14ac:dyDescent="0.3">
      <c r="D2397" t="s">
        <v>17</v>
      </c>
      <c r="E2397" t="s">
        <v>20</v>
      </c>
      <c r="F2397">
        <v>11</v>
      </c>
      <c r="G2397">
        <v>0</v>
      </c>
      <c r="H2397" s="2">
        <v>219.65459999999999</v>
      </c>
      <c r="I2397" s="2">
        <v>477.51</v>
      </c>
    </row>
    <row r="2398" spans="2:9" x14ac:dyDescent="0.3">
      <c r="B2398" t="s">
        <v>266</v>
      </c>
      <c r="C2398" t="s">
        <v>22</v>
      </c>
      <c r="D2398" t="s">
        <v>8</v>
      </c>
      <c r="E2398" t="s">
        <v>33</v>
      </c>
      <c r="F2398">
        <v>5</v>
      </c>
      <c r="G2398">
        <v>0.2</v>
      </c>
      <c r="H2398" s="2">
        <v>17.745000000000019</v>
      </c>
      <c r="I2398" s="2">
        <v>283.92</v>
      </c>
    </row>
    <row r="2399" spans="2:9" x14ac:dyDescent="0.3">
      <c r="B2399" t="s">
        <v>267</v>
      </c>
      <c r="C2399" t="s">
        <v>11</v>
      </c>
      <c r="D2399" t="s">
        <v>8</v>
      </c>
      <c r="E2399" t="s">
        <v>12</v>
      </c>
      <c r="F2399">
        <v>3</v>
      </c>
      <c r="G2399">
        <v>0</v>
      </c>
      <c r="H2399" s="2">
        <v>152.02319999999997</v>
      </c>
      <c r="I2399" s="2">
        <v>542.93999999999994</v>
      </c>
    </row>
    <row r="2400" spans="2:9" x14ac:dyDescent="0.3">
      <c r="E2400" t="s">
        <v>21</v>
      </c>
      <c r="F2400">
        <v>4</v>
      </c>
      <c r="G2400">
        <v>0</v>
      </c>
      <c r="H2400" s="2">
        <v>19.7712</v>
      </c>
      <c r="I2400" s="2">
        <v>54.92</v>
      </c>
    </row>
    <row r="2401" spans="2:9" x14ac:dyDescent="0.3">
      <c r="C2401" t="s">
        <v>22</v>
      </c>
      <c r="D2401" t="s">
        <v>17</v>
      </c>
      <c r="E2401" t="s">
        <v>33</v>
      </c>
      <c r="F2401">
        <v>4</v>
      </c>
      <c r="G2401">
        <v>0.2</v>
      </c>
      <c r="H2401" s="2">
        <v>102.95279999999988</v>
      </c>
      <c r="I2401" s="2">
        <v>915.13600000000008</v>
      </c>
    </row>
    <row r="2402" spans="2:9" x14ac:dyDescent="0.3">
      <c r="E2402" t="s">
        <v>43</v>
      </c>
      <c r="F2402">
        <v>2</v>
      </c>
      <c r="G2402">
        <v>0</v>
      </c>
      <c r="H2402" s="2">
        <v>2.9567999999999999</v>
      </c>
      <c r="I2402" s="2">
        <v>6.16</v>
      </c>
    </row>
    <row r="2403" spans="2:9" x14ac:dyDescent="0.3">
      <c r="E2403" t="s">
        <v>16</v>
      </c>
      <c r="F2403">
        <v>4</v>
      </c>
      <c r="G2403">
        <v>0</v>
      </c>
      <c r="H2403" s="2">
        <v>49.82739999999999</v>
      </c>
      <c r="I2403" s="2">
        <v>106.38</v>
      </c>
    </row>
    <row r="2404" spans="2:9" x14ac:dyDescent="0.3">
      <c r="B2404" t="s">
        <v>268</v>
      </c>
      <c r="C2404" t="s">
        <v>11</v>
      </c>
      <c r="D2404" t="s">
        <v>15</v>
      </c>
      <c r="E2404" t="s">
        <v>23</v>
      </c>
      <c r="F2404">
        <v>2</v>
      </c>
      <c r="G2404">
        <v>0.2</v>
      </c>
      <c r="H2404" s="2">
        <v>53.199999999999989</v>
      </c>
      <c r="I2404" s="2">
        <v>170.24</v>
      </c>
    </row>
    <row r="2405" spans="2:9" x14ac:dyDescent="0.3">
      <c r="E2405" t="s">
        <v>19</v>
      </c>
      <c r="F2405">
        <v>2</v>
      </c>
      <c r="G2405">
        <v>0.2</v>
      </c>
      <c r="H2405" s="2">
        <v>7.5959999999999894</v>
      </c>
      <c r="I2405" s="2">
        <v>60.768000000000001</v>
      </c>
    </row>
    <row r="2406" spans="2:9" x14ac:dyDescent="0.3">
      <c r="E2406" t="s">
        <v>20</v>
      </c>
      <c r="F2406">
        <v>12</v>
      </c>
      <c r="G2406">
        <v>2.0999999999999996</v>
      </c>
      <c r="H2406" s="2">
        <v>-91.757000000000005</v>
      </c>
      <c r="I2406" s="2">
        <v>115.93800000000002</v>
      </c>
    </row>
    <row r="2407" spans="2:9" x14ac:dyDescent="0.3">
      <c r="E2407" t="s">
        <v>33</v>
      </c>
      <c r="F2407">
        <v>5</v>
      </c>
      <c r="G2407">
        <v>0.2</v>
      </c>
      <c r="H2407" s="2">
        <v>-182.63700000000017</v>
      </c>
      <c r="I2407" s="2">
        <v>1123.92</v>
      </c>
    </row>
    <row r="2408" spans="2:9" x14ac:dyDescent="0.3">
      <c r="E2408" t="s">
        <v>21</v>
      </c>
      <c r="F2408">
        <v>9</v>
      </c>
      <c r="G2408">
        <v>0.60000000000000009</v>
      </c>
      <c r="H2408" s="2">
        <v>14.178000000000001</v>
      </c>
      <c r="I2408" s="2">
        <v>73.680000000000007</v>
      </c>
    </row>
    <row r="2409" spans="2:9" x14ac:dyDescent="0.3">
      <c r="E2409" t="s">
        <v>43</v>
      </c>
      <c r="F2409">
        <v>4</v>
      </c>
      <c r="G2409">
        <v>0.2</v>
      </c>
      <c r="H2409" s="2">
        <v>3.9851999999999999</v>
      </c>
      <c r="I2409" s="2">
        <v>11.808</v>
      </c>
    </row>
    <row r="2410" spans="2:9" x14ac:dyDescent="0.3">
      <c r="E2410" t="s">
        <v>24</v>
      </c>
      <c r="F2410">
        <v>5</v>
      </c>
      <c r="G2410">
        <v>0.4</v>
      </c>
      <c r="H2410" s="2">
        <v>59.545899999999968</v>
      </c>
      <c r="I2410" s="2">
        <v>573.56000000000006</v>
      </c>
    </row>
    <row r="2411" spans="2:9" x14ac:dyDescent="0.3">
      <c r="E2411" t="s">
        <v>14</v>
      </c>
      <c r="F2411">
        <v>9</v>
      </c>
      <c r="G2411">
        <v>0.60000000000000009</v>
      </c>
      <c r="H2411" s="2">
        <v>74.935999999999993</v>
      </c>
      <c r="I2411" s="2">
        <v>1626.5920000000001</v>
      </c>
    </row>
    <row r="2412" spans="2:9" x14ac:dyDescent="0.3">
      <c r="C2412" t="s">
        <v>27</v>
      </c>
      <c r="D2412" t="s">
        <v>8</v>
      </c>
      <c r="E2412" t="s">
        <v>19</v>
      </c>
      <c r="F2412">
        <v>2</v>
      </c>
      <c r="G2412">
        <v>0.2</v>
      </c>
      <c r="H2412" s="2">
        <v>2.271199999999999</v>
      </c>
      <c r="I2412" s="2">
        <v>10.688000000000001</v>
      </c>
    </row>
    <row r="2413" spans="2:9" x14ac:dyDescent="0.3">
      <c r="E2413" t="s">
        <v>24</v>
      </c>
      <c r="F2413">
        <v>9</v>
      </c>
      <c r="G2413">
        <v>0.4</v>
      </c>
      <c r="H2413" s="2">
        <v>-12.2521</v>
      </c>
      <c r="I2413" s="2">
        <v>67.768000000000001</v>
      </c>
    </row>
    <row r="2414" spans="2:9" x14ac:dyDescent="0.3">
      <c r="C2414" t="s">
        <v>7</v>
      </c>
      <c r="D2414" t="s">
        <v>8</v>
      </c>
      <c r="E2414" t="s">
        <v>45</v>
      </c>
      <c r="F2414">
        <v>2</v>
      </c>
      <c r="G2414">
        <v>0.2</v>
      </c>
      <c r="H2414" s="2">
        <v>89.996999999999986</v>
      </c>
      <c r="I2414" s="2">
        <v>479.98400000000004</v>
      </c>
    </row>
    <row r="2415" spans="2:9" x14ac:dyDescent="0.3">
      <c r="C2415" t="s">
        <v>22</v>
      </c>
      <c r="D2415" t="s">
        <v>15</v>
      </c>
      <c r="E2415" t="s">
        <v>25</v>
      </c>
      <c r="F2415">
        <v>7</v>
      </c>
      <c r="G2415">
        <v>0.45</v>
      </c>
      <c r="H2415" s="2">
        <v>-255.58750000000009</v>
      </c>
      <c r="I2415" s="2">
        <v>562.29250000000013</v>
      </c>
    </row>
    <row r="2416" spans="2:9" x14ac:dyDescent="0.3">
      <c r="D2416" t="s">
        <v>17</v>
      </c>
      <c r="E2416" t="s">
        <v>33</v>
      </c>
      <c r="F2416">
        <v>3</v>
      </c>
      <c r="G2416">
        <v>0.2</v>
      </c>
      <c r="H2416" s="2">
        <v>42.746999999999986</v>
      </c>
      <c r="I2416" s="2">
        <v>683.95200000000011</v>
      </c>
    </row>
    <row r="2417" spans="2:9" x14ac:dyDescent="0.3">
      <c r="E2417" t="s">
        <v>21</v>
      </c>
      <c r="F2417">
        <v>3</v>
      </c>
      <c r="G2417">
        <v>0.2</v>
      </c>
      <c r="H2417" s="2">
        <v>5.1407999999999916</v>
      </c>
      <c r="I2417" s="2">
        <v>45.695999999999998</v>
      </c>
    </row>
    <row r="2418" spans="2:9" x14ac:dyDescent="0.3">
      <c r="B2418" t="s">
        <v>269</v>
      </c>
      <c r="C2418" t="s">
        <v>11</v>
      </c>
      <c r="D2418" t="s">
        <v>17</v>
      </c>
      <c r="E2418" t="s">
        <v>33</v>
      </c>
      <c r="F2418">
        <v>6</v>
      </c>
      <c r="G2418">
        <v>0</v>
      </c>
      <c r="H2418" s="2">
        <v>38.970000000000006</v>
      </c>
      <c r="I2418" s="2">
        <v>155.88</v>
      </c>
    </row>
    <row r="2419" spans="2:9" x14ac:dyDescent="0.3">
      <c r="C2419" t="s">
        <v>7</v>
      </c>
      <c r="D2419" t="s">
        <v>17</v>
      </c>
      <c r="E2419" t="s">
        <v>12</v>
      </c>
      <c r="F2419">
        <v>5</v>
      </c>
      <c r="G2419">
        <v>0</v>
      </c>
      <c r="H2419" s="2">
        <v>496.07249999999993</v>
      </c>
      <c r="I2419" s="2">
        <v>1503.25</v>
      </c>
    </row>
    <row r="2420" spans="2:9" x14ac:dyDescent="0.3">
      <c r="E2420" t="s">
        <v>33</v>
      </c>
      <c r="F2420">
        <v>7</v>
      </c>
      <c r="G2420">
        <v>0</v>
      </c>
      <c r="H2420" s="2">
        <v>580.53939999999989</v>
      </c>
      <c r="I2420" s="2">
        <v>2001.8600000000001</v>
      </c>
    </row>
    <row r="2421" spans="2:9" x14ac:dyDescent="0.3">
      <c r="E2421" t="s">
        <v>16</v>
      </c>
      <c r="F2421">
        <v>10</v>
      </c>
      <c r="G2421">
        <v>0</v>
      </c>
      <c r="H2421" s="2">
        <v>36.381600000000006</v>
      </c>
      <c r="I2421" s="2">
        <v>73.800000000000011</v>
      </c>
    </row>
    <row r="2422" spans="2:9" x14ac:dyDescent="0.3">
      <c r="E2422" t="s">
        <v>14</v>
      </c>
      <c r="F2422">
        <v>2</v>
      </c>
      <c r="G2422">
        <v>0</v>
      </c>
      <c r="H2422" s="2">
        <v>41.680000000000007</v>
      </c>
      <c r="I2422" s="2">
        <v>166.72</v>
      </c>
    </row>
    <row r="2423" spans="2:9" x14ac:dyDescent="0.3">
      <c r="C2423" t="s">
        <v>22</v>
      </c>
      <c r="D2423" t="s">
        <v>8</v>
      </c>
      <c r="E2423" t="s">
        <v>12</v>
      </c>
      <c r="F2423">
        <v>2</v>
      </c>
      <c r="G2423">
        <v>0</v>
      </c>
      <c r="H2423" s="2">
        <v>36.574200000000005</v>
      </c>
      <c r="I2423" s="2">
        <v>93.78</v>
      </c>
    </row>
    <row r="2424" spans="2:9" x14ac:dyDescent="0.3">
      <c r="E2424" t="s">
        <v>19</v>
      </c>
      <c r="F2424">
        <v>16</v>
      </c>
      <c r="G2424">
        <v>0</v>
      </c>
      <c r="H2424" s="2">
        <v>15.3872</v>
      </c>
      <c r="I2424" s="2">
        <v>41.68</v>
      </c>
    </row>
    <row r="2425" spans="2:9" x14ac:dyDescent="0.3">
      <c r="E2425" t="s">
        <v>20</v>
      </c>
      <c r="F2425">
        <v>16</v>
      </c>
      <c r="G2425">
        <v>0</v>
      </c>
      <c r="H2425" s="2">
        <v>42.320399999999999</v>
      </c>
      <c r="I2425" s="2">
        <v>89.28</v>
      </c>
    </row>
    <row r="2426" spans="2:9" x14ac:dyDescent="0.3">
      <c r="E2426" t="s">
        <v>38</v>
      </c>
      <c r="F2426">
        <v>2</v>
      </c>
      <c r="G2426">
        <v>0</v>
      </c>
      <c r="H2426" s="2">
        <v>7.4871999999999996</v>
      </c>
      <c r="I2426" s="2">
        <v>15.28</v>
      </c>
    </row>
    <row r="2427" spans="2:9" x14ac:dyDescent="0.3">
      <c r="E2427" t="s">
        <v>18</v>
      </c>
      <c r="F2427">
        <v>7</v>
      </c>
      <c r="G2427">
        <v>0</v>
      </c>
      <c r="H2427" s="2">
        <v>16.8</v>
      </c>
      <c r="I2427" s="2">
        <v>35</v>
      </c>
    </row>
    <row r="2428" spans="2:9" x14ac:dyDescent="0.3">
      <c r="E2428" t="s">
        <v>16</v>
      </c>
      <c r="F2428">
        <v>7</v>
      </c>
      <c r="G2428">
        <v>0</v>
      </c>
      <c r="H2428" s="2">
        <v>23.59</v>
      </c>
      <c r="I2428" s="2">
        <v>47.18</v>
      </c>
    </row>
    <row r="2429" spans="2:9" x14ac:dyDescent="0.3">
      <c r="E2429" t="s">
        <v>9</v>
      </c>
      <c r="F2429">
        <v>4</v>
      </c>
      <c r="G2429">
        <v>0</v>
      </c>
      <c r="H2429" s="2">
        <v>10.799599999999998</v>
      </c>
      <c r="I2429" s="2">
        <v>37.24</v>
      </c>
    </row>
    <row r="2430" spans="2:9" x14ac:dyDescent="0.3">
      <c r="B2430" t="s">
        <v>270</v>
      </c>
      <c r="C2430" t="s">
        <v>11</v>
      </c>
      <c r="D2430" t="s">
        <v>8</v>
      </c>
      <c r="E2430" t="s">
        <v>20</v>
      </c>
      <c r="F2430">
        <v>3</v>
      </c>
      <c r="G2430">
        <v>0.7</v>
      </c>
      <c r="H2430" s="2">
        <v>-5.5338000000000012</v>
      </c>
      <c r="I2430" s="2">
        <v>7.218</v>
      </c>
    </row>
    <row r="2431" spans="2:9" x14ac:dyDescent="0.3">
      <c r="E2431" t="s">
        <v>18</v>
      </c>
      <c r="F2431">
        <v>4</v>
      </c>
      <c r="G2431">
        <v>0</v>
      </c>
      <c r="H2431" s="2">
        <v>0.2992000000000008</v>
      </c>
      <c r="I2431" s="2">
        <v>14.96</v>
      </c>
    </row>
    <row r="2432" spans="2:9" x14ac:dyDescent="0.3">
      <c r="E2432" t="s">
        <v>9</v>
      </c>
      <c r="F2432">
        <v>4</v>
      </c>
      <c r="G2432">
        <v>0.2</v>
      </c>
      <c r="H2432" s="2">
        <v>2.0399999999999991</v>
      </c>
      <c r="I2432" s="2">
        <v>27.200000000000003</v>
      </c>
    </row>
    <row r="2433" spans="3:9" x14ac:dyDescent="0.3">
      <c r="D2433" t="s">
        <v>15</v>
      </c>
      <c r="E2433" t="s">
        <v>19</v>
      </c>
      <c r="F2433">
        <v>3</v>
      </c>
      <c r="G2433">
        <v>0</v>
      </c>
      <c r="H2433" s="2">
        <v>2.4138000000000006</v>
      </c>
      <c r="I2433" s="2">
        <v>8.94</v>
      </c>
    </row>
    <row r="2434" spans="3:9" x14ac:dyDescent="0.3">
      <c r="E2434" t="s">
        <v>21</v>
      </c>
      <c r="F2434">
        <v>4</v>
      </c>
      <c r="G2434">
        <v>0.2</v>
      </c>
      <c r="H2434" s="2">
        <v>9.1775999999999982</v>
      </c>
      <c r="I2434" s="2">
        <v>45.888000000000005</v>
      </c>
    </row>
    <row r="2435" spans="3:9" x14ac:dyDescent="0.3">
      <c r="E2435" t="s">
        <v>16</v>
      </c>
      <c r="F2435">
        <v>2</v>
      </c>
      <c r="G2435">
        <v>0</v>
      </c>
      <c r="H2435" s="2">
        <v>18.211199999999998</v>
      </c>
      <c r="I2435" s="2">
        <v>37.94</v>
      </c>
    </row>
    <row r="2436" spans="3:9" x14ac:dyDescent="0.3">
      <c r="D2436" t="s">
        <v>17</v>
      </c>
      <c r="E2436" t="s">
        <v>20</v>
      </c>
      <c r="F2436">
        <v>4</v>
      </c>
      <c r="G2436">
        <v>0.7</v>
      </c>
      <c r="H2436" s="2">
        <v>-53.743199999999973</v>
      </c>
      <c r="I2436" s="2">
        <v>76.77600000000001</v>
      </c>
    </row>
    <row r="2437" spans="3:9" x14ac:dyDescent="0.3">
      <c r="C2437" t="s">
        <v>7</v>
      </c>
      <c r="D2437" t="s">
        <v>8</v>
      </c>
      <c r="E2437" t="s">
        <v>21</v>
      </c>
      <c r="F2437">
        <v>5</v>
      </c>
      <c r="G2437">
        <v>0</v>
      </c>
      <c r="H2437" s="2">
        <v>39.564000000000007</v>
      </c>
      <c r="I2437" s="2">
        <v>94.2</v>
      </c>
    </row>
    <row r="2438" spans="3:9" x14ac:dyDescent="0.3">
      <c r="D2438" t="s">
        <v>15</v>
      </c>
      <c r="E2438" t="s">
        <v>20</v>
      </c>
      <c r="F2438">
        <v>1</v>
      </c>
      <c r="G2438">
        <v>0</v>
      </c>
      <c r="H2438" s="2">
        <v>9.4700000000000006</v>
      </c>
      <c r="I2438" s="2">
        <v>18.940000000000001</v>
      </c>
    </row>
    <row r="2439" spans="3:9" x14ac:dyDescent="0.3">
      <c r="E2439" t="s">
        <v>33</v>
      </c>
      <c r="F2439">
        <v>2</v>
      </c>
      <c r="G2439">
        <v>0</v>
      </c>
      <c r="H2439" s="2">
        <v>27.057799999999986</v>
      </c>
      <c r="I2439" s="2">
        <v>245.98</v>
      </c>
    </row>
    <row r="2440" spans="3:9" x14ac:dyDescent="0.3">
      <c r="D2440" t="s">
        <v>17</v>
      </c>
      <c r="E2440" t="s">
        <v>19</v>
      </c>
      <c r="F2440">
        <v>1</v>
      </c>
      <c r="G2440">
        <v>0.2</v>
      </c>
      <c r="H2440" s="2">
        <v>1.0269000000000001</v>
      </c>
      <c r="I2440" s="2">
        <v>3.9119999999999999</v>
      </c>
    </row>
    <row r="2441" spans="3:9" x14ac:dyDescent="0.3">
      <c r="E2441" t="s">
        <v>24</v>
      </c>
      <c r="F2441">
        <v>8</v>
      </c>
      <c r="G2441">
        <v>0.4</v>
      </c>
      <c r="H2441" s="2">
        <v>-81.664000000000044</v>
      </c>
      <c r="I2441" s="2">
        <v>445.44</v>
      </c>
    </row>
    <row r="2442" spans="3:9" x14ac:dyDescent="0.3">
      <c r="C2442" t="s">
        <v>22</v>
      </c>
      <c r="D2442" t="s">
        <v>8</v>
      </c>
      <c r="E2442" t="s">
        <v>23</v>
      </c>
      <c r="F2442">
        <v>3</v>
      </c>
      <c r="G2442">
        <v>0</v>
      </c>
      <c r="H2442" s="2">
        <v>4.9500000000000011</v>
      </c>
      <c r="I2442" s="2">
        <v>45</v>
      </c>
    </row>
    <row r="2443" spans="3:9" x14ac:dyDescent="0.3">
      <c r="E2443" t="s">
        <v>19</v>
      </c>
      <c r="F2443">
        <v>7</v>
      </c>
      <c r="G2443">
        <v>0</v>
      </c>
      <c r="H2443" s="2">
        <v>7.3433999999999999</v>
      </c>
      <c r="I2443" s="2">
        <v>20.659999999999997</v>
      </c>
    </row>
    <row r="2444" spans="3:9" x14ac:dyDescent="0.3">
      <c r="E2444" t="s">
        <v>20</v>
      </c>
      <c r="F2444">
        <v>3</v>
      </c>
      <c r="G2444">
        <v>0.7</v>
      </c>
      <c r="H2444" s="2">
        <v>-7.9067999999999969</v>
      </c>
      <c r="I2444" s="2">
        <v>10.782000000000002</v>
      </c>
    </row>
    <row r="2445" spans="3:9" x14ac:dyDescent="0.3">
      <c r="E2445" t="s">
        <v>34</v>
      </c>
      <c r="F2445">
        <v>8</v>
      </c>
      <c r="G2445">
        <v>0.15</v>
      </c>
      <c r="H2445" s="2">
        <v>153.52919999999983</v>
      </c>
      <c r="I2445" s="2">
        <v>2412.3990000000003</v>
      </c>
    </row>
    <row r="2446" spans="3:9" x14ac:dyDescent="0.3">
      <c r="E2446" t="s">
        <v>18</v>
      </c>
      <c r="F2446">
        <v>5</v>
      </c>
      <c r="G2446">
        <v>0</v>
      </c>
      <c r="H2446" s="2">
        <v>8.7710000000000008</v>
      </c>
      <c r="I2446" s="2">
        <v>17.899999999999999</v>
      </c>
    </row>
    <row r="2447" spans="3:9" x14ac:dyDescent="0.3">
      <c r="E2447" t="s">
        <v>21</v>
      </c>
      <c r="F2447">
        <v>8</v>
      </c>
      <c r="G2447">
        <v>0</v>
      </c>
      <c r="H2447" s="2">
        <v>26.435200000000002</v>
      </c>
      <c r="I2447" s="2">
        <v>65.56</v>
      </c>
    </row>
    <row r="2448" spans="3:9" x14ac:dyDescent="0.3">
      <c r="E2448" t="s">
        <v>24</v>
      </c>
      <c r="F2448">
        <v>7</v>
      </c>
      <c r="G2448">
        <v>0</v>
      </c>
      <c r="H2448" s="2">
        <v>357.19110000000001</v>
      </c>
      <c r="I2448" s="2">
        <v>1322.93</v>
      </c>
    </row>
    <row r="2449" spans="4:9" x14ac:dyDescent="0.3">
      <c r="D2449" t="s">
        <v>15</v>
      </c>
      <c r="E2449" t="s">
        <v>23</v>
      </c>
      <c r="F2449">
        <v>1</v>
      </c>
      <c r="G2449">
        <v>0</v>
      </c>
      <c r="H2449" s="2">
        <v>32.4</v>
      </c>
      <c r="I2449" s="2">
        <v>90</v>
      </c>
    </row>
    <row r="2450" spans="4:9" x14ac:dyDescent="0.3">
      <c r="E2450" t="s">
        <v>19</v>
      </c>
      <c r="F2450">
        <v>16</v>
      </c>
      <c r="G2450">
        <v>0.4</v>
      </c>
      <c r="H2450" s="2">
        <v>9.4990000000000023</v>
      </c>
      <c r="I2450" s="2">
        <v>58.592000000000006</v>
      </c>
    </row>
    <row r="2451" spans="4:9" x14ac:dyDescent="0.3">
      <c r="E2451" t="s">
        <v>20</v>
      </c>
      <c r="F2451">
        <v>12</v>
      </c>
      <c r="G2451">
        <v>0</v>
      </c>
      <c r="H2451" s="2">
        <v>109.99600000000001</v>
      </c>
      <c r="I2451" s="2">
        <v>221.51</v>
      </c>
    </row>
    <row r="2452" spans="4:9" x14ac:dyDescent="0.3">
      <c r="E2452" t="s">
        <v>33</v>
      </c>
      <c r="F2452">
        <v>4</v>
      </c>
      <c r="G2452">
        <v>0</v>
      </c>
      <c r="H2452" s="2">
        <v>143.62880000000001</v>
      </c>
      <c r="I2452" s="2">
        <v>512.96</v>
      </c>
    </row>
    <row r="2453" spans="4:9" x14ac:dyDescent="0.3">
      <c r="E2453" t="s">
        <v>38</v>
      </c>
      <c r="F2453">
        <v>8</v>
      </c>
      <c r="G2453">
        <v>0.2</v>
      </c>
      <c r="H2453" s="2">
        <v>31.866399999999999</v>
      </c>
      <c r="I2453" s="2">
        <v>75.567999999999998</v>
      </c>
    </row>
    <row r="2454" spans="4:9" x14ac:dyDescent="0.3">
      <c r="E2454" t="s">
        <v>21</v>
      </c>
      <c r="F2454">
        <v>7</v>
      </c>
      <c r="G2454">
        <v>0</v>
      </c>
      <c r="H2454" s="2">
        <v>22.246800000000004</v>
      </c>
      <c r="I2454" s="2">
        <v>57.360000000000007</v>
      </c>
    </row>
    <row r="2455" spans="4:9" x14ac:dyDescent="0.3">
      <c r="E2455" t="s">
        <v>46</v>
      </c>
      <c r="F2455">
        <v>7</v>
      </c>
      <c r="G2455">
        <v>0</v>
      </c>
      <c r="H2455" s="2">
        <v>2365.9817999999996</v>
      </c>
      <c r="I2455" s="2">
        <v>9099.93</v>
      </c>
    </row>
    <row r="2456" spans="4:9" x14ac:dyDescent="0.3">
      <c r="E2456" t="s">
        <v>16</v>
      </c>
      <c r="F2456">
        <v>5</v>
      </c>
      <c r="G2456">
        <v>0</v>
      </c>
      <c r="H2456" s="2">
        <v>45.527999999999992</v>
      </c>
      <c r="I2456" s="2">
        <v>94.85</v>
      </c>
    </row>
    <row r="2457" spans="4:9" x14ac:dyDescent="0.3">
      <c r="E2457" t="s">
        <v>24</v>
      </c>
      <c r="F2457">
        <v>8</v>
      </c>
      <c r="G2457">
        <v>0.4</v>
      </c>
      <c r="H2457" s="2">
        <v>77.746400000000008</v>
      </c>
      <c r="I2457" s="2">
        <v>547.12799999999993</v>
      </c>
    </row>
    <row r="2458" spans="4:9" x14ac:dyDescent="0.3">
      <c r="E2458" t="s">
        <v>14</v>
      </c>
      <c r="F2458">
        <v>2</v>
      </c>
      <c r="G2458">
        <v>0</v>
      </c>
      <c r="H2458" s="2">
        <v>0</v>
      </c>
      <c r="I2458" s="2">
        <v>81.96</v>
      </c>
    </row>
    <row r="2459" spans="4:9" x14ac:dyDescent="0.3">
      <c r="E2459" t="s">
        <v>25</v>
      </c>
      <c r="F2459">
        <v>2</v>
      </c>
      <c r="G2459">
        <v>0.4</v>
      </c>
      <c r="H2459" s="2">
        <v>-231.41160000000008</v>
      </c>
      <c r="I2459" s="2">
        <v>661.17600000000004</v>
      </c>
    </row>
    <row r="2460" spans="4:9" x14ac:dyDescent="0.3">
      <c r="D2460" t="s">
        <v>17</v>
      </c>
      <c r="E2460" t="s">
        <v>12</v>
      </c>
      <c r="F2460">
        <v>2</v>
      </c>
      <c r="G2460">
        <v>0.2</v>
      </c>
      <c r="H2460" s="2">
        <v>16.156799999999997</v>
      </c>
      <c r="I2460" s="2">
        <v>161.56800000000001</v>
      </c>
    </row>
    <row r="2461" spans="4:9" x14ac:dyDescent="0.3">
      <c r="E2461" t="s">
        <v>19</v>
      </c>
      <c r="F2461">
        <v>6</v>
      </c>
      <c r="G2461">
        <v>0</v>
      </c>
      <c r="H2461" s="2">
        <v>83.867999999999967</v>
      </c>
      <c r="I2461" s="2">
        <v>289.20000000000005</v>
      </c>
    </row>
    <row r="2462" spans="4:9" x14ac:dyDescent="0.3">
      <c r="E2462" t="s">
        <v>20</v>
      </c>
      <c r="F2462">
        <v>7</v>
      </c>
      <c r="G2462">
        <v>0.7</v>
      </c>
      <c r="H2462" s="2">
        <v>15.948</v>
      </c>
      <c r="I2462" s="2">
        <v>51.696000000000005</v>
      </c>
    </row>
    <row r="2463" spans="4:9" x14ac:dyDescent="0.3">
      <c r="E2463" t="s">
        <v>33</v>
      </c>
      <c r="F2463">
        <v>8</v>
      </c>
      <c r="G2463">
        <v>0.2</v>
      </c>
      <c r="H2463" s="2">
        <v>-97.176000000000073</v>
      </c>
      <c r="I2463" s="2">
        <v>518.27200000000005</v>
      </c>
    </row>
    <row r="2464" spans="4:9" x14ac:dyDescent="0.3">
      <c r="E2464" t="s">
        <v>21</v>
      </c>
      <c r="F2464">
        <v>1</v>
      </c>
      <c r="G2464">
        <v>0</v>
      </c>
      <c r="H2464" s="2">
        <v>3.3504</v>
      </c>
      <c r="I2464" s="2">
        <v>6.98</v>
      </c>
    </row>
    <row r="2465" spans="2:9" x14ac:dyDescent="0.3">
      <c r="E2465" t="s">
        <v>46</v>
      </c>
      <c r="F2465">
        <v>1</v>
      </c>
      <c r="G2465">
        <v>0.2</v>
      </c>
      <c r="H2465" s="2">
        <v>38.609999999999957</v>
      </c>
      <c r="I2465" s="2">
        <v>343.20000000000005</v>
      </c>
    </row>
    <row r="2466" spans="2:9" x14ac:dyDescent="0.3">
      <c r="E2466" t="s">
        <v>16</v>
      </c>
      <c r="F2466">
        <v>19</v>
      </c>
      <c r="G2466">
        <v>0.60000000000000009</v>
      </c>
      <c r="H2466" s="2">
        <v>27.059400000000004</v>
      </c>
      <c r="I2466" s="2">
        <v>75.920000000000016</v>
      </c>
    </row>
    <row r="2467" spans="2:9" x14ac:dyDescent="0.3">
      <c r="E2467" t="s">
        <v>24</v>
      </c>
      <c r="F2467">
        <v>6</v>
      </c>
      <c r="G2467">
        <v>0.2</v>
      </c>
      <c r="H2467" s="2">
        <v>20.097000000000008</v>
      </c>
      <c r="I2467" s="2">
        <v>321.55200000000002</v>
      </c>
    </row>
    <row r="2468" spans="2:9" x14ac:dyDescent="0.3">
      <c r="B2468" t="s">
        <v>271</v>
      </c>
      <c r="C2468" t="s">
        <v>11</v>
      </c>
      <c r="D2468" t="s">
        <v>8</v>
      </c>
      <c r="E2468" t="s">
        <v>33</v>
      </c>
      <c r="F2468">
        <v>1</v>
      </c>
      <c r="G2468">
        <v>0.3</v>
      </c>
      <c r="H2468" s="2">
        <v>0</v>
      </c>
      <c r="I2468" s="2">
        <v>170.78599999999997</v>
      </c>
    </row>
    <row r="2469" spans="2:9" x14ac:dyDescent="0.3">
      <c r="E2469" t="s">
        <v>18</v>
      </c>
      <c r="F2469">
        <v>5</v>
      </c>
      <c r="G2469">
        <v>0</v>
      </c>
      <c r="H2469" s="2">
        <v>3.5970000000000004</v>
      </c>
      <c r="I2469" s="2">
        <v>10.9</v>
      </c>
    </row>
    <row r="2470" spans="2:9" x14ac:dyDescent="0.3">
      <c r="E2470" t="s">
        <v>16</v>
      </c>
      <c r="F2470">
        <v>10</v>
      </c>
      <c r="G2470">
        <v>0.60000000000000009</v>
      </c>
      <c r="H2470" s="2">
        <v>77.904799999999994</v>
      </c>
      <c r="I2470" s="2">
        <v>216.99200000000002</v>
      </c>
    </row>
    <row r="2471" spans="2:9" x14ac:dyDescent="0.3">
      <c r="E2471" t="s">
        <v>14</v>
      </c>
      <c r="F2471">
        <v>9</v>
      </c>
      <c r="G2471">
        <v>0.4</v>
      </c>
      <c r="H2471" s="2">
        <v>-28.924199999999995</v>
      </c>
      <c r="I2471" s="2">
        <v>212.43200000000002</v>
      </c>
    </row>
    <row r="2472" spans="2:9" x14ac:dyDescent="0.3">
      <c r="D2472" t="s">
        <v>17</v>
      </c>
      <c r="E2472" t="s">
        <v>19</v>
      </c>
      <c r="F2472">
        <v>9</v>
      </c>
      <c r="G2472">
        <v>0.2</v>
      </c>
      <c r="H2472" s="2">
        <v>2.6964000000000006</v>
      </c>
      <c r="I2472" s="2">
        <v>30.816000000000003</v>
      </c>
    </row>
    <row r="2473" spans="2:9" x14ac:dyDescent="0.3">
      <c r="E2473" t="s">
        <v>21</v>
      </c>
      <c r="F2473">
        <v>6</v>
      </c>
      <c r="G2473">
        <v>0.2</v>
      </c>
      <c r="H2473" s="2">
        <v>12.892799999999998</v>
      </c>
      <c r="I2473" s="2">
        <v>60.672000000000011</v>
      </c>
    </row>
    <row r="2474" spans="2:9" x14ac:dyDescent="0.3">
      <c r="C2474" t="s">
        <v>7</v>
      </c>
      <c r="D2474" t="s">
        <v>8</v>
      </c>
      <c r="E2474" t="s">
        <v>23</v>
      </c>
      <c r="F2474">
        <v>2</v>
      </c>
      <c r="G2474">
        <v>0.2</v>
      </c>
      <c r="H2474" s="2">
        <v>0.5</v>
      </c>
      <c r="I2474" s="2">
        <v>40</v>
      </c>
    </row>
    <row r="2475" spans="2:9" x14ac:dyDescent="0.3">
      <c r="E2475" t="s">
        <v>12</v>
      </c>
      <c r="F2475">
        <v>8</v>
      </c>
      <c r="G2475">
        <v>0.2</v>
      </c>
      <c r="H2475" s="2">
        <v>64.627199999999988</v>
      </c>
      <c r="I2475" s="2">
        <v>646.27200000000005</v>
      </c>
    </row>
    <row r="2476" spans="2:9" x14ac:dyDescent="0.3">
      <c r="E2476" t="s">
        <v>20</v>
      </c>
      <c r="F2476">
        <v>2</v>
      </c>
      <c r="G2476">
        <v>0.2</v>
      </c>
      <c r="H2476" s="2">
        <v>5.8914</v>
      </c>
      <c r="I2476" s="2">
        <v>17.456</v>
      </c>
    </row>
    <row r="2477" spans="2:9" x14ac:dyDescent="0.3">
      <c r="E2477" t="s">
        <v>16</v>
      </c>
      <c r="F2477">
        <v>2</v>
      </c>
      <c r="G2477">
        <v>0.2</v>
      </c>
      <c r="H2477" s="2">
        <v>3.7584</v>
      </c>
      <c r="I2477" s="2">
        <v>10.368000000000002</v>
      </c>
    </row>
    <row r="2478" spans="2:9" x14ac:dyDescent="0.3">
      <c r="E2478" t="s">
        <v>14</v>
      </c>
      <c r="F2478">
        <v>2</v>
      </c>
      <c r="G2478">
        <v>0.2</v>
      </c>
      <c r="H2478" s="2">
        <v>-55.256</v>
      </c>
      <c r="I2478" s="2">
        <v>221.024</v>
      </c>
    </row>
    <row r="2479" spans="2:9" x14ac:dyDescent="0.3">
      <c r="D2479" t="s">
        <v>17</v>
      </c>
      <c r="E2479" t="s">
        <v>20</v>
      </c>
      <c r="F2479">
        <v>13</v>
      </c>
      <c r="G2479">
        <v>1.1000000000000001</v>
      </c>
      <c r="H2479" s="2">
        <v>25.295200000000001</v>
      </c>
      <c r="I2479" s="2">
        <v>112.36100000000002</v>
      </c>
    </row>
    <row r="2480" spans="2:9" x14ac:dyDescent="0.3">
      <c r="E2480" t="s">
        <v>21</v>
      </c>
      <c r="F2480">
        <v>4</v>
      </c>
      <c r="G2480">
        <v>0.2</v>
      </c>
      <c r="H2480" s="2">
        <v>7.7000000000000028</v>
      </c>
      <c r="I2480" s="2">
        <v>28</v>
      </c>
    </row>
    <row r="2481" spans="3:9" x14ac:dyDescent="0.3">
      <c r="E2481" t="s">
        <v>16</v>
      </c>
      <c r="F2481">
        <v>13</v>
      </c>
      <c r="G2481">
        <v>0.60000000000000009</v>
      </c>
      <c r="H2481" s="2">
        <v>26.359199999999994</v>
      </c>
      <c r="I2481" s="2">
        <v>75.808000000000007</v>
      </c>
    </row>
    <row r="2482" spans="3:9" x14ac:dyDescent="0.3">
      <c r="E2482" t="s">
        <v>25</v>
      </c>
      <c r="F2482">
        <v>2</v>
      </c>
      <c r="G2482">
        <v>0.4</v>
      </c>
      <c r="H2482" s="2">
        <v>-103.98819999999998</v>
      </c>
      <c r="I2482" s="2">
        <v>215.148</v>
      </c>
    </row>
    <row r="2483" spans="3:9" x14ac:dyDescent="0.3">
      <c r="C2483" t="s">
        <v>22</v>
      </c>
      <c r="D2483" t="s">
        <v>8</v>
      </c>
      <c r="E2483" t="s">
        <v>23</v>
      </c>
      <c r="F2483">
        <v>5</v>
      </c>
      <c r="G2483">
        <v>0.4</v>
      </c>
      <c r="H2483" s="2">
        <v>7.2491999999999956</v>
      </c>
      <c r="I2483" s="2">
        <v>87.096000000000004</v>
      </c>
    </row>
    <row r="2484" spans="3:9" x14ac:dyDescent="0.3">
      <c r="E2484" t="s">
        <v>20</v>
      </c>
      <c r="F2484">
        <v>15</v>
      </c>
      <c r="G2484">
        <v>2.8</v>
      </c>
      <c r="H2484" s="2">
        <v>-323.10890000000006</v>
      </c>
      <c r="I2484" s="2">
        <v>480.1110000000001</v>
      </c>
    </row>
    <row r="2485" spans="3:9" x14ac:dyDescent="0.3">
      <c r="E2485" t="s">
        <v>33</v>
      </c>
      <c r="F2485">
        <v>4</v>
      </c>
      <c r="G2485">
        <v>0.5</v>
      </c>
      <c r="H2485" s="2">
        <v>33.674999999999976</v>
      </c>
      <c r="I2485" s="2">
        <v>434.17400000000004</v>
      </c>
    </row>
    <row r="2486" spans="3:9" x14ac:dyDescent="0.3">
      <c r="E2486" t="s">
        <v>21</v>
      </c>
      <c r="F2486">
        <v>1</v>
      </c>
      <c r="G2486">
        <v>0.2</v>
      </c>
      <c r="H2486" s="2">
        <v>1.7591000000000001</v>
      </c>
      <c r="I2486" s="2">
        <v>20.103999999999999</v>
      </c>
    </row>
    <row r="2487" spans="3:9" x14ac:dyDescent="0.3">
      <c r="E2487" t="s">
        <v>46</v>
      </c>
      <c r="F2487">
        <v>5</v>
      </c>
      <c r="G2487">
        <v>0.7</v>
      </c>
      <c r="H2487" s="2">
        <v>-6599.978000000001</v>
      </c>
      <c r="I2487" s="2">
        <v>4499.9850000000006</v>
      </c>
    </row>
    <row r="2488" spans="3:9" x14ac:dyDescent="0.3">
      <c r="E2488" t="s">
        <v>14</v>
      </c>
      <c r="F2488">
        <v>2</v>
      </c>
      <c r="G2488">
        <v>0.2</v>
      </c>
      <c r="H2488" s="2">
        <v>1.4672000000000001</v>
      </c>
      <c r="I2488" s="2">
        <v>16.768000000000001</v>
      </c>
    </row>
    <row r="2489" spans="3:9" x14ac:dyDescent="0.3">
      <c r="E2489" t="s">
        <v>9</v>
      </c>
      <c r="F2489">
        <v>3</v>
      </c>
      <c r="G2489">
        <v>0.2</v>
      </c>
      <c r="H2489" s="2">
        <v>-64.427400000000006</v>
      </c>
      <c r="I2489" s="2">
        <v>286.34400000000005</v>
      </c>
    </row>
    <row r="2490" spans="3:9" x14ac:dyDescent="0.3">
      <c r="D2490" t="s">
        <v>15</v>
      </c>
      <c r="E2490" t="s">
        <v>23</v>
      </c>
      <c r="F2490">
        <v>4</v>
      </c>
      <c r="G2490">
        <v>0.2</v>
      </c>
      <c r="H2490" s="2">
        <v>-6.1879999999999988</v>
      </c>
      <c r="I2490" s="2">
        <v>70.720000000000013</v>
      </c>
    </row>
    <row r="2491" spans="3:9" x14ac:dyDescent="0.3">
      <c r="E2491" t="s">
        <v>20</v>
      </c>
      <c r="F2491">
        <v>16</v>
      </c>
      <c r="G2491">
        <v>2.0999999999999996</v>
      </c>
      <c r="H2491" s="2">
        <v>-103.11329999999998</v>
      </c>
      <c r="I2491" s="2">
        <v>129.25500000000002</v>
      </c>
    </row>
    <row r="2492" spans="3:9" x14ac:dyDescent="0.3">
      <c r="E2492" t="s">
        <v>16</v>
      </c>
      <c r="F2492">
        <v>7</v>
      </c>
      <c r="G2492">
        <v>0.2</v>
      </c>
      <c r="H2492" s="2">
        <v>83.209699999999998</v>
      </c>
      <c r="I2492" s="2">
        <v>229.54400000000001</v>
      </c>
    </row>
    <row r="2493" spans="3:9" x14ac:dyDescent="0.3">
      <c r="E2493" t="s">
        <v>24</v>
      </c>
      <c r="F2493">
        <v>3</v>
      </c>
      <c r="G2493">
        <v>0.8</v>
      </c>
      <c r="H2493" s="2">
        <v>-28.332100000000011</v>
      </c>
      <c r="I2493" s="2">
        <v>151.52999999999997</v>
      </c>
    </row>
    <row r="2494" spans="3:9" x14ac:dyDescent="0.3">
      <c r="E2494" t="s">
        <v>14</v>
      </c>
      <c r="F2494">
        <v>3</v>
      </c>
      <c r="G2494">
        <v>0.2</v>
      </c>
      <c r="H2494" s="2">
        <v>-43.729199999999992</v>
      </c>
      <c r="I2494" s="2">
        <v>194.35200000000003</v>
      </c>
    </row>
    <row r="2495" spans="3:9" x14ac:dyDescent="0.3">
      <c r="D2495" t="s">
        <v>17</v>
      </c>
      <c r="E2495" t="s">
        <v>23</v>
      </c>
      <c r="F2495">
        <v>2</v>
      </c>
      <c r="G2495">
        <v>0.2</v>
      </c>
      <c r="H2495" s="2">
        <v>0.47279999999999966</v>
      </c>
      <c r="I2495" s="2">
        <v>3.1520000000000001</v>
      </c>
    </row>
    <row r="2496" spans="3:9" x14ac:dyDescent="0.3">
      <c r="E2496" t="s">
        <v>12</v>
      </c>
      <c r="F2496">
        <v>6</v>
      </c>
      <c r="G2496">
        <v>0.2</v>
      </c>
      <c r="H2496" s="2">
        <v>1.2527999999999988</v>
      </c>
      <c r="I2496" s="2">
        <v>16.704000000000001</v>
      </c>
    </row>
    <row r="2497" spans="2:9" x14ac:dyDescent="0.3">
      <c r="E2497" t="s">
        <v>16</v>
      </c>
      <c r="F2497">
        <v>4</v>
      </c>
      <c r="G2497">
        <v>0.2</v>
      </c>
      <c r="H2497" s="2">
        <v>11.102399999999996</v>
      </c>
      <c r="I2497" s="2">
        <v>32.896000000000001</v>
      </c>
    </row>
    <row r="2498" spans="2:9" x14ac:dyDescent="0.3">
      <c r="E2498" t="s">
        <v>24</v>
      </c>
      <c r="F2498">
        <v>3</v>
      </c>
      <c r="G2498">
        <v>0.4</v>
      </c>
      <c r="H2498" s="2">
        <v>-253.43369999999993</v>
      </c>
      <c r="I2498" s="2">
        <v>1169.694</v>
      </c>
    </row>
    <row r="2499" spans="2:9" x14ac:dyDescent="0.3">
      <c r="B2499" t="s">
        <v>272</v>
      </c>
      <c r="C2499" t="s">
        <v>11</v>
      </c>
      <c r="D2499" t="s">
        <v>8</v>
      </c>
      <c r="E2499" t="s">
        <v>21</v>
      </c>
      <c r="F2499">
        <v>5</v>
      </c>
      <c r="G2499">
        <v>0</v>
      </c>
      <c r="H2499" s="2">
        <v>32.159999999999997</v>
      </c>
      <c r="I2499" s="2">
        <v>67</v>
      </c>
    </row>
    <row r="2500" spans="2:9" x14ac:dyDescent="0.3">
      <c r="C2500" t="s">
        <v>27</v>
      </c>
      <c r="D2500" t="s">
        <v>8</v>
      </c>
      <c r="E2500" t="s">
        <v>12</v>
      </c>
      <c r="F2500">
        <v>2</v>
      </c>
      <c r="G2500">
        <v>0.1</v>
      </c>
      <c r="H2500" s="2">
        <v>107.34599999999996</v>
      </c>
      <c r="I2500" s="2">
        <v>644.07600000000002</v>
      </c>
    </row>
    <row r="2501" spans="2:9" x14ac:dyDescent="0.3">
      <c r="E2501" t="s">
        <v>20</v>
      </c>
      <c r="F2501">
        <v>2</v>
      </c>
      <c r="G2501">
        <v>0</v>
      </c>
      <c r="H2501" s="2">
        <v>5.8695999999999993</v>
      </c>
      <c r="I2501" s="2">
        <v>12.76</v>
      </c>
    </row>
    <row r="2502" spans="2:9" x14ac:dyDescent="0.3">
      <c r="E2502" t="s">
        <v>45</v>
      </c>
      <c r="F2502">
        <v>2</v>
      </c>
      <c r="G2502">
        <v>0</v>
      </c>
      <c r="H2502" s="2">
        <v>209.99299999999999</v>
      </c>
      <c r="I2502" s="2">
        <v>599.98</v>
      </c>
    </row>
    <row r="2503" spans="2:9" x14ac:dyDescent="0.3">
      <c r="E2503" t="s">
        <v>18</v>
      </c>
      <c r="F2503">
        <v>2</v>
      </c>
      <c r="G2503">
        <v>0</v>
      </c>
      <c r="H2503" s="2">
        <v>2.6279999999999997</v>
      </c>
      <c r="I2503" s="2">
        <v>5.84</v>
      </c>
    </row>
    <row r="2504" spans="2:9" x14ac:dyDescent="0.3">
      <c r="E2504" t="s">
        <v>24</v>
      </c>
      <c r="F2504">
        <v>1</v>
      </c>
      <c r="G2504">
        <v>0</v>
      </c>
      <c r="H2504" s="2">
        <v>0.43799999999999883</v>
      </c>
      <c r="I2504" s="2">
        <v>10.95</v>
      </c>
    </row>
    <row r="2505" spans="2:9" x14ac:dyDescent="0.3">
      <c r="C2505" t="s">
        <v>7</v>
      </c>
      <c r="D2505" t="s">
        <v>17</v>
      </c>
      <c r="E2505" t="s">
        <v>34</v>
      </c>
      <c r="F2505">
        <v>2</v>
      </c>
      <c r="G2505">
        <v>0</v>
      </c>
      <c r="H2505" s="2">
        <v>41.133199999999988</v>
      </c>
      <c r="I2505" s="2">
        <v>241.96</v>
      </c>
    </row>
    <row r="2506" spans="2:9" x14ac:dyDescent="0.3">
      <c r="E2506" t="s">
        <v>43</v>
      </c>
      <c r="F2506">
        <v>9</v>
      </c>
      <c r="G2506">
        <v>0</v>
      </c>
      <c r="H2506" s="2">
        <v>13.3056</v>
      </c>
      <c r="I2506" s="2">
        <v>27.72</v>
      </c>
    </row>
    <row r="2507" spans="2:9" x14ac:dyDescent="0.3">
      <c r="B2507" t="s">
        <v>273</v>
      </c>
      <c r="C2507" t="s">
        <v>27</v>
      </c>
      <c r="D2507" t="s">
        <v>8</v>
      </c>
      <c r="E2507" t="s">
        <v>43</v>
      </c>
      <c r="F2507">
        <v>1</v>
      </c>
      <c r="G2507">
        <v>0.2</v>
      </c>
      <c r="H2507" s="2">
        <v>4.4399999999999995</v>
      </c>
      <c r="I2507" s="2">
        <v>11.840000000000002</v>
      </c>
    </row>
    <row r="2508" spans="2:9" x14ac:dyDescent="0.3">
      <c r="C2508" t="s">
        <v>7</v>
      </c>
      <c r="D2508" t="s">
        <v>15</v>
      </c>
      <c r="E2508" t="s">
        <v>23</v>
      </c>
      <c r="F2508">
        <v>2</v>
      </c>
      <c r="G2508">
        <v>0.2</v>
      </c>
      <c r="H2508" s="2">
        <v>14.395200000000004</v>
      </c>
      <c r="I2508" s="2">
        <v>47.984000000000002</v>
      </c>
    </row>
    <row r="2509" spans="2:9" x14ac:dyDescent="0.3">
      <c r="E2509" t="s">
        <v>20</v>
      </c>
      <c r="F2509">
        <v>3</v>
      </c>
      <c r="G2509">
        <v>0.8</v>
      </c>
      <c r="H2509" s="2">
        <v>-3.6576000000000004</v>
      </c>
      <c r="I2509" s="2">
        <v>2.2859999999999996</v>
      </c>
    </row>
    <row r="2510" spans="2:9" x14ac:dyDescent="0.3">
      <c r="E2510" t="s">
        <v>38</v>
      </c>
      <c r="F2510">
        <v>3</v>
      </c>
      <c r="G2510">
        <v>0.2</v>
      </c>
      <c r="H2510" s="2">
        <v>4.7066999999999997</v>
      </c>
      <c r="I2510" s="2">
        <v>12.984000000000002</v>
      </c>
    </row>
    <row r="2511" spans="2:9" x14ac:dyDescent="0.3">
      <c r="E2511" t="s">
        <v>24</v>
      </c>
      <c r="F2511">
        <v>5</v>
      </c>
      <c r="G2511">
        <v>0.4</v>
      </c>
      <c r="H2511" s="2">
        <v>47.806500000000007</v>
      </c>
      <c r="I2511" s="2">
        <v>546.36000000000013</v>
      </c>
    </row>
    <row r="2512" spans="2:9" x14ac:dyDescent="0.3">
      <c r="C2512" t="s">
        <v>22</v>
      </c>
      <c r="D2512" t="s">
        <v>8</v>
      </c>
      <c r="E2512" t="s">
        <v>23</v>
      </c>
      <c r="F2512">
        <v>6</v>
      </c>
      <c r="G2512">
        <v>0.4</v>
      </c>
      <c r="H2512" s="2">
        <v>33.746999999999986</v>
      </c>
      <c r="I2512" s="2">
        <v>223.17599999999999</v>
      </c>
    </row>
    <row r="2513" spans="2:9" x14ac:dyDescent="0.3">
      <c r="E2513" t="s">
        <v>19</v>
      </c>
      <c r="F2513">
        <v>3</v>
      </c>
      <c r="G2513">
        <v>0.4</v>
      </c>
      <c r="H2513" s="2">
        <v>2.3584000000000001</v>
      </c>
      <c r="I2513" s="2">
        <v>25.216000000000001</v>
      </c>
    </row>
    <row r="2514" spans="2:9" x14ac:dyDescent="0.3">
      <c r="E2514" t="s">
        <v>20</v>
      </c>
      <c r="F2514">
        <v>7</v>
      </c>
      <c r="G2514">
        <v>0.8</v>
      </c>
      <c r="H2514" s="2">
        <v>-11.000500000000008</v>
      </c>
      <c r="I2514" s="2">
        <v>6.2859999999999987</v>
      </c>
    </row>
    <row r="2515" spans="2:9" x14ac:dyDescent="0.3">
      <c r="E2515" t="s">
        <v>21</v>
      </c>
      <c r="F2515">
        <v>5</v>
      </c>
      <c r="G2515">
        <v>0.6</v>
      </c>
      <c r="H2515" s="2">
        <v>-150.41399999999999</v>
      </c>
      <c r="I2515" s="2">
        <v>139.91999999999999</v>
      </c>
    </row>
    <row r="2516" spans="2:9" x14ac:dyDescent="0.3">
      <c r="E2516" t="s">
        <v>16</v>
      </c>
      <c r="F2516">
        <v>2</v>
      </c>
      <c r="G2516">
        <v>0.2</v>
      </c>
      <c r="H2516" s="2">
        <v>3.0043999999999995</v>
      </c>
      <c r="I2516" s="2">
        <v>8.2880000000000003</v>
      </c>
    </row>
    <row r="2517" spans="2:9" x14ac:dyDescent="0.3">
      <c r="B2517" t="s">
        <v>274</v>
      </c>
      <c r="C2517" t="s">
        <v>7</v>
      </c>
      <c r="D2517" t="s">
        <v>8</v>
      </c>
      <c r="E2517" t="s">
        <v>16</v>
      </c>
      <c r="F2517">
        <v>4</v>
      </c>
      <c r="G2517">
        <v>0</v>
      </c>
      <c r="H2517" s="2">
        <v>23.086399999999998</v>
      </c>
      <c r="I2517" s="2">
        <v>49.12</v>
      </c>
    </row>
    <row r="2518" spans="2:9" x14ac:dyDescent="0.3">
      <c r="C2518" t="s">
        <v>22</v>
      </c>
      <c r="D2518" t="s">
        <v>8</v>
      </c>
      <c r="E2518" t="s">
        <v>21</v>
      </c>
      <c r="F2518">
        <v>3</v>
      </c>
      <c r="G2518">
        <v>0</v>
      </c>
      <c r="H2518" s="2">
        <v>17.375399999999999</v>
      </c>
      <c r="I2518" s="2">
        <v>41.37</v>
      </c>
    </row>
    <row r="2519" spans="2:9" x14ac:dyDescent="0.3">
      <c r="D2519" t="s">
        <v>17</v>
      </c>
      <c r="E2519" t="s">
        <v>19</v>
      </c>
      <c r="F2519">
        <v>2</v>
      </c>
      <c r="G2519">
        <v>0</v>
      </c>
      <c r="H2519" s="2">
        <v>3.4775999999999998</v>
      </c>
      <c r="I2519" s="2">
        <v>8.2799999999999994</v>
      </c>
    </row>
    <row r="2520" spans="2:9" x14ac:dyDescent="0.3">
      <c r="B2520" t="s">
        <v>275</v>
      </c>
      <c r="C2520" t="s">
        <v>7</v>
      </c>
      <c r="D2520" t="s">
        <v>8</v>
      </c>
      <c r="E2520" t="s">
        <v>21</v>
      </c>
      <c r="F2520">
        <v>4</v>
      </c>
      <c r="G2520">
        <v>0</v>
      </c>
      <c r="H2520" s="2">
        <v>29.145599999999995</v>
      </c>
      <c r="I2520" s="2">
        <v>80.959999999999994</v>
      </c>
    </row>
    <row r="2521" spans="2:9" x14ac:dyDescent="0.3">
      <c r="E2521" t="s">
        <v>16</v>
      </c>
      <c r="F2521">
        <v>4</v>
      </c>
      <c r="G2521">
        <v>0</v>
      </c>
      <c r="H2521" s="2">
        <v>12.441600000000001</v>
      </c>
      <c r="I2521" s="2">
        <v>25.92</v>
      </c>
    </row>
    <row r="2522" spans="2:9" x14ac:dyDescent="0.3">
      <c r="D2522" t="s">
        <v>15</v>
      </c>
      <c r="E2522" t="s">
        <v>16</v>
      </c>
      <c r="F2522">
        <v>7</v>
      </c>
      <c r="G2522">
        <v>0</v>
      </c>
      <c r="H2522" s="2">
        <v>64.816000000000003</v>
      </c>
      <c r="I2522" s="2">
        <v>130.28</v>
      </c>
    </row>
    <row r="2523" spans="2:9" x14ac:dyDescent="0.3">
      <c r="C2523" t="s">
        <v>22</v>
      </c>
      <c r="D2523" t="s">
        <v>8</v>
      </c>
      <c r="E2523" t="s">
        <v>12</v>
      </c>
      <c r="F2523">
        <v>5</v>
      </c>
      <c r="G2523">
        <v>0</v>
      </c>
      <c r="H2523" s="2">
        <v>18.820999999999994</v>
      </c>
      <c r="I2523" s="2">
        <v>64.900000000000006</v>
      </c>
    </row>
    <row r="2524" spans="2:9" x14ac:dyDescent="0.3">
      <c r="E2524" t="s">
        <v>20</v>
      </c>
      <c r="F2524">
        <v>17</v>
      </c>
      <c r="G2524">
        <v>0.60000000000000009</v>
      </c>
      <c r="H2524" s="2">
        <v>42.645399999999988</v>
      </c>
      <c r="I2524" s="2">
        <v>119.92</v>
      </c>
    </row>
    <row r="2525" spans="2:9" x14ac:dyDescent="0.3">
      <c r="E2525" t="s">
        <v>34</v>
      </c>
      <c r="F2525">
        <v>2</v>
      </c>
      <c r="G2525">
        <v>0</v>
      </c>
      <c r="H2525" s="2">
        <v>41.168399999999991</v>
      </c>
      <c r="I2525" s="2">
        <v>141.96</v>
      </c>
    </row>
    <row r="2526" spans="2:9" x14ac:dyDescent="0.3">
      <c r="E2526" t="s">
        <v>16</v>
      </c>
      <c r="F2526">
        <v>6</v>
      </c>
      <c r="G2526">
        <v>0</v>
      </c>
      <c r="H2526" s="2">
        <v>19.238399999999999</v>
      </c>
      <c r="I2526" s="2">
        <v>40.08</v>
      </c>
    </row>
    <row r="2527" spans="2:9" x14ac:dyDescent="0.3">
      <c r="E2527" t="s">
        <v>24</v>
      </c>
      <c r="F2527">
        <v>9</v>
      </c>
      <c r="G2527">
        <v>0.2</v>
      </c>
      <c r="H2527" s="2">
        <v>70.195499999999981</v>
      </c>
      <c r="I2527" s="2">
        <v>1123.1280000000002</v>
      </c>
    </row>
    <row r="2528" spans="2:9" x14ac:dyDescent="0.3">
      <c r="D2528" t="s">
        <v>15</v>
      </c>
      <c r="E2528" t="s">
        <v>12</v>
      </c>
      <c r="F2528">
        <v>4</v>
      </c>
      <c r="G2528">
        <v>0</v>
      </c>
      <c r="H2528" s="2">
        <v>8.3916000000000004</v>
      </c>
      <c r="I2528" s="2">
        <v>31.08</v>
      </c>
    </row>
    <row r="2529" spans="2:9" x14ac:dyDescent="0.3">
      <c r="D2529" t="s">
        <v>17</v>
      </c>
      <c r="E2529" t="s">
        <v>20</v>
      </c>
      <c r="F2529">
        <v>3</v>
      </c>
      <c r="G2529">
        <v>0.2</v>
      </c>
      <c r="H2529" s="2">
        <v>25.579799999999992</v>
      </c>
      <c r="I2529" s="2">
        <v>75.792000000000002</v>
      </c>
    </row>
    <row r="2530" spans="2:9" x14ac:dyDescent="0.3">
      <c r="B2530" t="s">
        <v>276</v>
      </c>
      <c r="C2530" t="s">
        <v>22</v>
      </c>
      <c r="D2530" t="s">
        <v>15</v>
      </c>
      <c r="E2530" t="s">
        <v>12</v>
      </c>
      <c r="F2530">
        <v>3</v>
      </c>
      <c r="G2530">
        <v>0</v>
      </c>
      <c r="H2530" s="2">
        <v>36.287699999999987</v>
      </c>
      <c r="I2530" s="2">
        <v>125.13</v>
      </c>
    </row>
    <row r="2531" spans="2:9" x14ac:dyDescent="0.3">
      <c r="E2531" t="s">
        <v>21</v>
      </c>
      <c r="F2531">
        <v>2</v>
      </c>
      <c r="G2531">
        <v>0</v>
      </c>
      <c r="H2531" s="2">
        <v>9.8856000000000002</v>
      </c>
      <c r="I2531" s="2">
        <v>27.46</v>
      </c>
    </row>
    <row r="2532" spans="2:9" x14ac:dyDescent="0.3">
      <c r="B2532" t="s">
        <v>277</v>
      </c>
      <c r="C2532" t="s">
        <v>11</v>
      </c>
      <c r="D2532" t="s">
        <v>8</v>
      </c>
      <c r="E2532" t="s">
        <v>20</v>
      </c>
      <c r="F2532">
        <v>6</v>
      </c>
      <c r="G2532">
        <v>0</v>
      </c>
      <c r="H2532" s="2">
        <v>16.955999999999996</v>
      </c>
      <c r="I2532" s="2">
        <v>37.68</v>
      </c>
    </row>
    <row r="2533" spans="2:9" x14ac:dyDescent="0.3">
      <c r="D2533" t="s">
        <v>15</v>
      </c>
      <c r="E2533" t="s">
        <v>19</v>
      </c>
      <c r="F2533">
        <v>2</v>
      </c>
      <c r="G2533">
        <v>0</v>
      </c>
      <c r="H2533" s="2">
        <v>3.7200000000000006</v>
      </c>
      <c r="I2533" s="2">
        <v>14.88</v>
      </c>
    </row>
    <row r="2534" spans="2:9" x14ac:dyDescent="0.3">
      <c r="C2534" t="s">
        <v>27</v>
      </c>
      <c r="D2534" t="s">
        <v>15</v>
      </c>
      <c r="E2534" t="s">
        <v>24</v>
      </c>
      <c r="F2534">
        <v>5</v>
      </c>
      <c r="G2534">
        <v>0</v>
      </c>
      <c r="H2534" s="2">
        <v>241.10939999999999</v>
      </c>
      <c r="I2534" s="2">
        <v>829.82999999999993</v>
      </c>
    </row>
    <row r="2535" spans="2:9" x14ac:dyDescent="0.3">
      <c r="D2535" t="s">
        <v>17</v>
      </c>
      <c r="E2535" t="s">
        <v>20</v>
      </c>
      <c r="F2535">
        <v>3</v>
      </c>
      <c r="G2535">
        <v>0</v>
      </c>
      <c r="H2535" s="2">
        <v>5.1551999999999998</v>
      </c>
      <c r="I2535" s="2">
        <v>10.74</v>
      </c>
    </row>
    <row r="2536" spans="2:9" x14ac:dyDescent="0.3">
      <c r="C2536" t="s">
        <v>7</v>
      </c>
      <c r="D2536" t="s">
        <v>8</v>
      </c>
      <c r="E2536" t="s">
        <v>23</v>
      </c>
      <c r="F2536">
        <v>9</v>
      </c>
      <c r="G2536">
        <v>0</v>
      </c>
      <c r="H2536" s="2">
        <v>221.20920000000001</v>
      </c>
      <c r="I2536" s="2">
        <v>548.88</v>
      </c>
    </row>
    <row r="2537" spans="2:9" x14ac:dyDescent="0.3">
      <c r="E2537" t="s">
        <v>12</v>
      </c>
      <c r="F2537">
        <v>7</v>
      </c>
      <c r="G2537">
        <v>0</v>
      </c>
      <c r="H2537" s="2">
        <v>38.171799999999983</v>
      </c>
      <c r="I2537" s="2">
        <v>133.67000000000002</v>
      </c>
    </row>
    <row r="2538" spans="2:9" x14ac:dyDescent="0.3">
      <c r="E2538" t="s">
        <v>19</v>
      </c>
      <c r="F2538">
        <v>8</v>
      </c>
      <c r="G2538">
        <v>0</v>
      </c>
      <c r="H2538" s="2">
        <v>16.811999999999998</v>
      </c>
      <c r="I2538" s="2">
        <v>50.58</v>
      </c>
    </row>
    <row r="2539" spans="2:9" x14ac:dyDescent="0.3">
      <c r="E2539" t="s">
        <v>20</v>
      </c>
      <c r="F2539">
        <v>7</v>
      </c>
      <c r="G2539">
        <v>0</v>
      </c>
      <c r="H2539" s="2">
        <v>210.49419999999998</v>
      </c>
      <c r="I2539" s="2">
        <v>447.85999999999996</v>
      </c>
    </row>
    <row r="2540" spans="2:9" x14ac:dyDescent="0.3">
      <c r="E2540" t="s">
        <v>46</v>
      </c>
      <c r="F2540">
        <v>2</v>
      </c>
      <c r="G2540">
        <v>0</v>
      </c>
      <c r="H2540" s="2">
        <v>22.653000000000006</v>
      </c>
      <c r="I2540" s="2">
        <v>83.9</v>
      </c>
    </row>
    <row r="2541" spans="2:9" x14ac:dyDescent="0.3">
      <c r="C2541" t="s">
        <v>22</v>
      </c>
      <c r="D2541" t="s">
        <v>8</v>
      </c>
      <c r="E2541" t="s">
        <v>12</v>
      </c>
      <c r="F2541">
        <v>9</v>
      </c>
      <c r="G2541">
        <v>0</v>
      </c>
      <c r="H2541" s="2">
        <v>166.06979999999999</v>
      </c>
      <c r="I2541" s="2">
        <v>638.73</v>
      </c>
    </row>
    <row r="2542" spans="2:9" x14ac:dyDescent="0.3">
      <c r="E2542" t="s">
        <v>19</v>
      </c>
      <c r="F2542">
        <v>3</v>
      </c>
      <c r="G2542">
        <v>0</v>
      </c>
      <c r="H2542" s="2">
        <v>2.5055999999999998</v>
      </c>
      <c r="I2542" s="2">
        <v>8.64</v>
      </c>
    </row>
    <row r="2543" spans="2:9" x14ac:dyDescent="0.3">
      <c r="E2543" t="s">
        <v>20</v>
      </c>
      <c r="F2543">
        <v>3</v>
      </c>
      <c r="G2543">
        <v>0</v>
      </c>
      <c r="H2543" s="2">
        <v>7.9085999999999999</v>
      </c>
      <c r="I2543" s="2">
        <v>16.14</v>
      </c>
    </row>
    <row r="2544" spans="2:9" x14ac:dyDescent="0.3">
      <c r="E2544" t="s">
        <v>33</v>
      </c>
      <c r="F2544">
        <v>4</v>
      </c>
      <c r="G2544">
        <v>0</v>
      </c>
      <c r="H2544" s="2">
        <v>244.24959999999999</v>
      </c>
      <c r="I2544" s="2">
        <v>872.32</v>
      </c>
    </row>
    <row r="2545" spans="4:9" x14ac:dyDescent="0.3">
      <c r="E2545" t="s">
        <v>18</v>
      </c>
      <c r="F2545">
        <v>5</v>
      </c>
      <c r="G2545">
        <v>0</v>
      </c>
      <c r="H2545" s="2">
        <v>10.434000000000001</v>
      </c>
      <c r="I2545" s="2">
        <v>22.200000000000003</v>
      </c>
    </row>
    <row r="2546" spans="4:9" x14ac:dyDescent="0.3">
      <c r="E2546" t="s">
        <v>43</v>
      </c>
      <c r="F2546">
        <v>5</v>
      </c>
      <c r="G2546">
        <v>0</v>
      </c>
      <c r="H2546" s="2">
        <v>57.909500000000001</v>
      </c>
      <c r="I2546" s="2">
        <v>125.81</v>
      </c>
    </row>
    <row r="2547" spans="4:9" x14ac:dyDescent="0.3">
      <c r="E2547" t="s">
        <v>16</v>
      </c>
      <c r="F2547">
        <v>9</v>
      </c>
      <c r="G2547">
        <v>0</v>
      </c>
      <c r="H2547" s="2">
        <v>25.477200000000003</v>
      </c>
      <c r="I2547" s="2">
        <v>55.320000000000007</v>
      </c>
    </row>
    <row r="2548" spans="4:9" x14ac:dyDescent="0.3">
      <c r="E2548" t="s">
        <v>25</v>
      </c>
      <c r="F2548">
        <v>2</v>
      </c>
      <c r="G2548">
        <v>0.3</v>
      </c>
      <c r="H2548" s="2">
        <v>-38.849999999999994</v>
      </c>
      <c r="I2548" s="2">
        <v>194.25</v>
      </c>
    </row>
    <row r="2549" spans="4:9" x14ac:dyDescent="0.3">
      <c r="D2549" t="s">
        <v>15</v>
      </c>
      <c r="E2549" t="s">
        <v>19</v>
      </c>
      <c r="F2549">
        <v>2</v>
      </c>
      <c r="G2549">
        <v>0</v>
      </c>
      <c r="H2549" s="2">
        <v>2.0039999999999996</v>
      </c>
      <c r="I2549" s="2">
        <v>6.68</v>
      </c>
    </row>
    <row r="2550" spans="4:9" x14ac:dyDescent="0.3">
      <c r="E2550" t="s">
        <v>20</v>
      </c>
      <c r="F2550">
        <v>1</v>
      </c>
      <c r="G2550">
        <v>0</v>
      </c>
      <c r="H2550" s="2">
        <v>182.3553</v>
      </c>
      <c r="I2550" s="2">
        <v>387.99</v>
      </c>
    </row>
    <row r="2551" spans="4:9" x14ac:dyDescent="0.3">
      <c r="E2551" t="s">
        <v>21</v>
      </c>
      <c r="F2551">
        <v>15</v>
      </c>
      <c r="G2551">
        <v>0</v>
      </c>
      <c r="H2551" s="2">
        <v>42.134600000000006</v>
      </c>
      <c r="I2551" s="2">
        <v>121.74000000000001</v>
      </c>
    </row>
    <row r="2552" spans="4:9" x14ac:dyDescent="0.3">
      <c r="E2552" t="s">
        <v>16</v>
      </c>
      <c r="F2552">
        <v>1</v>
      </c>
      <c r="G2552">
        <v>0</v>
      </c>
      <c r="H2552" s="2">
        <v>3.1104000000000003</v>
      </c>
      <c r="I2552" s="2">
        <v>6.48</v>
      </c>
    </row>
    <row r="2553" spans="4:9" x14ac:dyDescent="0.3">
      <c r="E2553" t="s">
        <v>24</v>
      </c>
      <c r="F2553">
        <v>10</v>
      </c>
      <c r="G2553">
        <v>0</v>
      </c>
      <c r="H2553" s="2">
        <v>58.66</v>
      </c>
      <c r="I2553" s="2">
        <v>209.5</v>
      </c>
    </row>
    <row r="2554" spans="4:9" x14ac:dyDescent="0.3">
      <c r="E2554" t="s">
        <v>14</v>
      </c>
      <c r="F2554">
        <v>6</v>
      </c>
      <c r="G2554">
        <v>0</v>
      </c>
      <c r="H2554" s="2">
        <v>20.992200000000004</v>
      </c>
      <c r="I2554" s="2">
        <v>78.960000000000008</v>
      </c>
    </row>
    <row r="2555" spans="4:9" x14ac:dyDescent="0.3">
      <c r="D2555" t="s">
        <v>17</v>
      </c>
      <c r="E2555" t="s">
        <v>12</v>
      </c>
      <c r="F2555">
        <v>6</v>
      </c>
      <c r="G2555">
        <v>0</v>
      </c>
      <c r="H2555" s="2">
        <v>68.846399999999988</v>
      </c>
      <c r="I2555" s="2">
        <v>245.88</v>
      </c>
    </row>
    <row r="2556" spans="4:9" x14ac:dyDescent="0.3">
      <c r="E2556" t="s">
        <v>19</v>
      </c>
      <c r="F2556">
        <v>2</v>
      </c>
      <c r="G2556">
        <v>0</v>
      </c>
      <c r="H2556" s="2">
        <v>16.268800000000002</v>
      </c>
      <c r="I2556" s="2">
        <v>39.68</v>
      </c>
    </row>
    <row r="2557" spans="4:9" x14ac:dyDescent="0.3">
      <c r="E2557" t="s">
        <v>20</v>
      </c>
      <c r="F2557">
        <v>12</v>
      </c>
      <c r="G2557">
        <v>0</v>
      </c>
      <c r="H2557" s="2">
        <v>269.80340000000001</v>
      </c>
      <c r="I2557" s="2">
        <v>552.76</v>
      </c>
    </row>
    <row r="2558" spans="4:9" x14ac:dyDescent="0.3">
      <c r="E2558" t="s">
        <v>45</v>
      </c>
      <c r="F2558">
        <v>2</v>
      </c>
      <c r="G2558">
        <v>0</v>
      </c>
      <c r="H2558" s="2">
        <v>467.99220000000003</v>
      </c>
      <c r="I2558" s="2">
        <v>1199.98</v>
      </c>
    </row>
    <row r="2559" spans="4:9" x14ac:dyDescent="0.3">
      <c r="E2559" t="s">
        <v>18</v>
      </c>
      <c r="F2559">
        <v>6</v>
      </c>
      <c r="G2559">
        <v>0</v>
      </c>
      <c r="H2559" s="2">
        <v>8.121599999999999</v>
      </c>
      <c r="I2559" s="2">
        <v>17.28</v>
      </c>
    </row>
    <row r="2560" spans="4:9" x14ac:dyDescent="0.3">
      <c r="E2560" t="s">
        <v>43</v>
      </c>
      <c r="F2560">
        <v>5</v>
      </c>
      <c r="G2560">
        <v>0</v>
      </c>
      <c r="H2560" s="2">
        <v>24.84</v>
      </c>
      <c r="I2560" s="2">
        <v>51.75</v>
      </c>
    </row>
    <row r="2561" spans="2:9" x14ac:dyDescent="0.3">
      <c r="E2561" t="s">
        <v>16</v>
      </c>
      <c r="F2561">
        <v>3</v>
      </c>
      <c r="G2561">
        <v>0</v>
      </c>
      <c r="H2561" s="2">
        <v>8.7906000000000013</v>
      </c>
      <c r="I2561" s="2">
        <v>17.940000000000001</v>
      </c>
    </row>
    <row r="2562" spans="2:9" x14ac:dyDescent="0.3">
      <c r="E2562" t="s">
        <v>14</v>
      </c>
      <c r="F2562">
        <v>1</v>
      </c>
      <c r="G2562">
        <v>0</v>
      </c>
      <c r="H2562" s="2">
        <v>2.2155000000000058</v>
      </c>
      <c r="I2562" s="2">
        <v>73.849999999999994</v>
      </c>
    </row>
    <row r="2563" spans="2:9" x14ac:dyDescent="0.3">
      <c r="E2563" t="s">
        <v>9</v>
      </c>
      <c r="F2563">
        <v>3</v>
      </c>
      <c r="G2563">
        <v>0</v>
      </c>
      <c r="H2563" s="2">
        <v>6.6846000000000005</v>
      </c>
      <c r="I2563" s="2">
        <v>25.71</v>
      </c>
    </row>
    <row r="2564" spans="2:9" x14ac:dyDescent="0.3">
      <c r="E2564" t="s">
        <v>25</v>
      </c>
      <c r="F2564">
        <v>2</v>
      </c>
      <c r="G2564">
        <v>0.3</v>
      </c>
      <c r="H2564" s="2">
        <v>-52.658199999999965</v>
      </c>
      <c r="I2564" s="2">
        <v>526.58199999999999</v>
      </c>
    </row>
    <row r="2565" spans="2:9" x14ac:dyDescent="0.3">
      <c r="B2565" t="s">
        <v>278</v>
      </c>
      <c r="C2565" t="s">
        <v>27</v>
      </c>
      <c r="D2565" t="s">
        <v>8</v>
      </c>
      <c r="E2565" t="s">
        <v>14</v>
      </c>
      <c r="F2565">
        <v>3</v>
      </c>
      <c r="G2565">
        <v>0</v>
      </c>
      <c r="H2565" s="2">
        <v>23.316299999999984</v>
      </c>
      <c r="I2565" s="2">
        <v>333.09000000000003</v>
      </c>
    </row>
    <row r="2566" spans="2:9" x14ac:dyDescent="0.3">
      <c r="E2566" t="s">
        <v>25</v>
      </c>
      <c r="F2566">
        <v>2</v>
      </c>
      <c r="G2566">
        <v>0</v>
      </c>
      <c r="H2566" s="2">
        <v>54.775599999999997</v>
      </c>
      <c r="I2566" s="2">
        <v>248.98</v>
      </c>
    </row>
    <row r="2567" spans="2:9" x14ac:dyDescent="0.3">
      <c r="C2567" t="s">
        <v>22</v>
      </c>
      <c r="D2567" t="s">
        <v>8</v>
      </c>
      <c r="E2567" t="s">
        <v>12</v>
      </c>
      <c r="F2567">
        <v>6</v>
      </c>
      <c r="G2567">
        <v>0</v>
      </c>
      <c r="H2567" s="2">
        <v>155.72699999999998</v>
      </c>
      <c r="I2567" s="2">
        <v>471.90000000000003</v>
      </c>
    </row>
    <row r="2568" spans="2:9" x14ac:dyDescent="0.3">
      <c r="E2568" t="s">
        <v>19</v>
      </c>
      <c r="F2568">
        <v>2</v>
      </c>
      <c r="G2568">
        <v>0</v>
      </c>
      <c r="H2568" s="2">
        <v>1.6896</v>
      </c>
      <c r="I2568" s="2">
        <v>3.52</v>
      </c>
    </row>
    <row r="2569" spans="2:9" x14ac:dyDescent="0.3">
      <c r="B2569" t="s">
        <v>279</v>
      </c>
      <c r="C2569" t="s">
        <v>7</v>
      </c>
      <c r="D2569" t="s">
        <v>8</v>
      </c>
      <c r="E2569" t="s">
        <v>18</v>
      </c>
      <c r="F2569">
        <v>4</v>
      </c>
      <c r="G2569">
        <v>0</v>
      </c>
      <c r="H2569" s="2">
        <v>2.3311999999999999</v>
      </c>
      <c r="I2569" s="2">
        <v>4.96</v>
      </c>
    </row>
    <row r="2570" spans="2:9" x14ac:dyDescent="0.3">
      <c r="B2570" t="s">
        <v>280</v>
      </c>
      <c r="C2570" t="s">
        <v>7</v>
      </c>
      <c r="D2570" t="s">
        <v>8</v>
      </c>
      <c r="E2570" t="s">
        <v>19</v>
      </c>
      <c r="F2570">
        <v>7</v>
      </c>
      <c r="G2570">
        <v>0.2</v>
      </c>
      <c r="H2570" s="2">
        <v>5.8750999999999962</v>
      </c>
      <c r="I2570" s="2">
        <v>67.144000000000005</v>
      </c>
    </row>
    <row r="2571" spans="2:9" x14ac:dyDescent="0.3">
      <c r="E2571" t="s">
        <v>33</v>
      </c>
      <c r="F2571">
        <v>3</v>
      </c>
      <c r="G2571">
        <v>0.3</v>
      </c>
      <c r="H2571" s="2">
        <v>-32.664599999999993</v>
      </c>
      <c r="I2571" s="2">
        <v>254.05799999999999</v>
      </c>
    </row>
    <row r="2572" spans="2:9" x14ac:dyDescent="0.3">
      <c r="C2572" t="s">
        <v>22</v>
      </c>
      <c r="D2572" t="s">
        <v>17</v>
      </c>
      <c r="E2572" t="s">
        <v>19</v>
      </c>
      <c r="F2572">
        <v>7</v>
      </c>
      <c r="G2572">
        <v>0.2</v>
      </c>
      <c r="H2572" s="2">
        <v>3.9003999999999985</v>
      </c>
      <c r="I2572" s="2">
        <v>22.288</v>
      </c>
    </row>
    <row r="2573" spans="2:9" x14ac:dyDescent="0.3">
      <c r="E2573" t="s">
        <v>33</v>
      </c>
      <c r="F2573">
        <v>3</v>
      </c>
      <c r="G2573">
        <v>0.3</v>
      </c>
      <c r="H2573" s="2">
        <v>-14.638799999999947</v>
      </c>
      <c r="I2573" s="2">
        <v>512.35799999999995</v>
      </c>
    </row>
    <row r="2574" spans="2:9" x14ac:dyDescent="0.3">
      <c r="E2574" t="s">
        <v>18</v>
      </c>
      <c r="F2574">
        <v>2</v>
      </c>
      <c r="G2574">
        <v>0.2</v>
      </c>
      <c r="H2574" s="2">
        <v>0.56679999999999997</v>
      </c>
      <c r="I2574" s="2">
        <v>3.4880000000000004</v>
      </c>
    </row>
    <row r="2575" spans="2:9" x14ac:dyDescent="0.3">
      <c r="E2575" t="s">
        <v>16</v>
      </c>
      <c r="F2575">
        <v>3</v>
      </c>
      <c r="G2575">
        <v>0.2</v>
      </c>
      <c r="H2575" s="2">
        <v>5.6111999999999993</v>
      </c>
      <c r="I2575" s="2">
        <v>16.032</v>
      </c>
    </row>
    <row r="2576" spans="2:9" x14ac:dyDescent="0.3">
      <c r="B2576" t="s">
        <v>281</v>
      </c>
      <c r="C2576" t="s">
        <v>22</v>
      </c>
      <c r="D2576" t="s">
        <v>8</v>
      </c>
      <c r="E2576" t="s">
        <v>16</v>
      </c>
      <c r="F2576">
        <v>5</v>
      </c>
      <c r="G2576">
        <v>0.2</v>
      </c>
      <c r="H2576" s="2">
        <v>59.435499999999998</v>
      </c>
      <c r="I2576" s="2">
        <v>163.96</v>
      </c>
    </row>
    <row r="2577" spans="2:9" x14ac:dyDescent="0.3">
      <c r="E2577" t="s">
        <v>14</v>
      </c>
      <c r="F2577">
        <v>6</v>
      </c>
      <c r="G2577">
        <v>0.2</v>
      </c>
      <c r="H2577" s="2">
        <v>6.3719999999999999</v>
      </c>
      <c r="I2577" s="2">
        <v>84.960000000000008</v>
      </c>
    </row>
    <row r="2578" spans="2:9" x14ac:dyDescent="0.3">
      <c r="D2578" t="s">
        <v>17</v>
      </c>
      <c r="E2578" t="s">
        <v>24</v>
      </c>
      <c r="F2578">
        <v>3</v>
      </c>
      <c r="G2578">
        <v>0.2</v>
      </c>
      <c r="H2578" s="2">
        <v>17.998199999999997</v>
      </c>
      <c r="I2578" s="2">
        <v>239.976</v>
      </c>
    </row>
    <row r="2579" spans="2:9" x14ac:dyDescent="0.3">
      <c r="B2579" t="s">
        <v>282</v>
      </c>
      <c r="C2579" t="s">
        <v>11</v>
      </c>
      <c r="D2579" t="s">
        <v>17</v>
      </c>
      <c r="E2579" t="s">
        <v>45</v>
      </c>
      <c r="F2579">
        <v>5</v>
      </c>
      <c r="G2579">
        <v>0</v>
      </c>
      <c r="H2579" s="2">
        <v>449.9849999999999</v>
      </c>
      <c r="I2579" s="2">
        <v>1499.95</v>
      </c>
    </row>
    <row r="2580" spans="2:9" x14ac:dyDescent="0.3">
      <c r="C2580" t="s">
        <v>22</v>
      </c>
      <c r="D2580" t="s">
        <v>15</v>
      </c>
      <c r="E2580" t="s">
        <v>24</v>
      </c>
      <c r="F2580">
        <v>3</v>
      </c>
      <c r="G2580">
        <v>0.2</v>
      </c>
      <c r="H2580" s="2">
        <v>1.6776</v>
      </c>
      <c r="I2580" s="2">
        <v>16.776000000000003</v>
      </c>
    </row>
    <row r="2581" spans="2:9" x14ac:dyDescent="0.3">
      <c r="B2581" t="s">
        <v>283</v>
      </c>
      <c r="C2581" t="s">
        <v>22</v>
      </c>
      <c r="D2581" t="s">
        <v>8</v>
      </c>
      <c r="E2581" t="s">
        <v>43</v>
      </c>
      <c r="F2581">
        <v>1</v>
      </c>
      <c r="G2581">
        <v>0</v>
      </c>
      <c r="H2581" s="2">
        <v>1.512</v>
      </c>
      <c r="I2581" s="2">
        <v>3.15</v>
      </c>
    </row>
    <row r="2582" spans="2:9" x14ac:dyDescent="0.3">
      <c r="E2582" t="s">
        <v>16</v>
      </c>
      <c r="F2582">
        <v>4</v>
      </c>
      <c r="G2582">
        <v>0</v>
      </c>
      <c r="H2582" s="2">
        <v>10.223999999999998</v>
      </c>
      <c r="I2582" s="2">
        <v>22.72</v>
      </c>
    </row>
    <row r="2583" spans="2:9" x14ac:dyDescent="0.3">
      <c r="D2583" t="s">
        <v>15</v>
      </c>
      <c r="E2583" t="s">
        <v>20</v>
      </c>
      <c r="F2583">
        <v>7</v>
      </c>
      <c r="G2583">
        <v>0</v>
      </c>
      <c r="H2583" s="2">
        <v>37.443100000000001</v>
      </c>
      <c r="I2583" s="2">
        <v>75.77</v>
      </c>
    </row>
    <row r="2584" spans="2:9" x14ac:dyDescent="0.3">
      <c r="E2584" t="s">
        <v>16</v>
      </c>
      <c r="F2584">
        <v>3</v>
      </c>
      <c r="G2584">
        <v>0</v>
      </c>
      <c r="H2584" s="2">
        <v>5.1464999999999996</v>
      </c>
      <c r="I2584" s="2">
        <v>10.95</v>
      </c>
    </row>
    <row r="2585" spans="2:9" x14ac:dyDescent="0.3">
      <c r="E2585" t="s">
        <v>14</v>
      </c>
      <c r="F2585">
        <v>5</v>
      </c>
      <c r="G2585">
        <v>0</v>
      </c>
      <c r="H2585" s="2">
        <v>25.175999999999998</v>
      </c>
      <c r="I2585" s="2">
        <v>104.9</v>
      </c>
    </row>
    <row r="2586" spans="2:9" x14ac:dyDescent="0.3">
      <c r="B2586" t="s">
        <v>284</v>
      </c>
      <c r="C2586" t="s">
        <v>22</v>
      </c>
      <c r="D2586" t="s">
        <v>8</v>
      </c>
      <c r="E2586" t="s">
        <v>20</v>
      </c>
      <c r="F2586">
        <v>1</v>
      </c>
      <c r="G2586">
        <v>0.2</v>
      </c>
      <c r="H2586" s="2">
        <v>3.3543999999999996</v>
      </c>
      <c r="I2586" s="2">
        <v>9.5840000000000014</v>
      </c>
    </row>
    <row r="2587" spans="2:9" x14ac:dyDescent="0.3">
      <c r="D2587" t="s">
        <v>17</v>
      </c>
      <c r="E2587" t="s">
        <v>23</v>
      </c>
      <c r="F2587">
        <v>2</v>
      </c>
      <c r="G2587">
        <v>0</v>
      </c>
      <c r="H2587" s="2">
        <v>14.955599999999997</v>
      </c>
      <c r="I2587" s="2">
        <v>67.98</v>
      </c>
    </row>
    <row r="2588" spans="2:9" x14ac:dyDescent="0.3">
      <c r="E2588" t="s">
        <v>20</v>
      </c>
      <c r="F2588">
        <v>4</v>
      </c>
      <c r="G2588">
        <v>0</v>
      </c>
      <c r="H2588" s="2">
        <v>17.310199999999998</v>
      </c>
      <c r="I2588" s="2">
        <v>38.1</v>
      </c>
    </row>
    <row r="2589" spans="2:9" x14ac:dyDescent="0.3">
      <c r="B2589" t="s">
        <v>285</v>
      </c>
      <c r="C2589" t="s">
        <v>11</v>
      </c>
      <c r="D2589" t="s">
        <v>15</v>
      </c>
      <c r="E2589" t="s">
        <v>12</v>
      </c>
      <c r="F2589">
        <v>6</v>
      </c>
      <c r="G2589">
        <v>0.1</v>
      </c>
      <c r="H2589" s="2">
        <v>29.7408</v>
      </c>
      <c r="I2589" s="2">
        <v>167.292</v>
      </c>
    </row>
    <row r="2590" spans="2:9" x14ac:dyDescent="0.3">
      <c r="C2590" t="s">
        <v>22</v>
      </c>
      <c r="D2590" t="s">
        <v>15</v>
      </c>
      <c r="E2590" t="s">
        <v>19</v>
      </c>
      <c r="F2590">
        <v>1</v>
      </c>
      <c r="G2590">
        <v>0</v>
      </c>
      <c r="H2590" s="2">
        <v>7.5370999999999988</v>
      </c>
      <c r="I2590" s="2">
        <v>25.99</v>
      </c>
    </row>
    <row r="2591" spans="2:9" x14ac:dyDescent="0.3">
      <c r="E2591" t="s">
        <v>34</v>
      </c>
      <c r="F2591">
        <v>4</v>
      </c>
      <c r="G2591">
        <v>0</v>
      </c>
      <c r="H2591" s="2">
        <v>31.091200000000015</v>
      </c>
      <c r="I2591" s="2">
        <v>194.32</v>
      </c>
    </row>
    <row r="2592" spans="2:9" x14ac:dyDescent="0.3">
      <c r="B2592" t="s">
        <v>286</v>
      </c>
      <c r="C2592" t="s">
        <v>22</v>
      </c>
      <c r="D2592" t="s">
        <v>15</v>
      </c>
      <c r="E2592" t="s">
        <v>23</v>
      </c>
      <c r="F2592">
        <v>7</v>
      </c>
      <c r="G2592">
        <v>0</v>
      </c>
      <c r="H2592" s="2">
        <v>49.604800000000012</v>
      </c>
      <c r="I2592" s="2">
        <v>115.36</v>
      </c>
    </row>
    <row r="2593" spans="2:9" x14ac:dyDescent="0.3">
      <c r="B2593" t="s">
        <v>287</v>
      </c>
      <c r="C2593" t="s">
        <v>22</v>
      </c>
      <c r="D2593" t="s">
        <v>15</v>
      </c>
      <c r="E2593" t="s">
        <v>16</v>
      </c>
      <c r="F2593">
        <v>1</v>
      </c>
      <c r="G2593">
        <v>0</v>
      </c>
      <c r="H2593" s="2">
        <v>26.630399999999998</v>
      </c>
      <c r="I2593" s="2">
        <v>55.48</v>
      </c>
    </row>
    <row r="2594" spans="2:9" x14ac:dyDescent="0.3">
      <c r="B2594" t="s">
        <v>288</v>
      </c>
      <c r="C2594" t="s">
        <v>11</v>
      </c>
      <c r="D2594" t="s">
        <v>8</v>
      </c>
      <c r="E2594" t="s">
        <v>23</v>
      </c>
      <c r="F2594">
        <v>12</v>
      </c>
      <c r="G2594">
        <v>0</v>
      </c>
      <c r="H2594" s="2">
        <v>210.02430000000004</v>
      </c>
      <c r="I2594" s="2">
        <v>530.16</v>
      </c>
    </row>
    <row r="2595" spans="2:9" x14ac:dyDescent="0.3">
      <c r="E2595" t="s">
        <v>20</v>
      </c>
      <c r="F2595">
        <v>6</v>
      </c>
      <c r="G2595">
        <v>0</v>
      </c>
      <c r="H2595" s="2">
        <v>36.388799999999996</v>
      </c>
      <c r="I2595" s="2">
        <v>75.81</v>
      </c>
    </row>
    <row r="2596" spans="2:9" x14ac:dyDescent="0.3">
      <c r="E2596" t="s">
        <v>16</v>
      </c>
      <c r="F2596">
        <v>5</v>
      </c>
      <c r="G2596">
        <v>0</v>
      </c>
      <c r="H2596" s="2">
        <v>34.392600000000002</v>
      </c>
      <c r="I2596" s="2">
        <v>72.900000000000006</v>
      </c>
    </row>
    <row r="2597" spans="2:9" x14ac:dyDescent="0.3">
      <c r="C2597" t="s">
        <v>7</v>
      </c>
      <c r="D2597" t="s">
        <v>8</v>
      </c>
      <c r="E2597" t="s">
        <v>19</v>
      </c>
      <c r="F2597">
        <v>2</v>
      </c>
      <c r="G2597">
        <v>0</v>
      </c>
      <c r="H2597" s="2">
        <v>4.3524000000000003</v>
      </c>
      <c r="I2597" s="2">
        <v>11.16</v>
      </c>
    </row>
    <row r="2598" spans="2:9" x14ac:dyDescent="0.3">
      <c r="E2598" t="s">
        <v>16</v>
      </c>
      <c r="F2598">
        <v>5</v>
      </c>
      <c r="G2598">
        <v>0</v>
      </c>
      <c r="H2598" s="2">
        <v>63.192</v>
      </c>
      <c r="I2598" s="2">
        <v>129.36000000000001</v>
      </c>
    </row>
    <row r="2599" spans="2:9" x14ac:dyDescent="0.3">
      <c r="D2599" t="s">
        <v>15</v>
      </c>
      <c r="E2599" t="s">
        <v>38</v>
      </c>
      <c r="F2599">
        <v>3</v>
      </c>
      <c r="G2599">
        <v>0</v>
      </c>
      <c r="H2599" s="2">
        <v>85.981799999999993</v>
      </c>
      <c r="I2599" s="2">
        <v>182.94</v>
      </c>
    </row>
    <row r="2600" spans="2:9" x14ac:dyDescent="0.3">
      <c r="E2600" t="s">
        <v>16</v>
      </c>
      <c r="F2600">
        <v>2</v>
      </c>
      <c r="G2600">
        <v>0</v>
      </c>
      <c r="H2600" s="2">
        <v>20.6816</v>
      </c>
      <c r="I2600" s="2">
        <v>44.96</v>
      </c>
    </row>
    <row r="2601" spans="2:9" x14ac:dyDescent="0.3">
      <c r="E2601" t="s">
        <v>24</v>
      </c>
      <c r="F2601">
        <v>3</v>
      </c>
      <c r="G2601">
        <v>0</v>
      </c>
      <c r="H2601" s="2">
        <v>148.49099999999996</v>
      </c>
      <c r="I2601" s="2">
        <v>494.97</v>
      </c>
    </row>
    <row r="2602" spans="2:9" x14ac:dyDescent="0.3">
      <c r="E2602" t="s">
        <v>14</v>
      </c>
      <c r="F2602">
        <v>8</v>
      </c>
      <c r="G2602">
        <v>0</v>
      </c>
      <c r="H2602" s="2">
        <v>32.089599999999976</v>
      </c>
      <c r="I2602" s="2">
        <v>430</v>
      </c>
    </row>
    <row r="2603" spans="2:9" x14ac:dyDescent="0.3">
      <c r="C2603" t="s">
        <v>22</v>
      </c>
      <c r="D2603" t="s">
        <v>8</v>
      </c>
      <c r="E2603" t="s">
        <v>19</v>
      </c>
      <c r="F2603">
        <v>4</v>
      </c>
      <c r="G2603">
        <v>0</v>
      </c>
      <c r="H2603" s="2">
        <v>4.1415999999999986</v>
      </c>
      <c r="I2603" s="2">
        <v>13.36</v>
      </c>
    </row>
    <row r="2604" spans="2:9" x14ac:dyDescent="0.3">
      <c r="E2604" t="s">
        <v>20</v>
      </c>
      <c r="F2604">
        <v>5</v>
      </c>
      <c r="G2604">
        <v>0</v>
      </c>
      <c r="H2604" s="2">
        <v>70.007999999999996</v>
      </c>
      <c r="I2604" s="2">
        <v>145.85000000000002</v>
      </c>
    </row>
    <row r="2605" spans="2:9" x14ac:dyDescent="0.3">
      <c r="E2605" t="s">
        <v>21</v>
      </c>
      <c r="F2605">
        <v>6</v>
      </c>
      <c r="G2605">
        <v>0</v>
      </c>
      <c r="H2605" s="2">
        <v>9.1020000000000021</v>
      </c>
      <c r="I2605" s="2">
        <v>22.200000000000003</v>
      </c>
    </row>
    <row r="2606" spans="2:9" x14ac:dyDescent="0.3">
      <c r="E2606" t="s">
        <v>16</v>
      </c>
      <c r="F2606">
        <v>2</v>
      </c>
      <c r="G2606">
        <v>0</v>
      </c>
      <c r="H2606" s="2">
        <v>18.781199999999998</v>
      </c>
      <c r="I2606" s="2">
        <v>39.96</v>
      </c>
    </row>
    <row r="2607" spans="2:9" x14ac:dyDescent="0.3">
      <c r="E2607" t="s">
        <v>24</v>
      </c>
      <c r="F2607">
        <v>7</v>
      </c>
      <c r="G2607">
        <v>0</v>
      </c>
      <c r="H2607" s="2">
        <v>229.30180000000001</v>
      </c>
      <c r="I2607" s="2">
        <v>881.93</v>
      </c>
    </row>
    <row r="2608" spans="2:9" x14ac:dyDescent="0.3">
      <c r="D2608" t="s">
        <v>15</v>
      </c>
      <c r="E2608" t="s">
        <v>23</v>
      </c>
      <c r="F2608">
        <v>4</v>
      </c>
      <c r="G2608">
        <v>0</v>
      </c>
      <c r="H2608" s="2">
        <v>122.38559999999998</v>
      </c>
      <c r="I2608" s="2">
        <v>339.96</v>
      </c>
    </row>
    <row r="2609" spans="2:9" x14ac:dyDescent="0.3">
      <c r="E2609" t="s">
        <v>20</v>
      </c>
      <c r="F2609">
        <v>4</v>
      </c>
      <c r="G2609">
        <v>0</v>
      </c>
      <c r="H2609" s="2">
        <v>8.2615999999999996</v>
      </c>
      <c r="I2609" s="2">
        <v>17.96</v>
      </c>
    </row>
    <row r="2610" spans="2:9" x14ac:dyDescent="0.3">
      <c r="E2610" t="s">
        <v>18</v>
      </c>
      <c r="F2610">
        <v>7</v>
      </c>
      <c r="G2610">
        <v>0</v>
      </c>
      <c r="H2610" s="2">
        <v>4.5611999999999995</v>
      </c>
      <c r="I2610" s="2">
        <v>12.67</v>
      </c>
    </row>
    <row r="2611" spans="2:9" x14ac:dyDescent="0.3">
      <c r="E2611" t="s">
        <v>16</v>
      </c>
      <c r="F2611">
        <v>5</v>
      </c>
      <c r="G2611">
        <v>0</v>
      </c>
      <c r="H2611" s="2">
        <v>52.531999999999996</v>
      </c>
      <c r="I2611" s="2">
        <v>114.2</v>
      </c>
    </row>
    <row r="2612" spans="2:9" x14ac:dyDescent="0.3">
      <c r="B2612" t="s">
        <v>289</v>
      </c>
      <c r="C2612" t="s">
        <v>7</v>
      </c>
      <c r="D2612" t="s">
        <v>8</v>
      </c>
      <c r="E2612" t="s">
        <v>34</v>
      </c>
      <c r="F2612">
        <v>1</v>
      </c>
      <c r="G2612">
        <v>0.7</v>
      </c>
      <c r="H2612" s="2">
        <v>-98.801799999999986</v>
      </c>
      <c r="I2612" s="2">
        <v>72.294000000000011</v>
      </c>
    </row>
    <row r="2613" spans="2:9" x14ac:dyDescent="0.3">
      <c r="B2613" t="s">
        <v>290</v>
      </c>
      <c r="C2613" t="s">
        <v>22</v>
      </c>
      <c r="D2613" t="s">
        <v>8</v>
      </c>
      <c r="E2613" t="s">
        <v>9</v>
      </c>
      <c r="F2613">
        <v>7</v>
      </c>
      <c r="G2613">
        <v>0</v>
      </c>
      <c r="H2613" s="2">
        <v>28.216999999999992</v>
      </c>
      <c r="I2613" s="2">
        <v>97.3</v>
      </c>
    </row>
    <row r="2614" spans="2:9" x14ac:dyDescent="0.3">
      <c r="D2614" t="s">
        <v>15</v>
      </c>
      <c r="E2614" t="s">
        <v>19</v>
      </c>
      <c r="F2614">
        <v>2</v>
      </c>
      <c r="G2614">
        <v>0</v>
      </c>
      <c r="H2614" s="2">
        <v>16.268800000000002</v>
      </c>
      <c r="I2614" s="2">
        <v>39.68</v>
      </c>
    </row>
    <row r="2615" spans="2:9" x14ac:dyDescent="0.3">
      <c r="B2615" t="s">
        <v>291</v>
      </c>
      <c r="C2615" t="s">
        <v>22</v>
      </c>
      <c r="D2615" t="s">
        <v>8</v>
      </c>
      <c r="E2615" t="s">
        <v>23</v>
      </c>
      <c r="F2615">
        <v>12</v>
      </c>
      <c r="G2615">
        <v>0</v>
      </c>
      <c r="H2615" s="2">
        <v>6.6239999999999952</v>
      </c>
      <c r="I2615" s="2">
        <v>82.800000000000011</v>
      </c>
    </row>
    <row r="2616" spans="2:9" x14ac:dyDescent="0.3">
      <c r="E2616" t="s">
        <v>20</v>
      </c>
      <c r="F2616">
        <v>6</v>
      </c>
      <c r="G2616">
        <v>0.4</v>
      </c>
      <c r="H2616" s="2">
        <v>31.332799999999999</v>
      </c>
      <c r="I2616" s="2">
        <v>95.135999999999996</v>
      </c>
    </row>
    <row r="2617" spans="2:9" x14ac:dyDescent="0.3">
      <c r="E2617" t="s">
        <v>14</v>
      </c>
      <c r="F2617">
        <v>3</v>
      </c>
      <c r="G2617">
        <v>0</v>
      </c>
      <c r="H2617" s="2">
        <v>9.0063999999999975</v>
      </c>
      <c r="I2617" s="2">
        <v>102.34</v>
      </c>
    </row>
    <row r="2618" spans="2:9" x14ac:dyDescent="0.3">
      <c r="B2618" t="s">
        <v>292</v>
      </c>
      <c r="C2618" t="s">
        <v>11</v>
      </c>
      <c r="D2618" t="s">
        <v>15</v>
      </c>
      <c r="E2618" t="s">
        <v>33</v>
      </c>
      <c r="F2618">
        <v>16</v>
      </c>
      <c r="G2618">
        <v>0.30000000000000004</v>
      </c>
      <c r="H2618" s="2">
        <v>175.20359999999991</v>
      </c>
      <c r="I2618" s="2">
        <v>1789.5240000000003</v>
      </c>
    </row>
    <row r="2619" spans="2:9" x14ac:dyDescent="0.3">
      <c r="D2619" t="s">
        <v>17</v>
      </c>
      <c r="E2619" t="s">
        <v>16</v>
      </c>
      <c r="F2619">
        <v>12</v>
      </c>
      <c r="G2619">
        <v>0</v>
      </c>
      <c r="H2619" s="2">
        <v>36.928799999999995</v>
      </c>
      <c r="I2619" s="2">
        <v>80.28</v>
      </c>
    </row>
    <row r="2620" spans="2:9" x14ac:dyDescent="0.3">
      <c r="C2620" t="s">
        <v>27</v>
      </c>
      <c r="D2620" t="s">
        <v>8</v>
      </c>
      <c r="E2620" t="s">
        <v>24</v>
      </c>
      <c r="F2620">
        <v>3</v>
      </c>
      <c r="G2620">
        <v>0</v>
      </c>
      <c r="H2620" s="2">
        <v>352.30649999999997</v>
      </c>
      <c r="I2620" s="2">
        <v>1214.8499999999999</v>
      </c>
    </row>
    <row r="2621" spans="2:9" x14ac:dyDescent="0.3">
      <c r="D2621" t="s">
        <v>17</v>
      </c>
      <c r="E2621" t="s">
        <v>33</v>
      </c>
      <c r="F2621">
        <v>8</v>
      </c>
      <c r="G2621">
        <v>0.2</v>
      </c>
      <c r="H2621" s="2">
        <v>256.78399999999976</v>
      </c>
      <c r="I2621" s="2">
        <v>2054.2720000000004</v>
      </c>
    </row>
    <row r="2622" spans="2:9" x14ac:dyDescent="0.3">
      <c r="E2622" t="s">
        <v>38</v>
      </c>
      <c r="F2622">
        <v>2</v>
      </c>
      <c r="G2622">
        <v>0</v>
      </c>
      <c r="H2622" s="2">
        <v>10.8682</v>
      </c>
      <c r="I2622" s="2">
        <v>22.18</v>
      </c>
    </row>
    <row r="2623" spans="2:9" x14ac:dyDescent="0.3">
      <c r="E2623" t="s">
        <v>16</v>
      </c>
      <c r="F2623">
        <v>2</v>
      </c>
      <c r="G2623">
        <v>0</v>
      </c>
      <c r="H2623" s="2">
        <v>6.2208000000000006</v>
      </c>
      <c r="I2623" s="2">
        <v>12.96</v>
      </c>
    </row>
    <row r="2624" spans="2:9" x14ac:dyDescent="0.3">
      <c r="C2624" t="s">
        <v>7</v>
      </c>
      <c r="D2624" t="s">
        <v>8</v>
      </c>
      <c r="E2624" t="s">
        <v>20</v>
      </c>
      <c r="F2624">
        <v>3</v>
      </c>
      <c r="G2624">
        <v>0.2</v>
      </c>
      <c r="H2624" s="2">
        <v>6.3336000000000006</v>
      </c>
      <c r="I2624" s="2">
        <v>17.472000000000001</v>
      </c>
    </row>
    <row r="2625" spans="3:9" x14ac:dyDescent="0.3">
      <c r="E2625" t="s">
        <v>18</v>
      </c>
      <c r="F2625">
        <v>1</v>
      </c>
      <c r="G2625">
        <v>0</v>
      </c>
      <c r="H2625" s="2">
        <v>3.5504999999999995</v>
      </c>
      <c r="I2625" s="2">
        <v>7.89</v>
      </c>
    </row>
    <row r="2626" spans="3:9" x14ac:dyDescent="0.3">
      <c r="E2626" t="s">
        <v>16</v>
      </c>
      <c r="F2626">
        <v>18</v>
      </c>
      <c r="G2626">
        <v>0</v>
      </c>
      <c r="H2626" s="2">
        <v>88.513600000000011</v>
      </c>
      <c r="I2626" s="2">
        <v>180.64</v>
      </c>
    </row>
    <row r="2627" spans="3:9" x14ac:dyDescent="0.3">
      <c r="E2627" t="s">
        <v>24</v>
      </c>
      <c r="F2627">
        <v>5</v>
      </c>
      <c r="G2627">
        <v>0</v>
      </c>
      <c r="H2627" s="2">
        <v>43.175999999999995</v>
      </c>
      <c r="I2627" s="2">
        <v>89.949999999999989</v>
      </c>
    </row>
    <row r="2628" spans="3:9" x14ac:dyDescent="0.3">
      <c r="E2628" t="s">
        <v>14</v>
      </c>
      <c r="F2628">
        <v>14</v>
      </c>
      <c r="G2628">
        <v>0</v>
      </c>
      <c r="H2628" s="2">
        <v>45.206399999999988</v>
      </c>
      <c r="I2628" s="2">
        <v>214.8</v>
      </c>
    </row>
    <row r="2629" spans="3:9" x14ac:dyDescent="0.3">
      <c r="E2629" t="s">
        <v>9</v>
      </c>
      <c r="F2629">
        <v>9</v>
      </c>
      <c r="G2629">
        <v>0</v>
      </c>
      <c r="H2629" s="2">
        <v>34.121899999999989</v>
      </c>
      <c r="I2629" s="2">
        <v>117.41</v>
      </c>
    </row>
    <row r="2630" spans="3:9" x14ac:dyDescent="0.3">
      <c r="D2630" t="s">
        <v>15</v>
      </c>
      <c r="E2630" t="s">
        <v>43</v>
      </c>
      <c r="F2630">
        <v>3</v>
      </c>
      <c r="G2630">
        <v>0</v>
      </c>
      <c r="H2630" s="2">
        <v>4.0749000000000004</v>
      </c>
      <c r="I2630" s="2">
        <v>8.67</v>
      </c>
    </row>
    <row r="2631" spans="3:9" x14ac:dyDescent="0.3">
      <c r="E2631" t="s">
        <v>9</v>
      </c>
      <c r="F2631">
        <v>3</v>
      </c>
      <c r="G2631">
        <v>0</v>
      </c>
      <c r="H2631" s="2">
        <v>6.6846000000000005</v>
      </c>
      <c r="I2631" s="2">
        <v>25.71</v>
      </c>
    </row>
    <row r="2632" spans="3:9" x14ac:dyDescent="0.3">
      <c r="D2632" t="s">
        <v>17</v>
      </c>
      <c r="E2632" t="s">
        <v>18</v>
      </c>
      <c r="F2632">
        <v>6</v>
      </c>
      <c r="G2632">
        <v>0</v>
      </c>
      <c r="H2632" s="2">
        <v>0.3024</v>
      </c>
      <c r="I2632" s="2">
        <v>7.5600000000000005</v>
      </c>
    </row>
    <row r="2633" spans="3:9" x14ac:dyDescent="0.3">
      <c r="C2633" t="s">
        <v>22</v>
      </c>
      <c r="D2633" t="s">
        <v>8</v>
      </c>
      <c r="E2633" t="s">
        <v>23</v>
      </c>
      <c r="F2633">
        <v>4</v>
      </c>
      <c r="G2633">
        <v>0</v>
      </c>
      <c r="H2633" s="2">
        <v>39.5428</v>
      </c>
      <c r="I2633" s="2">
        <v>91.96</v>
      </c>
    </row>
    <row r="2634" spans="3:9" x14ac:dyDescent="0.3">
      <c r="E2634" t="s">
        <v>12</v>
      </c>
      <c r="F2634">
        <v>8</v>
      </c>
      <c r="G2634">
        <v>0</v>
      </c>
      <c r="H2634" s="2">
        <v>175.51099999999997</v>
      </c>
      <c r="I2634" s="2">
        <v>595.24</v>
      </c>
    </row>
    <row r="2635" spans="3:9" x14ac:dyDescent="0.3">
      <c r="E2635" t="s">
        <v>19</v>
      </c>
      <c r="F2635">
        <v>19</v>
      </c>
      <c r="G2635">
        <v>0</v>
      </c>
      <c r="H2635" s="2">
        <v>54.213000000000008</v>
      </c>
      <c r="I2635" s="2">
        <v>171.89</v>
      </c>
    </row>
    <row r="2636" spans="3:9" x14ac:dyDescent="0.3">
      <c r="E2636" t="s">
        <v>20</v>
      </c>
      <c r="F2636">
        <v>4</v>
      </c>
      <c r="G2636">
        <v>0.4</v>
      </c>
      <c r="H2636" s="2">
        <v>278.26799999999997</v>
      </c>
      <c r="I2636" s="2">
        <v>742.04800000000012</v>
      </c>
    </row>
    <row r="2637" spans="3:9" x14ac:dyDescent="0.3">
      <c r="E2637" t="s">
        <v>34</v>
      </c>
      <c r="F2637">
        <v>1</v>
      </c>
      <c r="G2637">
        <v>0.2</v>
      </c>
      <c r="H2637" s="2">
        <v>-22.098000000000013</v>
      </c>
      <c r="I2637" s="2">
        <v>176.78399999999999</v>
      </c>
    </row>
    <row r="2638" spans="3:9" x14ac:dyDescent="0.3">
      <c r="E2638" t="s">
        <v>33</v>
      </c>
      <c r="F2638">
        <v>4</v>
      </c>
      <c r="G2638">
        <v>0.2</v>
      </c>
      <c r="H2638" s="2">
        <v>60.391999999999939</v>
      </c>
      <c r="I2638" s="2">
        <v>483.13599999999997</v>
      </c>
    </row>
    <row r="2639" spans="3:9" x14ac:dyDescent="0.3">
      <c r="E2639" t="s">
        <v>45</v>
      </c>
      <c r="F2639">
        <v>3</v>
      </c>
      <c r="G2639">
        <v>0.2</v>
      </c>
      <c r="H2639" s="2">
        <v>161.99189999999999</v>
      </c>
      <c r="I2639" s="2">
        <v>479.97600000000006</v>
      </c>
    </row>
    <row r="2640" spans="3:9" x14ac:dyDescent="0.3">
      <c r="E2640" t="s">
        <v>18</v>
      </c>
      <c r="F2640">
        <v>3</v>
      </c>
      <c r="G2640">
        <v>0</v>
      </c>
      <c r="H2640" s="2">
        <v>1.7918999999999998</v>
      </c>
      <c r="I2640" s="2">
        <v>5.43</v>
      </c>
    </row>
    <row r="2641" spans="2:9" x14ac:dyDescent="0.3">
      <c r="E2641" t="s">
        <v>21</v>
      </c>
      <c r="F2641">
        <v>6</v>
      </c>
      <c r="G2641">
        <v>0</v>
      </c>
      <c r="H2641" s="2">
        <v>9.8207999999999984</v>
      </c>
      <c r="I2641" s="2">
        <v>31.68</v>
      </c>
    </row>
    <row r="2642" spans="2:9" x14ac:dyDescent="0.3">
      <c r="E2642" t="s">
        <v>43</v>
      </c>
      <c r="F2642">
        <v>15</v>
      </c>
      <c r="G2642">
        <v>0</v>
      </c>
      <c r="H2642" s="2">
        <v>60.298400000000001</v>
      </c>
      <c r="I2642" s="2">
        <v>127.14</v>
      </c>
    </row>
    <row r="2643" spans="2:9" x14ac:dyDescent="0.3">
      <c r="E2643" t="s">
        <v>16</v>
      </c>
      <c r="F2643">
        <v>16</v>
      </c>
      <c r="G2643">
        <v>0</v>
      </c>
      <c r="H2643" s="2">
        <v>149.82159999999999</v>
      </c>
      <c r="I2643" s="2">
        <v>316.52999999999997</v>
      </c>
    </row>
    <row r="2644" spans="2:9" x14ac:dyDescent="0.3">
      <c r="E2644" t="s">
        <v>24</v>
      </c>
      <c r="F2644">
        <v>21</v>
      </c>
      <c r="G2644">
        <v>0.60000000000000009</v>
      </c>
      <c r="H2644" s="2">
        <v>200.59119999999999</v>
      </c>
      <c r="I2644" s="2">
        <v>919.096</v>
      </c>
    </row>
    <row r="2645" spans="2:9" x14ac:dyDescent="0.3">
      <c r="E2645" t="s">
        <v>14</v>
      </c>
      <c r="F2645">
        <v>6</v>
      </c>
      <c r="G2645">
        <v>0</v>
      </c>
      <c r="H2645" s="2">
        <v>83.843999999999937</v>
      </c>
      <c r="I2645" s="2">
        <v>1676.88</v>
      </c>
    </row>
    <row r="2646" spans="2:9" x14ac:dyDescent="0.3">
      <c r="E2646" t="s">
        <v>9</v>
      </c>
      <c r="F2646">
        <v>4</v>
      </c>
      <c r="G2646">
        <v>0</v>
      </c>
      <c r="H2646" s="2">
        <v>16.123999999999995</v>
      </c>
      <c r="I2646" s="2">
        <v>55.6</v>
      </c>
    </row>
    <row r="2647" spans="2:9" x14ac:dyDescent="0.3">
      <c r="E2647" t="s">
        <v>25</v>
      </c>
      <c r="F2647">
        <v>4</v>
      </c>
      <c r="G2647">
        <v>0.4</v>
      </c>
      <c r="H2647" s="2">
        <v>-14.760300000000049</v>
      </c>
      <c r="I2647" s="2">
        <v>405.45600000000002</v>
      </c>
    </row>
    <row r="2648" spans="2:9" x14ac:dyDescent="0.3">
      <c r="D2648" t="s">
        <v>15</v>
      </c>
      <c r="E2648" t="s">
        <v>12</v>
      </c>
      <c r="F2648">
        <v>2</v>
      </c>
      <c r="G2648">
        <v>0</v>
      </c>
      <c r="H2648" s="2">
        <v>4.1950000000000003</v>
      </c>
      <c r="I2648" s="2">
        <v>16.78</v>
      </c>
    </row>
    <row r="2649" spans="2:9" x14ac:dyDescent="0.3">
      <c r="E2649" t="s">
        <v>19</v>
      </c>
      <c r="F2649">
        <v>1</v>
      </c>
      <c r="G2649">
        <v>0</v>
      </c>
      <c r="H2649" s="2">
        <v>0.79380000000000006</v>
      </c>
      <c r="I2649" s="2">
        <v>2.94</v>
      </c>
    </row>
    <row r="2650" spans="2:9" x14ac:dyDescent="0.3">
      <c r="E2650" t="s">
        <v>20</v>
      </c>
      <c r="F2650">
        <v>11</v>
      </c>
      <c r="G2650">
        <v>0.4</v>
      </c>
      <c r="H2650" s="2">
        <v>59.333499999999994</v>
      </c>
      <c r="I2650" s="2">
        <v>173.99199999999999</v>
      </c>
    </row>
    <row r="2651" spans="2:9" x14ac:dyDescent="0.3">
      <c r="E2651" t="s">
        <v>18</v>
      </c>
      <c r="F2651">
        <v>2</v>
      </c>
      <c r="G2651">
        <v>0</v>
      </c>
      <c r="H2651" s="2">
        <v>3.58</v>
      </c>
      <c r="I2651" s="2">
        <v>7.16</v>
      </c>
    </row>
    <row r="2652" spans="2:9" x14ac:dyDescent="0.3">
      <c r="E2652" t="s">
        <v>43</v>
      </c>
      <c r="F2652">
        <v>4</v>
      </c>
      <c r="G2652">
        <v>0</v>
      </c>
      <c r="H2652" s="2">
        <v>19.872</v>
      </c>
      <c r="I2652" s="2">
        <v>41.4</v>
      </c>
    </row>
    <row r="2653" spans="2:9" x14ac:dyDescent="0.3">
      <c r="E2653" t="s">
        <v>16</v>
      </c>
      <c r="F2653">
        <v>8</v>
      </c>
      <c r="G2653">
        <v>0</v>
      </c>
      <c r="H2653" s="2">
        <v>38.1892</v>
      </c>
      <c r="I2653" s="2">
        <v>80.84</v>
      </c>
    </row>
    <row r="2654" spans="2:9" x14ac:dyDescent="0.3">
      <c r="E2654" t="s">
        <v>9</v>
      </c>
      <c r="F2654">
        <v>2</v>
      </c>
      <c r="G2654">
        <v>0</v>
      </c>
      <c r="H2654" s="2">
        <v>4.4564000000000004</v>
      </c>
      <c r="I2654" s="2">
        <v>17.14</v>
      </c>
    </row>
    <row r="2655" spans="2:9" x14ac:dyDescent="0.3">
      <c r="E2655" t="s">
        <v>25</v>
      </c>
      <c r="F2655">
        <v>3</v>
      </c>
      <c r="G2655">
        <v>0.4</v>
      </c>
      <c r="H2655" s="2">
        <v>-347.11740000000009</v>
      </c>
      <c r="I2655" s="2">
        <v>991.76400000000012</v>
      </c>
    </row>
    <row r="2656" spans="2:9" x14ac:dyDescent="0.3">
      <c r="B2656" t="s">
        <v>293</v>
      </c>
      <c r="C2656" t="s">
        <v>11</v>
      </c>
      <c r="D2656" t="s">
        <v>8</v>
      </c>
      <c r="E2656" t="s">
        <v>33</v>
      </c>
      <c r="F2656">
        <v>4</v>
      </c>
      <c r="G2656">
        <v>0.2</v>
      </c>
      <c r="H2656" s="2">
        <v>54.352799999999945</v>
      </c>
      <c r="I2656" s="2">
        <v>483.13599999999997</v>
      </c>
    </row>
    <row r="2657" spans="2:9" x14ac:dyDescent="0.3">
      <c r="E2657" t="s">
        <v>21</v>
      </c>
      <c r="F2657">
        <v>3</v>
      </c>
      <c r="G2657">
        <v>0.2</v>
      </c>
      <c r="H2657" s="2">
        <v>-13.317600000000013</v>
      </c>
      <c r="I2657" s="2">
        <v>266.35200000000003</v>
      </c>
    </row>
    <row r="2658" spans="2:9" x14ac:dyDescent="0.3">
      <c r="C2658" t="s">
        <v>22</v>
      </c>
      <c r="D2658" t="s">
        <v>15</v>
      </c>
      <c r="E2658" t="s">
        <v>23</v>
      </c>
      <c r="F2658">
        <v>3</v>
      </c>
      <c r="G2658">
        <v>0.2</v>
      </c>
      <c r="H2658" s="2">
        <v>-6.2100000000000151</v>
      </c>
      <c r="I2658" s="2">
        <v>165.60000000000002</v>
      </c>
    </row>
    <row r="2659" spans="2:9" x14ac:dyDescent="0.3">
      <c r="B2659" t="s">
        <v>294</v>
      </c>
      <c r="C2659" t="s">
        <v>7</v>
      </c>
      <c r="D2659" t="s">
        <v>8</v>
      </c>
      <c r="E2659" t="s">
        <v>12</v>
      </c>
      <c r="F2659">
        <v>2</v>
      </c>
      <c r="G2659">
        <v>0</v>
      </c>
      <c r="H2659" s="2">
        <v>22.074799999999996</v>
      </c>
      <c r="I2659" s="2">
        <v>76.12</v>
      </c>
    </row>
    <row r="2660" spans="2:9" x14ac:dyDescent="0.3">
      <c r="E2660" t="s">
        <v>18</v>
      </c>
      <c r="F2660">
        <v>3</v>
      </c>
      <c r="G2660">
        <v>0</v>
      </c>
      <c r="H2660" s="2">
        <v>9.120000000000001</v>
      </c>
      <c r="I2660" s="2">
        <v>18.240000000000002</v>
      </c>
    </row>
    <row r="2661" spans="2:9" x14ac:dyDescent="0.3">
      <c r="E2661" t="s">
        <v>21</v>
      </c>
      <c r="F2661">
        <v>5</v>
      </c>
      <c r="G2661">
        <v>0</v>
      </c>
      <c r="H2661" s="2">
        <v>7.7034999999999982</v>
      </c>
      <c r="I2661" s="2">
        <v>24.849999999999998</v>
      </c>
    </row>
    <row r="2662" spans="2:9" x14ac:dyDescent="0.3">
      <c r="B2662" t="s">
        <v>295</v>
      </c>
      <c r="C2662" t="s">
        <v>27</v>
      </c>
      <c r="D2662" t="s">
        <v>15</v>
      </c>
      <c r="E2662" t="s">
        <v>23</v>
      </c>
      <c r="F2662">
        <v>6</v>
      </c>
      <c r="G2662">
        <v>0.2</v>
      </c>
      <c r="H2662" s="2">
        <v>76.790399999999977</v>
      </c>
      <c r="I2662" s="2">
        <v>383.952</v>
      </c>
    </row>
    <row r="2663" spans="2:9" x14ac:dyDescent="0.3">
      <c r="E2663" t="s">
        <v>20</v>
      </c>
      <c r="F2663">
        <v>3</v>
      </c>
      <c r="G2663">
        <v>0.7</v>
      </c>
      <c r="H2663" s="2">
        <v>-14.331299999999992</v>
      </c>
      <c r="I2663" s="2">
        <v>18.693000000000001</v>
      </c>
    </row>
    <row r="2664" spans="2:9" x14ac:dyDescent="0.3">
      <c r="C2664" t="s">
        <v>7</v>
      </c>
      <c r="D2664" t="s">
        <v>15</v>
      </c>
      <c r="E2664" t="s">
        <v>25</v>
      </c>
      <c r="F2664">
        <v>8</v>
      </c>
      <c r="G2664">
        <v>0.4</v>
      </c>
      <c r="H2664" s="2">
        <v>-734.52639999999997</v>
      </c>
      <c r="I2664" s="2">
        <v>1421.664</v>
      </c>
    </row>
    <row r="2665" spans="2:9" x14ac:dyDescent="0.3">
      <c r="C2665" t="s">
        <v>22</v>
      </c>
      <c r="D2665" t="s">
        <v>8</v>
      </c>
      <c r="E2665" t="s">
        <v>21</v>
      </c>
      <c r="F2665">
        <v>4</v>
      </c>
      <c r="G2665">
        <v>0.2</v>
      </c>
      <c r="H2665" s="2">
        <v>8.5567999999999991</v>
      </c>
      <c r="I2665" s="2">
        <v>48.896000000000001</v>
      </c>
    </row>
    <row r="2666" spans="2:9" x14ac:dyDescent="0.3">
      <c r="D2666" t="s">
        <v>17</v>
      </c>
      <c r="E2666" t="s">
        <v>18</v>
      </c>
      <c r="F2666">
        <v>2</v>
      </c>
      <c r="G2666">
        <v>0.2</v>
      </c>
      <c r="H2666" s="2">
        <v>1.7138000000000002</v>
      </c>
      <c r="I2666" s="2">
        <v>7.2160000000000002</v>
      </c>
    </row>
    <row r="2667" spans="2:9" x14ac:dyDescent="0.3">
      <c r="E2667" t="s">
        <v>21</v>
      </c>
      <c r="F2667">
        <v>7</v>
      </c>
      <c r="G2667">
        <v>0.2</v>
      </c>
      <c r="H2667" s="2">
        <v>11.626299999999999</v>
      </c>
      <c r="I2667" s="2">
        <v>54.711999999999996</v>
      </c>
    </row>
    <row r="2668" spans="2:9" x14ac:dyDescent="0.3">
      <c r="E2668" t="s">
        <v>16</v>
      </c>
      <c r="F2668">
        <v>2</v>
      </c>
      <c r="G2668">
        <v>0.2</v>
      </c>
      <c r="H2668" s="2">
        <v>15.489999999999997</v>
      </c>
      <c r="I2668" s="2">
        <v>49.568000000000005</v>
      </c>
    </row>
    <row r="2669" spans="2:9" x14ac:dyDescent="0.3">
      <c r="E2669" t="s">
        <v>24</v>
      </c>
      <c r="F2669">
        <v>1</v>
      </c>
      <c r="G2669">
        <v>0.4</v>
      </c>
      <c r="H2669" s="2">
        <v>-0.64350000000000018</v>
      </c>
      <c r="I2669" s="2">
        <v>2.97</v>
      </c>
    </row>
    <row r="2670" spans="2:9" x14ac:dyDescent="0.3">
      <c r="E2670" t="s">
        <v>14</v>
      </c>
      <c r="F2670">
        <v>2</v>
      </c>
      <c r="G2670">
        <v>0.2</v>
      </c>
      <c r="H2670" s="2">
        <v>2.4009999999999998</v>
      </c>
      <c r="I2670" s="2">
        <v>27.439999999999998</v>
      </c>
    </row>
    <row r="2671" spans="2:9" x14ac:dyDescent="0.3">
      <c r="B2671" t="s">
        <v>296</v>
      </c>
      <c r="C2671" t="s">
        <v>11</v>
      </c>
      <c r="D2671" t="s">
        <v>8</v>
      </c>
      <c r="E2671" t="s">
        <v>23</v>
      </c>
      <c r="F2671">
        <v>30</v>
      </c>
      <c r="G2671">
        <v>0</v>
      </c>
      <c r="H2671" s="2">
        <v>1163.1370999999999</v>
      </c>
      <c r="I2671" s="2">
        <v>3438.82</v>
      </c>
    </row>
    <row r="2672" spans="2:9" x14ac:dyDescent="0.3">
      <c r="E2672" t="s">
        <v>12</v>
      </c>
      <c r="F2672">
        <v>13</v>
      </c>
      <c r="G2672">
        <v>0</v>
      </c>
      <c r="H2672" s="2">
        <v>518.7414</v>
      </c>
      <c r="I2672" s="2">
        <v>1413.18</v>
      </c>
    </row>
    <row r="2673" spans="4:9" x14ac:dyDescent="0.3">
      <c r="E2673" t="s">
        <v>19</v>
      </c>
      <c r="F2673">
        <v>37</v>
      </c>
      <c r="G2673">
        <v>0</v>
      </c>
      <c r="H2673" s="2">
        <v>110.9363</v>
      </c>
      <c r="I2673" s="2">
        <v>385.56</v>
      </c>
    </row>
    <row r="2674" spans="4:9" x14ac:dyDescent="0.3">
      <c r="E2674" t="s">
        <v>20</v>
      </c>
      <c r="F2674">
        <v>21</v>
      </c>
      <c r="G2674">
        <v>1.2</v>
      </c>
      <c r="H2674" s="2">
        <v>358.89929999999987</v>
      </c>
      <c r="I2674" s="2">
        <v>1049.7359999999999</v>
      </c>
    </row>
    <row r="2675" spans="4:9" x14ac:dyDescent="0.3">
      <c r="E2675" t="s">
        <v>34</v>
      </c>
      <c r="F2675">
        <v>2</v>
      </c>
      <c r="G2675">
        <v>0.15</v>
      </c>
      <c r="H2675" s="2">
        <v>14.097999999999999</v>
      </c>
      <c r="I2675" s="2">
        <v>239.66599999999997</v>
      </c>
    </row>
    <row r="2676" spans="4:9" x14ac:dyDescent="0.3">
      <c r="E2676" t="s">
        <v>33</v>
      </c>
      <c r="F2676">
        <v>17</v>
      </c>
      <c r="G2676">
        <v>1</v>
      </c>
      <c r="H2676" s="2">
        <v>-110.45980000000009</v>
      </c>
      <c r="I2676" s="2">
        <v>4201.2160000000003</v>
      </c>
    </row>
    <row r="2677" spans="4:9" x14ac:dyDescent="0.3">
      <c r="E2677" t="s">
        <v>38</v>
      </c>
      <c r="F2677">
        <v>3</v>
      </c>
      <c r="G2677">
        <v>0</v>
      </c>
      <c r="H2677" s="2">
        <v>10.4832</v>
      </c>
      <c r="I2677" s="2">
        <v>21.84</v>
      </c>
    </row>
    <row r="2678" spans="4:9" x14ac:dyDescent="0.3">
      <c r="E2678" t="s">
        <v>18</v>
      </c>
      <c r="F2678">
        <v>2</v>
      </c>
      <c r="G2678">
        <v>0</v>
      </c>
      <c r="H2678" s="2">
        <v>7.9200000000000159E-2</v>
      </c>
      <c r="I2678" s="2">
        <v>3.96</v>
      </c>
    </row>
    <row r="2679" spans="4:9" x14ac:dyDescent="0.3">
      <c r="E2679" t="s">
        <v>21</v>
      </c>
      <c r="F2679">
        <v>11</v>
      </c>
      <c r="G2679">
        <v>0</v>
      </c>
      <c r="H2679" s="2">
        <v>57.718799999999987</v>
      </c>
      <c r="I2679" s="2">
        <v>130.37</v>
      </c>
    </row>
    <row r="2680" spans="4:9" x14ac:dyDescent="0.3">
      <c r="E2680" t="s">
        <v>43</v>
      </c>
      <c r="F2680">
        <v>13</v>
      </c>
      <c r="G2680">
        <v>0</v>
      </c>
      <c r="H2680" s="2">
        <v>52.023699999999991</v>
      </c>
      <c r="I2680" s="2">
        <v>110.21</v>
      </c>
    </row>
    <row r="2681" spans="4:9" x14ac:dyDescent="0.3">
      <c r="E2681" t="s">
        <v>16</v>
      </c>
      <c r="F2681">
        <v>34</v>
      </c>
      <c r="G2681">
        <v>0</v>
      </c>
      <c r="H2681" s="2">
        <v>200.34799999999996</v>
      </c>
      <c r="I2681" s="2">
        <v>415.04</v>
      </c>
    </row>
    <row r="2682" spans="4:9" x14ac:dyDescent="0.3">
      <c r="E2682" t="s">
        <v>24</v>
      </c>
      <c r="F2682">
        <v>11</v>
      </c>
      <c r="G2682">
        <v>0.60000000000000009</v>
      </c>
      <c r="H2682" s="2">
        <v>84.778400000000005</v>
      </c>
      <c r="I2682" s="2">
        <v>933.51200000000006</v>
      </c>
    </row>
    <row r="2683" spans="4:9" x14ac:dyDescent="0.3">
      <c r="E2683" t="s">
        <v>14</v>
      </c>
      <c r="F2683">
        <v>5</v>
      </c>
      <c r="G2683">
        <v>0</v>
      </c>
      <c r="H2683" s="2">
        <v>67.827999999999989</v>
      </c>
      <c r="I2683" s="2">
        <v>245.17000000000002</v>
      </c>
    </row>
    <row r="2684" spans="4:9" x14ac:dyDescent="0.3">
      <c r="E2684" t="s">
        <v>9</v>
      </c>
      <c r="F2684">
        <v>9</v>
      </c>
      <c r="G2684">
        <v>0</v>
      </c>
      <c r="H2684" s="2">
        <v>5.8348000000000004</v>
      </c>
      <c r="I2684" s="2">
        <v>46.22</v>
      </c>
    </row>
    <row r="2685" spans="4:9" x14ac:dyDescent="0.3">
      <c r="D2685" t="s">
        <v>15</v>
      </c>
      <c r="E2685" t="s">
        <v>23</v>
      </c>
      <c r="F2685">
        <v>10</v>
      </c>
      <c r="G2685">
        <v>0</v>
      </c>
      <c r="H2685" s="2">
        <v>162.66119999999995</v>
      </c>
      <c r="I2685" s="2">
        <v>494.21</v>
      </c>
    </row>
    <row r="2686" spans="4:9" x14ac:dyDescent="0.3">
      <c r="E2686" t="s">
        <v>20</v>
      </c>
      <c r="F2686">
        <v>19</v>
      </c>
      <c r="G2686">
        <v>1.2</v>
      </c>
      <c r="H2686" s="2">
        <v>35.892799999999994</v>
      </c>
      <c r="I2686" s="2">
        <v>112.096</v>
      </c>
    </row>
    <row r="2687" spans="4:9" x14ac:dyDescent="0.3">
      <c r="E2687" t="s">
        <v>34</v>
      </c>
      <c r="F2687">
        <v>9</v>
      </c>
      <c r="G2687">
        <v>0.3</v>
      </c>
      <c r="H2687" s="2">
        <v>-11.096100000000028</v>
      </c>
      <c r="I2687" s="2">
        <v>922.97250000000008</v>
      </c>
    </row>
    <row r="2688" spans="4:9" x14ac:dyDescent="0.3">
      <c r="E2688" t="s">
        <v>18</v>
      </c>
      <c r="F2688">
        <v>5</v>
      </c>
      <c r="G2688">
        <v>0</v>
      </c>
      <c r="H2688" s="2">
        <v>8.7945000000000011</v>
      </c>
      <c r="I2688" s="2">
        <v>22.549999999999997</v>
      </c>
    </row>
    <row r="2689" spans="4:9" x14ac:dyDescent="0.3">
      <c r="E2689" t="s">
        <v>21</v>
      </c>
      <c r="F2689">
        <v>4</v>
      </c>
      <c r="G2689">
        <v>0</v>
      </c>
      <c r="H2689" s="2">
        <v>41.075999999999993</v>
      </c>
      <c r="I2689" s="2">
        <v>136.91999999999999</v>
      </c>
    </row>
    <row r="2690" spans="4:9" x14ac:dyDescent="0.3">
      <c r="E2690" t="s">
        <v>43</v>
      </c>
      <c r="F2690">
        <v>4</v>
      </c>
      <c r="G2690">
        <v>0</v>
      </c>
      <c r="H2690" s="2">
        <v>13.742799999999999</v>
      </c>
      <c r="I2690" s="2">
        <v>29.24</v>
      </c>
    </row>
    <row r="2691" spans="4:9" x14ac:dyDescent="0.3">
      <c r="E2691" t="s">
        <v>16</v>
      </c>
      <c r="F2691">
        <v>30</v>
      </c>
      <c r="G2691">
        <v>0</v>
      </c>
      <c r="H2691" s="2">
        <v>227.53130000000002</v>
      </c>
      <c r="I2691" s="2">
        <v>470.49</v>
      </c>
    </row>
    <row r="2692" spans="4:9" x14ac:dyDescent="0.3">
      <c r="E2692" t="s">
        <v>24</v>
      </c>
      <c r="F2692">
        <v>25</v>
      </c>
      <c r="G2692">
        <v>1</v>
      </c>
      <c r="H2692" s="2">
        <v>335.61020000000025</v>
      </c>
      <c r="I2692" s="2">
        <v>3522.8399999999997</v>
      </c>
    </row>
    <row r="2693" spans="4:9" x14ac:dyDescent="0.3">
      <c r="E2693" t="s">
        <v>14</v>
      </c>
      <c r="F2693">
        <v>16</v>
      </c>
      <c r="G2693">
        <v>0</v>
      </c>
      <c r="H2693" s="2">
        <v>380.34860000000003</v>
      </c>
      <c r="I2693" s="2">
        <v>1763.15</v>
      </c>
    </row>
    <row r="2694" spans="4:9" x14ac:dyDescent="0.3">
      <c r="E2694" t="s">
        <v>9</v>
      </c>
      <c r="F2694">
        <v>6</v>
      </c>
      <c r="G2694">
        <v>0</v>
      </c>
      <c r="H2694" s="2">
        <v>17.779400000000031</v>
      </c>
      <c r="I2694" s="2">
        <v>498.38</v>
      </c>
    </row>
    <row r="2695" spans="4:9" x14ac:dyDescent="0.3">
      <c r="E2695" t="s">
        <v>25</v>
      </c>
      <c r="F2695">
        <v>11</v>
      </c>
      <c r="G2695">
        <v>0.8</v>
      </c>
      <c r="H2695" s="2">
        <v>39.148799999999902</v>
      </c>
      <c r="I2695" s="2">
        <v>1308.9359999999999</v>
      </c>
    </row>
    <row r="2696" spans="4:9" x14ac:dyDescent="0.3">
      <c r="D2696" t="s">
        <v>17</v>
      </c>
      <c r="E2696" t="s">
        <v>23</v>
      </c>
      <c r="F2696">
        <v>8</v>
      </c>
      <c r="G2696">
        <v>0</v>
      </c>
      <c r="H2696" s="2">
        <v>44.601499999999952</v>
      </c>
      <c r="I2696" s="2">
        <v>421.85</v>
      </c>
    </row>
    <row r="2697" spans="4:9" x14ac:dyDescent="0.3">
      <c r="E2697" t="s">
        <v>19</v>
      </c>
      <c r="F2697">
        <v>3</v>
      </c>
      <c r="G2697">
        <v>0</v>
      </c>
      <c r="H2697" s="2">
        <v>3.4668000000000005</v>
      </c>
      <c r="I2697" s="2">
        <v>12.84</v>
      </c>
    </row>
    <row r="2698" spans="4:9" x14ac:dyDescent="0.3">
      <c r="E2698" t="s">
        <v>20</v>
      </c>
      <c r="F2698">
        <v>5</v>
      </c>
      <c r="G2698">
        <v>0.4</v>
      </c>
      <c r="H2698" s="2">
        <v>38.2104</v>
      </c>
      <c r="I2698" s="2">
        <v>102.28800000000001</v>
      </c>
    </row>
    <row r="2699" spans="4:9" x14ac:dyDescent="0.3">
      <c r="E2699" t="s">
        <v>34</v>
      </c>
      <c r="F2699">
        <v>7</v>
      </c>
      <c r="G2699">
        <v>0.3</v>
      </c>
      <c r="H2699" s="2">
        <v>110.71180000000005</v>
      </c>
      <c r="I2699" s="2">
        <v>2011.8309999999999</v>
      </c>
    </row>
    <row r="2700" spans="4:9" x14ac:dyDescent="0.3">
      <c r="E2700" t="s">
        <v>33</v>
      </c>
      <c r="F2700">
        <v>6</v>
      </c>
      <c r="G2700">
        <v>0.4</v>
      </c>
      <c r="H2700" s="2">
        <v>18.11760000000001</v>
      </c>
      <c r="I2700" s="2">
        <v>843.10399999999993</v>
      </c>
    </row>
    <row r="2701" spans="4:9" x14ac:dyDescent="0.3">
      <c r="E2701" t="s">
        <v>45</v>
      </c>
      <c r="F2701">
        <v>6</v>
      </c>
      <c r="G2701">
        <v>0.2</v>
      </c>
      <c r="H2701" s="2">
        <v>1007.9831999999999</v>
      </c>
      <c r="I2701" s="2">
        <v>2879.9520000000002</v>
      </c>
    </row>
    <row r="2702" spans="4:9" x14ac:dyDescent="0.3">
      <c r="E2702" t="s">
        <v>18</v>
      </c>
      <c r="F2702">
        <v>2</v>
      </c>
      <c r="G2702">
        <v>0</v>
      </c>
      <c r="H2702" s="2">
        <v>2.5279999999999996</v>
      </c>
      <c r="I2702" s="2">
        <v>7.9</v>
      </c>
    </row>
    <row r="2703" spans="4:9" x14ac:dyDescent="0.3">
      <c r="E2703" t="s">
        <v>21</v>
      </c>
      <c r="F2703">
        <v>5</v>
      </c>
      <c r="G2703">
        <v>0</v>
      </c>
      <c r="H2703" s="2">
        <v>26.732700000000001</v>
      </c>
      <c r="I2703" s="2">
        <v>89.13</v>
      </c>
    </row>
    <row r="2704" spans="4:9" x14ac:dyDescent="0.3">
      <c r="E2704" t="s">
        <v>43</v>
      </c>
      <c r="F2704">
        <v>2</v>
      </c>
      <c r="G2704">
        <v>0</v>
      </c>
      <c r="H2704" s="2">
        <v>14.8</v>
      </c>
      <c r="I2704" s="2">
        <v>29.6</v>
      </c>
    </row>
    <row r="2705" spans="3:9" x14ac:dyDescent="0.3">
      <c r="E2705" t="s">
        <v>46</v>
      </c>
      <c r="F2705">
        <v>3</v>
      </c>
      <c r="G2705">
        <v>0.2</v>
      </c>
      <c r="H2705" s="2">
        <v>377.72999999999956</v>
      </c>
      <c r="I2705" s="2">
        <v>3357.6000000000004</v>
      </c>
    </row>
    <row r="2706" spans="3:9" x14ac:dyDescent="0.3">
      <c r="E2706" t="s">
        <v>16</v>
      </c>
      <c r="F2706">
        <v>5</v>
      </c>
      <c r="G2706">
        <v>0</v>
      </c>
      <c r="H2706" s="2">
        <v>7.1519999999999992</v>
      </c>
      <c r="I2706" s="2">
        <v>14.9</v>
      </c>
    </row>
    <row r="2707" spans="3:9" x14ac:dyDescent="0.3">
      <c r="E2707" t="s">
        <v>24</v>
      </c>
      <c r="F2707">
        <v>19</v>
      </c>
      <c r="G2707">
        <v>0.8</v>
      </c>
      <c r="H2707" s="2">
        <v>448.45470000000017</v>
      </c>
      <c r="I2707" s="2">
        <v>5083.5600000000013</v>
      </c>
    </row>
    <row r="2708" spans="3:9" x14ac:dyDescent="0.3">
      <c r="C2708" t="s">
        <v>27</v>
      </c>
      <c r="D2708" t="s">
        <v>8</v>
      </c>
      <c r="E2708" t="s">
        <v>19</v>
      </c>
      <c r="F2708">
        <v>2</v>
      </c>
      <c r="G2708">
        <v>0</v>
      </c>
      <c r="H2708" s="2">
        <v>2.0671999999999997</v>
      </c>
      <c r="I2708" s="2">
        <v>6.08</v>
      </c>
    </row>
    <row r="2709" spans="3:9" x14ac:dyDescent="0.3">
      <c r="E2709" t="s">
        <v>16</v>
      </c>
      <c r="F2709">
        <v>8</v>
      </c>
      <c r="G2709">
        <v>0</v>
      </c>
      <c r="H2709" s="2">
        <v>94.72290000000001</v>
      </c>
      <c r="I2709" s="2">
        <v>198.37</v>
      </c>
    </row>
    <row r="2710" spans="3:9" x14ac:dyDescent="0.3">
      <c r="E2710" t="s">
        <v>24</v>
      </c>
      <c r="F2710">
        <v>1</v>
      </c>
      <c r="G2710">
        <v>0.2</v>
      </c>
      <c r="H2710" s="2">
        <v>18.539099999999991</v>
      </c>
      <c r="I2710" s="2">
        <v>164.79200000000003</v>
      </c>
    </row>
    <row r="2711" spans="3:9" x14ac:dyDescent="0.3">
      <c r="E2711" t="s">
        <v>14</v>
      </c>
      <c r="F2711">
        <v>2</v>
      </c>
      <c r="G2711">
        <v>0</v>
      </c>
      <c r="H2711" s="2">
        <v>3.8939999999999912</v>
      </c>
      <c r="I2711" s="2">
        <v>77.88</v>
      </c>
    </row>
    <row r="2712" spans="3:9" x14ac:dyDescent="0.3">
      <c r="E2712" t="s">
        <v>25</v>
      </c>
      <c r="F2712">
        <v>4</v>
      </c>
      <c r="G2712">
        <v>0.4</v>
      </c>
      <c r="H2712" s="2">
        <v>7.3247999999999998</v>
      </c>
      <c r="I2712" s="2">
        <v>435.16800000000006</v>
      </c>
    </row>
    <row r="2713" spans="3:9" x14ac:dyDescent="0.3">
      <c r="D2713" t="s">
        <v>15</v>
      </c>
      <c r="E2713" t="s">
        <v>12</v>
      </c>
      <c r="F2713">
        <v>3</v>
      </c>
      <c r="G2713">
        <v>0</v>
      </c>
      <c r="H2713" s="2">
        <v>22.251600000000003</v>
      </c>
      <c r="I2713" s="2">
        <v>79.47</v>
      </c>
    </row>
    <row r="2714" spans="3:9" x14ac:dyDescent="0.3">
      <c r="E2714" t="s">
        <v>19</v>
      </c>
      <c r="F2714">
        <v>6</v>
      </c>
      <c r="G2714">
        <v>0</v>
      </c>
      <c r="H2714" s="2">
        <v>5.04</v>
      </c>
      <c r="I2714" s="2">
        <v>10.08</v>
      </c>
    </row>
    <row r="2715" spans="3:9" x14ac:dyDescent="0.3">
      <c r="E2715" t="s">
        <v>20</v>
      </c>
      <c r="F2715">
        <v>15</v>
      </c>
      <c r="G2715">
        <v>1</v>
      </c>
      <c r="H2715" s="2">
        <v>42.535499999999992</v>
      </c>
      <c r="I2715" s="2">
        <v>126.98400000000001</v>
      </c>
    </row>
    <row r="2716" spans="3:9" x14ac:dyDescent="0.3">
      <c r="E2716" t="s">
        <v>33</v>
      </c>
      <c r="F2716">
        <v>3</v>
      </c>
      <c r="G2716">
        <v>0.2</v>
      </c>
      <c r="H2716" s="2">
        <v>27.176400000000015</v>
      </c>
      <c r="I2716" s="2">
        <v>362.35199999999998</v>
      </c>
    </row>
    <row r="2717" spans="3:9" x14ac:dyDescent="0.3">
      <c r="E2717" t="s">
        <v>18</v>
      </c>
      <c r="F2717">
        <v>5</v>
      </c>
      <c r="G2717">
        <v>0</v>
      </c>
      <c r="H2717" s="2">
        <v>8.9499999999999993</v>
      </c>
      <c r="I2717" s="2">
        <v>17.899999999999999</v>
      </c>
    </row>
    <row r="2718" spans="3:9" x14ac:dyDescent="0.3">
      <c r="E2718" t="s">
        <v>21</v>
      </c>
      <c r="F2718">
        <v>4</v>
      </c>
      <c r="G2718">
        <v>0</v>
      </c>
      <c r="H2718" s="2">
        <v>8.0967999999999982</v>
      </c>
      <c r="I2718" s="2">
        <v>27.92</v>
      </c>
    </row>
    <row r="2719" spans="3:9" x14ac:dyDescent="0.3">
      <c r="E2719" t="s">
        <v>16</v>
      </c>
      <c r="F2719">
        <v>4</v>
      </c>
      <c r="G2719">
        <v>0</v>
      </c>
      <c r="H2719" s="2">
        <v>10.9374</v>
      </c>
      <c r="I2719" s="2">
        <v>23.34</v>
      </c>
    </row>
    <row r="2720" spans="3:9" x14ac:dyDescent="0.3">
      <c r="E2720" t="s">
        <v>9</v>
      </c>
      <c r="F2720">
        <v>2</v>
      </c>
      <c r="G2720">
        <v>0</v>
      </c>
      <c r="H2720" s="2">
        <v>11.585999999999984</v>
      </c>
      <c r="I2720" s="2">
        <v>231.72</v>
      </c>
    </row>
    <row r="2721" spans="3:9" x14ac:dyDescent="0.3">
      <c r="E2721" t="s">
        <v>25</v>
      </c>
      <c r="F2721">
        <v>7</v>
      </c>
      <c r="G2721">
        <v>0.2</v>
      </c>
      <c r="H2721" s="2">
        <v>-14.987700000000061</v>
      </c>
      <c r="I2721" s="2">
        <v>399.67200000000003</v>
      </c>
    </row>
    <row r="2722" spans="3:9" x14ac:dyDescent="0.3">
      <c r="D2722" t="s">
        <v>17</v>
      </c>
      <c r="E2722" t="s">
        <v>12</v>
      </c>
      <c r="F2722">
        <v>2</v>
      </c>
      <c r="G2722">
        <v>0</v>
      </c>
      <c r="H2722" s="2">
        <v>31.018399999999986</v>
      </c>
      <c r="I2722" s="2">
        <v>106.96</v>
      </c>
    </row>
    <row r="2723" spans="3:9" x14ac:dyDescent="0.3">
      <c r="E2723" t="s">
        <v>19</v>
      </c>
      <c r="F2723">
        <v>4</v>
      </c>
      <c r="G2723">
        <v>0</v>
      </c>
      <c r="H2723" s="2">
        <v>3.36</v>
      </c>
      <c r="I2723" s="2">
        <v>6.72</v>
      </c>
    </row>
    <row r="2724" spans="3:9" x14ac:dyDescent="0.3">
      <c r="E2724" t="s">
        <v>20</v>
      </c>
      <c r="F2724">
        <v>1</v>
      </c>
      <c r="G2724">
        <v>0.2</v>
      </c>
      <c r="H2724" s="2">
        <v>2.1546000000000003</v>
      </c>
      <c r="I2724" s="2">
        <v>6.3840000000000003</v>
      </c>
    </row>
    <row r="2725" spans="3:9" x14ac:dyDescent="0.3">
      <c r="E2725" t="s">
        <v>34</v>
      </c>
      <c r="F2725">
        <v>5</v>
      </c>
      <c r="G2725">
        <v>0.15</v>
      </c>
      <c r="H2725" s="2">
        <v>35.245000000000005</v>
      </c>
      <c r="I2725" s="2">
        <v>599.16499999999996</v>
      </c>
    </row>
    <row r="2726" spans="3:9" x14ac:dyDescent="0.3">
      <c r="E2726" t="s">
        <v>21</v>
      </c>
      <c r="F2726">
        <v>4</v>
      </c>
      <c r="G2726">
        <v>0</v>
      </c>
      <c r="H2726" s="2">
        <v>76.9816</v>
      </c>
      <c r="I2726" s="2">
        <v>187.76</v>
      </c>
    </row>
    <row r="2727" spans="3:9" x14ac:dyDescent="0.3">
      <c r="E2727" t="s">
        <v>14</v>
      </c>
      <c r="F2727">
        <v>4</v>
      </c>
      <c r="G2727">
        <v>0</v>
      </c>
      <c r="H2727" s="2">
        <v>125.14319999999998</v>
      </c>
      <c r="I2727" s="2">
        <v>481.32</v>
      </c>
    </row>
    <row r="2728" spans="3:9" x14ac:dyDescent="0.3">
      <c r="C2728" t="s">
        <v>7</v>
      </c>
      <c r="D2728" t="s">
        <v>8</v>
      </c>
      <c r="E2728" t="s">
        <v>23</v>
      </c>
      <c r="F2728">
        <v>29</v>
      </c>
      <c r="G2728">
        <v>0</v>
      </c>
      <c r="H2728" s="2">
        <v>610.3383</v>
      </c>
      <c r="I2728" s="2">
        <v>1754.8200000000002</v>
      </c>
    </row>
    <row r="2729" spans="3:9" x14ac:dyDescent="0.3">
      <c r="E2729" t="s">
        <v>12</v>
      </c>
      <c r="F2729">
        <v>10</v>
      </c>
      <c r="G2729">
        <v>0</v>
      </c>
      <c r="H2729" s="2">
        <v>195.9935999999999</v>
      </c>
      <c r="I2729" s="2">
        <v>671.3599999999999</v>
      </c>
    </row>
    <row r="2730" spans="3:9" x14ac:dyDescent="0.3">
      <c r="E2730" t="s">
        <v>19</v>
      </c>
      <c r="F2730">
        <v>30</v>
      </c>
      <c r="G2730">
        <v>0</v>
      </c>
      <c r="H2730" s="2">
        <v>103.98320000000001</v>
      </c>
      <c r="I2730" s="2">
        <v>378.47999999999996</v>
      </c>
    </row>
    <row r="2731" spans="3:9" x14ac:dyDescent="0.3">
      <c r="E2731" t="s">
        <v>20</v>
      </c>
      <c r="F2731">
        <v>51</v>
      </c>
      <c r="G2731">
        <v>3.600000000000001</v>
      </c>
      <c r="H2731" s="2">
        <v>768.63409999999999</v>
      </c>
      <c r="I2731" s="2">
        <v>2217.232</v>
      </c>
    </row>
    <row r="2732" spans="3:9" x14ac:dyDescent="0.3">
      <c r="E2732" t="s">
        <v>34</v>
      </c>
      <c r="F2732">
        <v>10</v>
      </c>
      <c r="G2732">
        <v>0.3</v>
      </c>
      <c r="H2732" s="2">
        <v>33.539599999999993</v>
      </c>
      <c r="I2732" s="2">
        <v>780.98</v>
      </c>
    </row>
    <row r="2733" spans="3:9" x14ac:dyDescent="0.3">
      <c r="E2733" t="s">
        <v>33</v>
      </c>
      <c r="F2733">
        <v>11</v>
      </c>
      <c r="G2733">
        <v>0.60000000000000009</v>
      </c>
      <c r="H2733" s="2">
        <v>-18.844600000000057</v>
      </c>
      <c r="I2733" s="2">
        <v>677.45600000000002</v>
      </c>
    </row>
    <row r="2734" spans="3:9" x14ac:dyDescent="0.3">
      <c r="E2734" t="s">
        <v>45</v>
      </c>
      <c r="F2734">
        <v>11</v>
      </c>
      <c r="G2734">
        <v>0.60000000000000009</v>
      </c>
      <c r="H2734" s="2">
        <v>1496.9701</v>
      </c>
      <c r="I2734" s="2">
        <v>4399.9120000000003</v>
      </c>
    </row>
    <row r="2735" spans="3:9" x14ac:dyDescent="0.3">
      <c r="E2735" t="s">
        <v>18</v>
      </c>
      <c r="F2735">
        <v>6</v>
      </c>
      <c r="G2735">
        <v>0</v>
      </c>
      <c r="H2735" s="2">
        <v>10.74</v>
      </c>
      <c r="I2735" s="2">
        <v>21.48</v>
      </c>
    </row>
    <row r="2736" spans="3:9" x14ac:dyDescent="0.3">
      <c r="E2736" t="s">
        <v>21</v>
      </c>
      <c r="F2736">
        <v>13</v>
      </c>
      <c r="G2736">
        <v>0</v>
      </c>
      <c r="H2736" s="2">
        <v>211.45739999999998</v>
      </c>
      <c r="I2736" s="2">
        <v>750.3</v>
      </c>
    </row>
    <row r="2737" spans="4:9" x14ac:dyDescent="0.3">
      <c r="E2737" t="s">
        <v>43</v>
      </c>
      <c r="F2737">
        <v>20</v>
      </c>
      <c r="G2737">
        <v>0</v>
      </c>
      <c r="H2737" s="2">
        <v>43.969199999999994</v>
      </c>
      <c r="I2737" s="2">
        <v>94.38</v>
      </c>
    </row>
    <row r="2738" spans="4:9" x14ac:dyDescent="0.3">
      <c r="E2738" t="s">
        <v>16</v>
      </c>
      <c r="F2738">
        <v>69</v>
      </c>
      <c r="G2738">
        <v>0</v>
      </c>
      <c r="H2738" s="2">
        <v>382.76529999999997</v>
      </c>
      <c r="I2738" s="2">
        <v>808.03000000000009</v>
      </c>
    </row>
    <row r="2739" spans="4:9" x14ac:dyDescent="0.3">
      <c r="E2739" t="s">
        <v>24</v>
      </c>
      <c r="F2739">
        <v>15</v>
      </c>
      <c r="G2739">
        <v>0.8</v>
      </c>
      <c r="H2739" s="2">
        <v>109.77500000000001</v>
      </c>
      <c r="I2739" s="2">
        <v>1260.616</v>
      </c>
    </row>
    <row r="2740" spans="4:9" x14ac:dyDescent="0.3">
      <c r="E2740" t="s">
        <v>14</v>
      </c>
      <c r="F2740">
        <v>20</v>
      </c>
      <c r="G2740">
        <v>0</v>
      </c>
      <c r="H2740" s="2">
        <v>518.73219999999992</v>
      </c>
      <c r="I2740" s="2">
        <v>1998.42</v>
      </c>
    </row>
    <row r="2741" spans="4:9" x14ac:dyDescent="0.3">
      <c r="E2741" t="s">
        <v>25</v>
      </c>
      <c r="F2741">
        <v>2</v>
      </c>
      <c r="G2741">
        <v>0.2</v>
      </c>
      <c r="H2741" s="2">
        <v>-15.098000000000013</v>
      </c>
      <c r="I2741" s="2">
        <v>241.56799999999998</v>
      </c>
    </row>
    <row r="2742" spans="4:9" x14ac:dyDescent="0.3">
      <c r="D2742" t="s">
        <v>15</v>
      </c>
      <c r="E2742" t="s">
        <v>23</v>
      </c>
      <c r="F2742">
        <v>18</v>
      </c>
      <c r="G2742">
        <v>0</v>
      </c>
      <c r="H2742" s="2">
        <v>287.3066</v>
      </c>
      <c r="I2742" s="2">
        <v>1058.6199999999999</v>
      </c>
    </row>
    <row r="2743" spans="4:9" x14ac:dyDescent="0.3">
      <c r="E2743" t="s">
        <v>12</v>
      </c>
      <c r="F2743">
        <v>10</v>
      </c>
      <c r="G2743">
        <v>0</v>
      </c>
      <c r="H2743" s="2">
        <v>42.938199999999995</v>
      </c>
      <c r="I2743" s="2">
        <v>152.30000000000001</v>
      </c>
    </row>
    <row r="2744" spans="4:9" x14ac:dyDescent="0.3">
      <c r="E2744" t="s">
        <v>19</v>
      </c>
      <c r="F2744">
        <v>12</v>
      </c>
      <c r="G2744">
        <v>0</v>
      </c>
      <c r="H2744" s="2">
        <v>42.931400000000004</v>
      </c>
      <c r="I2744" s="2">
        <v>151.29</v>
      </c>
    </row>
    <row r="2745" spans="4:9" x14ac:dyDescent="0.3">
      <c r="E2745" t="s">
        <v>20</v>
      </c>
      <c r="F2745">
        <v>32</v>
      </c>
      <c r="G2745">
        <v>1.9999999999999998</v>
      </c>
      <c r="H2745" s="2">
        <v>125.27369999999998</v>
      </c>
      <c r="I2745" s="2">
        <v>357.92</v>
      </c>
    </row>
    <row r="2746" spans="4:9" x14ac:dyDescent="0.3">
      <c r="E2746" t="s">
        <v>33</v>
      </c>
      <c r="F2746">
        <v>8</v>
      </c>
      <c r="G2746">
        <v>0.8</v>
      </c>
      <c r="H2746" s="2">
        <v>24.418399999999977</v>
      </c>
      <c r="I2746" s="2">
        <v>693.00800000000004</v>
      </c>
    </row>
    <row r="2747" spans="4:9" x14ac:dyDescent="0.3">
      <c r="E2747" t="s">
        <v>38</v>
      </c>
      <c r="F2747">
        <v>3</v>
      </c>
      <c r="G2747">
        <v>0</v>
      </c>
      <c r="H2747" s="2">
        <v>122.148</v>
      </c>
      <c r="I2747" s="2">
        <v>271.44</v>
      </c>
    </row>
    <row r="2748" spans="4:9" x14ac:dyDescent="0.3">
      <c r="E2748" t="s">
        <v>21</v>
      </c>
      <c r="F2748">
        <v>16</v>
      </c>
      <c r="G2748">
        <v>0</v>
      </c>
      <c r="H2748" s="2">
        <v>46.410800000000009</v>
      </c>
      <c r="I2748" s="2">
        <v>346.76</v>
      </c>
    </row>
    <row r="2749" spans="4:9" x14ac:dyDescent="0.3">
      <c r="E2749" t="s">
        <v>43</v>
      </c>
      <c r="F2749">
        <v>4</v>
      </c>
      <c r="G2749">
        <v>0</v>
      </c>
      <c r="H2749" s="2">
        <v>11.683199999999999</v>
      </c>
      <c r="I2749" s="2">
        <v>24.439999999999998</v>
      </c>
    </row>
    <row r="2750" spans="4:9" x14ac:dyDescent="0.3">
      <c r="E2750" t="s">
        <v>16</v>
      </c>
      <c r="F2750">
        <v>11</v>
      </c>
      <c r="G2750">
        <v>0</v>
      </c>
      <c r="H2750" s="2">
        <v>71.615200000000002</v>
      </c>
      <c r="I2750" s="2">
        <v>150.28</v>
      </c>
    </row>
    <row r="2751" spans="4:9" x14ac:dyDescent="0.3">
      <c r="E2751" t="s">
        <v>24</v>
      </c>
      <c r="F2751">
        <v>17</v>
      </c>
      <c r="G2751">
        <v>1.2</v>
      </c>
      <c r="H2751" s="2">
        <v>99.826300000000032</v>
      </c>
      <c r="I2751" s="2">
        <v>1371.808</v>
      </c>
    </row>
    <row r="2752" spans="4:9" x14ac:dyDescent="0.3">
      <c r="E2752" t="s">
        <v>14</v>
      </c>
      <c r="F2752">
        <v>19</v>
      </c>
      <c r="G2752">
        <v>0</v>
      </c>
      <c r="H2752" s="2">
        <v>77.192199999999929</v>
      </c>
      <c r="I2752" s="2">
        <v>1600.3500000000001</v>
      </c>
    </row>
    <row r="2753" spans="3:9" x14ac:dyDescent="0.3">
      <c r="E2753" t="s">
        <v>25</v>
      </c>
      <c r="F2753">
        <v>10</v>
      </c>
      <c r="G2753">
        <v>1</v>
      </c>
      <c r="H2753" s="2">
        <v>-71.756800000000041</v>
      </c>
      <c r="I2753" s="2">
        <v>1946.904</v>
      </c>
    </row>
    <row r="2754" spans="3:9" x14ac:dyDescent="0.3">
      <c r="D2754" t="s">
        <v>17</v>
      </c>
      <c r="E2754" t="s">
        <v>23</v>
      </c>
      <c r="F2754">
        <v>2</v>
      </c>
      <c r="G2754">
        <v>0</v>
      </c>
      <c r="H2754" s="2">
        <v>47.993999999999986</v>
      </c>
      <c r="I2754" s="2">
        <v>159.97999999999999</v>
      </c>
    </row>
    <row r="2755" spans="3:9" x14ac:dyDescent="0.3">
      <c r="E2755" t="s">
        <v>12</v>
      </c>
      <c r="F2755">
        <v>12</v>
      </c>
      <c r="G2755">
        <v>0</v>
      </c>
      <c r="H2755" s="2">
        <v>103.38720000000001</v>
      </c>
      <c r="I2755" s="2">
        <v>321.79999999999995</v>
      </c>
    </row>
    <row r="2756" spans="3:9" x14ac:dyDescent="0.3">
      <c r="E2756" t="s">
        <v>19</v>
      </c>
      <c r="F2756">
        <v>2</v>
      </c>
      <c r="G2756">
        <v>0</v>
      </c>
      <c r="H2756" s="2">
        <v>2.7899999999999991</v>
      </c>
      <c r="I2756" s="2">
        <v>11.16</v>
      </c>
    </row>
    <row r="2757" spans="3:9" x14ac:dyDescent="0.3">
      <c r="E2757" t="s">
        <v>20</v>
      </c>
      <c r="F2757">
        <v>5</v>
      </c>
      <c r="G2757">
        <v>0.2</v>
      </c>
      <c r="H2757" s="2">
        <v>46.224999999999987</v>
      </c>
      <c r="I2757" s="2">
        <v>147.91999999999999</v>
      </c>
    </row>
    <row r="2758" spans="3:9" x14ac:dyDescent="0.3">
      <c r="E2758" t="s">
        <v>33</v>
      </c>
      <c r="F2758">
        <v>5</v>
      </c>
      <c r="G2758">
        <v>0.4</v>
      </c>
      <c r="H2758" s="2">
        <v>80.062200000000018</v>
      </c>
      <c r="I2758" s="2">
        <v>973.64800000000002</v>
      </c>
    </row>
    <row r="2759" spans="3:9" x14ac:dyDescent="0.3">
      <c r="E2759" t="s">
        <v>21</v>
      </c>
      <c r="F2759">
        <v>12</v>
      </c>
      <c r="G2759">
        <v>0</v>
      </c>
      <c r="H2759" s="2">
        <v>171.1044</v>
      </c>
      <c r="I2759" s="2">
        <v>784.98</v>
      </c>
    </row>
    <row r="2760" spans="3:9" x14ac:dyDescent="0.3">
      <c r="E2760" t="s">
        <v>43</v>
      </c>
      <c r="F2760">
        <v>4</v>
      </c>
      <c r="G2760">
        <v>0</v>
      </c>
      <c r="H2760" s="2">
        <v>5.4332000000000003</v>
      </c>
      <c r="I2760" s="2">
        <v>11.56</v>
      </c>
    </row>
    <row r="2761" spans="3:9" x14ac:dyDescent="0.3">
      <c r="E2761" t="s">
        <v>16</v>
      </c>
      <c r="F2761">
        <v>22</v>
      </c>
      <c r="G2761">
        <v>0</v>
      </c>
      <c r="H2761" s="2">
        <v>229.8356</v>
      </c>
      <c r="I2761" s="2">
        <v>485.16</v>
      </c>
    </row>
    <row r="2762" spans="3:9" x14ac:dyDescent="0.3">
      <c r="E2762" t="s">
        <v>24</v>
      </c>
      <c r="F2762">
        <v>17</v>
      </c>
      <c r="G2762">
        <v>0.4</v>
      </c>
      <c r="H2762" s="2">
        <v>124.30799999999996</v>
      </c>
      <c r="I2762" s="2">
        <v>1465.4639999999999</v>
      </c>
    </row>
    <row r="2763" spans="3:9" x14ac:dyDescent="0.3">
      <c r="E2763" t="s">
        <v>14</v>
      </c>
      <c r="F2763">
        <v>26</v>
      </c>
      <c r="G2763">
        <v>0</v>
      </c>
      <c r="H2763" s="2">
        <v>93.111900000000077</v>
      </c>
      <c r="I2763" s="2">
        <v>1376.41</v>
      </c>
    </row>
    <row r="2764" spans="3:9" x14ac:dyDescent="0.3">
      <c r="E2764" t="s">
        <v>9</v>
      </c>
      <c r="F2764">
        <v>4</v>
      </c>
      <c r="G2764">
        <v>0</v>
      </c>
      <c r="H2764" s="2">
        <v>4.5007999999999981</v>
      </c>
      <c r="I2764" s="2">
        <v>15.52</v>
      </c>
    </row>
    <row r="2765" spans="3:9" x14ac:dyDescent="0.3">
      <c r="E2765" t="s">
        <v>25</v>
      </c>
      <c r="F2765">
        <v>9</v>
      </c>
      <c r="G2765">
        <v>0.2</v>
      </c>
      <c r="H2765" s="2">
        <v>22.408199999999994</v>
      </c>
      <c r="I2765" s="2">
        <v>896.32799999999997</v>
      </c>
    </row>
    <row r="2766" spans="3:9" x14ac:dyDescent="0.3">
      <c r="C2766" t="s">
        <v>22</v>
      </c>
      <c r="D2766" t="s">
        <v>8</v>
      </c>
      <c r="E2766" t="s">
        <v>23</v>
      </c>
      <c r="F2766">
        <v>43</v>
      </c>
      <c r="G2766">
        <v>0</v>
      </c>
      <c r="H2766" s="2">
        <v>1314.7586999999999</v>
      </c>
      <c r="I2766" s="2">
        <v>4090.389999999999</v>
      </c>
    </row>
    <row r="2767" spans="3:9" x14ac:dyDescent="0.3">
      <c r="E2767" t="s">
        <v>12</v>
      </c>
      <c r="F2767">
        <v>26</v>
      </c>
      <c r="G2767">
        <v>0</v>
      </c>
      <c r="H2767" s="2">
        <v>257.88819999999998</v>
      </c>
      <c r="I2767" s="2">
        <v>878.98</v>
      </c>
    </row>
    <row r="2768" spans="3:9" x14ac:dyDescent="0.3">
      <c r="E2768" t="s">
        <v>19</v>
      </c>
      <c r="F2768">
        <v>76</v>
      </c>
      <c r="G2768">
        <v>0</v>
      </c>
      <c r="H2768" s="2">
        <v>114.03279999999999</v>
      </c>
      <c r="I2768" s="2">
        <v>379.78999999999996</v>
      </c>
    </row>
    <row r="2769" spans="4:9" x14ac:dyDescent="0.3">
      <c r="E2769" t="s">
        <v>20</v>
      </c>
      <c r="F2769">
        <v>115</v>
      </c>
      <c r="G2769">
        <v>5.4000000000000021</v>
      </c>
      <c r="H2769" s="2">
        <v>1469.0896999999998</v>
      </c>
      <c r="I2769" s="2">
        <v>4135.1200000000008</v>
      </c>
    </row>
    <row r="2770" spans="4:9" x14ac:dyDescent="0.3">
      <c r="E2770" t="s">
        <v>34</v>
      </c>
      <c r="F2770">
        <v>26</v>
      </c>
      <c r="G2770">
        <v>0.75</v>
      </c>
      <c r="H2770" s="2">
        <v>289.86789999999974</v>
      </c>
      <c r="I2770" s="2">
        <v>5309.5844999999999</v>
      </c>
    </row>
    <row r="2771" spans="4:9" x14ac:dyDescent="0.3">
      <c r="E2771" t="s">
        <v>33</v>
      </c>
      <c r="F2771">
        <v>55</v>
      </c>
      <c r="G2771">
        <v>3.0000000000000004</v>
      </c>
      <c r="H2771" s="2">
        <v>114.94209999999993</v>
      </c>
      <c r="I2771" s="2">
        <v>4749.9040000000005</v>
      </c>
    </row>
    <row r="2772" spans="4:9" x14ac:dyDescent="0.3">
      <c r="E2772" t="s">
        <v>45</v>
      </c>
      <c r="F2772">
        <v>2</v>
      </c>
      <c r="G2772">
        <v>0.2</v>
      </c>
      <c r="H2772" s="2">
        <v>59.997999999999962</v>
      </c>
      <c r="I2772" s="2">
        <v>479.98400000000004</v>
      </c>
    </row>
    <row r="2773" spans="4:9" x14ac:dyDescent="0.3">
      <c r="E2773" t="s">
        <v>38</v>
      </c>
      <c r="F2773">
        <v>10</v>
      </c>
      <c r="G2773">
        <v>0</v>
      </c>
      <c r="H2773" s="2">
        <v>225.59509999999997</v>
      </c>
      <c r="I2773" s="2">
        <v>490.89</v>
      </c>
    </row>
    <row r="2774" spans="4:9" x14ac:dyDescent="0.3">
      <c r="E2774" t="s">
        <v>18</v>
      </c>
      <c r="F2774">
        <v>31</v>
      </c>
      <c r="G2774">
        <v>0</v>
      </c>
      <c r="H2774" s="2">
        <v>49.019299999999994</v>
      </c>
      <c r="I2774" s="2">
        <v>124.01000000000002</v>
      </c>
    </row>
    <row r="2775" spans="4:9" x14ac:dyDescent="0.3">
      <c r="E2775" t="s">
        <v>21</v>
      </c>
      <c r="F2775">
        <v>129</v>
      </c>
      <c r="G2775">
        <v>0</v>
      </c>
      <c r="H2775" s="2">
        <v>1119.6188000000002</v>
      </c>
      <c r="I2775" s="2">
        <v>3363.5599999999995</v>
      </c>
    </row>
    <row r="2776" spans="4:9" x14ac:dyDescent="0.3">
      <c r="E2776" t="s">
        <v>43</v>
      </c>
      <c r="F2776">
        <v>31</v>
      </c>
      <c r="G2776">
        <v>0</v>
      </c>
      <c r="H2776" s="2">
        <v>88.760299999999987</v>
      </c>
      <c r="I2776" s="2">
        <v>187.55</v>
      </c>
    </row>
    <row r="2777" spans="4:9" x14ac:dyDescent="0.3">
      <c r="E2777" t="s">
        <v>46</v>
      </c>
      <c r="F2777">
        <v>37</v>
      </c>
      <c r="G2777">
        <v>1.7999999999999998</v>
      </c>
      <c r="H2777" s="2">
        <v>1399.2376999999992</v>
      </c>
      <c r="I2777" s="2">
        <v>9600.0400000000009</v>
      </c>
    </row>
    <row r="2778" spans="4:9" x14ac:dyDescent="0.3">
      <c r="E2778" t="s">
        <v>16</v>
      </c>
      <c r="F2778">
        <v>162</v>
      </c>
      <c r="G2778">
        <v>0</v>
      </c>
      <c r="H2778" s="2">
        <v>1263.4203000000002</v>
      </c>
      <c r="I2778" s="2">
        <v>2661.31</v>
      </c>
    </row>
    <row r="2779" spans="4:9" x14ac:dyDescent="0.3">
      <c r="E2779" t="s">
        <v>24</v>
      </c>
      <c r="F2779">
        <v>114</v>
      </c>
      <c r="G2779">
        <v>5.0000000000000018</v>
      </c>
      <c r="H2779" s="2">
        <v>834.1900999999998</v>
      </c>
      <c r="I2779" s="2">
        <v>9498.32</v>
      </c>
    </row>
    <row r="2780" spans="4:9" x14ac:dyDescent="0.3">
      <c r="E2780" t="s">
        <v>14</v>
      </c>
      <c r="F2780">
        <v>87</v>
      </c>
      <c r="G2780">
        <v>0</v>
      </c>
      <c r="H2780" s="2">
        <v>820.23139999999967</v>
      </c>
      <c r="I2780" s="2">
        <v>6158.04</v>
      </c>
    </row>
    <row r="2781" spans="4:9" x14ac:dyDescent="0.3">
      <c r="E2781" t="s">
        <v>9</v>
      </c>
      <c r="F2781">
        <v>4</v>
      </c>
      <c r="G2781">
        <v>0</v>
      </c>
      <c r="H2781" s="2">
        <v>1.5456000000000003</v>
      </c>
      <c r="I2781" s="2">
        <v>51.52</v>
      </c>
    </row>
    <row r="2782" spans="4:9" x14ac:dyDescent="0.3">
      <c r="E2782" t="s">
        <v>25</v>
      </c>
      <c r="F2782">
        <v>42</v>
      </c>
      <c r="G2782">
        <v>2.1999999999999997</v>
      </c>
      <c r="H2782" s="2">
        <v>-27.392900000000409</v>
      </c>
      <c r="I2782" s="2">
        <v>7945.8240000000014</v>
      </c>
    </row>
    <row r="2783" spans="4:9" x14ac:dyDescent="0.3">
      <c r="D2783" t="s">
        <v>15</v>
      </c>
      <c r="E2783" t="s">
        <v>23</v>
      </c>
      <c r="F2783">
        <v>75</v>
      </c>
      <c r="G2783">
        <v>0</v>
      </c>
      <c r="H2783" s="2">
        <v>1813.8552999999995</v>
      </c>
      <c r="I2783" s="2">
        <v>6256.78</v>
      </c>
    </row>
    <row r="2784" spans="4:9" x14ac:dyDescent="0.3">
      <c r="E2784" t="s">
        <v>12</v>
      </c>
      <c r="F2784">
        <v>46</v>
      </c>
      <c r="G2784">
        <v>0</v>
      </c>
      <c r="H2784" s="2">
        <v>663.70629999999994</v>
      </c>
      <c r="I2784" s="2">
        <v>2244.9799999999996</v>
      </c>
    </row>
    <row r="2785" spans="4:9" x14ac:dyDescent="0.3">
      <c r="E2785" t="s">
        <v>19</v>
      </c>
      <c r="F2785">
        <v>40</v>
      </c>
      <c r="G2785">
        <v>0</v>
      </c>
      <c r="H2785" s="2">
        <v>65.70859999999999</v>
      </c>
      <c r="I2785" s="2">
        <v>214.51999999999998</v>
      </c>
    </row>
    <row r="2786" spans="4:9" x14ac:dyDescent="0.3">
      <c r="E2786" t="s">
        <v>20</v>
      </c>
      <c r="F2786">
        <v>36</v>
      </c>
      <c r="G2786">
        <v>1.9999999999999998</v>
      </c>
      <c r="H2786" s="2">
        <v>164.99259999999998</v>
      </c>
      <c r="I2786" s="2">
        <v>503.27200000000005</v>
      </c>
    </row>
    <row r="2787" spans="4:9" x14ac:dyDescent="0.3">
      <c r="E2787" t="s">
        <v>34</v>
      </c>
      <c r="F2787">
        <v>2</v>
      </c>
      <c r="G2787">
        <v>0.15</v>
      </c>
      <c r="H2787" s="2">
        <v>27.356800000000007</v>
      </c>
      <c r="I2787" s="2">
        <v>290.666</v>
      </c>
    </row>
    <row r="2788" spans="4:9" x14ac:dyDescent="0.3">
      <c r="E2788" t="s">
        <v>33</v>
      </c>
      <c r="F2788">
        <v>45</v>
      </c>
      <c r="G2788">
        <v>2.1999999999999997</v>
      </c>
      <c r="H2788" s="2">
        <v>469.11739999999975</v>
      </c>
      <c r="I2788" s="2">
        <v>4871.7280000000001</v>
      </c>
    </row>
    <row r="2789" spans="4:9" x14ac:dyDescent="0.3">
      <c r="E2789" t="s">
        <v>38</v>
      </c>
      <c r="F2789">
        <v>15</v>
      </c>
      <c r="G2789">
        <v>0</v>
      </c>
      <c r="H2789" s="2">
        <v>175.02639999999997</v>
      </c>
      <c r="I2789" s="2">
        <v>372.04999999999995</v>
      </c>
    </row>
    <row r="2790" spans="4:9" x14ac:dyDescent="0.3">
      <c r="E2790" t="s">
        <v>18</v>
      </c>
      <c r="F2790">
        <v>3</v>
      </c>
      <c r="G2790">
        <v>0</v>
      </c>
      <c r="H2790" s="2">
        <v>5.2164000000000001</v>
      </c>
      <c r="I2790" s="2">
        <v>11.34</v>
      </c>
    </row>
    <row r="2791" spans="4:9" x14ac:dyDescent="0.3">
      <c r="E2791" t="s">
        <v>21</v>
      </c>
      <c r="F2791">
        <v>43</v>
      </c>
      <c r="G2791">
        <v>0</v>
      </c>
      <c r="H2791" s="2">
        <v>228.76480000000001</v>
      </c>
      <c r="I2791" s="2">
        <v>857.84999999999991</v>
      </c>
    </row>
    <row r="2792" spans="4:9" x14ac:dyDescent="0.3">
      <c r="E2792" t="s">
        <v>43</v>
      </c>
      <c r="F2792">
        <v>10</v>
      </c>
      <c r="G2792">
        <v>0</v>
      </c>
      <c r="H2792" s="2">
        <v>14.558100000000001</v>
      </c>
      <c r="I2792" s="2">
        <v>30.509999999999998</v>
      </c>
    </row>
    <row r="2793" spans="4:9" x14ac:dyDescent="0.3">
      <c r="E2793" t="s">
        <v>46</v>
      </c>
      <c r="F2793">
        <v>3</v>
      </c>
      <c r="G2793">
        <v>0.2</v>
      </c>
      <c r="H2793" s="2">
        <v>177.19799999999998</v>
      </c>
      <c r="I2793" s="2">
        <v>506.28</v>
      </c>
    </row>
    <row r="2794" spans="4:9" x14ac:dyDescent="0.3">
      <c r="E2794" t="s">
        <v>16</v>
      </c>
      <c r="F2794">
        <v>68</v>
      </c>
      <c r="G2794">
        <v>0</v>
      </c>
      <c r="H2794" s="2">
        <v>261.81120000000004</v>
      </c>
      <c r="I2794" s="2">
        <v>555.04</v>
      </c>
    </row>
    <row r="2795" spans="4:9" x14ac:dyDescent="0.3">
      <c r="E2795" t="s">
        <v>24</v>
      </c>
      <c r="F2795">
        <v>39</v>
      </c>
      <c r="G2795">
        <v>2.8000000000000003</v>
      </c>
      <c r="H2795" s="2">
        <v>225.60900000000009</v>
      </c>
      <c r="I2795" s="2">
        <v>2769.2880000000005</v>
      </c>
    </row>
    <row r="2796" spans="4:9" x14ac:dyDescent="0.3">
      <c r="E2796" t="s">
        <v>14</v>
      </c>
      <c r="F2796">
        <v>40</v>
      </c>
      <c r="G2796">
        <v>0</v>
      </c>
      <c r="H2796" s="2">
        <v>551.16499999999996</v>
      </c>
      <c r="I2796" s="2">
        <v>3213.9500000000003</v>
      </c>
    </row>
    <row r="2797" spans="4:9" x14ac:dyDescent="0.3">
      <c r="E2797" t="s">
        <v>9</v>
      </c>
      <c r="F2797">
        <v>15</v>
      </c>
      <c r="G2797">
        <v>0</v>
      </c>
      <c r="H2797" s="2">
        <v>60.711899999999957</v>
      </c>
      <c r="I2797" s="2">
        <v>690.84999999999991</v>
      </c>
    </row>
    <row r="2798" spans="4:9" x14ac:dyDescent="0.3">
      <c r="E2798" t="s">
        <v>25</v>
      </c>
      <c r="F2798">
        <v>25</v>
      </c>
      <c r="G2798">
        <v>1</v>
      </c>
      <c r="H2798" s="2">
        <v>195.18839999999989</v>
      </c>
      <c r="I2798" s="2">
        <v>4710.7920000000013</v>
      </c>
    </row>
    <row r="2799" spans="4:9" x14ac:dyDescent="0.3">
      <c r="D2799" t="s">
        <v>17</v>
      </c>
      <c r="E2799" t="s">
        <v>23</v>
      </c>
      <c r="F2799">
        <v>21</v>
      </c>
      <c r="G2799">
        <v>0</v>
      </c>
      <c r="H2799" s="2">
        <v>222.64</v>
      </c>
      <c r="I2799" s="2">
        <v>787.58</v>
      </c>
    </row>
    <row r="2800" spans="4:9" x14ac:dyDescent="0.3">
      <c r="E2800" t="s">
        <v>12</v>
      </c>
      <c r="F2800">
        <v>22</v>
      </c>
      <c r="G2800">
        <v>0</v>
      </c>
      <c r="H2800" s="2">
        <v>757.20639999999992</v>
      </c>
      <c r="I2800" s="2">
        <v>2708.2999999999997</v>
      </c>
    </row>
    <row r="2801" spans="2:9" x14ac:dyDescent="0.3">
      <c r="E2801" t="s">
        <v>19</v>
      </c>
      <c r="F2801">
        <v>42</v>
      </c>
      <c r="G2801">
        <v>0</v>
      </c>
      <c r="H2801" s="2">
        <v>78.546399999999991</v>
      </c>
      <c r="I2801" s="2">
        <v>271.59000000000003</v>
      </c>
    </row>
    <row r="2802" spans="2:9" x14ac:dyDescent="0.3">
      <c r="E2802" t="s">
        <v>20</v>
      </c>
      <c r="F2802">
        <v>60</v>
      </c>
      <c r="G2802">
        <v>2.4</v>
      </c>
      <c r="H2802" s="2">
        <v>359.84219999999999</v>
      </c>
      <c r="I2802" s="2">
        <v>1002.272</v>
      </c>
    </row>
    <row r="2803" spans="2:9" x14ac:dyDescent="0.3">
      <c r="E2803" t="s">
        <v>33</v>
      </c>
      <c r="F2803">
        <v>3</v>
      </c>
      <c r="G2803">
        <v>0.4</v>
      </c>
      <c r="H2803" s="2">
        <v>-31.625399999999985</v>
      </c>
      <c r="I2803" s="2">
        <v>282.20799999999997</v>
      </c>
    </row>
    <row r="2804" spans="2:9" x14ac:dyDescent="0.3">
      <c r="E2804" t="s">
        <v>45</v>
      </c>
      <c r="F2804">
        <v>8</v>
      </c>
      <c r="G2804">
        <v>0.4</v>
      </c>
      <c r="H2804" s="2">
        <v>1139.982</v>
      </c>
      <c r="I2804" s="2">
        <v>3839.9360000000001</v>
      </c>
    </row>
    <row r="2805" spans="2:9" x14ac:dyDescent="0.3">
      <c r="E2805" t="s">
        <v>18</v>
      </c>
      <c r="F2805">
        <v>7</v>
      </c>
      <c r="G2805">
        <v>0</v>
      </c>
      <c r="H2805" s="2">
        <v>0</v>
      </c>
      <c r="I2805" s="2">
        <v>13.86</v>
      </c>
    </row>
    <row r="2806" spans="2:9" x14ac:dyDescent="0.3">
      <c r="E2806" t="s">
        <v>21</v>
      </c>
      <c r="F2806">
        <v>15</v>
      </c>
      <c r="G2806">
        <v>0</v>
      </c>
      <c r="H2806" s="2">
        <v>39.212299999999999</v>
      </c>
      <c r="I2806" s="2">
        <v>111.80999999999997</v>
      </c>
    </row>
    <row r="2807" spans="2:9" x14ac:dyDescent="0.3">
      <c r="E2807" t="s">
        <v>43</v>
      </c>
      <c r="F2807">
        <v>15</v>
      </c>
      <c r="G2807">
        <v>0</v>
      </c>
      <c r="H2807" s="2">
        <v>42.707800000000006</v>
      </c>
      <c r="I2807" s="2">
        <v>87.710000000000008</v>
      </c>
    </row>
    <row r="2808" spans="2:9" x14ac:dyDescent="0.3">
      <c r="E2808" t="s">
        <v>16</v>
      </c>
      <c r="F2808">
        <v>41</v>
      </c>
      <c r="G2808">
        <v>0</v>
      </c>
      <c r="H2808" s="2">
        <v>271.87259999999998</v>
      </c>
      <c r="I2808" s="2">
        <v>564.43999999999994</v>
      </c>
    </row>
    <row r="2809" spans="2:9" x14ac:dyDescent="0.3">
      <c r="E2809" t="s">
        <v>24</v>
      </c>
      <c r="F2809">
        <v>39</v>
      </c>
      <c r="G2809">
        <v>1.9999999999999998</v>
      </c>
      <c r="H2809" s="2">
        <v>301.05540000000008</v>
      </c>
      <c r="I2809" s="2">
        <v>3432.8320000000003</v>
      </c>
    </row>
    <row r="2810" spans="2:9" x14ac:dyDescent="0.3">
      <c r="E2810" t="s">
        <v>14</v>
      </c>
      <c r="F2810">
        <v>22</v>
      </c>
      <c r="G2810">
        <v>0</v>
      </c>
      <c r="H2810" s="2">
        <v>255.00959999999995</v>
      </c>
      <c r="I2810" s="2">
        <v>1875.13</v>
      </c>
    </row>
    <row r="2811" spans="2:9" x14ac:dyDescent="0.3">
      <c r="E2811" t="s">
        <v>25</v>
      </c>
      <c r="F2811">
        <v>8</v>
      </c>
      <c r="G2811">
        <v>0.4</v>
      </c>
      <c r="H2811" s="2">
        <v>-163.04520000000011</v>
      </c>
      <c r="I2811" s="2">
        <v>1518</v>
      </c>
    </row>
    <row r="2812" spans="2:9" x14ac:dyDescent="0.3">
      <c r="B2812" t="s">
        <v>297</v>
      </c>
      <c r="C2812" t="s">
        <v>11</v>
      </c>
      <c r="D2812" t="s">
        <v>8</v>
      </c>
      <c r="E2812" t="s">
        <v>23</v>
      </c>
      <c r="F2812">
        <v>6</v>
      </c>
      <c r="G2812">
        <v>0.2</v>
      </c>
      <c r="H2812" s="2">
        <v>56.566200000000009</v>
      </c>
      <c r="I2812" s="2">
        <v>196.75200000000001</v>
      </c>
    </row>
    <row r="2813" spans="2:9" x14ac:dyDescent="0.3">
      <c r="E2813" t="s">
        <v>19</v>
      </c>
      <c r="F2813">
        <v>5</v>
      </c>
      <c r="G2813">
        <v>0</v>
      </c>
      <c r="H2813" s="2">
        <v>45.487000000000002</v>
      </c>
      <c r="I2813" s="2">
        <v>174.95000000000002</v>
      </c>
    </row>
    <row r="2814" spans="2:9" x14ac:dyDescent="0.3">
      <c r="E2814" t="s">
        <v>20</v>
      </c>
      <c r="F2814">
        <v>8</v>
      </c>
      <c r="G2814">
        <v>0.7</v>
      </c>
      <c r="H2814" s="2">
        <v>-7.3231999999999999</v>
      </c>
      <c r="I2814" s="2">
        <v>9.5520000000000014</v>
      </c>
    </row>
    <row r="2815" spans="2:9" x14ac:dyDescent="0.3">
      <c r="E2815" t="s">
        <v>34</v>
      </c>
      <c r="F2815">
        <v>3</v>
      </c>
      <c r="G2815">
        <v>0.7</v>
      </c>
      <c r="H2815" s="2">
        <v>-152.9847</v>
      </c>
      <c r="I2815" s="2">
        <v>89.991000000000014</v>
      </c>
    </row>
    <row r="2816" spans="2:9" x14ac:dyDescent="0.3">
      <c r="E2816" t="s">
        <v>38</v>
      </c>
      <c r="F2816">
        <v>9</v>
      </c>
      <c r="G2816">
        <v>0.2</v>
      </c>
      <c r="H2816" s="2">
        <v>7.4339999999999993</v>
      </c>
      <c r="I2816" s="2">
        <v>21.240000000000002</v>
      </c>
    </row>
    <row r="2817" spans="3:9" x14ac:dyDescent="0.3">
      <c r="E2817" t="s">
        <v>16</v>
      </c>
      <c r="F2817">
        <v>3</v>
      </c>
      <c r="G2817">
        <v>0</v>
      </c>
      <c r="H2817" s="2">
        <v>36.404399999999995</v>
      </c>
      <c r="I2817" s="2">
        <v>79.14</v>
      </c>
    </row>
    <row r="2818" spans="3:9" x14ac:dyDescent="0.3">
      <c r="E2818" t="s">
        <v>14</v>
      </c>
      <c r="F2818">
        <v>13</v>
      </c>
      <c r="G2818">
        <v>0</v>
      </c>
      <c r="H2818" s="2">
        <v>319.32799999999997</v>
      </c>
      <c r="I2818" s="2">
        <v>1174.56</v>
      </c>
    </row>
    <row r="2819" spans="3:9" x14ac:dyDescent="0.3">
      <c r="D2819" t="s">
        <v>15</v>
      </c>
      <c r="E2819" t="s">
        <v>12</v>
      </c>
      <c r="F2819">
        <v>3</v>
      </c>
      <c r="G2819">
        <v>0</v>
      </c>
      <c r="H2819" s="2">
        <v>62.531999999999982</v>
      </c>
      <c r="I2819" s="2">
        <v>208.44</v>
      </c>
    </row>
    <row r="2820" spans="3:9" x14ac:dyDescent="0.3">
      <c r="E2820" t="s">
        <v>9</v>
      </c>
      <c r="F2820">
        <v>2</v>
      </c>
      <c r="G2820">
        <v>0</v>
      </c>
      <c r="H2820" s="2">
        <v>0.77280000000000015</v>
      </c>
      <c r="I2820" s="2">
        <v>25.76</v>
      </c>
    </row>
    <row r="2821" spans="3:9" x14ac:dyDescent="0.3">
      <c r="C2821" t="s">
        <v>27</v>
      </c>
      <c r="D2821" t="s">
        <v>8</v>
      </c>
      <c r="E2821" t="s">
        <v>18</v>
      </c>
      <c r="F2821">
        <v>3</v>
      </c>
      <c r="G2821">
        <v>0</v>
      </c>
      <c r="H2821" s="2">
        <v>5.2625999999999999</v>
      </c>
      <c r="I2821" s="2">
        <v>10.74</v>
      </c>
    </row>
    <row r="2822" spans="3:9" x14ac:dyDescent="0.3">
      <c r="D2822" t="s">
        <v>17</v>
      </c>
      <c r="E2822" t="s">
        <v>33</v>
      </c>
      <c r="F2822">
        <v>4</v>
      </c>
      <c r="G2822">
        <v>0.2</v>
      </c>
      <c r="H2822" s="2">
        <v>5.1960000000000015</v>
      </c>
      <c r="I2822" s="2">
        <v>83.13600000000001</v>
      </c>
    </row>
    <row r="2823" spans="3:9" x14ac:dyDescent="0.3">
      <c r="E2823" t="s">
        <v>24</v>
      </c>
      <c r="F2823">
        <v>3</v>
      </c>
      <c r="G2823">
        <v>0.2</v>
      </c>
      <c r="H2823" s="2">
        <v>9.1844999999999928</v>
      </c>
      <c r="I2823" s="2">
        <v>146.952</v>
      </c>
    </row>
    <row r="2824" spans="3:9" x14ac:dyDescent="0.3">
      <c r="C2824" t="s">
        <v>7</v>
      </c>
      <c r="D2824" t="s">
        <v>8</v>
      </c>
      <c r="E2824" t="s">
        <v>19</v>
      </c>
      <c r="F2824">
        <v>2</v>
      </c>
      <c r="G2824">
        <v>0.2</v>
      </c>
      <c r="H2824" s="2">
        <v>10.833799999999998</v>
      </c>
      <c r="I2824" s="2">
        <v>37.972000000000001</v>
      </c>
    </row>
    <row r="2825" spans="3:9" x14ac:dyDescent="0.3">
      <c r="E2825" t="s">
        <v>20</v>
      </c>
      <c r="F2825">
        <v>1</v>
      </c>
      <c r="G2825">
        <v>0</v>
      </c>
      <c r="H2825" s="2">
        <v>5.8890999999999991</v>
      </c>
      <c r="I2825" s="2">
        <v>12.53</v>
      </c>
    </row>
    <row r="2826" spans="3:9" x14ac:dyDescent="0.3">
      <c r="E2826" t="s">
        <v>33</v>
      </c>
      <c r="F2826">
        <v>22</v>
      </c>
      <c r="G2826">
        <v>0.2</v>
      </c>
      <c r="H2826" s="2">
        <v>630.55009999999993</v>
      </c>
      <c r="I2826" s="2">
        <v>2675.94</v>
      </c>
    </row>
    <row r="2827" spans="3:9" x14ac:dyDescent="0.3">
      <c r="E2827" t="s">
        <v>16</v>
      </c>
      <c r="F2827">
        <v>4</v>
      </c>
      <c r="G2827">
        <v>0.2</v>
      </c>
      <c r="H2827" s="2">
        <v>12.5328</v>
      </c>
      <c r="I2827" s="2">
        <v>35.808</v>
      </c>
    </row>
    <row r="2828" spans="3:9" x14ac:dyDescent="0.3">
      <c r="E2828" t="s">
        <v>24</v>
      </c>
      <c r="F2828">
        <v>2</v>
      </c>
      <c r="G2828">
        <v>0.2</v>
      </c>
      <c r="H2828" s="2">
        <v>55.998400000000032</v>
      </c>
      <c r="I2828" s="2">
        <v>559.98400000000004</v>
      </c>
    </row>
    <row r="2829" spans="3:9" x14ac:dyDescent="0.3">
      <c r="E2829" t="s">
        <v>14</v>
      </c>
      <c r="F2829">
        <v>3</v>
      </c>
      <c r="G2829">
        <v>0</v>
      </c>
      <c r="H2829" s="2">
        <v>9.5940000000000012</v>
      </c>
      <c r="I2829" s="2">
        <v>95.94</v>
      </c>
    </row>
    <row r="2830" spans="3:9" x14ac:dyDescent="0.3">
      <c r="E2830" t="s">
        <v>25</v>
      </c>
      <c r="F2830">
        <v>2</v>
      </c>
      <c r="G2830">
        <v>0.5</v>
      </c>
      <c r="H2830" s="2">
        <v>-99.266399999999976</v>
      </c>
      <c r="I2830" s="2">
        <v>145.97999999999999</v>
      </c>
    </row>
    <row r="2831" spans="3:9" x14ac:dyDescent="0.3">
      <c r="D2831" t="s">
        <v>15</v>
      </c>
      <c r="E2831" t="s">
        <v>33</v>
      </c>
      <c r="F2831">
        <v>2</v>
      </c>
      <c r="G2831">
        <v>0</v>
      </c>
      <c r="H2831" s="2">
        <v>168.47040000000004</v>
      </c>
      <c r="I2831" s="2">
        <v>701.96</v>
      </c>
    </row>
    <row r="2832" spans="3:9" x14ac:dyDescent="0.3">
      <c r="E2832" t="s">
        <v>18</v>
      </c>
      <c r="F2832">
        <v>3</v>
      </c>
      <c r="G2832">
        <v>0.2</v>
      </c>
      <c r="H2832" s="2">
        <v>3.065399999999999</v>
      </c>
      <c r="I2832" s="2">
        <v>9.4320000000000004</v>
      </c>
    </row>
    <row r="2833" spans="3:9" x14ac:dyDescent="0.3">
      <c r="C2833" t="s">
        <v>22</v>
      </c>
      <c r="D2833" t="s">
        <v>8</v>
      </c>
      <c r="E2833" t="s">
        <v>23</v>
      </c>
      <c r="F2833">
        <v>4</v>
      </c>
      <c r="G2833">
        <v>0.2</v>
      </c>
      <c r="H2833" s="2">
        <v>-2.9180000000000028</v>
      </c>
      <c r="I2833" s="2">
        <v>46.688000000000002</v>
      </c>
    </row>
    <row r="2834" spans="3:9" x14ac:dyDescent="0.3">
      <c r="E2834" t="s">
        <v>20</v>
      </c>
      <c r="F2834">
        <v>6</v>
      </c>
      <c r="G2834">
        <v>0</v>
      </c>
      <c r="H2834" s="2">
        <v>33.7149</v>
      </c>
      <c r="I2834" s="2">
        <v>70.11</v>
      </c>
    </row>
    <row r="2835" spans="3:9" x14ac:dyDescent="0.3">
      <c r="E2835" t="s">
        <v>33</v>
      </c>
      <c r="F2835">
        <v>5</v>
      </c>
      <c r="G2835">
        <v>0</v>
      </c>
      <c r="H2835" s="2">
        <v>129.57300000000004</v>
      </c>
      <c r="I2835" s="2">
        <v>479.9</v>
      </c>
    </row>
    <row r="2836" spans="3:9" x14ac:dyDescent="0.3">
      <c r="E2836" t="s">
        <v>21</v>
      </c>
      <c r="F2836">
        <v>6</v>
      </c>
      <c r="G2836">
        <v>0.2</v>
      </c>
      <c r="H2836" s="2">
        <v>42.789599999999979</v>
      </c>
      <c r="I2836" s="2">
        <v>232.63200000000001</v>
      </c>
    </row>
    <row r="2837" spans="3:9" x14ac:dyDescent="0.3">
      <c r="E2837" t="s">
        <v>43</v>
      </c>
      <c r="F2837">
        <v>1</v>
      </c>
      <c r="G2837">
        <v>0</v>
      </c>
      <c r="H2837" s="2">
        <v>1.2005999999999999</v>
      </c>
      <c r="I2837" s="2">
        <v>2.61</v>
      </c>
    </row>
    <row r="2838" spans="3:9" x14ac:dyDescent="0.3">
      <c r="E2838" t="s">
        <v>16</v>
      </c>
      <c r="F2838">
        <v>1</v>
      </c>
      <c r="G2838">
        <v>0.2</v>
      </c>
      <c r="H2838" s="2">
        <v>2.0849999999999991</v>
      </c>
      <c r="I2838" s="2">
        <v>6.6720000000000006</v>
      </c>
    </row>
    <row r="2839" spans="3:9" x14ac:dyDescent="0.3">
      <c r="E2839" t="s">
        <v>24</v>
      </c>
      <c r="F2839">
        <v>17</v>
      </c>
      <c r="G2839">
        <v>0.2</v>
      </c>
      <c r="H2839" s="2">
        <v>175.48570000000004</v>
      </c>
      <c r="I2839" s="2">
        <v>785.22399999999993</v>
      </c>
    </row>
    <row r="2840" spans="3:9" x14ac:dyDescent="0.3">
      <c r="E2840" t="s">
        <v>14</v>
      </c>
      <c r="F2840">
        <v>3</v>
      </c>
      <c r="G2840">
        <v>0.2</v>
      </c>
      <c r="H2840" s="2">
        <v>20.745899999999985</v>
      </c>
      <c r="I2840" s="2">
        <v>237.09600000000003</v>
      </c>
    </row>
    <row r="2841" spans="3:9" x14ac:dyDescent="0.3">
      <c r="D2841" t="s">
        <v>15</v>
      </c>
      <c r="E2841" t="s">
        <v>19</v>
      </c>
      <c r="F2841">
        <v>2</v>
      </c>
      <c r="G2841">
        <v>0.2</v>
      </c>
      <c r="H2841" s="2">
        <v>0.59920000000000018</v>
      </c>
      <c r="I2841" s="2">
        <v>6.8480000000000008</v>
      </c>
    </row>
    <row r="2842" spans="3:9" x14ac:dyDescent="0.3">
      <c r="E2842" t="s">
        <v>21</v>
      </c>
      <c r="F2842">
        <v>3</v>
      </c>
      <c r="G2842">
        <v>0.2</v>
      </c>
      <c r="H2842" s="2">
        <v>3.665999999999995</v>
      </c>
      <c r="I2842" s="2">
        <v>29.328000000000003</v>
      </c>
    </row>
    <row r="2843" spans="3:9" x14ac:dyDescent="0.3">
      <c r="D2843" t="s">
        <v>17</v>
      </c>
      <c r="E2843" t="s">
        <v>23</v>
      </c>
      <c r="F2843">
        <v>20</v>
      </c>
      <c r="G2843">
        <v>0</v>
      </c>
      <c r="H2843" s="2">
        <v>74.183799999999991</v>
      </c>
      <c r="I2843" s="2">
        <v>378.02</v>
      </c>
    </row>
    <row r="2844" spans="3:9" x14ac:dyDescent="0.3">
      <c r="E2844" t="s">
        <v>20</v>
      </c>
      <c r="F2844">
        <v>33</v>
      </c>
      <c r="G2844">
        <v>2.0999999999999996</v>
      </c>
      <c r="H2844" s="2">
        <v>148.31709999999998</v>
      </c>
      <c r="I2844" s="2">
        <v>429.00799999999998</v>
      </c>
    </row>
    <row r="2845" spans="3:9" x14ac:dyDescent="0.3">
      <c r="E2845" t="s">
        <v>21</v>
      </c>
      <c r="F2845">
        <v>5</v>
      </c>
      <c r="G2845">
        <v>0</v>
      </c>
      <c r="H2845" s="2">
        <v>12.446999999999999</v>
      </c>
      <c r="I2845" s="2">
        <v>34.22</v>
      </c>
    </row>
    <row r="2846" spans="3:9" x14ac:dyDescent="0.3">
      <c r="E2846" t="s">
        <v>46</v>
      </c>
      <c r="F2846">
        <v>5</v>
      </c>
      <c r="G2846">
        <v>0.7</v>
      </c>
      <c r="H2846" s="2">
        <v>-3399.9800000000009</v>
      </c>
      <c r="I2846" s="2">
        <v>2549.9850000000006</v>
      </c>
    </row>
    <row r="2847" spans="3:9" x14ac:dyDescent="0.3">
      <c r="E2847" t="s">
        <v>16</v>
      </c>
      <c r="F2847">
        <v>4</v>
      </c>
      <c r="G2847">
        <v>0.2</v>
      </c>
      <c r="H2847" s="2">
        <v>7.2576000000000001</v>
      </c>
      <c r="I2847" s="2">
        <v>20.736000000000004</v>
      </c>
    </row>
    <row r="2848" spans="3:9" x14ac:dyDescent="0.3">
      <c r="E2848" t="s">
        <v>24</v>
      </c>
      <c r="F2848">
        <v>3</v>
      </c>
      <c r="G2848">
        <v>0</v>
      </c>
      <c r="H2848" s="2">
        <v>134.99250000000001</v>
      </c>
      <c r="I2848" s="2">
        <v>539.97</v>
      </c>
    </row>
    <row r="2849" spans="2:9" x14ac:dyDescent="0.3">
      <c r="B2849" t="s">
        <v>298</v>
      </c>
      <c r="C2849" t="s">
        <v>11</v>
      </c>
      <c r="D2849" t="s">
        <v>15</v>
      </c>
      <c r="E2849" t="s">
        <v>38</v>
      </c>
      <c r="F2849">
        <v>1</v>
      </c>
      <c r="G2849">
        <v>0.2</v>
      </c>
      <c r="H2849" s="2">
        <v>3.1842000000000001</v>
      </c>
      <c r="I2849" s="2">
        <v>8.7840000000000007</v>
      </c>
    </row>
    <row r="2850" spans="2:9" x14ac:dyDescent="0.3">
      <c r="E2850" t="s">
        <v>16</v>
      </c>
      <c r="F2850">
        <v>2</v>
      </c>
      <c r="G2850">
        <v>0.2</v>
      </c>
      <c r="H2850" s="2">
        <v>2.8884000000000007</v>
      </c>
      <c r="I2850" s="2">
        <v>7.9680000000000009</v>
      </c>
    </row>
    <row r="2851" spans="2:9" x14ac:dyDescent="0.3">
      <c r="C2851" t="s">
        <v>7</v>
      </c>
      <c r="D2851" t="s">
        <v>15</v>
      </c>
      <c r="E2851" t="s">
        <v>20</v>
      </c>
      <c r="F2851">
        <v>2</v>
      </c>
      <c r="G2851">
        <v>0.7</v>
      </c>
      <c r="H2851" s="2">
        <v>-0.98999999999999977</v>
      </c>
      <c r="I2851" s="2">
        <v>1.1880000000000002</v>
      </c>
    </row>
    <row r="2852" spans="2:9" x14ac:dyDescent="0.3">
      <c r="C2852" t="s">
        <v>22</v>
      </c>
      <c r="D2852" t="s">
        <v>8</v>
      </c>
      <c r="E2852" t="s">
        <v>18</v>
      </c>
      <c r="F2852">
        <v>3</v>
      </c>
      <c r="G2852">
        <v>0.2</v>
      </c>
      <c r="H2852" s="2">
        <v>-0.6048</v>
      </c>
      <c r="I2852" s="2">
        <v>3.024</v>
      </c>
    </row>
    <row r="2853" spans="2:9" x14ac:dyDescent="0.3">
      <c r="B2853" t="s">
        <v>299</v>
      </c>
      <c r="C2853" t="s">
        <v>11</v>
      </c>
      <c r="D2853" t="s">
        <v>8</v>
      </c>
      <c r="E2853" t="s">
        <v>12</v>
      </c>
      <c r="F2853">
        <v>7</v>
      </c>
      <c r="G2853">
        <v>0</v>
      </c>
      <c r="H2853" s="2">
        <v>80.320799999999991</v>
      </c>
      <c r="I2853" s="2">
        <v>286.85999999999996</v>
      </c>
    </row>
    <row r="2854" spans="2:9" x14ac:dyDescent="0.3">
      <c r="E2854" t="s">
        <v>21</v>
      </c>
      <c r="F2854">
        <v>5</v>
      </c>
      <c r="G2854">
        <v>0</v>
      </c>
      <c r="H2854" s="2">
        <v>18.8262</v>
      </c>
      <c r="I2854" s="2">
        <v>55.66</v>
      </c>
    </row>
    <row r="2855" spans="2:9" x14ac:dyDescent="0.3">
      <c r="E2855" t="s">
        <v>24</v>
      </c>
      <c r="F2855">
        <v>7</v>
      </c>
      <c r="G2855">
        <v>0</v>
      </c>
      <c r="H2855" s="2">
        <v>363.03649999999993</v>
      </c>
      <c r="I2855" s="2">
        <v>1251.8499999999999</v>
      </c>
    </row>
    <row r="2856" spans="2:9" x14ac:dyDescent="0.3">
      <c r="E2856" t="s">
        <v>14</v>
      </c>
      <c r="F2856">
        <v>5</v>
      </c>
      <c r="G2856">
        <v>0</v>
      </c>
      <c r="H2856" s="2">
        <v>207.14699999999993</v>
      </c>
      <c r="I2856" s="2">
        <v>714.30000000000007</v>
      </c>
    </row>
    <row r="2857" spans="2:9" x14ac:dyDescent="0.3">
      <c r="E2857" t="s">
        <v>9</v>
      </c>
      <c r="F2857">
        <v>2</v>
      </c>
      <c r="G2857">
        <v>0</v>
      </c>
      <c r="H2857" s="2">
        <v>0.17439999999999944</v>
      </c>
      <c r="I2857" s="2">
        <v>4.3600000000000003</v>
      </c>
    </row>
    <row r="2858" spans="2:9" x14ac:dyDescent="0.3">
      <c r="C2858" t="s">
        <v>7</v>
      </c>
      <c r="D2858" t="s">
        <v>15</v>
      </c>
      <c r="E2858" t="s">
        <v>33</v>
      </c>
      <c r="F2858">
        <v>6</v>
      </c>
      <c r="G2858">
        <v>0</v>
      </c>
      <c r="H2858" s="2">
        <v>212.18759999999997</v>
      </c>
      <c r="I2858" s="2">
        <v>785.87999999999988</v>
      </c>
    </row>
    <row r="2859" spans="2:9" x14ac:dyDescent="0.3">
      <c r="E2859" t="s">
        <v>16</v>
      </c>
      <c r="F2859">
        <v>9</v>
      </c>
      <c r="G2859">
        <v>0</v>
      </c>
      <c r="H2859" s="2">
        <v>141.26839999999999</v>
      </c>
      <c r="I2859" s="2">
        <v>298.15999999999997</v>
      </c>
    </row>
    <row r="2860" spans="2:9" x14ac:dyDescent="0.3">
      <c r="E2860" t="s">
        <v>14</v>
      </c>
      <c r="F2860">
        <v>5</v>
      </c>
      <c r="G2860">
        <v>0</v>
      </c>
      <c r="H2860" s="2">
        <v>238.65299999999991</v>
      </c>
      <c r="I2860" s="2">
        <v>1325.8500000000001</v>
      </c>
    </row>
    <row r="2861" spans="2:9" x14ac:dyDescent="0.3">
      <c r="C2861" t="s">
        <v>22</v>
      </c>
      <c r="D2861" t="s">
        <v>8</v>
      </c>
      <c r="E2861" t="s">
        <v>19</v>
      </c>
      <c r="F2861">
        <v>5</v>
      </c>
      <c r="G2861">
        <v>0</v>
      </c>
      <c r="H2861" s="2">
        <v>7.2468000000000004</v>
      </c>
      <c r="I2861" s="2">
        <v>20.520000000000003</v>
      </c>
    </row>
    <row r="2862" spans="2:9" x14ac:dyDescent="0.3">
      <c r="E2862" t="s">
        <v>16</v>
      </c>
      <c r="F2862">
        <v>2</v>
      </c>
      <c r="G2862">
        <v>0</v>
      </c>
      <c r="H2862" s="2">
        <v>11.543199999999999</v>
      </c>
      <c r="I2862" s="2">
        <v>24.56</v>
      </c>
    </row>
    <row r="2863" spans="2:9" x14ac:dyDescent="0.3">
      <c r="D2863" t="s">
        <v>15</v>
      </c>
      <c r="E2863" t="s">
        <v>24</v>
      </c>
      <c r="F2863">
        <v>7</v>
      </c>
      <c r="G2863">
        <v>0</v>
      </c>
      <c r="H2863" s="2">
        <v>32.1678</v>
      </c>
      <c r="I2863" s="2">
        <v>69.930000000000007</v>
      </c>
    </row>
    <row r="2864" spans="2:9" x14ac:dyDescent="0.3">
      <c r="B2864" t="s">
        <v>300</v>
      </c>
      <c r="C2864" t="s">
        <v>11</v>
      </c>
      <c r="D2864" t="s">
        <v>15</v>
      </c>
      <c r="E2864" t="s">
        <v>16</v>
      </c>
      <c r="F2864">
        <v>2</v>
      </c>
      <c r="G2864">
        <v>0.2</v>
      </c>
      <c r="H2864" s="2">
        <v>3.3524000000000003</v>
      </c>
      <c r="I2864" s="2">
        <v>9.2480000000000011</v>
      </c>
    </row>
    <row r="2865" spans="2:9" x14ac:dyDescent="0.3">
      <c r="C2865" t="s">
        <v>27</v>
      </c>
      <c r="D2865" t="s">
        <v>8</v>
      </c>
      <c r="E2865" t="s">
        <v>21</v>
      </c>
      <c r="F2865">
        <v>5</v>
      </c>
      <c r="G2865">
        <v>0.6</v>
      </c>
      <c r="H2865" s="2">
        <v>-11.321999999999999</v>
      </c>
      <c r="I2865" s="2">
        <v>25.16</v>
      </c>
    </row>
    <row r="2866" spans="2:9" x14ac:dyDescent="0.3">
      <c r="C2866" t="s">
        <v>22</v>
      </c>
      <c r="D2866" t="s">
        <v>8</v>
      </c>
      <c r="E2866" t="s">
        <v>20</v>
      </c>
      <c r="F2866">
        <v>1</v>
      </c>
      <c r="G2866">
        <v>0.8</v>
      </c>
      <c r="H2866" s="2">
        <v>-10.336000000000002</v>
      </c>
      <c r="I2866" s="2">
        <v>6.0799999999999983</v>
      </c>
    </row>
    <row r="2867" spans="2:9" x14ac:dyDescent="0.3">
      <c r="E2867" t="s">
        <v>45</v>
      </c>
      <c r="F2867">
        <v>3</v>
      </c>
      <c r="G2867">
        <v>0.2</v>
      </c>
      <c r="H2867" s="2">
        <v>161.99189999999999</v>
      </c>
      <c r="I2867" s="2">
        <v>479.97600000000006</v>
      </c>
    </row>
    <row r="2868" spans="2:9" x14ac:dyDescent="0.3">
      <c r="E2868" t="s">
        <v>16</v>
      </c>
      <c r="F2868">
        <v>8</v>
      </c>
      <c r="G2868">
        <v>0.2</v>
      </c>
      <c r="H2868" s="2">
        <v>20.4984</v>
      </c>
      <c r="I2868" s="2">
        <v>60.736000000000004</v>
      </c>
    </row>
    <row r="2869" spans="2:9" x14ac:dyDescent="0.3">
      <c r="D2869" t="s">
        <v>17</v>
      </c>
      <c r="E2869" t="s">
        <v>20</v>
      </c>
      <c r="F2869">
        <v>3</v>
      </c>
      <c r="G2869">
        <v>0.8</v>
      </c>
      <c r="H2869" s="2">
        <v>-17.045999999999999</v>
      </c>
      <c r="I2869" s="2">
        <v>11.363999999999997</v>
      </c>
    </row>
    <row r="2870" spans="2:9" x14ac:dyDescent="0.3">
      <c r="B2870" t="s">
        <v>301</v>
      </c>
      <c r="C2870" t="s">
        <v>11</v>
      </c>
      <c r="D2870" t="s">
        <v>15</v>
      </c>
      <c r="E2870" t="s">
        <v>23</v>
      </c>
      <c r="F2870">
        <v>7</v>
      </c>
      <c r="G2870">
        <v>0</v>
      </c>
      <c r="H2870" s="2">
        <v>43.055099999999996</v>
      </c>
      <c r="I2870" s="2">
        <v>116.85</v>
      </c>
    </row>
    <row r="2871" spans="2:9" x14ac:dyDescent="0.3">
      <c r="C2871" t="s">
        <v>7</v>
      </c>
      <c r="D2871" t="s">
        <v>8</v>
      </c>
      <c r="E2871" t="s">
        <v>20</v>
      </c>
      <c r="F2871">
        <v>4</v>
      </c>
      <c r="G2871">
        <v>0</v>
      </c>
      <c r="H2871" s="2">
        <v>27.011199999999999</v>
      </c>
      <c r="I2871" s="2">
        <v>58.72</v>
      </c>
    </row>
    <row r="2872" spans="2:9" x14ac:dyDescent="0.3">
      <c r="D2872" t="s">
        <v>15</v>
      </c>
      <c r="E2872" t="s">
        <v>16</v>
      </c>
      <c r="F2872">
        <v>6</v>
      </c>
      <c r="G2872">
        <v>0</v>
      </c>
      <c r="H2872" s="2">
        <v>18.662400000000002</v>
      </c>
      <c r="I2872" s="2">
        <v>38.880000000000003</v>
      </c>
    </row>
    <row r="2873" spans="2:9" x14ac:dyDescent="0.3">
      <c r="C2873" t="s">
        <v>22</v>
      </c>
      <c r="D2873" t="s">
        <v>8</v>
      </c>
      <c r="E2873" t="s">
        <v>20</v>
      </c>
      <c r="F2873">
        <v>2</v>
      </c>
      <c r="G2873">
        <v>0</v>
      </c>
      <c r="H2873" s="2">
        <v>3.4367999999999999</v>
      </c>
      <c r="I2873" s="2">
        <v>7.16</v>
      </c>
    </row>
    <row r="2874" spans="2:9" x14ac:dyDescent="0.3">
      <c r="E2874" t="s">
        <v>21</v>
      </c>
      <c r="F2874">
        <v>5</v>
      </c>
      <c r="G2874">
        <v>0</v>
      </c>
      <c r="H2874" s="2">
        <v>52.688000000000002</v>
      </c>
      <c r="I2874" s="2">
        <v>142.4</v>
      </c>
    </row>
    <row r="2875" spans="2:9" x14ac:dyDescent="0.3">
      <c r="B2875" t="s">
        <v>302</v>
      </c>
      <c r="C2875" t="s">
        <v>11</v>
      </c>
      <c r="D2875" t="s">
        <v>8</v>
      </c>
      <c r="E2875" t="s">
        <v>19</v>
      </c>
      <c r="F2875">
        <v>4</v>
      </c>
      <c r="G2875">
        <v>0</v>
      </c>
      <c r="H2875" s="2">
        <v>12.592800000000004</v>
      </c>
      <c r="I2875" s="2">
        <v>46.64</v>
      </c>
    </row>
    <row r="2876" spans="2:9" x14ac:dyDescent="0.3">
      <c r="E2876" t="s">
        <v>33</v>
      </c>
      <c r="F2876">
        <v>8</v>
      </c>
      <c r="G2876">
        <v>0</v>
      </c>
      <c r="H2876" s="2">
        <v>673.88160000000016</v>
      </c>
      <c r="I2876" s="2">
        <v>2807.84</v>
      </c>
    </row>
    <row r="2877" spans="2:9" x14ac:dyDescent="0.3">
      <c r="C2877" t="s">
        <v>27</v>
      </c>
      <c r="D2877" t="s">
        <v>8</v>
      </c>
      <c r="E2877" t="s">
        <v>20</v>
      </c>
      <c r="F2877">
        <v>2</v>
      </c>
      <c r="G2877">
        <v>0</v>
      </c>
      <c r="H2877" s="2">
        <v>3.8822000000000001</v>
      </c>
      <c r="I2877" s="2">
        <v>8.26</v>
      </c>
    </row>
    <row r="2878" spans="2:9" x14ac:dyDescent="0.3">
      <c r="E2878" t="s">
        <v>18</v>
      </c>
      <c r="F2878">
        <v>1</v>
      </c>
      <c r="G2878">
        <v>0</v>
      </c>
      <c r="H2878" s="2">
        <v>0.65159999999999996</v>
      </c>
      <c r="I2878" s="2">
        <v>1.81</v>
      </c>
    </row>
    <row r="2879" spans="2:9" x14ac:dyDescent="0.3">
      <c r="C2879" t="s">
        <v>22</v>
      </c>
      <c r="D2879" t="s">
        <v>8</v>
      </c>
      <c r="E2879" t="s">
        <v>23</v>
      </c>
      <c r="F2879">
        <v>3</v>
      </c>
      <c r="G2879">
        <v>0</v>
      </c>
      <c r="H2879" s="2">
        <v>32.059799999999996</v>
      </c>
      <c r="I2879" s="2">
        <v>178.10999999999999</v>
      </c>
    </row>
    <row r="2880" spans="2:9" x14ac:dyDescent="0.3">
      <c r="E2880" t="s">
        <v>12</v>
      </c>
      <c r="F2880">
        <v>3</v>
      </c>
      <c r="G2880">
        <v>0</v>
      </c>
      <c r="H2880" s="2">
        <v>305.13000000000011</v>
      </c>
      <c r="I2880" s="2">
        <v>1089.75</v>
      </c>
    </row>
    <row r="2881" spans="2:9" x14ac:dyDescent="0.3">
      <c r="E2881" t="s">
        <v>34</v>
      </c>
      <c r="F2881">
        <v>4</v>
      </c>
      <c r="G2881">
        <v>0</v>
      </c>
      <c r="H2881" s="2">
        <v>41.392799999999966</v>
      </c>
      <c r="I2881" s="2">
        <v>459.92</v>
      </c>
    </row>
    <row r="2882" spans="2:9" x14ac:dyDescent="0.3">
      <c r="E2882" t="s">
        <v>43</v>
      </c>
      <c r="F2882">
        <v>2</v>
      </c>
      <c r="G2882">
        <v>0</v>
      </c>
      <c r="H2882" s="2">
        <v>28.087600000000002</v>
      </c>
      <c r="I2882" s="2">
        <v>61.06</v>
      </c>
    </row>
    <row r="2883" spans="2:9" x14ac:dyDescent="0.3">
      <c r="E2883" t="s">
        <v>16</v>
      </c>
      <c r="F2883">
        <v>4</v>
      </c>
      <c r="G2883">
        <v>0</v>
      </c>
      <c r="H2883" s="2">
        <v>12.659199999999998</v>
      </c>
      <c r="I2883" s="2">
        <v>27.52</v>
      </c>
    </row>
    <row r="2884" spans="2:9" x14ac:dyDescent="0.3">
      <c r="E2884" t="s">
        <v>14</v>
      </c>
      <c r="F2884">
        <v>6</v>
      </c>
      <c r="G2884">
        <v>0</v>
      </c>
      <c r="H2884" s="2">
        <v>13.317599999999999</v>
      </c>
      <c r="I2884" s="2">
        <v>665.88</v>
      </c>
    </row>
    <row r="2885" spans="2:9" x14ac:dyDescent="0.3">
      <c r="B2885" t="s">
        <v>303</v>
      </c>
      <c r="C2885" t="s">
        <v>22</v>
      </c>
      <c r="D2885" t="s">
        <v>8</v>
      </c>
      <c r="E2885" t="s">
        <v>19</v>
      </c>
      <c r="F2885">
        <v>2</v>
      </c>
      <c r="G2885">
        <v>0</v>
      </c>
      <c r="H2885" s="2">
        <v>10.316800000000001</v>
      </c>
      <c r="I2885" s="2">
        <v>39.68</v>
      </c>
    </row>
    <row r="2886" spans="2:9" x14ac:dyDescent="0.3">
      <c r="D2886" t="s">
        <v>17</v>
      </c>
      <c r="E2886" t="s">
        <v>34</v>
      </c>
      <c r="F2886">
        <v>3</v>
      </c>
      <c r="G2886">
        <v>0</v>
      </c>
      <c r="H2886" s="2">
        <v>13.915199999999992</v>
      </c>
      <c r="I2886" s="2">
        <v>173.94</v>
      </c>
    </row>
    <row r="2887" spans="2:9" x14ac:dyDescent="0.3">
      <c r="E2887" t="s">
        <v>43</v>
      </c>
      <c r="F2887">
        <v>4</v>
      </c>
      <c r="G2887">
        <v>0</v>
      </c>
      <c r="H2887" s="2">
        <v>6.9371999999999998</v>
      </c>
      <c r="I2887" s="2">
        <v>14.76</v>
      </c>
    </row>
    <row r="2888" spans="2:9" x14ac:dyDescent="0.3">
      <c r="B2888" t="s">
        <v>304</v>
      </c>
      <c r="C2888" t="s">
        <v>11</v>
      </c>
      <c r="D2888" t="s">
        <v>8</v>
      </c>
      <c r="E2888" t="s">
        <v>43</v>
      </c>
      <c r="F2888">
        <v>2</v>
      </c>
      <c r="G2888">
        <v>0</v>
      </c>
      <c r="H2888" s="2">
        <v>2.8224</v>
      </c>
      <c r="I2888" s="2">
        <v>5.76</v>
      </c>
    </row>
    <row r="2889" spans="2:9" x14ac:dyDescent="0.3">
      <c r="C2889" t="s">
        <v>27</v>
      </c>
      <c r="D2889" t="s">
        <v>15</v>
      </c>
      <c r="E2889" t="s">
        <v>20</v>
      </c>
      <c r="F2889">
        <v>4</v>
      </c>
      <c r="G2889">
        <v>0</v>
      </c>
      <c r="H2889" s="2">
        <v>10.44</v>
      </c>
      <c r="I2889" s="2">
        <v>23.2</v>
      </c>
    </row>
    <row r="2890" spans="2:9" x14ac:dyDescent="0.3">
      <c r="E2890" t="s">
        <v>34</v>
      </c>
      <c r="F2890">
        <v>4</v>
      </c>
      <c r="G2890">
        <v>0</v>
      </c>
      <c r="H2890" s="2">
        <v>271.41920000000005</v>
      </c>
      <c r="I2890" s="2">
        <v>1043.92</v>
      </c>
    </row>
    <row r="2891" spans="2:9" x14ac:dyDescent="0.3">
      <c r="E2891" t="s">
        <v>14</v>
      </c>
      <c r="F2891">
        <v>7</v>
      </c>
      <c r="G2891">
        <v>0</v>
      </c>
      <c r="H2891" s="2">
        <v>29.341200000000008</v>
      </c>
      <c r="I2891" s="2">
        <v>104.79</v>
      </c>
    </row>
    <row r="2892" spans="2:9" x14ac:dyDescent="0.3">
      <c r="E2892" t="s">
        <v>9</v>
      </c>
      <c r="F2892">
        <v>2</v>
      </c>
      <c r="G2892">
        <v>0</v>
      </c>
      <c r="H2892" s="2">
        <v>0.14719999999999978</v>
      </c>
      <c r="I2892" s="2">
        <v>7.36</v>
      </c>
    </row>
    <row r="2893" spans="2:9" x14ac:dyDescent="0.3">
      <c r="C2893" t="s">
        <v>22</v>
      </c>
      <c r="D2893" t="s">
        <v>8</v>
      </c>
      <c r="E2893" t="s">
        <v>19</v>
      </c>
      <c r="F2893">
        <v>6</v>
      </c>
      <c r="G2893">
        <v>0</v>
      </c>
      <c r="H2893" s="2">
        <v>48.806400000000011</v>
      </c>
      <c r="I2893" s="2">
        <v>119.03999999999999</v>
      </c>
    </row>
    <row r="2894" spans="2:9" x14ac:dyDescent="0.3">
      <c r="E2894" t="s">
        <v>16</v>
      </c>
      <c r="F2894">
        <v>5</v>
      </c>
      <c r="G2894">
        <v>0</v>
      </c>
      <c r="H2894" s="2">
        <v>134.65199999999999</v>
      </c>
      <c r="I2894" s="2">
        <v>274.8</v>
      </c>
    </row>
    <row r="2895" spans="2:9" x14ac:dyDescent="0.3">
      <c r="E2895" t="s">
        <v>24</v>
      </c>
      <c r="F2895">
        <v>2</v>
      </c>
      <c r="G2895">
        <v>0</v>
      </c>
      <c r="H2895" s="2">
        <v>74.8142</v>
      </c>
      <c r="I2895" s="2">
        <v>257.98</v>
      </c>
    </row>
    <row r="2896" spans="2:9" x14ac:dyDescent="0.3">
      <c r="E2896" t="s">
        <v>14</v>
      </c>
      <c r="F2896">
        <v>10</v>
      </c>
      <c r="G2896">
        <v>0</v>
      </c>
      <c r="H2896" s="2">
        <v>28.062800000000006</v>
      </c>
      <c r="I2896" s="2">
        <v>289.43</v>
      </c>
    </row>
    <row r="2897" spans="2:9" x14ac:dyDescent="0.3">
      <c r="B2897" t="s">
        <v>305</v>
      </c>
      <c r="C2897" t="s">
        <v>22</v>
      </c>
      <c r="D2897" t="s">
        <v>17</v>
      </c>
      <c r="E2897" t="s">
        <v>24</v>
      </c>
      <c r="F2897">
        <v>2</v>
      </c>
      <c r="G2897">
        <v>0</v>
      </c>
      <c r="H2897" s="2">
        <v>10.958399999999983</v>
      </c>
      <c r="I2897" s="2">
        <v>273.95999999999998</v>
      </c>
    </row>
    <row r="2898" spans="2:9" x14ac:dyDescent="0.3">
      <c r="B2898" t="s">
        <v>306</v>
      </c>
      <c r="C2898" t="s">
        <v>11</v>
      </c>
      <c r="D2898" t="s">
        <v>8</v>
      </c>
      <c r="E2898" t="s">
        <v>25</v>
      </c>
      <c r="F2898">
        <v>5</v>
      </c>
      <c r="G2898">
        <v>0.3</v>
      </c>
      <c r="H2898" s="2">
        <v>-81.306500000000028</v>
      </c>
      <c r="I2898" s="2">
        <v>517.40500000000009</v>
      </c>
    </row>
    <row r="2899" spans="2:9" x14ac:dyDescent="0.3">
      <c r="C2899" t="s">
        <v>7</v>
      </c>
      <c r="D2899" t="s">
        <v>15</v>
      </c>
      <c r="E2899" t="s">
        <v>16</v>
      </c>
      <c r="F2899">
        <v>8</v>
      </c>
      <c r="G2899">
        <v>0.2</v>
      </c>
      <c r="H2899" s="2">
        <v>14.5152</v>
      </c>
      <c r="I2899" s="2">
        <v>41.472000000000008</v>
      </c>
    </row>
    <row r="2900" spans="2:9" x14ac:dyDescent="0.3">
      <c r="B2900" t="s">
        <v>307</v>
      </c>
      <c r="C2900" t="s">
        <v>27</v>
      </c>
      <c r="D2900" t="s">
        <v>17</v>
      </c>
      <c r="E2900" t="s">
        <v>33</v>
      </c>
      <c r="F2900">
        <v>3</v>
      </c>
      <c r="G2900">
        <v>0.2</v>
      </c>
      <c r="H2900" s="2">
        <v>13.764599999999994</v>
      </c>
      <c r="I2900" s="2">
        <v>122.352</v>
      </c>
    </row>
    <row r="2901" spans="2:9" x14ac:dyDescent="0.3">
      <c r="E2901" t="s">
        <v>38</v>
      </c>
      <c r="F2901">
        <v>2</v>
      </c>
      <c r="G2901">
        <v>0</v>
      </c>
      <c r="H2901" s="2">
        <v>7.4871999999999996</v>
      </c>
      <c r="I2901" s="2">
        <v>15.28</v>
      </c>
    </row>
    <row r="2902" spans="2:9" x14ac:dyDescent="0.3">
      <c r="C2902" t="s">
        <v>22</v>
      </c>
      <c r="D2902" t="s">
        <v>17</v>
      </c>
      <c r="E2902" t="s">
        <v>16</v>
      </c>
      <c r="F2902">
        <v>3</v>
      </c>
      <c r="G2902">
        <v>0</v>
      </c>
      <c r="H2902" s="2">
        <v>150.98399999999998</v>
      </c>
      <c r="I2902" s="2">
        <v>314.54999999999995</v>
      </c>
    </row>
    <row r="2903" spans="2:9" x14ac:dyDescent="0.3">
      <c r="B2903" t="s">
        <v>308</v>
      </c>
      <c r="C2903" t="s">
        <v>11</v>
      </c>
      <c r="D2903" t="s">
        <v>17</v>
      </c>
      <c r="E2903" t="s">
        <v>43</v>
      </c>
      <c r="F2903">
        <v>3</v>
      </c>
      <c r="G2903">
        <v>0</v>
      </c>
      <c r="H2903" s="2">
        <v>22.200000000000003</v>
      </c>
      <c r="I2903" s="2">
        <v>44.400000000000006</v>
      </c>
    </row>
    <row r="2904" spans="2:9" x14ac:dyDescent="0.3">
      <c r="E2904" t="s">
        <v>16</v>
      </c>
      <c r="F2904">
        <v>3</v>
      </c>
      <c r="G2904">
        <v>0</v>
      </c>
      <c r="H2904" s="2">
        <v>8.7906000000000013</v>
      </c>
      <c r="I2904" s="2">
        <v>17.940000000000001</v>
      </c>
    </row>
    <row r="2905" spans="2:9" x14ac:dyDescent="0.3">
      <c r="E2905" t="s">
        <v>14</v>
      </c>
      <c r="F2905">
        <v>5</v>
      </c>
      <c r="G2905">
        <v>0</v>
      </c>
      <c r="H2905" s="2">
        <v>22.828499999999998</v>
      </c>
      <c r="I2905" s="2">
        <v>84.55</v>
      </c>
    </row>
    <row r="2906" spans="2:9" x14ac:dyDescent="0.3">
      <c r="C2906" t="s">
        <v>22</v>
      </c>
      <c r="D2906" t="s">
        <v>15</v>
      </c>
      <c r="E2906" t="s">
        <v>20</v>
      </c>
      <c r="F2906">
        <v>2</v>
      </c>
      <c r="G2906">
        <v>0</v>
      </c>
      <c r="H2906" s="2">
        <v>331.19099999999997</v>
      </c>
      <c r="I2906" s="2">
        <v>735.98</v>
      </c>
    </row>
    <row r="2907" spans="2:9" x14ac:dyDescent="0.3">
      <c r="B2907" t="s">
        <v>309</v>
      </c>
      <c r="C2907" t="s">
        <v>22</v>
      </c>
      <c r="D2907" t="s">
        <v>8</v>
      </c>
      <c r="E2907" t="s">
        <v>19</v>
      </c>
      <c r="F2907">
        <v>3</v>
      </c>
      <c r="G2907">
        <v>0.2</v>
      </c>
      <c r="H2907" s="2">
        <v>2.3327999999999989</v>
      </c>
      <c r="I2907" s="2">
        <v>15.552000000000003</v>
      </c>
    </row>
    <row r="2908" spans="2:9" x14ac:dyDescent="0.3">
      <c r="B2908" t="s">
        <v>310</v>
      </c>
      <c r="C2908" t="s">
        <v>27</v>
      </c>
      <c r="D2908" t="s">
        <v>17</v>
      </c>
      <c r="E2908" t="s">
        <v>16</v>
      </c>
      <c r="F2908">
        <v>9</v>
      </c>
      <c r="G2908">
        <v>0</v>
      </c>
      <c r="H2908" s="2">
        <v>27.993600000000001</v>
      </c>
      <c r="I2908" s="2">
        <v>58.320000000000007</v>
      </c>
    </row>
    <row r="2909" spans="2:9" x14ac:dyDescent="0.3">
      <c r="E2909" t="s">
        <v>24</v>
      </c>
      <c r="F2909">
        <v>3</v>
      </c>
      <c r="G2909">
        <v>0</v>
      </c>
      <c r="H2909" s="2">
        <v>50.242500000000007</v>
      </c>
      <c r="I2909" s="2">
        <v>200.96999999999997</v>
      </c>
    </row>
    <row r="2910" spans="2:9" x14ac:dyDescent="0.3">
      <c r="C2910" t="s">
        <v>7</v>
      </c>
      <c r="D2910" t="s">
        <v>15</v>
      </c>
      <c r="E2910" t="s">
        <v>23</v>
      </c>
      <c r="F2910">
        <v>6</v>
      </c>
      <c r="G2910">
        <v>0</v>
      </c>
      <c r="H2910" s="2">
        <v>6.1019999999999968</v>
      </c>
      <c r="I2910" s="2">
        <v>101.69999999999999</v>
      </c>
    </row>
    <row r="2911" spans="2:9" x14ac:dyDescent="0.3">
      <c r="E2911" t="s">
        <v>33</v>
      </c>
      <c r="F2911">
        <v>3</v>
      </c>
      <c r="G2911">
        <v>0</v>
      </c>
      <c r="H2911" s="2">
        <v>52.974299999999992</v>
      </c>
      <c r="I2911" s="2">
        <v>182.67000000000002</v>
      </c>
    </row>
    <row r="2912" spans="2:9" x14ac:dyDescent="0.3">
      <c r="E2912" t="s">
        <v>14</v>
      </c>
      <c r="F2912">
        <v>9</v>
      </c>
      <c r="G2912">
        <v>0</v>
      </c>
      <c r="H2912" s="2">
        <v>372.12599999999992</v>
      </c>
      <c r="I2912" s="2">
        <v>2389.3200000000002</v>
      </c>
    </row>
    <row r="2913" spans="2:9" x14ac:dyDescent="0.3">
      <c r="C2913" t="s">
        <v>22</v>
      </c>
      <c r="D2913" t="s">
        <v>8</v>
      </c>
      <c r="E2913" t="s">
        <v>20</v>
      </c>
      <c r="F2913">
        <v>3</v>
      </c>
      <c r="G2913">
        <v>0</v>
      </c>
      <c r="H2913" s="2">
        <v>2.7071999999999994</v>
      </c>
      <c r="I2913" s="2">
        <v>5.64</v>
      </c>
    </row>
    <row r="2914" spans="2:9" x14ac:dyDescent="0.3">
      <c r="B2914" t="s">
        <v>311</v>
      </c>
      <c r="C2914" t="s">
        <v>11</v>
      </c>
      <c r="D2914" t="s">
        <v>17</v>
      </c>
      <c r="E2914" t="s">
        <v>21</v>
      </c>
      <c r="F2914">
        <v>2</v>
      </c>
      <c r="G2914">
        <v>0.2</v>
      </c>
      <c r="H2914" s="2">
        <v>1.7352000000000005</v>
      </c>
      <c r="I2914" s="2">
        <v>7.7120000000000006</v>
      </c>
    </row>
    <row r="2915" spans="2:9" x14ac:dyDescent="0.3">
      <c r="C2915" t="s">
        <v>27</v>
      </c>
      <c r="D2915" t="s">
        <v>8</v>
      </c>
      <c r="E2915" t="s">
        <v>19</v>
      </c>
      <c r="F2915">
        <v>8</v>
      </c>
      <c r="G2915">
        <v>0.2</v>
      </c>
      <c r="H2915" s="2">
        <v>4.6719999999999988</v>
      </c>
      <c r="I2915" s="2">
        <v>37.375999999999998</v>
      </c>
    </row>
    <row r="2916" spans="2:9" x14ac:dyDescent="0.3">
      <c r="E2916" t="s">
        <v>33</v>
      </c>
      <c r="F2916">
        <v>1</v>
      </c>
      <c r="G2916">
        <v>0.3</v>
      </c>
      <c r="H2916" s="2">
        <v>-24.23520000000001</v>
      </c>
      <c r="I2916" s="2">
        <v>70.685999999999993</v>
      </c>
    </row>
    <row r="2917" spans="2:9" x14ac:dyDescent="0.3">
      <c r="E2917" t="s">
        <v>24</v>
      </c>
      <c r="F2917">
        <v>2</v>
      </c>
      <c r="G2917">
        <v>0.4</v>
      </c>
      <c r="H2917" s="2">
        <v>-89.089000000000055</v>
      </c>
      <c r="I2917" s="2">
        <v>485.93999999999994</v>
      </c>
    </row>
    <row r="2918" spans="2:9" x14ac:dyDescent="0.3">
      <c r="C2918" t="s">
        <v>7</v>
      </c>
      <c r="D2918" t="s">
        <v>8</v>
      </c>
      <c r="E2918" t="s">
        <v>21</v>
      </c>
      <c r="F2918">
        <v>3</v>
      </c>
      <c r="G2918">
        <v>0</v>
      </c>
      <c r="H2918" s="2">
        <v>4.6220999999999997</v>
      </c>
      <c r="I2918" s="2">
        <v>14.91</v>
      </c>
    </row>
    <row r="2919" spans="2:9" x14ac:dyDescent="0.3">
      <c r="E2919" t="s">
        <v>16</v>
      </c>
      <c r="F2919">
        <v>7</v>
      </c>
      <c r="G2919">
        <v>0</v>
      </c>
      <c r="H2919" s="2">
        <v>51.748799999999989</v>
      </c>
      <c r="I2919" s="2">
        <v>107.81</v>
      </c>
    </row>
    <row r="2920" spans="2:9" x14ac:dyDescent="0.3">
      <c r="E2920" t="s">
        <v>14</v>
      </c>
      <c r="F2920">
        <v>1</v>
      </c>
      <c r="G2920">
        <v>0</v>
      </c>
      <c r="H2920" s="2">
        <v>3.5047999999999995</v>
      </c>
      <c r="I2920" s="2">
        <v>13.48</v>
      </c>
    </row>
    <row r="2921" spans="2:9" x14ac:dyDescent="0.3">
      <c r="D2921" t="s">
        <v>15</v>
      </c>
      <c r="E2921" t="s">
        <v>23</v>
      </c>
      <c r="F2921">
        <v>4</v>
      </c>
      <c r="G2921">
        <v>0.2</v>
      </c>
      <c r="H2921" s="2">
        <v>33.589200000000005</v>
      </c>
      <c r="I2921" s="2">
        <v>116.83199999999999</v>
      </c>
    </row>
    <row r="2922" spans="2:9" x14ac:dyDescent="0.3">
      <c r="C2922" t="s">
        <v>22</v>
      </c>
      <c r="D2922" t="s">
        <v>8</v>
      </c>
      <c r="E2922" t="s">
        <v>23</v>
      </c>
      <c r="F2922">
        <v>3</v>
      </c>
      <c r="G2922">
        <v>0.4</v>
      </c>
      <c r="H2922" s="2">
        <v>62.069499999999977</v>
      </c>
      <c r="I2922" s="2">
        <v>327.88</v>
      </c>
    </row>
    <row r="2923" spans="2:9" x14ac:dyDescent="0.3">
      <c r="E2923" t="s">
        <v>19</v>
      </c>
      <c r="F2923">
        <v>1</v>
      </c>
      <c r="G2923">
        <v>0.2</v>
      </c>
      <c r="H2923" s="2">
        <v>0.29519999999999957</v>
      </c>
      <c r="I2923" s="2">
        <v>2.6240000000000001</v>
      </c>
    </row>
    <row r="2924" spans="2:9" x14ac:dyDescent="0.3">
      <c r="E2924" t="s">
        <v>21</v>
      </c>
      <c r="F2924">
        <v>2</v>
      </c>
      <c r="G2924">
        <v>0.2</v>
      </c>
      <c r="H2924" s="2">
        <v>9.5735999999999937</v>
      </c>
      <c r="I2924" s="2">
        <v>63.824000000000005</v>
      </c>
    </row>
    <row r="2925" spans="2:9" x14ac:dyDescent="0.3">
      <c r="E2925" t="s">
        <v>14</v>
      </c>
      <c r="F2925">
        <v>3</v>
      </c>
      <c r="G2925">
        <v>0.2</v>
      </c>
      <c r="H2925" s="2">
        <v>-26.541000000000004</v>
      </c>
      <c r="I2925" s="2">
        <v>141.55199999999999</v>
      </c>
    </row>
    <row r="2926" spans="2:9" x14ac:dyDescent="0.3">
      <c r="E2926" t="s">
        <v>25</v>
      </c>
      <c r="F2926">
        <v>1</v>
      </c>
      <c r="G2926">
        <v>0.4</v>
      </c>
      <c r="H2926" s="2">
        <v>-52.336500000000029</v>
      </c>
      <c r="I2926" s="2">
        <v>136.53</v>
      </c>
    </row>
    <row r="2927" spans="2:9" x14ac:dyDescent="0.3">
      <c r="D2927" t="s">
        <v>15</v>
      </c>
      <c r="E2927" t="s">
        <v>20</v>
      </c>
      <c r="F2927">
        <v>8</v>
      </c>
      <c r="G2927">
        <v>0</v>
      </c>
      <c r="H2927" s="2">
        <v>54.444800000000001</v>
      </c>
      <c r="I2927" s="2">
        <v>115.84</v>
      </c>
    </row>
    <row r="2928" spans="2:9" x14ac:dyDescent="0.3">
      <c r="E2928" t="s">
        <v>38</v>
      </c>
      <c r="F2928">
        <v>3</v>
      </c>
      <c r="G2928">
        <v>0.2</v>
      </c>
      <c r="H2928" s="2">
        <v>6.7067999999999977</v>
      </c>
      <c r="I2928" s="2">
        <v>19.872</v>
      </c>
    </row>
    <row r="2929" spans="2:9" x14ac:dyDescent="0.3">
      <c r="E2929" t="s">
        <v>14</v>
      </c>
      <c r="F2929">
        <v>2</v>
      </c>
      <c r="G2929">
        <v>0.2</v>
      </c>
      <c r="H2929" s="2">
        <v>-6.3960000000000008</v>
      </c>
      <c r="I2929" s="2">
        <v>51.168000000000006</v>
      </c>
    </row>
    <row r="2930" spans="2:9" x14ac:dyDescent="0.3">
      <c r="E2930" t="s">
        <v>25</v>
      </c>
      <c r="F2930">
        <v>9</v>
      </c>
      <c r="G2930">
        <v>0.4</v>
      </c>
      <c r="H2930" s="2">
        <v>-464.69700000000012</v>
      </c>
      <c r="I2930" s="2">
        <v>1548.9900000000002</v>
      </c>
    </row>
    <row r="2931" spans="2:9" x14ac:dyDescent="0.3">
      <c r="D2931" t="s">
        <v>17</v>
      </c>
      <c r="E2931" t="s">
        <v>16</v>
      </c>
      <c r="F2931">
        <v>3</v>
      </c>
      <c r="G2931">
        <v>0</v>
      </c>
      <c r="H2931" s="2">
        <v>49.970399999999991</v>
      </c>
      <c r="I2931" s="2">
        <v>106.32</v>
      </c>
    </row>
    <row r="2932" spans="2:9" x14ac:dyDescent="0.3">
      <c r="B2932" t="s">
        <v>312</v>
      </c>
      <c r="C2932" t="s">
        <v>22</v>
      </c>
      <c r="D2932" t="s">
        <v>8</v>
      </c>
      <c r="E2932" t="s">
        <v>21</v>
      </c>
      <c r="F2932">
        <v>6</v>
      </c>
      <c r="G2932">
        <v>0</v>
      </c>
      <c r="H2932" s="2">
        <v>67.606799999999993</v>
      </c>
      <c r="I2932" s="2">
        <v>206.64</v>
      </c>
    </row>
    <row r="2933" spans="2:9" x14ac:dyDescent="0.3">
      <c r="B2933" t="s">
        <v>313</v>
      </c>
      <c r="C2933" t="s">
        <v>22</v>
      </c>
      <c r="D2933" t="s">
        <v>8</v>
      </c>
      <c r="E2933" t="s">
        <v>19</v>
      </c>
      <c r="F2933">
        <v>3</v>
      </c>
      <c r="G2933">
        <v>0</v>
      </c>
      <c r="H2933" s="2">
        <v>2.3814000000000002</v>
      </c>
      <c r="I2933" s="2">
        <v>8.82</v>
      </c>
    </row>
    <row r="2934" spans="2:9" x14ac:dyDescent="0.3">
      <c r="E2934" t="s">
        <v>18</v>
      </c>
      <c r="F2934">
        <v>12</v>
      </c>
      <c r="G2934">
        <v>0</v>
      </c>
      <c r="H2934" s="2">
        <v>0.93359999999999843</v>
      </c>
      <c r="I2934" s="2">
        <v>93.36</v>
      </c>
    </row>
    <row r="2935" spans="2:9" x14ac:dyDescent="0.3">
      <c r="B2935" t="s">
        <v>314</v>
      </c>
      <c r="C2935" t="s">
        <v>11</v>
      </c>
      <c r="D2935" t="s">
        <v>15</v>
      </c>
      <c r="E2935" t="s">
        <v>20</v>
      </c>
      <c r="F2935">
        <v>5</v>
      </c>
      <c r="G2935">
        <v>1.4</v>
      </c>
      <c r="H2935" s="2">
        <v>-20.552399999999992</v>
      </c>
      <c r="I2935" s="2">
        <v>25.560000000000006</v>
      </c>
    </row>
    <row r="2936" spans="2:9" x14ac:dyDescent="0.3">
      <c r="E2936" t="s">
        <v>21</v>
      </c>
      <c r="F2936">
        <v>2</v>
      </c>
      <c r="G2936">
        <v>0.2</v>
      </c>
      <c r="H2936" s="2">
        <v>16.317200000000003</v>
      </c>
      <c r="I2936" s="2">
        <v>68.703999999999994</v>
      </c>
    </row>
    <row r="2937" spans="2:9" x14ac:dyDescent="0.3">
      <c r="B2937" t="s">
        <v>315</v>
      </c>
      <c r="C2937" t="s">
        <v>7</v>
      </c>
      <c r="D2937" t="s">
        <v>15</v>
      </c>
      <c r="E2937" t="s">
        <v>23</v>
      </c>
      <c r="F2937">
        <v>2</v>
      </c>
      <c r="G2937">
        <v>0.2</v>
      </c>
      <c r="H2937" s="2">
        <v>8.2847999999999971</v>
      </c>
      <c r="I2937" s="2">
        <v>41.424000000000007</v>
      </c>
    </row>
    <row r="2938" spans="2:9" x14ac:dyDescent="0.3">
      <c r="E2938" t="s">
        <v>19</v>
      </c>
      <c r="F2938">
        <v>6</v>
      </c>
      <c r="G2938">
        <v>0.4</v>
      </c>
      <c r="H2938" s="2">
        <v>7.3913999999999955</v>
      </c>
      <c r="I2938" s="2">
        <v>82.224000000000004</v>
      </c>
    </row>
    <row r="2939" spans="2:9" x14ac:dyDescent="0.3">
      <c r="E2939" t="s">
        <v>20</v>
      </c>
      <c r="F2939">
        <v>3</v>
      </c>
      <c r="G2939">
        <v>1.6</v>
      </c>
      <c r="H2939" s="2">
        <v>-9.1870000000000012</v>
      </c>
      <c r="I2939" s="2">
        <v>5.7879999999999985</v>
      </c>
    </row>
    <row r="2940" spans="2:9" x14ac:dyDescent="0.3">
      <c r="E2940" t="s">
        <v>33</v>
      </c>
      <c r="F2940">
        <v>1</v>
      </c>
      <c r="G2940">
        <v>0.3</v>
      </c>
      <c r="H2940" s="2">
        <v>-20.245000000000008</v>
      </c>
      <c r="I2940" s="2">
        <v>56.686</v>
      </c>
    </row>
    <row r="2941" spans="2:9" x14ac:dyDescent="0.3">
      <c r="E2941" t="s">
        <v>16</v>
      </c>
      <c r="F2941">
        <v>3</v>
      </c>
      <c r="G2941">
        <v>0.2</v>
      </c>
      <c r="H2941" s="2">
        <v>5.4432</v>
      </c>
      <c r="I2941" s="2">
        <v>15.552000000000003</v>
      </c>
    </row>
    <row r="2942" spans="2:9" x14ac:dyDescent="0.3">
      <c r="E2942" t="s">
        <v>24</v>
      </c>
      <c r="F2942">
        <v>6</v>
      </c>
      <c r="G2942">
        <v>0.4</v>
      </c>
      <c r="H2942" s="2">
        <v>30.599799999999998</v>
      </c>
      <c r="I2942" s="2">
        <v>342.73599999999999</v>
      </c>
    </row>
    <row r="2943" spans="2:9" x14ac:dyDescent="0.3">
      <c r="C2943" t="s">
        <v>22</v>
      </c>
      <c r="D2943" t="s">
        <v>8</v>
      </c>
      <c r="E2943" t="s">
        <v>19</v>
      </c>
      <c r="F2943">
        <v>7</v>
      </c>
      <c r="G2943">
        <v>0.4</v>
      </c>
      <c r="H2943" s="2">
        <v>15.726600000000008</v>
      </c>
      <c r="I2943" s="2">
        <v>180.36799999999999</v>
      </c>
    </row>
    <row r="2944" spans="2:9" x14ac:dyDescent="0.3">
      <c r="E2944" t="s">
        <v>20</v>
      </c>
      <c r="F2944">
        <v>4</v>
      </c>
      <c r="G2944">
        <v>0.8</v>
      </c>
      <c r="H2944" s="2">
        <v>-8.3160000000000025</v>
      </c>
      <c r="I2944" s="2">
        <v>4.7519999999999989</v>
      </c>
    </row>
    <row r="2945" spans="2:9" x14ac:dyDescent="0.3">
      <c r="E2945" t="s">
        <v>16</v>
      </c>
      <c r="F2945">
        <v>1</v>
      </c>
      <c r="G2945">
        <v>0.2</v>
      </c>
      <c r="H2945" s="2">
        <v>1.8144</v>
      </c>
      <c r="I2945" s="2">
        <v>5.1840000000000011</v>
      </c>
    </row>
    <row r="2946" spans="2:9" x14ac:dyDescent="0.3">
      <c r="E2946" t="s">
        <v>9</v>
      </c>
      <c r="F2946">
        <v>2</v>
      </c>
      <c r="G2946">
        <v>0.2</v>
      </c>
      <c r="H2946" s="2">
        <v>1.0007999999999999</v>
      </c>
      <c r="I2946" s="2">
        <v>13.344000000000001</v>
      </c>
    </row>
    <row r="2947" spans="2:9" x14ac:dyDescent="0.3">
      <c r="D2947" t="s">
        <v>15</v>
      </c>
      <c r="E2947" t="s">
        <v>20</v>
      </c>
      <c r="F2947">
        <v>8</v>
      </c>
      <c r="G2947">
        <v>1.6</v>
      </c>
      <c r="H2947" s="2">
        <v>-13.948100000000004</v>
      </c>
      <c r="I2947" s="2">
        <v>8.8699999999999974</v>
      </c>
    </row>
    <row r="2948" spans="2:9" x14ac:dyDescent="0.3">
      <c r="E2948" t="s">
        <v>14</v>
      </c>
      <c r="F2948">
        <v>2</v>
      </c>
      <c r="G2948">
        <v>0.2</v>
      </c>
      <c r="H2948" s="2">
        <v>0.66959999999999997</v>
      </c>
      <c r="I2948" s="2">
        <v>8.9280000000000008</v>
      </c>
    </row>
    <row r="2949" spans="2:9" x14ac:dyDescent="0.3">
      <c r="D2949" t="s">
        <v>17</v>
      </c>
      <c r="E2949" t="s">
        <v>23</v>
      </c>
      <c r="F2949">
        <v>3</v>
      </c>
      <c r="G2949">
        <v>0.2</v>
      </c>
      <c r="H2949" s="2">
        <v>3.4619999999999997</v>
      </c>
      <c r="I2949" s="2">
        <v>27.695999999999998</v>
      </c>
    </row>
    <row r="2950" spans="2:9" x14ac:dyDescent="0.3">
      <c r="E2950" t="s">
        <v>12</v>
      </c>
      <c r="F2950">
        <v>6</v>
      </c>
      <c r="G2950">
        <v>0.8</v>
      </c>
      <c r="H2950" s="2">
        <v>-186.56820000000005</v>
      </c>
      <c r="I2950" s="2">
        <v>73.163999999999987</v>
      </c>
    </row>
    <row r="2951" spans="2:9" x14ac:dyDescent="0.3">
      <c r="B2951" t="s">
        <v>316</v>
      </c>
      <c r="C2951" t="s">
        <v>22</v>
      </c>
      <c r="D2951" t="s">
        <v>8</v>
      </c>
      <c r="E2951" t="s">
        <v>16</v>
      </c>
      <c r="F2951">
        <v>8</v>
      </c>
      <c r="G2951">
        <v>0.60000000000000009</v>
      </c>
      <c r="H2951" s="2">
        <v>26.534299999999995</v>
      </c>
      <c r="I2951" s="2">
        <v>80.456000000000017</v>
      </c>
    </row>
    <row r="2952" spans="2:9" x14ac:dyDescent="0.3">
      <c r="D2952" t="s">
        <v>15</v>
      </c>
      <c r="E2952" t="s">
        <v>20</v>
      </c>
      <c r="F2952">
        <v>2</v>
      </c>
      <c r="G2952">
        <v>0.7</v>
      </c>
      <c r="H2952" s="2">
        <v>-6.833400000000001</v>
      </c>
      <c r="I2952" s="2">
        <v>9.7620000000000005</v>
      </c>
    </row>
    <row r="2953" spans="2:9" x14ac:dyDescent="0.3">
      <c r="B2953" t="s">
        <v>317</v>
      </c>
      <c r="C2953" t="s">
        <v>22</v>
      </c>
      <c r="D2953" t="s">
        <v>8</v>
      </c>
      <c r="E2953" t="s">
        <v>20</v>
      </c>
      <c r="F2953">
        <v>3</v>
      </c>
      <c r="G2953">
        <v>0.7</v>
      </c>
      <c r="H2953" s="2">
        <v>-13.4694</v>
      </c>
      <c r="I2953" s="2">
        <v>19.242000000000001</v>
      </c>
    </row>
    <row r="2954" spans="2:9" x14ac:dyDescent="0.3">
      <c r="E2954" t="s">
        <v>24</v>
      </c>
      <c r="F2954">
        <v>13</v>
      </c>
      <c r="G2954">
        <v>0.8</v>
      </c>
      <c r="H2954" s="2">
        <v>-118.03920000000002</v>
      </c>
      <c r="I2954" s="2">
        <v>590.19599999999991</v>
      </c>
    </row>
    <row r="2955" spans="2:9" x14ac:dyDescent="0.3">
      <c r="E2955" t="s">
        <v>25</v>
      </c>
      <c r="F2955">
        <v>1</v>
      </c>
      <c r="G2955">
        <v>0.4</v>
      </c>
      <c r="H2955" s="2">
        <v>-15.476400000000005</v>
      </c>
      <c r="I2955" s="2">
        <v>51.588000000000001</v>
      </c>
    </row>
    <row r="2956" spans="2:9" x14ac:dyDescent="0.3">
      <c r="D2956" t="s">
        <v>15</v>
      </c>
      <c r="E2956" t="s">
        <v>23</v>
      </c>
      <c r="F2956">
        <v>2</v>
      </c>
      <c r="G2956">
        <v>0.2</v>
      </c>
      <c r="H2956" s="2">
        <v>4.4792000000000058</v>
      </c>
      <c r="I2956" s="2">
        <v>89.584000000000003</v>
      </c>
    </row>
    <row r="2957" spans="2:9" x14ac:dyDescent="0.3">
      <c r="E2957" t="s">
        <v>34</v>
      </c>
      <c r="F2957">
        <v>5</v>
      </c>
      <c r="G2957">
        <v>0.5</v>
      </c>
      <c r="H2957" s="2">
        <v>-244.32300000000006</v>
      </c>
      <c r="I2957" s="2">
        <v>452.45</v>
      </c>
    </row>
    <row r="2958" spans="2:9" x14ac:dyDescent="0.3">
      <c r="E2958" t="s">
        <v>43</v>
      </c>
      <c r="F2958">
        <v>2</v>
      </c>
      <c r="G2958">
        <v>0.2</v>
      </c>
      <c r="H2958" s="2">
        <v>8.879999999999999</v>
      </c>
      <c r="I2958" s="2">
        <v>23.680000000000003</v>
      </c>
    </row>
    <row r="2959" spans="2:9" x14ac:dyDescent="0.3">
      <c r="E2959" t="s">
        <v>46</v>
      </c>
      <c r="F2959">
        <v>9</v>
      </c>
      <c r="G2959">
        <v>0.7</v>
      </c>
      <c r="H2959" s="2">
        <v>-950.40000000000009</v>
      </c>
      <c r="I2959" s="2">
        <v>1188.0000000000002</v>
      </c>
    </row>
    <row r="2960" spans="2:9" x14ac:dyDescent="0.3">
      <c r="E2960" t="s">
        <v>24</v>
      </c>
      <c r="F2960">
        <v>3</v>
      </c>
      <c r="G2960">
        <v>0.4</v>
      </c>
      <c r="H2960" s="2">
        <v>-14.695800000000006</v>
      </c>
      <c r="I2960" s="2">
        <v>62.981999999999999</v>
      </c>
    </row>
    <row r="2961" spans="2:9" x14ac:dyDescent="0.3">
      <c r="B2961" t="s">
        <v>318</v>
      </c>
      <c r="C2961" t="s">
        <v>22</v>
      </c>
      <c r="D2961" t="s">
        <v>15</v>
      </c>
      <c r="E2961" t="s">
        <v>14</v>
      </c>
      <c r="F2961">
        <v>2</v>
      </c>
      <c r="G2961">
        <v>0.2</v>
      </c>
      <c r="H2961" s="2">
        <v>9.5616000000000092</v>
      </c>
      <c r="I2961" s="2">
        <v>95.616</v>
      </c>
    </row>
    <row r="2962" spans="2:9" x14ac:dyDescent="0.3">
      <c r="B2962" t="s">
        <v>319</v>
      </c>
      <c r="C2962" t="s">
        <v>11</v>
      </c>
      <c r="D2962" t="s">
        <v>8</v>
      </c>
      <c r="E2962" t="s">
        <v>20</v>
      </c>
      <c r="F2962">
        <v>2</v>
      </c>
      <c r="G2962">
        <v>0.7</v>
      </c>
      <c r="H2962" s="2">
        <v>-2.0107999999999997</v>
      </c>
      <c r="I2962" s="2">
        <v>2.7420000000000004</v>
      </c>
    </row>
    <row r="2963" spans="2:9" x14ac:dyDescent="0.3">
      <c r="E2963" t="s">
        <v>43</v>
      </c>
      <c r="F2963">
        <v>1</v>
      </c>
      <c r="G2963">
        <v>0.2</v>
      </c>
      <c r="H2963" s="2">
        <v>1.2948</v>
      </c>
      <c r="I2963" s="2">
        <v>3.9840000000000004</v>
      </c>
    </row>
    <row r="2964" spans="2:9" x14ac:dyDescent="0.3">
      <c r="E2964" t="s">
        <v>14</v>
      </c>
      <c r="F2964">
        <v>1</v>
      </c>
      <c r="G2964">
        <v>0.2</v>
      </c>
      <c r="H2964" s="2">
        <v>-8.803799999999999</v>
      </c>
      <c r="I2964" s="2">
        <v>39.128</v>
      </c>
    </row>
    <row r="2965" spans="2:9" x14ac:dyDescent="0.3">
      <c r="E2965" t="s">
        <v>25</v>
      </c>
      <c r="F2965">
        <v>3</v>
      </c>
      <c r="G2965">
        <v>0.4</v>
      </c>
      <c r="H2965" s="2">
        <v>-142.07100000000008</v>
      </c>
      <c r="I2965" s="2">
        <v>370.62</v>
      </c>
    </row>
    <row r="2966" spans="2:9" x14ac:dyDescent="0.3">
      <c r="C2966" t="s">
        <v>7</v>
      </c>
      <c r="D2966" t="s">
        <v>8</v>
      </c>
      <c r="E2966" t="s">
        <v>16</v>
      </c>
      <c r="F2966">
        <v>8</v>
      </c>
      <c r="G2966">
        <v>0.4</v>
      </c>
      <c r="H2966" s="2">
        <v>12.410999999999998</v>
      </c>
      <c r="I2966" s="2">
        <v>34.824000000000005</v>
      </c>
    </row>
    <row r="2967" spans="2:9" x14ac:dyDescent="0.3">
      <c r="E2967" t="s">
        <v>14</v>
      </c>
      <c r="F2967">
        <v>4</v>
      </c>
      <c r="G2967">
        <v>0.2</v>
      </c>
      <c r="H2967" s="2">
        <v>-63.005600000000015</v>
      </c>
      <c r="I2967" s="2">
        <v>720.06400000000008</v>
      </c>
    </row>
    <row r="2968" spans="2:9" x14ac:dyDescent="0.3">
      <c r="E2968" t="s">
        <v>25</v>
      </c>
      <c r="F2968">
        <v>3</v>
      </c>
      <c r="G2968">
        <v>0.4</v>
      </c>
      <c r="H2968" s="2">
        <v>-94.941000000000017</v>
      </c>
      <c r="I2968" s="2">
        <v>189.88200000000001</v>
      </c>
    </row>
    <row r="2969" spans="2:9" x14ac:dyDescent="0.3">
      <c r="C2969" t="s">
        <v>22</v>
      </c>
      <c r="D2969" t="s">
        <v>8</v>
      </c>
      <c r="E2969" t="s">
        <v>23</v>
      </c>
      <c r="F2969">
        <v>2</v>
      </c>
      <c r="G2969">
        <v>0.2</v>
      </c>
      <c r="H2969" s="2">
        <v>0.47520000000000018</v>
      </c>
      <c r="I2969" s="2">
        <v>1.5840000000000001</v>
      </c>
    </row>
    <row r="2970" spans="2:9" x14ac:dyDescent="0.3">
      <c r="E2970" t="s">
        <v>12</v>
      </c>
      <c r="F2970">
        <v>7</v>
      </c>
      <c r="G2970">
        <v>0.2</v>
      </c>
      <c r="H2970" s="2">
        <v>30.605399999999946</v>
      </c>
      <c r="I2970" s="2">
        <v>272.048</v>
      </c>
    </row>
    <row r="2971" spans="2:9" x14ac:dyDescent="0.3">
      <c r="E2971" t="s">
        <v>20</v>
      </c>
      <c r="F2971">
        <v>8</v>
      </c>
      <c r="G2971">
        <v>1.4</v>
      </c>
      <c r="H2971" s="2">
        <v>-1239.9083999999996</v>
      </c>
      <c r="I2971" s="2">
        <v>1617.5280000000002</v>
      </c>
    </row>
    <row r="2972" spans="2:9" x14ac:dyDescent="0.3">
      <c r="E2972" t="s">
        <v>33</v>
      </c>
      <c r="F2972">
        <v>10</v>
      </c>
      <c r="G2972">
        <v>0.4</v>
      </c>
      <c r="H2972" s="2">
        <v>-66.730800000000059</v>
      </c>
      <c r="I2972" s="2">
        <v>1255.5840000000001</v>
      </c>
    </row>
    <row r="2973" spans="2:9" x14ac:dyDescent="0.3">
      <c r="E2973" t="s">
        <v>38</v>
      </c>
      <c r="F2973">
        <v>5</v>
      </c>
      <c r="G2973">
        <v>0.2</v>
      </c>
      <c r="H2973" s="2">
        <v>4.7969999999999988</v>
      </c>
      <c r="I2973" s="2">
        <v>14.76</v>
      </c>
    </row>
    <row r="2974" spans="2:9" x14ac:dyDescent="0.3">
      <c r="E2974" t="s">
        <v>18</v>
      </c>
      <c r="F2974">
        <v>11</v>
      </c>
      <c r="G2974">
        <v>0.4</v>
      </c>
      <c r="H2974" s="2">
        <v>27.71759999999999</v>
      </c>
      <c r="I2974" s="2">
        <v>79.424000000000007</v>
      </c>
    </row>
    <row r="2975" spans="2:9" x14ac:dyDescent="0.3">
      <c r="E2975" t="s">
        <v>21</v>
      </c>
      <c r="F2975">
        <v>3</v>
      </c>
      <c r="G2975">
        <v>0.4</v>
      </c>
      <c r="H2975" s="2">
        <v>1.2129999999999974</v>
      </c>
      <c r="I2975" s="2">
        <v>129.024</v>
      </c>
    </row>
    <row r="2976" spans="2:9" x14ac:dyDescent="0.3">
      <c r="E2976" t="s">
        <v>16</v>
      </c>
      <c r="F2976">
        <v>2</v>
      </c>
      <c r="G2976">
        <v>0.2</v>
      </c>
      <c r="H2976" s="2">
        <v>13.717599999999997</v>
      </c>
      <c r="I2976" s="2">
        <v>42.207999999999998</v>
      </c>
    </row>
    <row r="2977" spans="2:9" x14ac:dyDescent="0.3">
      <c r="E2977" t="s">
        <v>14</v>
      </c>
      <c r="F2977">
        <v>6</v>
      </c>
      <c r="G2977">
        <v>0.4</v>
      </c>
      <c r="H2977" s="2">
        <v>-73.078000000000003</v>
      </c>
      <c r="I2977" s="2">
        <v>316.70400000000001</v>
      </c>
    </row>
    <row r="2978" spans="2:9" x14ac:dyDescent="0.3">
      <c r="D2978" t="s">
        <v>15</v>
      </c>
      <c r="E2978" t="s">
        <v>20</v>
      </c>
      <c r="F2978">
        <v>3</v>
      </c>
      <c r="G2978">
        <v>0.7</v>
      </c>
      <c r="H2978" s="2">
        <v>-7.782</v>
      </c>
      <c r="I2978" s="2">
        <v>11.673000000000002</v>
      </c>
    </row>
    <row r="2979" spans="2:9" x14ac:dyDescent="0.3">
      <c r="E2979" t="s">
        <v>33</v>
      </c>
      <c r="F2979">
        <v>2</v>
      </c>
      <c r="G2979">
        <v>0.2</v>
      </c>
      <c r="H2979" s="2">
        <v>70.197999999999922</v>
      </c>
      <c r="I2979" s="2">
        <v>561.58400000000006</v>
      </c>
    </row>
    <row r="2980" spans="2:9" x14ac:dyDescent="0.3">
      <c r="E2980" t="s">
        <v>38</v>
      </c>
      <c r="F2980">
        <v>15</v>
      </c>
      <c r="G2980">
        <v>0.4</v>
      </c>
      <c r="H2980" s="2">
        <v>43.196399999999997</v>
      </c>
      <c r="I2980" s="2">
        <v>120.78400000000002</v>
      </c>
    </row>
    <row r="2981" spans="2:9" x14ac:dyDescent="0.3">
      <c r="E2981" t="s">
        <v>21</v>
      </c>
      <c r="F2981">
        <v>7</v>
      </c>
      <c r="G2981">
        <v>0.4</v>
      </c>
      <c r="H2981" s="2">
        <v>8.9239999999999995</v>
      </c>
      <c r="I2981" s="2">
        <v>39.840000000000003</v>
      </c>
    </row>
    <row r="2982" spans="2:9" x14ac:dyDescent="0.3">
      <c r="E2982" t="s">
        <v>43</v>
      </c>
      <c r="F2982">
        <v>8</v>
      </c>
      <c r="G2982">
        <v>0.2</v>
      </c>
      <c r="H2982" s="2">
        <v>5.9903999999999984</v>
      </c>
      <c r="I2982" s="2">
        <v>18.431999999999999</v>
      </c>
    </row>
    <row r="2983" spans="2:9" x14ac:dyDescent="0.3">
      <c r="E2983" t="s">
        <v>14</v>
      </c>
      <c r="F2983">
        <v>5</v>
      </c>
      <c r="G2983">
        <v>0.2</v>
      </c>
      <c r="H2983" s="2">
        <v>-1.249000000000013</v>
      </c>
      <c r="I2983" s="2">
        <v>99.920000000000016</v>
      </c>
    </row>
    <row r="2984" spans="2:9" x14ac:dyDescent="0.3">
      <c r="B2984" t="s">
        <v>320</v>
      </c>
      <c r="C2984" t="s">
        <v>27</v>
      </c>
      <c r="D2984" t="s">
        <v>17</v>
      </c>
      <c r="E2984" t="s">
        <v>23</v>
      </c>
      <c r="F2984">
        <v>3</v>
      </c>
      <c r="G2984">
        <v>0.2</v>
      </c>
      <c r="H2984" s="2">
        <v>65.993400000000008</v>
      </c>
      <c r="I2984" s="2">
        <v>239.976</v>
      </c>
    </row>
    <row r="2985" spans="2:9" x14ac:dyDescent="0.3">
      <c r="E2985" t="s">
        <v>33</v>
      </c>
      <c r="F2985">
        <v>1</v>
      </c>
      <c r="G2985">
        <v>0.3</v>
      </c>
      <c r="H2985" s="2">
        <v>-15.466600000000003</v>
      </c>
      <c r="I2985" s="2">
        <v>63.686</v>
      </c>
    </row>
    <row r="2986" spans="2:9" x14ac:dyDescent="0.3">
      <c r="E2986" t="s">
        <v>21</v>
      </c>
      <c r="F2986">
        <v>4</v>
      </c>
      <c r="G2986">
        <v>0.2</v>
      </c>
      <c r="H2986" s="2">
        <v>7.436799999999999</v>
      </c>
      <c r="I2986" s="2">
        <v>21.248000000000001</v>
      </c>
    </row>
    <row r="2987" spans="2:9" x14ac:dyDescent="0.3">
      <c r="E2987" t="s">
        <v>16</v>
      </c>
      <c r="F2987">
        <v>5</v>
      </c>
      <c r="G2987">
        <v>0.4</v>
      </c>
      <c r="H2987" s="2">
        <v>8.0831999999999997</v>
      </c>
      <c r="I2987" s="2">
        <v>24.000000000000004</v>
      </c>
    </row>
    <row r="2988" spans="2:9" x14ac:dyDescent="0.3">
      <c r="E2988" t="s">
        <v>25</v>
      </c>
      <c r="F2988">
        <v>2</v>
      </c>
      <c r="G2988">
        <v>0.4</v>
      </c>
      <c r="H2988" s="2">
        <v>-189.32100000000003</v>
      </c>
      <c r="I2988" s="2">
        <v>344.22</v>
      </c>
    </row>
    <row r="2989" spans="2:9" x14ac:dyDescent="0.3">
      <c r="B2989" t="s">
        <v>321</v>
      </c>
      <c r="C2989" t="s">
        <v>11</v>
      </c>
      <c r="D2989" t="s">
        <v>8</v>
      </c>
      <c r="E2989" t="s">
        <v>19</v>
      </c>
      <c r="F2989">
        <v>5</v>
      </c>
      <c r="G2989">
        <v>0</v>
      </c>
      <c r="H2989" s="2">
        <v>6.2059999999999977</v>
      </c>
      <c r="I2989" s="2">
        <v>21.400000000000002</v>
      </c>
    </row>
    <row r="2990" spans="2:9" x14ac:dyDescent="0.3">
      <c r="D2990" t="s">
        <v>17</v>
      </c>
      <c r="E2990" t="s">
        <v>19</v>
      </c>
      <c r="F2990">
        <v>4</v>
      </c>
      <c r="G2990">
        <v>0</v>
      </c>
      <c r="H2990" s="2">
        <v>2.8911999999999995</v>
      </c>
      <c r="I2990" s="2">
        <v>11.12</v>
      </c>
    </row>
    <row r="2991" spans="2:9" x14ac:dyDescent="0.3">
      <c r="C2991" t="s">
        <v>7</v>
      </c>
      <c r="D2991" t="s">
        <v>8</v>
      </c>
      <c r="E2991" t="s">
        <v>16</v>
      </c>
      <c r="F2991">
        <v>7</v>
      </c>
      <c r="G2991">
        <v>0</v>
      </c>
      <c r="H2991" s="2">
        <v>110.97239999999999</v>
      </c>
      <c r="I2991" s="2">
        <v>226.74</v>
      </c>
    </row>
    <row r="2992" spans="2:9" x14ac:dyDescent="0.3">
      <c r="E2992" t="s">
        <v>14</v>
      </c>
      <c r="F2992">
        <v>1</v>
      </c>
      <c r="G2992">
        <v>0</v>
      </c>
      <c r="H2992" s="2">
        <v>2.8339999999999996</v>
      </c>
      <c r="I2992" s="2">
        <v>10.9</v>
      </c>
    </row>
    <row r="2993" spans="2:9" x14ac:dyDescent="0.3">
      <c r="D2993" t="s">
        <v>15</v>
      </c>
      <c r="E2993" t="s">
        <v>12</v>
      </c>
      <c r="F2993">
        <v>3</v>
      </c>
      <c r="G2993">
        <v>0</v>
      </c>
      <c r="H2993" s="2">
        <v>22.251600000000003</v>
      </c>
      <c r="I2993" s="2">
        <v>79.47</v>
      </c>
    </row>
    <row r="2994" spans="2:9" x14ac:dyDescent="0.3">
      <c r="E2994" t="s">
        <v>19</v>
      </c>
      <c r="F2994">
        <v>2</v>
      </c>
      <c r="G2994">
        <v>0</v>
      </c>
      <c r="H2994" s="2">
        <v>2.0064000000000002</v>
      </c>
      <c r="I2994" s="2">
        <v>4.5599999999999996</v>
      </c>
    </row>
    <row r="2995" spans="2:9" x14ac:dyDescent="0.3">
      <c r="E2995" t="s">
        <v>33</v>
      </c>
      <c r="F2995">
        <v>5</v>
      </c>
      <c r="G2995">
        <v>0</v>
      </c>
      <c r="H2995" s="2">
        <v>294.67100000000005</v>
      </c>
      <c r="I2995" s="2">
        <v>1133.3499999999999</v>
      </c>
    </row>
    <row r="2996" spans="2:9" x14ac:dyDescent="0.3">
      <c r="C2996" t="s">
        <v>22</v>
      </c>
      <c r="D2996" t="s">
        <v>8</v>
      </c>
      <c r="E2996" t="s">
        <v>19</v>
      </c>
      <c r="F2996">
        <v>1</v>
      </c>
      <c r="G2996">
        <v>0</v>
      </c>
      <c r="H2996" s="2">
        <v>2.2109999999999994</v>
      </c>
      <c r="I2996" s="2">
        <v>6.7</v>
      </c>
    </row>
    <row r="2997" spans="2:9" x14ac:dyDescent="0.3">
      <c r="E2997" t="s">
        <v>20</v>
      </c>
      <c r="F2997">
        <v>2</v>
      </c>
      <c r="G2997">
        <v>0</v>
      </c>
      <c r="H2997" s="2">
        <v>5.1647999999999996</v>
      </c>
      <c r="I2997" s="2">
        <v>10.76</v>
      </c>
    </row>
    <row r="2998" spans="2:9" x14ac:dyDescent="0.3">
      <c r="E2998" t="s">
        <v>16</v>
      </c>
      <c r="F2998">
        <v>2</v>
      </c>
      <c r="G2998">
        <v>0</v>
      </c>
      <c r="H2998" s="2">
        <v>21.012799999999999</v>
      </c>
      <c r="I2998" s="2">
        <v>45.68</v>
      </c>
    </row>
    <row r="2999" spans="2:9" x14ac:dyDescent="0.3">
      <c r="B2999" t="s">
        <v>322</v>
      </c>
      <c r="C2999" t="s">
        <v>22</v>
      </c>
      <c r="D2999" t="s">
        <v>15</v>
      </c>
      <c r="E2999" t="s">
        <v>20</v>
      </c>
      <c r="F2999">
        <v>3</v>
      </c>
      <c r="G2999">
        <v>0.2</v>
      </c>
      <c r="H2999" s="2">
        <v>7.9919999999999991</v>
      </c>
      <c r="I2999" s="2">
        <v>21.312000000000005</v>
      </c>
    </row>
    <row r="3000" spans="2:9" x14ac:dyDescent="0.3">
      <c r="D3000" t="s">
        <v>17</v>
      </c>
      <c r="E3000" t="s">
        <v>12</v>
      </c>
      <c r="F3000">
        <v>4</v>
      </c>
      <c r="G3000">
        <v>0</v>
      </c>
      <c r="H3000" s="2">
        <v>66.073599999999971</v>
      </c>
      <c r="I3000" s="2">
        <v>227.84</v>
      </c>
    </row>
    <row r="3001" spans="2:9" x14ac:dyDescent="0.3">
      <c r="E3001" t="s">
        <v>21</v>
      </c>
      <c r="F3001">
        <v>2</v>
      </c>
      <c r="G3001">
        <v>0</v>
      </c>
      <c r="H3001" s="2">
        <v>2.9371999999999971</v>
      </c>
      <c r="I3001" s="2">
        <v>41.96</v>
      </c>
    </row>
    <row r="3002" spans="2:9" x14ac:dyDescent="0.3">
      <c r="E3002" t="s">
        <v>16</v>
      </c>
      <c r="F3002">
        <v>2</v>
      </c>
      <c r="G3002">
        <v>0</v>
      </c>
      <c r="H3002" s="2">
        <v>18.211199999999998</v>
      </c>
      <c r="I3002" s="2">
        <v>37.94</v>
      </c>
    </row>
    <row r="3003" spans="2:9" x14ac:dyDescent="0.3">
      <c r="B3003" t="s">
        <v>323</v>
      </c>
      <c r="C3003" t="s">
        <v>11</v>
      </c>
      <c r="D3003" t="s">
        <v>8</v>
      </c>
      <c r="E3003" t="s">
        <v>24</v>
      </c>
      <c r="F3003">
        <v>10</v>
      </c>
      <c r="G3003">
        <v>0.2</v>
      </c>
      <c r="H3003" s="2">
        <v>34.5</v>
      </c>
      <c r="I3003" s="2">
        <v>552</v>
      </c>
    </row>
    <row r="3004" spans="2:9" x14ac:dyDescent="0.3">
      <c r="E3004" t="s">
        <v>25</v>
      </c>
      <c r="F3004">
        <v>3</v>
      </c>
      <c r="G3004">
        <v>0.5</v>
      </c>
      <c r="H3004" s="2">
        <v>-204.44580000000005</v>
      </c>
      <c r="I3004" s="2">
        <v>393.16500000000002</v>
      </c>
    </row>
    <row r="3005" spans="2:9" x14ac:dyDescent="0.3">
      <c r="D3005" t="s">
        <v>17</v>
      </c>
      <c r="E3005" t="s">
        <v>16</v>
      </c>
      <c r="F3005">
        <v>9</v>
      </c>
      <c r="G3005">
        <v>0.4</v>
      </c>
      <c r="H3005" s="2">
        <v>28.701599999999999</v>
      </c>
      <c r="I3005" s="2">
        <v>85.920000000000016</v>
      </c>
    </row>
    <row r="3006" spans="2:9" x14ac:dyDescent="0.3">
      <c r="C3006" t="s">
        <v>7</v>
      </c>
      <c r="D3006" t="s">
        <v>8</v>
      </c>
      <c r="E3006" t="s">
        <v>20</v>
      </c>
      <c r="F3006">
        <v>2</v>
      </c>
      <c r="G3006">
        <v>0.7</v>
      </c>
      <c r="H3006" s="2">
        <v>-15.197599999999994</v>
      </c>
      <c r="I3006" s="2">
        <v>20.724000000000004</v>
      </c>
    </row>
    <row r="3007" spans="2:9" x14ac:dyDescent="0.3">
      <c r="E3007" t="s">
        <v>34</v>
      </c>
      <c r="F3007">
        <v>6</v>
      </c>
      <c r="G3007">
        <v>0.7</v>
      </c>
      <c r="H3007" s="2">
        <v>-191.64599999999996</v>
      </c>
      <c r="I3007" s="2">
        <v>127.76400000000002</v>
      </c>
    </row>
    <row r="3008" spans="2:9" x14ac:dyDescent="0.3">
      <c r="E3008" t="s">
        <v>33</v>
      </c>
      <c r="F3008">
        <v>2</v>
      </c>
      <c r="G3008">
        <v>0.2</v>
      </c>
      <c r="H3008" s="2">
        <v>49.715999999999966</v>
      </c>
      <c r="I3008" s="2">
        <v>441.92</v>
      </c>
    </row>
    <row r="3009" spans="2:9" x14ac:dyDescent="0.3">
      <c r="E3009" t="s">
        <v>38</v>
      </c>
      <c r="F3009">
        <v>5</v>
      </c>
      <c r="G3009">
        <v>0.2</v>
      </c>
      <c r="H3009" s="2">
        <v>15.921000000000003</v>
      </c>
      <c r="I3009" s="2">
        <v>43.92</v>
      </c>
    </row>
    <row r="3010" spans="2:9" x14ac:dyDescent="0.3">
      <c r="E3010" t="s">
        <v>16</v>
      </c>
      <c r="F3010">
        <v>10</v>
      </c>
      <c r="G3010">
        <v>0.4</v>
      </c>
      <c r="H3010" s="2">
        <v>14.6248</v>
      </c>
      <c r="I3010" s="2">
        <v>43.84</v>
      </c>
    </row>
    <row r="3011" spans="2:9" x14ac:dyDescent="0.3">
      <c r="E3011" t="s">
        <v>14</v>
      </c>
      <c r="F3011">
        <v>11</v>
      </c>
      <c r="G3011">
        <v>0.4</v>
      </c>
      <c r="H3011" s="2">
        <v>-106.36200000000001</v>
      </c>
      <c r="I3011" s="2">
        <v>688.60800000000006</v>
      </c>
    </row>
    <row r="3012" spans="2:9" x14ac:dyDescent="0.3">
      <c r="E3012" t="s">
        <v>25</v>
      </c>
      <c r="F3012">
        <v>2</v>
      </c>
      <c r="G3012">
        <v>0.5</v>
      </c>
      <c r="H3012" s="2">
        <v>-135.08699999999999</v>
      </c>
      <c r="I3012" s="2">
        <v>182.55</v>
      </c>
    </row>
    <row r="3013" spans="2:9" x14ac:dyDescent="0.3">
      <c r="C3013" t="s">
        <v>22</v>
      </c>
      <c r="D3013" t="s">
        <v>8</v>
      </c>
      <c r="E3013" t="s">
        <v>23</v>
      </c>
      <c r="F3013">
        <v>2</v>
      </c>
      <c r="G3013">
        <v>0.2</v>
      </c>
      <c r="H3013" s="2">
        <v>1.9989999999999979</v>
      </c>
      <c r="I3013" s="2">
        <v>31.983999999999998</v>
      </c>
    </row>
    <row r="3014" spans="2:9" x14ac:dyDescent="0.3">
      <c r="E3014" t="s">
        <v>20</v>
      </c>
      <c r="F3014">
        <v>12</v>
      </c>
      <c r="G3014">
        <v>1.4</v>
      </c>
      <c r="H3014" s="2">
        <v>-7.9468000000000005</v>
      </c>
      <c r="I3014" s="2">
        <v>10.638</v>
      </c>
    </row>
    <row r="3015" spans="2:9" x14ac:dyDescent="0.3">
      <c r="E3015" t="s">
        <v>21</v>
      </c>
      <c r="F3015">
        <v>8</v>
      </c>
      <c r="G3015">
        <v>0.2</v>
      </c>
      <c r="H3015" s="2">
        <v>33.1584</v>
      </c>
      <c r="I3015" s="2">
        <v>120.57600000000001</v>
      </c>
    </row>
    <row r="3016" spans="2:9" x14ac:dyDescent="0.3">
      <c r="E3016" t="s">
        <v>24</v>
      </c>
      <c r="F3016">
        <v>5</v>
      </c>
      <c r="G3016">
        <v>0.2</v>
      </c>
      <c r="H3016" s="2">
        <v>32.924999999999997</v>
      </c>
      <c r="I3016" s="2">
        <v>87.8</v>
      </c>
    </row>
    <row r="3017" spans="2:9" x14ac:dyDescent="0.3">
      <c r="E3017" t="s">
        <v>14</v>
      </c>
      <c r="F3017">
        <v>2</v>
      </c>
      <c r="G3017">
        <v>0.2</v>
      </c>
      <c r="H3017" s="2">
        <v>1.4672000000000001</v>
      </c>
      <c r="I3017" s="2">
        <v>16.768000000000001</v>
      </c>
    </row>
    <row r="3018" spans="2:9" x14ac:dyDescent="0.3">
      <c r="D3018" t="s">
        <v>15</v>
      </c>
      <c r="E3018" t="s">
        <v>12</v>
      </c>
      <c r="F3018">
        <v>2</v>
      </c>
      <c r="G3018">
        <v>0.2</v>
      </c>
      <c r="H3018" s="2">
        <v>14.409600000000003</v>
      </c>
      <c r="I3018" s="2">
        <v>60.672000000000004</v>
      </c>
    </row>
    <row r="3019" spans="2:9" x14ac:dyDescent="0.3">
      <c r="E3019" t="s">
        <v>20</v>
      </c>
      <c r="F3019">
        <v>11</v>
      </c>
      <c r="G3019">
        <v>1.4</v>
      </c>
      <c r="H3019" s="2">
        <v>-107.44909999999999</v>
      </c>
      <c r="I3019" s="2">
        <v>149.61900000000003</v>
      </c>
    </row>
    <row r="3020" spans="2:9" x14ac:dyDescent="0.3">
      <c r="E3020" t="s">
        <v>16</v>
      </c>
      <c r="F3020">
        <v>4</v>
      </c>
      <c r="G3020">
        <v>0.2</v>
      </c>
      <c r="H3020" s="2">
        <v>31.273599999999998</v>
      </c>
      <c r="I3020" s="2">
        <v>86.272000000000006</v>
      </c>
    </row>
    <row r="3021" spans="2:9" x14ac:dyDescent="0.3">
      <c r="E3021" t="s">
        <v>24</v>
      </c>
      <c r="F3021">
        <v>5</v>
      </c>
      <c r="G3021">
        <v>0.2</v>
      </c>
      <c r="H3021" s="2">
        <v>23.096500000000006</v>
      </c>
      <c r="I3021" s="2">
        <v>263.96000000000004</v>
      </c>
    </row>
    <row r="3022" spans="2:9" x14ac:dyDescent="0.3">
      <c r="E3022" t="s">
        <v>14</v>
      </c>
      <c r="F3022">
        <v>16</v>
      </c>
      <c r="G3022">
        <v>0.60000000000000009</v>
      </c>
      <c r="H3022" s="2">
        <v>-89.124000000000052</v>
      </c>
      <c r="I3022" s="2">
        <v>584.25600000000009</v>
      </c>
    </row>
    <row r="3023" spans="2:9" x14ac:dyDescent="0.3">
      <c r="D3023" t="s">
        <v>17</v>
      </c>
      <c r="E3023" t="s">
        <v>16</v>
      </c>
      <c r="F3023">
        <v>1</v>
      </c>
      <c r="G3023">
        <v>0.2</v>
      </c>
      <c r="H3023" s="2">
        <v>16.234200000000001</v>
      </c>
      <c r="I3023" s="2">
        <v>44.783999999999999</v>
      </c>
    </row>
    <row r="3024" spans="2:9" x14ac:dyDescent="0.3">
      <c r="B3024" t="s">
        <v>324</v>
      </c>
      <c r="C3024" t="s">
        <v>27</v>
      </c>
      <c r="D3024" t="s">
        <v>15</v>
      </c>
      <c r="E3024" t="s">
        <v>20</v>
      </c>
      <c r="F3024">
        <v>1</v>
      </c>
      <c r="G3024">
        <v>0.8</v>
      </c>
      <c r="H3024" s="2">
        <v>-1.4016000000000002</v>
      </c>
      <c r="I3024" s="2">
        <v>0.87599999999999978</v>
      </c>
    </row>
    <row r="3025" spans="2:9" x14ac:dyDescent="0.3">
      <c r="C3025" t="s">
        <v>22</v>
      </c>
      <c r="D3025" t="s">
        <v>15</v>
      </c>
      <c r="E3025" t="s">
        <v>23</v>
      </c>
      <c r="F3025">
        <v>7</v>
      </c>
      <c r="G3025">
        <v>0.2</v>
      </c>
      <c r="H3025" s="2">
        <v>1.6632000000000007</v>
      </c>
      <c r="I3025" s="2">
        <v>5.5440000000000005</v>
      </c>
    </row>
    <row r="3026" spans="2:9" x14ac:dyDescent="0.3">
      <c r="E3026" t="s">
        <v>12</v>
      </c>
      <c r="F3026">
        <v>3</v>
      </c>
      <c r="G3026">
        <v>0.8</v>
      </c>
      <c r="H3026" s="2">
        <v>-87.148800000000023</v>
      </c>
      <c r="I3026" s="2">
        <v>34.175999999999995</v>
      </c>
    </row>
    <row r="3027" spans="2:9" x14ac:dyDescent="0.3">
      <c r="E3027" t="s">
        <v>21</v>
      </c>
      <c r="F3027">
        <v>2</v>
      </c>
      <c r="G3027">
        <v>0.6</v>
      </c>
      <c r="H3027" s="2">
        <v>-2.5471999999999984</v>
      </c>
      <c r="I3027" s="2">
        <v>6.3680000000000003</v>
      </c>
    </row>
    <row r="3028" spans="2:9" x14ac:dyDescent="0.3">
      <c r="E3028" t="s">
        <v>16</v>
      </c>
      <c r="F3028">
        <v>1</v>
      </c>
      <c r="G3028">
        <v>0.2</v>
      </c>
      <c r="H3028" s="2">
        <v>1.8144</v>
      </c>
      <c r="I3028" s="2">
        <v>5.1840000000000011</v>
      </c>
    </row>
    <row r="3029" spans="2:9" x14ac:dyDescent="0.3">
      <c r="B3029" t="s">
        <v>325</v>
      </c>
      <c r="C3029" t="s">
        <v>11</v>
      </c>
      <c r="D3029" t="s">
        <v>8</v>
      </c>
      <c r="E3029" t="s">
        <v>38</v>
      </c>
      <c r="F3029">
        <v>3</v>
      </c>
      <c r="G3029">
        <v>0.2</v>
      </c>
      <c r="H3029" s="2">
        <v>12.692699999999995</v>
      </c>
      <c r="I3029" s="2">
        <v>37.608000000000004</v>
      </c>
    </row>
    <row r="3030" spans="2:9" x14ac:dyDescent="0.3">
      <c r="E3030" t="s">
        <v>16</v>
      </c>
      <c r="F3030">
        <v>5</v>
      </c>
      <c r="G3030">
        <v>0.4</v>
      </c>
      <c r="H3030" s="2">
        <v>91.542399999999986</v>
      </c>
      <c r="I3030" s="2">
        <v>261.20799999999997</v>
      </c>
    </row>
    <row r="3031" spans="2:9" x14ac:dyDescent="0.3">
      <c r="E3031" t="s">
        <v>14</v>
      </c>
      <c r="F3031">
        <v>1</v>
      </c>
      <c r="G3031">
        <v>0.2</v>
      </c>
      <c r="H3031" s="2">
        <v>0.33479999999999999</v>
      </c>
      <c r="I3031" s="2">
        <v>4.4640000000000004</v>
      </c>
    </row>
    <row r="3032" spans="2:9" x14ac:dyDescent="0.3">
      <c r="D3032" t="s">
        <v>15</v>
      </c>
      <c r="E3032" t="s">
        <v>20</v>
      </c>
      <c r="F3032">
        <v>3</v>
      </c>
      <c r="G3032">
        <v>0.7</v>
      </c>
      <c r="H3032" s="2">
        <v>-11.936999999999998</v>
      </c>
      <c r="I3032" s="2">
        <v>15.570000000000004</v>
      </c>
    </row>
    <row r="3033" spans="2:9" x14ac:dyDescent="0.3">
      <c r="E3033" t="s">
        <v>16</v>
      </c>
      <c r="F3033">
        <v>1</v>
      </c>
      <c r="G3033">
        <v>0.2</v>
      </c>
      <c r="H3033" s="2">
        <v>11.240400000000001</v>
      </c>
      <c r="I3033" s="2">
        <v>31.007999999999999</v>
      </c>
    </row>
    <row r="3034" spans="2:9" x14ac:dyDescent="0.3">
      <c r="E3034" t="s">
        <v>24</v>
      </c>
      <c r="F3034">
        <v>5</v>
      </c>
      <c r="G3034">
        <v>0.2</v>
      </c>
      <c r="H3034" s="2">
        <v>78.396000000000043</v>
      </c>
      <c r="I3034" s="2">
        <v>783.96000000000015</v>
      </c>
    </row>
    <row r="3035" spans="2:9" x14ac:dyDescent="0.3">
      <c r="D3035" t="s">
        <v>17</v>
      </c>
      <c r="E3035" t="s">
        <v>20</v>
      </c>
      <c r="F3035">
        <v>4</v>
      </c>
      <c r="G3035">
        <v>0.7</v>
      </c>
      <c r="H3035" s="2">
        <v>-2.6207999999999991</v>
      </c>
      <c r="I3035" s="2">
        <v>3.7440000000000007</v>
      </c>
    </row>
    <row r="3036" spans="2:9" x14ac:dyDescent="0.3">
      <c r="C3036" t="s">
        <v>27</v>
      </c>
      <c r="D3036" t="s">
        <v>8</v>
      </c>
      <c r="E3036" t="s">
        <v>33</v>
      </c>
      <c r="F3036">
        <v>1</v>
      </c>
      <c r="G3036">
        <v>0.2</v>
      </c>
      <c r="H3036" s="2">
        <v>23.924000000000007</v>
      </c>
      <c r="I3036" s="2">
        <v>239.24</v>
      </c>
    </row>
    <row r="3037" spans="2:9" x14ac:dyDescent="0.3">
      <c r="C3037" t="s">
        <v>7</v>
      </c>
      <c r="D3037" t="s">
        <v>8</v>
      </c>
      <c r="E3037" t="s">
        <v>23</v>
      </c>
      <c r="F3037">
        <v>13</v>
      </c>
      <c r="G3037">
        <v>0.60000000000000009</v>
      </c>
      <c r="H3037" s="2">
        <v>126.04640000000001</v>
      </c>
      <c r="I3037" s="2">
        <v>737.80000000000007</v>
      </c>
    </row>
    <row r="3038" spans="2:9" x14ac:dyDescent="0.3">
      <c r="E3038" t="s">
        <v>20</v>
      </c>
      <c r="F3038">
        <v>4</v>
      </c>
      <c r="G3038">
        <v>0.7</v>
      </c>
      <c r="H3038" s="2">
        <v>-336.78399999999988</v>
      </c>
      <c r="I3038" s="2">
        <v>505.1760000000001</v>
      </c>
    </row>
    <row r="3039" spans="2:9" x14ac:dyDescent="0.3">
      <c r="E3039" t="s">
        <v>38</v>
      </c>
      <c r="F3039">
        <v>2</v>
      </c>
      <c r="G3039">
        <v>0.2</v>
      </c>
      <c r="H3039" s="2">
        <v>10.805399999999997</v>
      </c>
      <c r="I3039" s="2">
        <v>29.808</v>
      </c>
    </row>
    <row r="3040" spans="2:9" x14ac:dyDescent="0.3">
      <c r="E3040" t="s">
        <v>18</v>
      </c>
      <c r="F3040">
        <v>3</v>
      </c>
      <c r="G3040">
        <v>0.2</v>
      </c>
      <c r="H3040" s="2">
        <v>2.3327999999999998</v>
      </c>
      <c r="I3040" s="2">
        <v>6.911999999999999</v>
      </c>
    </row>
    <row r="3041" spans="3:9" x14ac:dyDescent="0.3">
      <c r="E3041" t="s">
        <v>21</v>
      </c>
      <c r="F3041">
        <v>3</v>
      </c>
      <c r="G3041">
        <v>0.2</v>
      </c>
      <c r="H3041" s="2">
        <v>4.1027999999999993</v>
      </c>
      <c r="I3041" s="2">
        <v>25.248000000000001</v>
      </c>
    </row>
    <row r="3042" spans="3:9" x14ac:dyDescent="0.3">
      <c r="E3042" t="s">
        <v>43</v>
      </c>
      <c r="F3042">
        <v>3</v>
      </c>
      <c r="G3042">
        <v>0.2</v>
      </c>
      <c r="H3042" s="2">
        <v>85.529700000000005</v>
      </c>
      <c r="I3042" s="2">
        <v>235.94400000000002</v>
      </c>
    </row>
    <row r="3043" spans="3:9" x14ac:dyDescent="0.3">
      <c r="E3043" t="s">
        <v>16</v>
      </c>
      <c r="F3043">
        <v>2</v>
      </c>
      <c r="G3043">
        <v>0.2</v>
      </c>
      <c r="H3043" s="2">
        <v>3.6288</v>
      </c>
      <c r="I3043" s="2">
        <v>10.368000000000002</v>
      </c>
    </row>
    <row r="3044" spans="3:9" x14ac:dyDescent="0.3">
      <c r="E3044" t="s">
        <v>25</v>
      </c>
      <c r="F3044">
        <v>3</v>
      </c>
      <c r="G3044">
        <v>0.45</v>
      </c>
      <c r="H3044" s="2">
        <v>-110.76450000000001</v>
      </c>
      <c r="I3044" s="2">
        <v>174.05850000000001</v>
      </c>
    </row>
    <row r="3045" spans="3:9" x14ac:dyDescent="0.3">
      <c r="D3045" t="s">
        <v>15</v>
      </c>
      <c r="E3045" t="s">
        <v>43</v>
      </c>
      <c r="F3045">
        <v>4</v>
      </c>
      <c r="G3045">
        <v>0.2</v>
      </c>
      <c r="H3045" s="2">
        <v>3.528</v>
      </c>
      <c r="I3045" s="2">
        <v>10.08</v>
      </c>
    </row>
    <row r="3046" spans="3:9" x14ac:dyDescent="0.3">
      <c r="D3046" t="s">
        <v>17</v>
      </c>
      <c r="E3046" t="s">
        <v>16</v>
      </c>
      <c r="F3046">
        <v>13</v>
      </c>
      <c r="G3046">
        <v>0.4</v>
      </c>
      <c r="H3046" s="2">
        <v>21.963200000000001</v>
      </c>
      <c r="I3046" s="2">
        <v>62.752000000000002</v>
      </c>
    </row>
    <row r="3047" spans="3:9" x14ac:dyDescent="0.3">
      <c r="E3047" t="s">
        <v>24</v>
      </c>
      <c r="F3047">
        <v>3</v>
      </c>
      <c r="G3047">
        <v>0.2</v>
      </c>
      <c r="H3047" s="2">
        <v>8.9969999999999892</v>
      </c>
      <c r="I3047" s="2">
        <v>71.975999999999999</v>
      </c>
    </row>
    <row r="3048" spans="3:9" x14ac:dyDescent="0.3">
      <c r="C3048" t="s">
        <v>22</v>
      </c>
      <c r="D3048" t="s">
        <v>8</v>
      </c>
      <c r="E3048" t="s">
        <v>23</v>
      </c>
      <c r="F3048">
        <v>10</v>
      </c>
      <c r="G3048">
        <v>0.4</v>
      </c>
      <c r="H3048" s="2">
        <v>-9.5670000000000037</v>
      </c>
      <c r="I3048" s="2">
        <v>184.56</v>
      </c>
    </row>
    <row r="3049" spans="3:9" x14ac:dyDescent="0.3">
      <c r="E3049" t="s">
        <v>19</v>
      </c>
      <c r="F3049">
        <v>8</v>
      </c>
      <c r="G3049">
        <v>0.2</v>
      </c>
      <c r="H3049" s="2">
        <v>7.4751999999999992</v>
      </c>
      <c r="I3049" s="2">
        <v>37.375999999999998</v>
      </c>
    </row>
    <row r="3050" spans="3:9" x14ac:dyDescent="0.3">
      <c r="E3050" t="s">
        <v>20</v>
      </c>
      <c r="F3050">
        <v>28</v>
      </c>
      <c r="G3050">
        <v>5.6000000000000005</v>
      </c>
      <c r="H3050" s="2">
        <v>-245.28559999999996</v>
      </c>
      <c r="I3050" s="2">
        <v>319.31400000000008</v>
      </c>
    </row>
    <row r="3051" spans="3:9" x14ac:dyDescent="0.3">
      <c r="E3051" t="s">
        <v>34</v>
      </c>
      <c r="F3051">
        <v>3</v>
      </c>
      <c r="G3051">
        <v>0.2</v>
      </c>
      <c r="H3051" s="2">
        <v>-36.294000000000011</v>
      </c>
      <c r="I3051" s="2">
        <v>290.35200000000003</v>
      </c>
    </row>
    <row r="3052" spans="3:9" x14ac:dyDescent="0.3">
      <c r="E3052" t="s">
        <v>33</v>
      </c>
      <c r="F3052">
        <v>4</v>
      </c>
      <c r="G3052">
        <v>0.2</v>
      </c>
      <c r="H3052" s="2">
        <v>-68.1096</v>
      </c>
      <c r="I3052" s="2">
        <v>419.13599999999997</v>
      </c>
    </row>
    <row r="3053" spans="3:9" x14ac:dyDescent="0.3">
      <c r="E3053" t="s">
        <v>38</v>
      </c>
      <c r="F3053">
        <v>3</v>
      </c>
      <c r="G3053">
        <v>0.2</v>
      </c>
      <c r="H3053" s="2">
        <v>7.6283999999999974</v>
      </c>
      <c r="I3053" s="2">
        <v>23.472000000000001</v>
      </c>
    </row>
    <row r="3054" spans="3:9" x14ac:dyDescent="0.3">
      <c r="E3054" t="s">
        <v>21</v>
      </c>
      <c r="F3054">
        <v>3</v>
      </c>
      <c r="G3054">
        <v>0.2</v>
      </c>
      <c r="H3054" s="2">
        <v>-3.8385000000000105</v>
      </c>
      <c r="I3054" s="2">
        <v>102.35999999999999</v>
      </c>
    </row>
    <row r="3055" spans="3:9" x14ac:dyDescent="0.3">
      <c r="E3055" t="s">
        <v>24</v>
      </c>
      <c r="F3055">
        <v>5</v>
      </c>
      <c r="G3055">
        <v>0.2</v>
      </c>
      <c r="H3055" s="2">
        <v>85.247500000000002</v>
      </c>
      <c r="I3055" s="2">
        <v>1363.96</v>
      </c>
    </row>
    <row r="3056" spans="3:9" x14ac:dyDescent="0.3">
      <c r="E3056" t="s">
        <v>14</v>
      </c>
      <c r="F3056">
        <v>2</v>
      </c>
      <c r="G3056">
        <v>0.2</v>
      </c>
      <c r="H3056" s="2">
        <v>1.3079999999999989</v>
      </c>
      <c r="I3056" s="2">
        <v>17.440000000000001</v>
      </c>
    </row>
    <row r="3057" spans="2:9" x14ac:dyDescent="0.3">
      <c r="D3057" t="s">
        <v>15</v>
      </c>
      <c r="E3057" t="s">
        <v>19</v>
      </c>
      <c r="F3057">
        <v>9</v>
      </c>
      <c r="G3057">
        <v>0.4</v>
      </c>
      <c r="H3057" s="2">
        <v>7.7748999999999953</v>
      </c>
      <c r="I3057" s="2">
        <v>61.591999999999999</v>
      </c>
    </row>
    <row r="3058" spans="2:9" x14ac:dyDescent="0.3">
      <c r="E3058" t="s">
        <v>20</v>
      </c>
      <c r="F3058">
        <v>15</v>
      </c>
      <c r="G3058">
        <v>2.0999999999999996</v>
      </c>
      <c r="H3058" s="2">
        <v>-1045.7636000000002</v>
      </c>
      <c r="I3058" s="2">
        <v>1363.5000000000002</v>
      </c>
    </row>
    <row r="3059" spans="2:9" x14ac:dyDescent="0.3">
      <c r="E3059" t="s">
        <v>33</v>
      </c>
      <c r="F3059">
        <v>3</v>
      </c>
      <c r="G3059">
        <v>0.2</v>
      </c>
      <c r="H3059" s="2">
        <v>-13.677599999999998</v>
      </c>
      <c r="I3059" s="2">
        <v>273.55200000000002</v>
      </c>
    </row>
    <row r="3060" spans="2:9" x14ac:dyDescent="0.3">
      <c r="E3060" t="s">
        <v>21</v>
      </c>
      <c r="F3060">
        <v>6</v>
      </c>
      <c r="G3060">
        <v>0.2</v>
      </c>
      <c r="H3060" s="2">
        <v>8.2055999999999987</v>
      </c>
      <c r="I3060" s="2">
        <v>50.496000000000002</v>
      </c>
    </row>
    <row r="3061" spans="2:9" x14ac:dyDescent="0.3">
      <c r="E3061" t="s">
        <v>43</v>
      </c>
      <c r="F3061">
        <v>6</v>
      </c>
      <c r="G3061">
        <v>0.2</v>
      </c>
      <c r="H3061" s="2">
        <v>4.6818000000000008</v>
      </c>
      <c r="I3061" s="2">
        <v>13.872000000000002</v>
      </c>
    </row>
    <row r="3062" spans="2:9" x14ac:dyDescent="0.3">
      <c r="E3062" t="s">
        <v>16</v>
      </c>
      <c r="F3062">
        <v>3</v>
      </c>
      <c r="G3062">
        <v>0.2</v>
      </c>
      <c r="H3062" s="2">
        <v>23.234999999999992</v>
      </c>
      <c r="I3062" s="2">
        <v>74.352000000000004</v>
      </c>
    </row>
    <row r="3063" spans="2:9" x14ac:dyDescent="0.3">
      <c r="E3063" t="s">
        <v>24</v>
      </c>
      <c r="F3063">
        <v>2</v>
      </c>
      <c r="G3063">
        <v>0.2</v>
      </c>
      <c r="H3063" s="2">
        <v>27.103200000000001</v>
      </c>
      <c r="I3063" s="2">
        <v>361.37600000000003</v>
      </c>
    </row>
    <row r="3064" spans="2:9" x14ac:dyDescent="0.3">
      <c r="D3064" t="s">
        <v>17</v>
      </c>
      <c r="E3064" t="s">
        <v>23</v>
      </c>
      <c r="F3064">
        <v>7</v>
      </c>
      <c r="G3064">
        <v>0.2</v>
      </c>
      <c r="H3064" s="2">
        <v>41.718599999999995</v>
      </c>
      <c r="I3064" s="2">
        <v>158.928</v>
      </c>
    </row>
    <row r="3065" spans="2:9" x14ac:dyDescent="0.3">
      <c r="E3065" t="s">
        <v>12</v>
      </c>
      <c r="F3065">
        <v>6</v>
      </c>
      <c r="G3065">
        <v>0.2</v>
      </c>
      <c r="H3065" s="2">
        <v>15.843599999999995</v>
      </c>
      <c r="I3065" s="2">
        <v>211.24799999999999</v>
      </c>
    </row>
    <row r="3066" spans="2:9" x14ac:dyDescent="0.3">
      <c r="E3066" t="s">
        <v>19</v>
      </c>
      <c r="F3066">
        <v>5</v>
      </c>
      <c r="G3066">
        <v>0.2</v>
      </c>
      <c r="H3066" s="2">
        <v>4.196499999999995</v>
      </c>
      <c r="I3066" s="2">
        <v>47.96</v>
      </c>
    </row>
    <row r="3067" spans="2:9" x14ac:dyDescent="0.3">
      <c r="E3067" t="s">
        <v>43</v>
      </c>
      <c r="F3067">
        <v>3</v>
      </c>
      <c r="G3067">
        <v>0.4</v>
      </c>
      <c r="H3067" s="2">
        <v>4.9436999999999998</v>
      </c>
      <c r="I3067" s="2">
        <v>14.648</v>
      </c>
    </row>
    <row r="3068" spans="2:9" x14ac:dyDescent="0.3">
      <c r="E3068" t="s">
        <v>16</v>
      </c>
      <c r="F3068">
        <v>6</v>
      </c>
      <c r="G3068">
        <v>0.2</v>
      </c>
      <c r="H3068" s="2">
        <v>10.8864</v>
      </c>
      <c r="I3068" s="2">
        <v>31.104000000000006</v>
      </c>
    </row>
    <row r="3069" spans="2:9" x14ac:dyDescent="0.3">
      <c r="E3069" t="s">
        <v>9</v>
      </c>
      <c r="F3069">
        <v>2</v>
      </c>
      <c r="G3069">
        <v>0.2</v>
      </c>
      <c r="H3069" s="2">
        <v>-1.0410000000000006</v>
      </c>
      <c r="I3069" s="2">
        <v>5.5520000000000005</v>
      </c>
    </row>
    <row r="3070" spans="2:9" x14ac:dyDescent="0.3">
      <c r="B3070" t="s">
        <v>326</v>
      </c>
      <c r="C3070" t="s">
        <v>11</v>
      </c>
      <c r="D3070" t="s">
        <v>15</v>
      </c>
      <c r="E3070" t="s">
        <v>16</v>
      </c>
      <c r="F3070">
        <v>7</v>
      </c>
      <c r="G3070">
        <v>0</v>
      </c>
      <c r="H3070" s="2">
        <v>22.153599999999997</v>
      </c>
      <c r="I3070" s="2">
        <v>48.16</v>
      </c>
    </row>
    <row r="3071" spans="2:9" x14ac:dyDescent="0.3">
      <c r="C3071" t="s">
        <v>27</v>
      </c>
      <c r="D3071" t="s">
        <v>8</v>
      </c>
      <c r="E3071" t="s">
        <v>21</v>
      </c>
      <c r="F3071">
        <v>2</v>
      </c>
      <c r="G3071">
        <v>0</v>
      </c>
      <c r="H3071" s="2">
        <v>9.8856000000000002</v>
      </c>
      <c r="I3071" s="2">
        <v>27.46</v>
      </c>
    </row>
    <row r="3072" spans="2:9" x14ac:dyDescent="0.3">
      <c r="C3072" t="s">
        <v>22</v>
      </c>
      <c r="D3072" t="s">
        <v>8</v>
      </c>
      <c r="E3072" t="s">
        <v>23</v>
      </c>
      <c r="F3072">
        <v>2</v>
      </c>
      <c r="G3072">
        <v>0</v>
      </c>
      <c r="H3072" s="2">
        <v>38.080000000000013</v>
      </c>
      <c r="I3072" s="2">
        <v>238</v>
      </c>
    </row>
    <row r="3073" spans="2:9" x14ac:dyDescent="0.3">
      <c r="E3073" t="s">
        <v>20</v>
      </c>
      <c r="F3073">
        <v>2</v>
      </c>
      <c r="G3073">
        <v>0</v>
      </c>
      <c r="H3073" s="2">
        <v>4.7231999999999994</v>
      </c>
      <c r="I3073" s="2">
        <v>9.84</v>
      </c>
    </row>
    <row r="3074" spans="2:9" x14ac:dyDescent="0.3">
      <c r="E3074" t="s">
        <v>16</v>
      </c>
      <c r="F3074">
        <v>3</v>
      </c>
      <c r="G3074">
        <v>0</v>
      </c>
      <c r="H3074" s="2">
        <v>31.382999999999996</v>
      </c>
      <c r="I3074" s="2">
        <v>69.739999999999995</v>
      </c>
    </row>
    <row r="3075" spans="2:9" x14ac:dyDescent="0.3">
      <c r="E3075" t="s">
        <v>14</v>
      </c>
      <c r="F3075">
        <v>4</v>
      </c>
      <c r="G3075">
        <v>0</v>
      </c>
      <c r="H3075" s="2">
        <v>0</v>
      </c>
      <c r="I3075" s="2">
        <v>552.55999999999995</v>
      </c>
    </row>
    <row r="3076" spans="2:9" x14ac:dyDescent="0.3">
      <c r="D3076" t="s">
        <v>15</v>
      </c>
      <c r="E3076" t="s">
        <v>20</v>
      </c>
      <c r="F3076">
        <v>5</v>
      </c>
      <c r="G3076">
        <v>0</v>
      </c>
      <c r="H3076" s="2">
        <v>13.181000000000001</v>
      </c>
      <c r="I3076" s="2">
        <v>26.9</v>
      </c>
    </row>
    <row r="3077" spans="2:9" x14ac:dyDescent="0.3">
      <c r="E3077" t="s">
        <v>21</v>
      </c>
      <c r="F3077">
        <v>3</v>
      </c>
      <c r="G3077">
        <v>0</v>
      </c>
      <c r="H3077" s="2">
        <v>38.209499999999998</v>
      </c>
      <c r="I3077" s="2">
        <v>181.95</v>
      </c>
    </row>
    <row r="3078" spans="2:9" x14ac:dyDescent="0.3">
      <c r="B3078" t="s">
        <v>327</v>
      </c>
      <c r="C3078" t="s">
        <v>11</v>
      </c>
      <c r="D3078" t="s">
        <v>17</v>
      </c>
      <c r="E3078" t="s">
        <v>12</v>
      </c>
      <c r="F3078">
        <v>1</v>
      </c>
      <c r="G3078">
        <v>0.1</v>
      </c>
      <c r="H3078" s="2">
        <v>41.495999999999967</v>
      </c>
      <c r="I3078" s="2">
        <v>186.732</v>
      </c>
    </row>
    <row r="3079" spans="2:9" x14ac:dyDescent="0.3">
      <c r="E3079" t="s">
        <v>20</v>
      </c>
      <c r="F3079">
        <v>3</v>
      </c>
      <c r="G3079">
        <v>0</v>
      </c>
      <c r="H3079" s="2">
        <v>1906.4850000000001</v>
      </c>
      <c r="I3079" s="2">
        <v>3812.9700000000003</v>
      </c>
    </row>
    <row r="3080" spans="2:9" x14ac:dyDescent="0.3">
      <c r="C3080" t="s">
        <v>7</v>
      </c>
      <c r="D3080" t="s">
        <v>17</v>
      </c>
      <c r="E3080" t="s">
        <v>38</v>
      </c>
      <c r="F3080">
        <v>2</v>
      </c>
      <c r="G3080">
        <v>0</v>
      </c>
      <c r="H3080" s="2">
        <v>7.4871999999999996</v>
      </c>
      <c r="I3080" s="2">
        <v>15.28</v>
      </c>
    </row>
    <row r="3081" spans="2:9" x14ac:dyDescent="0.3">
      <c r="C3081" t="s">
        <v>22</v>
      </c>
      <c r="D3081" t="s">
        <v>8</v>
      </c>
      <c r="E3081" t="s">
        <v>19</v>
      </c>
      <c r="F3081">
        <v>2</v>
      </c>
      <c r="G3081">
        <v>0</v>
      </c>
      <c r="H3081" s="2">
        <v>1.5209999999999999</v>
      </c>
      <c r="I3081" s="2">
        <v>3.9</v>
      </c>
    </row>
    <row r="3082" spans="2:9" x14ac:dyDescent="0.3">
      <c r="E3082" t="s">
        <v>20</v>
      </c>
      <c r="F3082">
        <v>16</v>
      </c>
      <c r="G3082">
        <v>0</v>
      </c>
      <c r="H3082" s="2">
        <v>38.417999999999992</v>
      </c>
      <c r="I3082" s="2">
        <v>81.66</v>
      </c>
    </row>
    <row r="3083" spans="2:9" x14ac:dyDescent="0.3">
      <c r="E3083" t="s">
        <v>33</v>
      </c>
      <c r="F3083">
        <v>3</v>
      </c>
      <c r="G3083">
        <v>0</v>
      </c>
      <c r="H3083" s="2">
        <v>112.78800000000001</v>
      </c>
      <c r="I3083" s="2">
        <v>563.93999999999994</v>
      </c>
    </row>
    <row r="3084" spans="2:9" x14ac:dyDescent="0.3">
      <c r="E3084" t="s">
        <v>16</v>
      </c>
      <c r="F3084">
        <v>6</v>
      </c>
      <c r="G3084">
        <v>0</v>
      </c>
      <c r="H3084" s="2">
        <v>12.905999999999999</v>
      </c>
      <c r="I3084" s="2">
        <v>28.68</v>
      </c>
    </row>
    <row r="3085" spans="2:9" x14ac:dyDescent="0.3">
      <c r="E3085" t="s">
        <v>14</v>
      </c>
      <c r="F3085">
        <v>6</v>
      </c>
      <c r="G3085">
        <v>0</v>
      </c>
      <c r="H3085" s="2">
        <v>172.58159999999992</v>
      </c>
      <c r="I3085" s="2">
        <v>598.34999999999991</v>
      </c>
    </row>
    <row r="3086" spans="2:9" x14ac:dyDescent="0.3">
      <c r="B3086" t="s">
        <v>328</v>
      </c>
      <c r="C3086" t="s">
        <v>11</v>
      </c>
      <c r="D3086" t="s">
        <v>15</v>
      </c>
      <c r="E3086" t="s">
        <v>34</v>
      </c>
      <c r="F3086">
        <v>9</v>
      </c>
      <c r="G3086">
        <v>0</v>
      </c>
      <c r="H3086" s="2">
        <v>185.25779999999997</v>
      </c>
      <c r="I3086" s="2">
        <v>638.82000000000005</v>
      </c>
    </row>
    <row r="3087" spans="2:9" x14ac:dyDescent="0.3">
      <c r="E3087" t="s">
        <v>21</v>
      </c>
      <c r="F3087">
        <v>2</v>
      </c>
      <c r="G3087">
        <v>0</v>
      </c>
      <c r="H3087" s="2">
        <v>8.5543999999999976</v>
      </c>
      <c r="I3087" s="2">
        <v>25.16</v>
      </c>
    </row>
    <row r="3088" spans="2:9" x14ac:dyDescent="0.3">
      <c r="E3088" t="s">
        <v>9</v>
      </c>
      <c r="F3088">
        <v>3</v>
      </c>
      <c r="G3088">
        <v>0</v>
      </c>
      <c r="H3088" s="2">
        <v>7.9794000000000018</v>
      </c>
      <c r="I3088" s="2">
        <v>30.69</v>
      </c>
    </row>
    <row r="3089" spans="2:9" x14ac:dyDescent="0.3">
      <c r="C3089" t="s">
        <v>27</v>
      </c>
      <c r="D3089" t="s">
        <v>8</v>
      </c>
      <c r="E3089" t="s">
        <v>19</v>
      </c>
      <c r="F3089">
        <v>3</v>
      </c>
      <c r="G3089">
        <v>0</v>
      </c>
      <c r="H3089" s="2">
        <v>4.4891999999999985</v>
      </c>
      <c r="I3089" s="2">
        <v>15.48</v>
      </c>
    </row>
    <row r="3090" spans="2:9" x14ac:dyDescent="0.3">
      <c r="E3090" t="s">
        <v>16</v>
      </c>
      <c r="F3090">
        <v>8</v>
      </c>
      <c r="G3090">
        <v>0</v>
      </c>
      <c r="H3090" s="2">
        <v>24.883200000000002</v>
      </c>
      <c r="I3090" s="2">
        <v>51.84</v>
      </c>
    </row>
    <row r="3091" spans="2:9" x14ac:dyDescent="0.3">
      <c r="C3091" t="s">
        <v>22</v>
      </c>
      <c r="D3091" t="s">
        <v>17</v>
      </c>
      <c r="E3091" t="s">
        <v>23</v>
      </c>
      <c r="F3091">
        <v>5</v>
      </c>
      <c r="G3091">
        <v>0</v>
      </c>
      <c r="H3091" s="2">
        <v>87.890000000000015</v>
      </c>
      <c r="I3091" s="2">
        <v>199.75</v>
      </c>
    </row>
    <row r="3092" spans="2:9" x14ac:dyDescent="0.3">
      <c r="B3092" t="s">
        <v>329</v>
      </c>
      <c r="C3092" t="s">
        <v>11</v>
      </c>
      <c r="D3092" t="s">
        <v>8</v>
      </c>
      <c r="E3092" t="s">
        <v>21</v>
      </c>
      <c r="F3092">
        <v>7</v>
      </c>
      <c r="G3092">
        <v>0</v>
      </c>
      <c r="H3092" s="2">
        <v>10.784899999999999</v>
      </c>
      <c r="I3092" s="2">
        <v>34.79</v>
      </c>
    </row>
    <row r="3093" spans="2:9" x14ac:dyDescent="0.3">
      <c r="D3093" t="s">
        <v>15</v>
      </c>
      <c r="E3093" t="s">
        <v>23</v>
      </c>
      <c r="F3093">
        <v>9</v>
      </c>
      <c r="G3093">
        <v>0</v>
      </c>
      <c r="H3093" s="2">
        <v>56.054700000000011</v>
      </c>
      <c r="I3093" s="2">
        <v>143.73000000000002</v>
      </c>
    </row>
    <row r="3094" spans="2:9" x14ac:dyDescent="0.3">
      <c r="E3094" t="s">
        <v>21</v>
      </c>
      <c r="F3094">
        <v>1</v>
      </c>
      <c r="G3094">
        <v>0</v>
      </c>
      <c r="H3094" s="2">
        <v>19.2454</v>
      </c>
      <c r="I3094" s="2">
        <v>46.94</v>
      </c>
    </row>
    <row r="3095" spans="2:9" x14ac:dyDescent="0.3">
      <c r="E3095" t="s">
        <v>16</v>
      </c>
      <c r="F3095">
        <v>8</v>
      </c>
      <c r="G3095">
        <v>0</v>
      </c>
      <c r="H3095" s="2">
        <v>24.883200000000002</v>
      </c>
      <c r="I3095" s="2">
        <v>51.84</v>
      </c>
    </row>
    <row r="3096" spans="2:9" x14ac:dyDescent="0.3">
      <c r="C3096" t="s">
        <v>27</v>
      </c>
      <c r="D3096" t="s">
        <v>8</v>
      </c>
      <c r="E3096" t="s">
        <v>43</v>
      </c>
      <c r="F3096">
        <v>2</v>
      </c>
      <c r="G3096">
        <v>0</v>
      </c>
      <c r="H3096" s="2">
        <v>11.778199999999998</v>
      </c>
      <c r="I3096" s="2">
        <v>25.06</v>
      </c>
    </row>
    <row r="3097" spans="2:9" x14ac:dyDescent="0.3">
      <c r="D3097" t="s">
        <v>15</v>
      </c>
      <c r="E3097" t="s">
        <v>21</v>
      </c>
      <c r="F3097">
        <v>2</v>
      </c>
      <c r="G3097">
        <v>0</v>
      </c>
      <c r="H3097" s="2">
        <v>2.7353999999999998</v>
      </c>
      <c r="I3097" s="2">
        <v>5.82</v>
      </c>
    </row>
    <row r="3098" spans="2:9" x14ac:dyDescent="0.3">
      <c r="E3098" t="s">
        <v>43</v>
      </c>
      <c r="F3098">
        <v>2</v>
      </c>
      <c r="G3098">
        <v>0</v>
      </c>
      <c r="H3098" s="2">
        <v>3.4685999999999999</v>
      </c>
      <c r="I3098" s="2">
        <v>7.38</v>
      </c>
    </row>
    <row r="3099" spans="2:9" x14ac:dyDescent="0.3">
      <c r="E3099" t="s">
        <v>14</v>
      </c>
      <c r="F3099">
        <v>7</v>
      </c>
      <c r="G3099">
        <v>0</v>
      </c>
      <c r="H3099" s="2">
        <v>35.553200000000004</v>
      </c>
      <c r="I3099" s="2">
        <v>130.28</v>
      </c>
    </row>
    <row r="3100" spans="2:9" x14ac:dyDescent="0.3">
      <c r="C3100" t="s">
        <v>7</v>
      </c>
      <c r="D3100" t="s">
        <v>15</v>
      </c>
      <c r="E3100" t="s">
        <v>23</v>
      </c>
      <c r="F3100">
        <v>7</v>
      </c>
      <c r="G3100">
        <v>0</v>
      </c>
      <c r="H3100" s="2">
        <v>48.457499999999996</v>
      </c>
      <c r="I3100" s="2">
        <v>124.25</v>
      </c>
    </row>
    <row r="3101" spans="2:9" x14ac:dyDescent="0.3">
      <c r="E3101" t="s">
        <v>33</v>
      </c>
      <c r="F3101">
        <v>9</v>
      </c>
      <c r="G3101">
        <v>0</v>
      </c>
      <c r="H3101" s="2">
        <v>475.1284</v>
      </c>
      <c r="I3101" s="2">
        <v>1858.46</v>
      </c>
    </row>
    <row r="3102" spans="2:9" x14ac:dyDescent="0.3">
      <c r="E3102" t="s">
        <v>21</v>
      </c>
      <c r="F3102">
        <v>5</v>
      </c>
      <c r="G3102">
        <v>0</v>
      </c>
      <c r="H3102" s="2">
        <v>27.60799999999999</v>
      </c>
      <c r="I3102" s="2">
        <v>95.199999999999989</v>
      </c>
    </row>
    <row r="3103" spans="2:9" x14ac:dyDescent="0.3">
      <c r="E3103" t="s">
        <v>16</v>
      </c>
      <c r="F3103">
        <v>2</v>
      </c>
      <c r="G3103">
        <v>0</v>
      </c>
      <c r="H3103" s="2">
        <v>9.6913999999999998</v>
      </c>
      <c r="I3103" s="2">
        <v>20.62</v>
      </c>
    </row>
    <row r="3104" spans="2:9" x14ac:dyDescent="0.3">
      <c r="E3104" t="s">
        <v>24</v>
      </c>
      <c r="F3104">
        <v>5</v>
      </c>
      <c r="G3104">
        <v>0</v>
      </c>
      <c r="H3104" s="2">
        <v>83.314000000000021</v>
      </c>
      <c r="I3104" s="2">
        <v>297.55</v>
      </c>
    </row>
    <row r="3105" spans="3:9" x14ac:dyDescent="0.3">
      <c r="D3105" t="s">
        <v>17</v>
      </c>
      <c r="E3105" t="s">
        <v>23</v>
      </c>
      <c r="F3105">
        <v>4</v>
      </c>
      <c r="G3105">
        <v>0</v>
      </c>
      <c r="H3105" s="2">
        <v>229.99080000000004</v>
      </c>
      <c r="I3105" s="2">
        <v>999.96</v>
      </c>
    </row>
    <row r="3106" spans="3:9" x14ac:dyDescent="0.3">
      <c r="E3106" t="s">
        <v>34</v>
      </c>
      <c r="F3106">
        <v>5</v>
      </c>
      <c r="G3106">
        <v>0</v>
      </c>
      <c r="H3106" s="2">
        <v>48.117999999999981</v>
      </c>
      <c r="I3106" s="2">
        <v>687.4</v>
      </c>
    </row>
    <row r="3107" spans="3:9" x14ac:dyDescent="0.3">
      <c r="E3107" t="s">
        <v>21</v>
      </c>
      <c r="F3107">
        <v>6</v>
      </c>
      <c r="G3107">
        <v>0</v>
      </c>
      <c r="H3107" s="2">
        <v>76.087800000000001</v>
      </c>
      <c r="I3107" s="2">
        <v>185.57999999999998</v>
      </c>
    </row>
    <row r="3108" spans="3:9" x14ac:dyDescent="0.3">
      <c r="E3108" t="s">
        <v>16</v>
      </c>
      <c r="F3108">
        <v>9</v>
      </c>
      <c r="G3108">
        <v>0</v>
      </c>
      <c r="H3108" s="2">
        <v>84.5154</v>
      </c>
      <c r="I3108" s="2">
        <v>179.82</v>
      </c>
    </row>
    <row r="3109" spans="3:9" x14ac:dyDescent="0.3">
      <c r="E3109" t="s">
        <v>25</v>
      </c>
      <c r="F3109">
        <v>6</v>
      </c>
      <c r="G3109">
        <v>0</v>
      </c>
      <c r="H3109" s="2">
        <v>147.5021999999999</v>
      </c>
      <c r="I3109" s="2">
        <v>867.66</v>
      </c>
    </row>
    <row r="3110" spans="3:9" x14ac:dyDescent="0.3">
      <c r="C3110" t="s">
        <v>22</v>
      </c>
      <c r="D3110" t="s">
        <v>8</v>
      </c>
      <c r="E3110" t="s">
        <v>23</v>
      </c>
      <c r="F3110">
        <v>1</v>
      </c>
      <c r="G3110">
        <v>0</v>
      </c>
      <c r="H3110" s="2">
        <v>1.8872</v>
      </c>
      <c r="I3110" s="2">
        <v>13.48</v>
      </c>
    </row>
    <row r="3111" spans="3:9" x14ac:dyDescent="0.3">
      <c r="E3111" t="s">
        <v>12</v>
      </c>
      <c r="F3111">
        <v>5</v>
      </c>
      <c r="G3111">
        <v>0</v>
      </c>
      <c r="H3111" s="2">
        <v>76.27200000000002</v>
      </c>
      <c r="I3111" s="2">
        <v>272.39999999999998</v>
      </c>
    </row>
    <row r="3112" spans="3:9" x14ac:dyDescent="0.3">
      <c r="E3112" t="s">
        <v>19</v>
      </c>
      <c r="F3112">
        <v>5</v>
      </c>
      <c r="G3112">
        <v>0</v>
      </c>
      <c r="H3112" s="2">
        <v>16.170000000000002</v>
      </c>
      <c r="I3112" s="2">
        <v>57.75</v>
      </c>
    </row>
    <row r="3113" spans="3:9" x14ac:dyDescent="0.3">
      <c r="E3113" t="s">
        <v>33</v>
      </c>
      <c r="F3113">
        <v>5</v>
      </c>
      <c r="G3113">
        <v>0</v>
      </c>
      <c r="H3113" s="2">
        <v>60.356000000000023</v>
      </c>
      <c r="I3113" s="2">
        <v>754.44999999999993</v>
      </c>
    </row>
    <row r="3114" spans="3:9" x14ac:dyDescent="0.3">
      <c r="E3114" t="s">
        <v>21</v>
      </c>
      <c r="F3114">
        <v>3</v>
      </c>
      <c r="G3114">
        <v>0</v>
      </c>
      <c r="H3114" s="2">
        <v>11.314800000000002</v>
      </c>
      <c r="I3114" s="2">
        <v>26.94</v>
      </c>
    </row>
    <row r="3115" spans="3:9" x14ac:dyDescent="0.3">
      <c r="E3115" t="s">
        <v>24</v>
      </c>
      <c r="F3115">
        <v>4</v>
      </c>
      <c r="G3115">
        <v>0</v>
      </c>
      <c r="H3115" s="2">
        <v>285.9896</v>
      </c>
      <c r="I3115" s="2">
        <v>1099.96</v>
      </c>
    </row>
    <row r="3116" spans="3:9" x14ac:dyDescent="0.3">
      <c r="D3116" t="s">
        <v>15</v>
      </c>
      <c r="E3116" t="s">
        <v>23</v>
      </c>
      <c r="F3116">
        <v>9</v>
      </c>
      <c r="G3116">
        <v>0</v>
      </c>
      <c r="H3116" s="2">
        <v>20.671799999999994</v>
      </c>
      <c r="I3116" s="2">
        <v>127.5</v>
      </c>
    </row>
    <row r="3117" spans="3:9" x14ac:dyDescent="0.3">
      <c r="E3117" t="s">
        <v>12</v>
      </c>
      <c r="F3117">
        <v>6</v>
      </c>
      <c r="G3117">
        <v>0</v>
      </c>
      <c r="H3117" s="2">
        <v>54.558</v>
      </c>
      <c r="I3117" s="2">
        <v>155.88</v>
      </c>
    </row>
    <row r="3118" spans="3:9" x14ac:dyDescent="0.3">
      <c r="E3118" t="s">
        <v>20</v>
      </c>
      <c r="F3118">
        <v>23</v>
      </c>
      <c r="G3118">
        <v>0</v>
      </c>
      <c r="H3118" s="2">
        <v>53.860399999999998</v>
      </c>
      <c r="I3118" s="2">
        <v>111.28</v>
      </c>
    </row>
    <row r="3119" spans="3:9" x14ac:dyDescent="0.3">
      <c r="E3119" t="s">
        <v>33</v>
      </c>
      <c r="F3119">
        <v>11</v>
      </c>
      <c r="G3119">
        <v>0</v>
      </c>
      <c r="H3119" s="2">
        <v>482.58189999999991</v>
      </c>
      <c r="I3119" s="2">
        <v>1986.5200000000002</v>
      </c>
    </row>
    <row r="3120" spans="3:9" x14ac:dyDescent="0.3">
      <c r="E3120" t="s">
        <v>21</v>
      </c>
      <c r="F3120">
        <v>5</v>
      </c>
      <c r="G3120">
        <v>0</v>
      </c>
      <c r="H3120" s="2">
        <v>22.988499999999998</v>
      </c>
      <c r="I3120" s="2">
        <v>99.949999999999989</v>
      </c>
    </row>
    <row r="3121" spans="2:9" x14ac:dyDescent="0.3">
      <c r="E3121" t="s">
        <v>16</v>
      </c>
      <c r="F3121">
        <v>4</v>
      </c>
      <c r="G3121">
        <v>0</v>
      </c>
      <c r="H3121" s="2">
        <v>107.7216</v>
      </c>
      <c r="I3121" s="2">
        <v>219.84</v>
      </c>
    </row>
    <row r="3122" spans="2:9" x14ac:dyDescent="0.3">
      <c r="E3122" t="s">
        <v>24</v>
      </c>
      <c r="F3122">
        <v>4</v>
      </c>
      <c r="G3122">
        <v>0</v>
      </c>
      <c r="H3122" s="2">
        <v>25.481099999999991</v>
      </c>
      <c r="I3122" s="2">
        <v>99.96</v>
      </c>
    </row>
    <row r="3123" spans="2:9" x14ac:dyDescent="0.3">
      <c r="D3123" t="s">
        <v>17</v>
      </c>
      <c r="E3123" t="s">
        <v>12</v>
      </c>
      <c r="F3123">
        <v>14</v>
      </c>
      <c r="G3123">
        <v>0</v>
      </c>
      <c r="H3123" s="2">
        <v>163.85360000000003</v>
      </c>
      <c r="I3123" s="2">
        <v>581.91999999999996</v>
      </c>
    </row>
    <row r="3124" spans="2:9" x14ac:dyDescent="0.3">
      <c r="E3124" t="s">
        <v>20</v>
      </c>
      <c r="F3124">
        <v>3</v>
      </c>
      <c r="G3124">
        <v>0</v>
      </c>
      <c r="H3124" s="2">
        <v>8.5727999999999991</v>
      </c>
      <c r="I3124" s="2">
        <v>18.240000000000002</v>
      </c>
    </row>
    <row r="3125" spans="2:9" x14ac:dyDescent="0.3">
      <c r="E3125" t="s">
        <v>9</v>
      </c>
      <c r="F3125">
        <v>3</v>
      </c>
      <c r="G3125">
        <v>0</v>
      </c>
      <c r="H3125" s="2">
        <v>5.8887000000000009</v>
      </c>
      <c r="I3125" s="2">
        <v>21.81</v>
      </c>
    </row>
    <row r="3126" spans="2:9" x14ac:dyDescent="0.3">
      <c r="B3126" t="s">
        <v>330</v>
      </c>
      <c r="C3126" t="s">
        <v>11</v>
      </c>
      <c r="D3126" t="s">
        <v>8</v>
      </c>
      <c r="E3126" t="s">
        <v>20</v>
      </c>
      <c r="F3126">
        <v>2</v>
      </c>
      <c r="G3126">
        <v>0</v>
      </c>
      <c r="H3126" s="2">
        <v>843.17059999999992</v>
      </c>
      <c r="I3126" s="2">
        <v>1793.98</v>
      </c>
    </row>
    <row r="3127" spans="2:9" x14ac:dyDescent="0.3">
      <c r="E3127" t="s">
        <v>14</v>
      </c>
      <c r="F3127">
        <v>6</v>
      </c>
      <c r="G3127">
        <v>0</v>
      </c>
      <c r="H3127" s="2">
        <v>9.716399999999993</v>
      </c>
      <c r="I3127" s="2">
        <v>663.75</v>
      </c>
    </row>
    <row r="3128" spans="2:9" x14ac:dyDescent="0.3">
      <c r="D3128" t="s">
        <v>17</v>
      </c>
      <c r="E3128" t="s">
        <v>38</v>
      </c>
      <c r="F3128">
        <v>2</v>
      </c>
      <c r="G3128">
        <v>0</v>
      </c>
      <c r="H3128" s="2">
        <v>7.4871999999999996</v>
      </c>
      <c r="I3128" s="2">
        <v>15.28</v>
      </c>
    </row>
    <row r="3129" spans="2:9" x14ac:dyDescent="0.3">
      <c r="C3129" t="s">
        <v>7</v>
      </c>
      <c r="D3129" t="s">
        <v>8</v>
      </c>
      <c r="E3129" t="s">
        <v>20</v>
      </c>
      <c r="F3129">
        <v>2</v>
      </c>
      <c r="G3129">
        <v>0</v>
      </c>
      <c r="H3129" s="2">
        <v>16.150400000000001</v>
      </c>
      <c r="I3129" s="2">
        <v>32.96</v>
      </c>
    </row>
    <row r="3130" spans="2:9" x14ac:dyDescent="0.3">
      <c r="E3130" t="s">
        <v>21</v>
      </c>
      <c r="F3130">
        <v>3</v>
      </c>
      <c r="G3130">
        <v>0</v>
      </c>
      <c r="H3130" s="2">
        <v>16.535399999999996</v>
      </c>
      <c r="I3130" s="2">
        <v>53.34</v>
      </c>
    </row>
    <row r="3131" spans="2:9" x14ac:dyDescent="0.3">
      <c r="E3131" t="s">
        <v>16</v>
      </c>
      <c r="F3131">
        <v>2</v>
      </c>
      <c r="G3131">
        <v>0</v>
      </c>
      <c r="H3131" s="2">
        <v>6.2208000000000006</v>
      </c>
      <c r="I3131" s="2">
        <v>12.96</v>
      </c>
    </row>
    <row r="3132" spans="2:9" x14ac:dyDescent="0.3">
      <c r="D3132" t="s">
        <v>15</v>
      </c>
      <c r="E3132" t="s">
        <v>14</v>
      </c>
      <c r="F3132">
        <v>5</v>
      </c>
      <c r="G3132">
        <v>0</v>
      </c>
      <c r="H3132" s="2">
        <v>16.787500000000001</v>
      </c>
      <c r="I3132" s="2">
        <v>67.150000000000006</v>
      </c>
    </row>
    <row r="3133" spans="2:9" x14ac:dyDescent="0.3">
      <c r="D3133" t="s">
        <v>17</v>
      </c>
      <c r="E3133" t="s">
        <v>19</v>
      </c>
      <c r="F3133">
        <v>5</v>
      </c>
      <c r="G3133">
        <v>0</v>
      </c>
      <c r="H3133" s="2">
        <v>3.6139999999999994</v>
      </c>
      <c r="I3133" s="2">
        <v>13.899999999999999</v>
      </c>
    </row>
    <row r="3134" spans="2:9" x14ac:dyDescent="0.3">
      <c r="E3134" t="s">
        <v>16</v>
      </c>
      <c r="F3134">
        <v>1</v>
      </c>
      <c r="G3134">
        <v>0</v>
      </c>
      <c r="H3134" s="2">
        <v>12.134799999999998</v>
      </c>
      <c r="I3134" s="2">
        <v>26.38</v>
      </c>
    </row>
    <row r="3135" spans="2:9" x14ac:dyDescent="0.3">
      <c r="C3135" t="s">
        <v>22</v>
      </c>
      <c r="D3135" t="s">
        <v>8</v>
      </c>
      <c r="E3135" t="s">
        <v>12</v>
      </c>
      <c r="F3135">
        <v>11</v>
      </c>
      <c r="G3135">
        <v>0</v>
      </c>
      <c r="H3135" s="2">
        <v>129.71020000000001</v>
      </c>
      <c r="I3135" s="2">
        <v>453.58</v>
      </c>
    </row>
    <row r="3136" spans="2:9" x14ac:dyDescent="0.3">
      <c r="E3136" t="s">
        <v>20</v>
      </c>
      <c r="F3136">
        <v>11</v>
      </c>
      <c r="G3136">
        <v>0</v>
      </c>
      <c r="H3136" s="2">
        <v>4664.7055000000009</v>
      </c>
      <c r="I3136" s="2">
        <v>9518.4100000000017</v>
      </c>
    </row>
    <row r="3137" spans="2:9" x14ac:dyDescent="0.3">
      <c r="E3137" t="s">
        <v>33</v>
      </c>
      <c r="F3137">
        <v>8</v>
      </c>
      <c r="G3137">
        <v>0</v>
      </c>
      <c r="H3137" s="2">
        <v>770.35199999999986</v>
      </c>
      <c r="I3137" s="2">
        <v>2567.84</v>
      </c>
    </row>
    <row r="3138" spans="2:9" x14ac:dyDescent="0.3">
      <c r="E3138" t="s">
        <v>21</v>
      </c>
      <c r="F3138">
        <v>3</v>
      </c>
      <c r="G3138">
        <v>0</v>
      </c>
      <c r="H3138" s="2">
        <v>11.156400000000005</v>
      </c>
      <c r="I3138" s="2">
        <v>123.96000000000001</v>
      </c>
    </row>
    <row r="3139" spans="2:9" x14ac:dyDescent="0.3">
      <c r="E3139" t="s">
        <v>16</v>
      </c>
      <c r="F3139">
        <v>5</v>
      </c>
      <c r="G3139">
        <v>0</v>
      </c>
      <c r="H3139" s="2">
        <v>15.552000000000001</v>
      </c>
      <c r="I3139" s="2">
        <v>32.400000000000006</v>
      </c>
    </row>
    <row r="3140" spans="2:9" x14ac:dyDescent="0.3">
      <c r="E3140" t="s">
        <v>24</v>
      </c>
      <c r="F3140">
        <v>3</v>
      </c>
      <c r="G3140">
        <v>0</v>
      </c>
      <c r="H3140" s="2">
        <v>105.83160000000002</v>
      </c>
      <c r="I3140" s="2">
        <v>377.96999999999997</v>
      </c>
    </row>
    <row r="3141" spans="2:9" x14ac:dyDescent="0.3">
      <c r="E3141" t="s">
        <v>14</v>
      </c>
      <c r="F3141">
        <v>5</v>
      </c>
      <c r="G3141">
        <v>0</v>
      </c>
      <c r="H3141" s="2">
        <v>16.195999999999984</v>
      </c>
      <c r="I3141" s="2">
        <v>404.90000000000003</v>
      </c>
    </row>
    <row r="3142" spans="2:9" x14ac:dyDescent="0.3">
      <c r="D3142" t="s">
        <v>15</v>
      </c>
      <c r="E3142" t="s">
        <v>21</v>
      </c>
      <c r="F3142">
        <v>3</v>
      </c>
      <c r="G3142">
        <v>0</v>
      </c>
      <c r="H3142" s="2">
        <v>6.0287999999999995</v>
      </c>
      <c r="I3142" s="2">
        <v>18.84</v>
      </c>
    </row>
    <row r="3143" spans="2:9" x14ac:dyDescent="0.3">
      <c r="D3143" t="s">
        <v>17</v>
      </c>
      <c r="E3143" t="s">
        <v>25</v>
      </c>
      <c r="F3143">
        <v>3</v>
      </c>
      <c r="G3143">
        <v>0</v>
      </c>
      <c r="H3143" s="2">
        <v>173.23500000000001</v>
      </c>
      <c r="I3143" s="2">
        <v>692.93999999999994</v>
      </c>
    </row>
    <row r="3144" spans="2:9" x14ac:dyDescent="0.3">
      <c r="B3144" t="s">
        <v>331</v>
      </c>
      <c r="C3144" t="s">
        <v>7</v>
      </c>
      <c r="D3144" t="s">
        <v>15</v>
      </c>
      <c r="E3144" t="s">
        <v>12</v>
      </c>
      <c r="F3144">
        <v>4</v>
      </c>
      <c r="G3144">
        <v>0.2</v>
      </c>
      <c r="H3144" s="2">
        <v>48.631999999999948</v>
      </c>
      <c r="I3144" s="2">
        <v>389.05600000000004</v>
      </c>
    </row>
    <row r="3145" spans="2:9" x14ac:dyDescent="0.3">
      <c r="E3145" t="s">
        <v>20</v>
      </c>
      <c r="F3145">
        <v>8</v>
      </c>
      <c r="G3145">
        <v>0.7</v>
      </c>
      <c r="H3145" s="2">
        <v>-16.185600000000001</v>
      </c>
      <c r="I3145" s="2">
        <v>20.232000000000003</v>
      </c>
    </row>
    <row r="3146" spans="2:9" x14ac:dyDescent="0.3">
      <c r="E3146" t="s">
        <v>16</v>
      </c>
      <c r="F3146">
        <v>12</v>
      </c>
      <c r="G3146">
        <v>0.4</v>
      </c>
      <c r="H3146" s="2">
        <v>21.7728</v>
      </c>
      <c r="I3146" s="2">
        <v>62.208000000000013</v>
      </c>
    </row>
    <row r="3147" spans="2:9" x14ac:dyDescent="0.3">
      <c r="E3147" t="s">
        <v>14</v>
      </c>
      <c r="F3147">
        <v>5</v>
      </c>
      <c r="G3147">
        <v>0.2</v>
      </c>
      <c r="H3147" s="2">
        <v>-19.323000000000011</v>
      </c>
      <c r="I3147" s="2">
        <v>81.360000000000014</v>
      </c>
    </row>
    <row r="3148" spans="2:9" x14ac:dyDescent="0.3">
      <c r="C3148" t="s">
        <v>22</v>
      </c>
      <c r="D3148" t="s">
        <v>8</v>
      </c>
      <c r="E3148" t="s">
        <v>21</v>
      </c>
      <c r="F3148">
        <v>8</v>
      </c>
      <c r="G3148">
        <v>0.4</v>
      </c>
      <c r="H3148" s="2">
        <v>55.016000000000012</v>
      </c>
      <c r="I3148" s="2">
        <v>559.20000000000005</v>
      </c>
    </row>
    <row r="3149" spans="2:9" x14ac:dyDescent="0.3">
      <c r="D3149" t="s">
        <v>17</v>
      </c>
      <c r="E3149" t="s">
        <v>33</v>
      </c>
      <c r="F3149">
        <v>4</v>
      </c>
      <c r="G3149">
        <v>0.2</v>
      </c>
      <c r="H3149" s="2">
        <v>-57.631200000000035</v>
      </c>
      <c r="I3149" s="2">
        <v>419.13599999999997</v>
      </c>
    </row>
    <row r="3150" spans="2:9" x14ac:dyDescent="0.3">
      <c r="B3150" t="s">
        <v>332</v>
      </c>
      <c r="C3150" t="s">
        <v>22</v>
      </c>
      <c r="D3150" t="s">
        <v>8</v>
      </c>
      <c r="E3150" t="s">
        <v>20</v>
      </c>
      <c r="F3150">
        <v>3</v>
      </c>
      <c r="G3150">
        <v>0</v>
      </c>
      <c r="H3150" s="2">
        <v>64.199999999999989</v>
      </c>
      <c r="I3150" s="2">
        <v>128.39999999999998</v>
      </c>
    </row>
    <row r="3151" spans="2:9" x14ac:dyDescent="0.3">
      <c r="E3151" t="s">
        <v>33</v>
      </c>
      <c r="F3151">
        <v>8</v>
      </c>
      <c r="G3151">
        <v>0</v>
      </c>
      <c r="H3151" s="2">
        <v>32.391999999999939</v>
      </c>
      <c r="I3151" s="2">
        <v>647.84</v>
      </c>
    </row>
    <row r="3152" spans="2:9" x14ac:dyDescent="0.3">
      <c r="B3152" t="s">
        <v>333</v>
      </c>
      <c r="C3152" t="s">
        <v>11</v>
      </c>
      <c r="D3152" t="s">
        <v>8</v>
      </c>
      <c r="E3152" t="s">
        <v>34</v>
      </c>
      <c r="F3152">
        <v>2</v>
      </c>
      <c r="G3152">
        <v>0.15</v>
      </c>
      <c r="H3152" s="2">
        <v>3.4195999999999884</v>
      </c>
      <c r="I3152" s="2">
        <v>290.666</v>
      </c>
    </row>
    <row r="3153" spans="2:9" x14ac:dyDescent="0.3">
      <c r="C3153" t="s">
        <v>7</v>
      </c>
      <c r="D3153" t="s">
        <v>8</v>
      </c>
      <c r="E3153" t="s">
        <v>43</v>
      </c>
      <c r="F3153">
        <v>7</v>
      </c>
      <c r="G3153">
        <v>0</v>
      </c>
      <c r="H3153" s="2">
        <v>12.599999999999998</v>
      </c>
      <c r="I3153" s="2">
        <v>26.25</v>
      </c>
    </row>
    <row r="3154" spans="2:9" x14ac:dyDescent="0.3">
      <c r="E3154" t="s">
        <v>14</v>
      </c>
      <c r="F3154">
        <v>2</v>
      </c>
      <c r="G3154">
        <v>0</v>
      </c>
      <c r="H3154" s="2">
        <v>85.903999999999996</v>
      </c>
      <c r="I3154" s="2">
        <v>330.4</v>
      </c>
    </row>
    <row r="3155" spans="2:9" x14ac:dyDescent="0.3">
      <c r="C3155" t="s">
        <v>22</v>
      </c>
      <c r="D3155" t="s">
        <v>8</v>
      </c>
      <c r="E3155" t="s">
        <v>23</v>
      </c>
      <c r="F3155">
        <v>6</v>
      </c>
      <c r="G3155">
        <v>0</v>
      </c>
      <c r="H3155" s="2">
        <v>46.800000000000004</v>
      </c>
      <c r="I3155" s="2">
        <v>120</v>
      </c>
    </row>
    <row r="3156" spans="2:9" x14ac:dyDescent="0.3">
      <c r="E3156" t="s">
        <v>12</v>
      </c>
      <c r="F3156">
        <v>1</v>
      </c>
      <c r="G3156">
        <v>0</v>
      </c>
      <c r="H3156" s="2">
        <v>2.3409000000000004</v>
      </c>
      <c r="I3156" s="2">
        <v>8.67</v>
      </c>
    </row>
    <row r="3157" spans="2:9" x14ac:dyDescent="0.3">
      <c r="B3157" t="s">
        <v>334</v>
      </c>
      <c r="C3157" t="s">
        <v>22</v>
      </c>
      <c r="D3157" t="s">
        <v>8</v>
      </c>
      <c r="E3157" t="s">
        <v>20</v>
      </c>
      <c r="F3157">
        <v>2</v>
      </c>
      <c r="G3157">
        <v>0.2</v>
      </c>
      <c r="H3157" s="2">
        <v>152.49499999999998</v>
      </c>
      <c r="I3157" s="2">
        <v>487.98400000000004</v>
      </c>
    </row>
    <row r="3158" spans="2:9" x14ac:dyDescent="0.3">
      <c r="B3158" t="s">
        <v>335</v>
      </c>
      <c r="C3158" t="s">
        <v>22</v>
      </c>
      <c r="D3158" t="s">
        <v>15</v>
      </c>
      <c r="E3158" t="s">
        <v>20</v>
      </c>
      <c r="F3158">
        <v>7</v>
      </c>
      <c r="G3158">
        <v>0.8</v>
      </c>
      <c r="H3158" s="2">
        <v>-9.5550000000000015</v>
      </c>
      <c r="I3158" s="2">
        <v>6.3699999999999983</v>
      </c>
    </row>
    <row r="3159" spans="2:9" x14ac:dyDescent="0.3">
      <c r="B3159" t="s">
        <v>336</v>
      </c>
      <c r="C3159" t="s">
        <v>11</v>
      </c>
      <c r="D3159" t="s">
        <v>8</v>
      </c>
      <c r="E3159" t="s">
        <v>21</v>
      </c>
      <c r="F3159">
        <v>2</v>
      </c>
      <c r="G3159">
        <v>0</v>
      </c>
      <c r="H3159" s="2">
        <v>2.7775999999999996</v>
      </c>
      <c r="I3159" s="2">
        <v>8.9600000000000009</v>
      </c>
    </row>
    <row r="3160" spans="2:9" x14ac:dyDescent="0.3">
      <c r="D3160" t="s">
        <v>15</v>
      </c>
      <c r="E3160" t="s">
        <v>20</v>
      </c>
      <c r="F3160">
        <v>8</v>
      </c>
      <c r="G3160">
        <v>0</v>
      </c>
      <c r="H3160" s="2">
        <v>62.714999999999996</v>
      </c>
      <c r="I3160" s="2">
        <v>125.42999999999999</v>
      </c>
    </row>
    <row r="3161" spans="2:9" x14ac:dyDescent="0.3">
      <c r="E3161" t="s">
        <v>46</v>
      </c>
      <c r="F3161">
        <v>8</v>
      </c>
      <c r="G3161">
        <v>0</v>
      </c>
      <c r="H3161" s="2">
        <v>1459.2</v>
      </c>
      <c r="I3161" s="2">
        <v>3040</v>
      </c>
    </row>
    <row r="3162" spans="2:9" x14ac:dyDescent="0.3">
      <c r="E3162" t="s">
        <v>16</v>
      </c>
      <c r="F3162">
        <v>7</v>
      </c>
      <c r="G3162">
        <v>0</v>
      </c>
      <c r="H3162" s="2">
        <v>34.780200000000001</v>
      </c>
      <c r="I3162" s="2">
        <v>70.98</v>
      </c>
    </row>
    <row r="3163" spans="2:9" x14ac:dyDescent="0.3">
      <c r="C3163" t="s">
        <v>22</v>
      </c>
      <c r="D3163" t="s">
        <v>8</v>
      </c>
      <c r="E3163" t="s">
        <v>23</v>
      </c>
      <c r="F3163">
        <v>3</v>
      </c>
      <c r="G3163">
        <v>0</v>
      </c>
      <c r="H3163" s="2">
        <v>71.389799999999994</v>
      </c>
      <c r="I3163" s="2">
        <v>209.96999999999997</v>
      </c>
    </row>
    <row r="3164" spans="2:9" x14ac:dyDescent="0.3">
      <c r="E3164" t="s">
        <v>19</v>
      </c>
      <c r="F3164">
        <v>9</v>
      </c>
      <c r="G3164">
        <v>0</v>
      </c>
      <c r="H3164" s="2">
        <v>7.7759999999999989</v>
      </c>
      <c r="I3164" s="2">
        <v>25.919999999999998</v>
      </c>
    </row>
    <row r="3165" spans="2:9" x14ac:dyDescent="0.3">
      <c r="E3165" t="s">
        <v>20</v>
      </c>
      <c r="F3165">
        <v>3</v>
      </c>
      <c r="G3165">
        <v>0</v>
      </c>
      <c r="H3165" s="2">
        <v>30.211199999999998</v>
      </c>
      <c r="I3165" s="2">
        <v>62.94</v>
      </c>
    </row>
    <row r="3166" spans="2:9" x14ac:dyDescent="0.3">
      <c r="E3166" t="s">
        <v>33</v>
      </c>
      <c r="F3166">
        <v>7</v>
      </c>
      <c r="G3166">
        <v>0</v>
      </c>
      <c r="H3166" s="2">
        <v>306.48939999999988</v>
      </c>
      <c r="I3166" s="2">
        <v>1056.8599999999999</v>
      </c>
    </row>
    <row r="3167" spans="2:9" x14ac:dyDescent="0.3">
      <c r="E3167" t="s">
        <v>24</v>
      </c>
      <c r="F3167">
        <v>3</v>
      </c>
      <c r="G3167">
        <v>0</v>
      </c>
      <c r="H3167" s="2">
        <v>0</v>
      </c>
      <c r="I3167" s="2">
        <v>59.97</v>
      </c>
    </row>
    <row r="3168" spans="2:9" x14ac:dyDescent="0.3">
      <c r="E3168" t="s">
        <v>25</v>
      </c>
      <c r="F3168">
        <v>2</v>
      </c>
      <c r="G3168">
        <v>0</v>
      </c>
      <c r="H3168" s="2">
        <v>200.49</v>
      </c>
      <c r="I3168" s="2">
        <v>801.96</v>
      </c>
    </row>
    <row r="3169" spans="2:9" x14ac:dyDescent="0.3">
      <c r="B3169" t="s">
        <v>337</v>
      </c>
      <c r="C3169" t="s">
        <v>7</v>
      </c>
      <c r="D3169" t="s">
        <v>15</v>
      </c>
      <c r="E3169" t="s">
        <v>24</v>
      </c>
      <c r="F3169">
        <v>1</v>
      </c>
      <c r="G3169">
        <v>0.2</v>
      </c>
      <c r="H3169" s="2">
        <v>4.6193000000000026</v>
      </c>
      <c r="I3169" s="2">
        <v>52.792000000000002</v>
      </c>
    </row>
    <row r="3170" spans="2:9" x14ac:dyDescent="0.3">
      <c r="C3170" t="s">
        <v>22</v>
      </c>
      <c r="D3170" t="s">
        <v>8</v>
      </c>
      <c r="E3170" t="s">
        <v>23</v>
      </c>
      <c r="F3170">
        <v>7</v>
      </c>
      <c r="G3170">
        <v>0</v>
      </c>
      <c r="H3170" s="2">
        <v>43.598100000000002</v>
      </c>
      <c r="I3170" s="2">
        <v>111.79</v>
      </c>
    </row>
    <row r="3171" spans="2:9" x14ac:dyDescent="0.3">
      <c r="E3171" t="s">
        <v>33</v>
      </c>
      <c r="F3171">
        <v>2</v>
      </c>
      <c r="G3171">
        <v>0.2</v>
      </c>
      <c r="H3171" s="2">
        <v>-28.274400000000021</v>
      </c>
      <c r="I3171" s="2">
        <v>161.56800000000001</v>
      </c>
    </row>
    <row r="3172" spans="2:9" x14ac:dyDescent="0.3">
      <c r="B3172" t="s">
        <v>338</v>
      </c>
      <c r="C3172" t="s">
        <v>11</v>
      </c>
      <c r="D3172" t="s">
        <v>8</v>
      </c>
      <c r="E3172" t="s">
        <v>23</v>
      </c>
      <c r="F3172">
        <v>6</v>
      </c>
      <c r="G3172">
        <v>0</v>
      </c>
      <c r="H3172" s="2">
        <v>41.534999999999997</v>
      </c>
      <c r="I3172" s="2">
        <v>106.5</v>
      </c>
    </row>
    <row r="3173" spans="2:9" x14ac:dyDescent="0.3">
      <c r="E3173" t="s">
        <v>21</v>
      </c>
      <c r="F3173">
        <v>1</v>
      </c>
      <c r="G3173">
        <v>0.2</v>
      </c>
      <c r="H3173" s="2">
        <v>4.7712000000000012</v>
      </c>
      <c r="I3173" s="2">
        <v>18.175999999999998</v>
      </c>
    </row>
    <row r="3174" spans="2:9" x14ac:dyDescent="0.3">
      <c r="D3174" t="s">
        <v>15</v>
      </c>
      <c r="E3174" t="s">
        <v>20</v>
      </c>
      <c r="F3174">
        <v>8</v>
      </c>
      <c r="G3174">
        <v>0</v>
      </c>
      <c r="H3174" s="2">
        <v>41.021599999999999</v>
      </c>
      <c r="I3174" s="2">
        <v>87.28</v>
      </c>
    </row>
    <row r="3175" spans="2:9" x14ac:dyDescent="0.3">
      <c r="C3175" t="s">
        <v>27</v>
      </c>
      <c r="D3175" t="s">
        <v>17</v>
      </c>
      <c r="E3175" t="s">
        <v>16</v>
      </c>
      <c r="F3175">
        <v>2</v>
      </c>
      <c r="G3175">
        <v>0.2</v>
      </c>
      <c r="H3175" s="2">
        <v>2.6892000000000005</v>
      </c>
      <c r="I3175" s="2">
        <v>7.9680000000000009</v>
      </c>
    </row>
    <row r="3176" spans="2:9" x14ac:dyDescent="0.3">
      <c r="C3176" t="s">
        <v>7</v>
      </c>
      <c r="D3176" t="s">
        <v>17</v>
      </c>
      <c r="E3176" t="s">
        <v>23</v>
      </c>
      <c r="F3176">
        <v>2</v>
      </c>
      <c r="G3176">
        <v>0</v>
      </c>
      <c r="H3176" s="2">
        <v>7.25</v>
      </c>
      <c r="I3176" s="2">
        <v>29</v>
      </c>
    </row>
    <row r="3177" spans="2:9" x14ac:dyDescent="0.3">
      <c r="E3177" t="s">
        <v>24</v>
      </c>
      <c r="F3177">
        <v>9</v>
      </c>
      <c r="G3177">
        <v>0</v>
      </c>
      <c r="H3177" s="2">
        <v>173.01560000000001</v>
      </c>
      <c r="I3177" s="2">
        <v>653.91</v>
      </c>
    </row>
    <row r="3178" spans="2:9" x14ac:dyDescent="0.3">
      <c r="C3178" t="s">
        <v>22</v>
      </c>
      <c r="D3178" t="s">
        <v>8</v>
      </c>
      <c r="E3178" t="s">
        <v>23</v>
      </c>
      <c r="F3178">
        <v>12</v>
      </c>
      <c r="G3178">
        <v>0.2</v>
      </c>
      <c r="H3178" s="2">
        <v>236.32239999999993</v>
      </c>
      <c r="I3178" s="2">
        <v>748.76800000000003</v>
      </c>
    </row>
    <row r="3179" spans="2:9" x14ac:dyDescent="0.3">
      <c r="E3179" t="s">
        <v>19</v>
      </c>
      <c r="F3179">
        <v>2</v>
      </c>
      <c r="G3179">
        <v>0</v>
      </c>
      <c r="H3179" s="2">
        <v>15.764000000000003</v>
      </c>
      <c r="I3179" s="2">
        <v>56.3</v>
      </c>
    </row>
    <row r="3180" spans="2:9" x14ac:dyDescent="0.3">
      <c r="E3180" t="s">
        <v>20</v>
      </c>
      <c r="F3180">
        <v>7</v>
      </c>
      <c r="G3180">
        <v>0</v>
      </c>
      <c r="H3180" s="2">
        <v>16.679599999999997</v>
      </c>
      <c r="I3180" s="2">
        <v>36.26</v>
      </c>
    </row>
    <row r="3181" spans="2:9" x14ac:dyDescent="0.3">
      <c r="E3181" t="s">
        <v>34</v>
      </c>
      <c r="F3181">
        <v>2</v>
      </c>
      <c r="G3181">
        <v>0.2</v>
      </c>
      <c r="H3181" s="2">
        <v>-3.8863999999999947</v>
      </c>
      <c r="I3181" s="2">
        <v>77.728000000000009</v>
      </c>
    </row>
    <row r="3182" spans="2:9" x14ac:dyDescent="0.3">
      <c r="E3182" t="s">
        <v>33</v>
      </c>
      <c r="F3182">
        <v>3</v>
      </c>
      <c r="G3182">
        <v>0.2</v>
      </c>
      <c r="H3182" s="2">
        <v>52.376399999999961</v>
      </c>
      <c r="I3182" s="2">
        <v>698.35200000000009</v>
      </c>
    </row>
    <row r="3183" spans="2:9" x14ac:dyDescent="0.3">
      <c r="E3183" t="s">
        <v>21</v>
      </c>
      <c r="F3183">
        <v>2</v>
      </c>
      <c r="G3183">
        <v>0</v>
      </c>
      <c r="H3183" s="2">
        <v>10.789200000000001</v>
      </c>
      <c r="I3183" s="2">
        <v>29.16</v>
      </c>
    </row>
    <row r="3184" spans="2:9" x14ac:dyDescent="0.3">
      <c r="E3184" t="s">
        <v>16</v>
      </c>
      <c r="F3184">
        <v>8</v>
      </c>
      <c r="G3184">
        <v>0.2</v>
      </c>
      <c r="H3184" s="2">
        <v>39.007199999999997</v>
      </c>
      <c r="I3184" s="2">
        <v>97.104000000000013</v>
      </c>
    </row>
    <row r="3185" spans="2:9" x14ac:dyDescent="0.3">
      <c r="D3185" t="s">
        <v>15</v>
      </c>
      <c r="E3185" t="s">
        <v>33</v>
      </c>
      <c r="F3185">
        <v>3</v>
      </c>
      <c r="G3185">
        <v>0.2</v>
      </c>
      <c r="H3185" s="2">
        <v>25.874999999999972</v>
      </c>
      <c r="I3185" s="2">
        <v>207</v>
      </c>
    </row>
    <row r="3186" spans="2:9" x14ac:dyDescent="0.3">
      <c r="E3186" t="s">
        <v>21</v>
      </c>
      <c r="F3186">
        <v>2</v>
      </c>
      <c r="G3186">
        <v>0.2</v>
      </c>
      <c r="H3186" s="2">
        <v>1.9989999999999979</v>
      </c>
      <c r="I3186" s="2">
        <v>31.983999999999998</v>
      </c>
    </row>
    <row r="3187" spans="2:9" x14ac:dyDescent="0.3">
      <c r="E3187" t="s">
        <v>16</v>
      </c>
      <c r="F3187">
        <v>2</v>
      </c>
      <c r="G3187">
        <v>0</v>
      </c>
      <c r="H3187" s="2">
        <v>6.2208000000000006</v>
      </c>
      <c r="I3187" s="2">
        <v>12.96</v>
      </c>
    </row>
    <row r="3188" spans="2:9" x14ac:dyDescent="0.3">
      <c r="E3188" t="s">
        <v>24</v>
      </c>
      <c r="F3188">
        <v>2</v>
      </c>
      <c r="G3188">
        <v>0.2</v>
      </c>
      <c r="H3188" s="2">
        <v>25.194399999999995</v>
      </c>
      <c r="I3188" s="2">
        <v>71.984000000000009</v>
      </c>
    </row>
    <row r="3189" spans="2:9" x14ac:dyDescent="0.3">
      <c r="B3189" t="s">
        <v>339</v>
      </c>
      <c r="C3189" t="s">
        <v>22</v>
      </c>
      <c r="D3189" t="s">
        <v>15</v>
      </c>
      <c r="E3189" t="s">
        <v>23</v>
      </c>
      <c r="F3189">
        <v>2</v>
      </c>
      <c r="G3189">
        <v>0</v>
      </c>
      <c r="H3189" s="2">
        <v>3.9032000000000018</v>
      </c>
      <c r="I3189" s="2">
        <v>27.88</v>
      </c>
    </row>
    <row r="3190" spans="2:9" x14ac:dyDescent="0.3">
      <c r="B3190" t="s">
        <v>340</v>
      </c>
      <c r="C3190" t="s">
        <v>7</v>
      </c>
      <c r="D3190" t="s">
        <v>8</v>
      </c>
      <c r="E3190" t="s">
        <v>20</v>
      </c>
      <c r="F3190">
        <v>5</v>
      </c>
      <c r="G3190">
        <v>0</v>
      </c>
      <c r="H3190" s="2">
        <v>11.375</v>
      </c>
      <c r="I3190" s="2">
        <v>22.75</v>
      </c>
    </row>
    <row r="3191" spans="2:9" x14ac:dyDescent="0.3">
      <c r="E3191" t="s">
        <v>24</v>
      </c>
      <c r="F3191">
        <v>5</v>
      </c>
      <c r="G3191">
        <v>0</v>
      </c>
      <c r="H3191" s="2">
        <v>274.38600000000008</v>
      </c>
      <c r="I3191" s="2">
        <v>979.95</v>
      </c>
    </row>
    <row r="3192" spans="2:9" x14ac:dyDescent="0.3">
      <c r="D3192" t="s">
        <v>15</v>
      </c>
      <c r="E3192" t="s">
        <v>33</v>
      </c>
      <c r="F3192">
        <v>6</v>
      </c>
      <c r="G3192">
        <v>0</v>
      </c>
      <c r="H3192" s="2">
        <v>70.964399999999983</v>
      </c>
      <c r="I3192" s="2">
        <v>545.88</v>
      </c>
    </row>
    <row r="3193" spans="2:9" x14ac:dyDescent="0.3">
      <c r="E3193" t="s">
        <v>21</v>
      </c>
      <c r="F3193">
        <v>2</v>
      </c>
      <c r="G3193">
        <v>0</v>
      </c>
      <c r="H3193" s="2">
        <v>3.4543999999999997</v>
      </c>
      <c r="I3193" s="2">
        <v>10.16</v>
      </c>
    </row>
    <row r="3194" spans="2:9" x14ac:dyDescent="0.3">
      <c r="E3194" t="s">
        <v>24</v>
      </c>
      <c r="F3194">
        <v>5</v>
      </c>
      <c r="G3194">
        <v>0</v>
      </c>
      <c r="H3194" s="2">
        <v>362.68699999999995</v>
      </c>
      <c r="I3194" s="2">
        <v>1394.95</v>
      </c>
    </row>
    <row r="3195" spans="2:9" x14ac:dyDescent="0.3">
      <c r="E3195" t="s">
        <v>14</v>
      </c>
      <c r="F3195">
        <v>3</v>
      </c>
      <c r="G3195">
        <v>0</v>
      </c>
      <c r="H3195" s="2">
        <v>11.038799999999981</v>
      </c>
      <c r="I3195" s="2">
        <v>275.96999999999997</v>
      </c>
    </row>
    <row r="3196" spans="2:9" x14ac:dyDescent="0.3">
      <c r="C3196" t="s">
        <v>22</v>
      </c>
      <c r="D3196" t="s">
        <v>8</v>
      </c>
      <c r="E3196" t="s">
        <v>19</v>
      </c>
      <c r="F3196">
        <v>3</v>
      </c>
      <c r="G3196">
        <v>0</v>
      </c>
      <c r="H3196" s="2">
        <v>3.9609000000000001</v>
      </c>
      <c r="I3196" s="2">
        <v>14.669999999999998</v>
      </c>
    </row>
    <row r="3197" spans="2:9" x14ac:dyDescent="0.3">
      <c r="D3197" t="s">
        <v>15</v>
      </c>
      <c r="E3197" t="s">
        <v>38</v>
      </c>
      <c r="F3197">
        <v>9</v>
      </c>
      <c r="G3197">
        <v>0</v>
      </c>
      <c r="H3197" s="2">
        <v>49.23</v>
      </c>
      <c r="I3197" s="2">
        <v>98.46</v>
      </c>
    </row>
    <row r="3198" spans="2:9" x14ac:dyDescent="0.3">
      <c r="E3198" t="s">
        <v>21</v>
      </c>
      <c r="F3198">
        <v>8</v>
      </c>
      <c r="G3198">
        <v>0</v>
      </c>
      <c r="H3198" s="2">
        <v>8.1167999999999996</v>
      </c>
      <c r="I3198" s="2">
        <v>21.36</v>
      </c>
    </row>
    <row r="3199" spans="2:9" x14ac:dyDescent="0.3">
      <c r="E3199" t="s">
        <v>25</v>
      </c>
      <c r="F3199">
        <v>2</v>
      </c>
      <c r="G3199">
        <v>0</v>
      </c>
      <c r="H3199" s="2">
        <v>39.44380000000001</v>
      </c>
      <c r="I3199" s="2">
        <v>358.58</v>
      </c>
    </row>
    <row r="3200" spans="2:9" x14ac:dyDescent="0.3">
      <c r="B3200" t="s">
        <v>341</v>
      </c>
      <c r="C3200" t="s">
        <v>22</v>
      </c>
      <c r="D3200" t="s">
        <v>8</v>
      </c>
      <c r="E3200" t="s">
        <v>23</v>
      </c>
      <c r="F3200">
        <v>4</v>
      </c>
      <c r="G3200">
        <v>0</v>
      </c>
      <c r="H3200" s="2">
        <v>19.827599999999997</v>
      </c>
      <c r="I3200" s="2">
        <v>63.96</v>
      </c>
    </row>
    <row r="3201" spans="2:9" x14ac:dyDescent="0.3">
      <c r="D3201" t="s">
        <v>17</v>
      </c>
      <c r="E3201" t="s">
        <v>33</v>
      </c>
      <c r="F3201">
        <v>5</v>
      </c>
      <c r="G3201">
        <v>0</v>
      </c>
      <c r="H3201" s="2">
        <v>81.58299999999997</v>
      </c>
      <c r="I3201" s="2">
        <v>479.90000000000003</v>
      </c>
    </row>
    <row r="3202" spans="2:9" x14ac:dyDescent="0.3">
      <c r="B3202" t="s">
        <v>342</v>
      </c>
      <c r="C3202" t="s">
        <v>11</v>
      </c>
      <c r="D3202" t="s">
        <v>8</v>
      </c>
      <c r="E3202" t="s">
        <v>16</v>
      </c>
      <c r="F3202">
        <v>8</v>
      </c>
      <c r="G3202">
        <v>0</v>
      </c>
      <c r="H3202" s="2">
        <v>21.211199999999998</v>
      </c>
      <c r="I3202" s="2">
        <v>45.84</v>
      </c>
    </row>
    <row r="3203" spans="2:9" x14ac:dyDescent="0.3">
      <c r="E3203" t="s">
        <v>14</v>
      </c>
      <c r="F3203">
        <v>6</v>
      </c>
      <c r="G3203">
        <v>0</v>
      </c>
      <c r="H3203" s="2">
        <v>0.83759999999999835</v>
      </c>
      <c r="I3203" s="2">
        <v>41.88</v>
      </c>
    </row>
    <row r="3204" spans="2:9" x14ac:dyDescent="0.3">
      <c r="C3204" t="s">
        <v>22</v>
      </c>
      <c r="D3204" t="s">
        <v>8</v>
      </c>
      <c r="E3204" t="s">
        <v>21</v>
      </c>
      <c r="F3204">
        <v>10</v>
      </c>
      <c r="G3204">
        <v>0</v>
      </c>
      <c r="H3204" s="2">
        <v>213.16239999999999</v>
      </c>
      <c r="I3204" s="2">
        <v>884.68000000000006</v>
      </c>
    </row>
    <row r="3205" spans="2:9" x14ac:dyDescent="0.3">
      <c r="D3205" t="s">
        <v>15</v>
      </c>
      <c r="E3205" t="s">
        <v>16</v>
      </c>
      <c r="F3205">
        <v>8</v>
      </c>
      <c r="G3205">
        <v>0</v>
      </c>
      <c r="H3205" s="2">
        <v>84.051199999999994</v>
      </c>
      <c r="I3205" s="2">
        <v>182.72</v>
      </c>
    </row>
    <row r="3206" spans="2:9" x14ac:dyDescent="0.3">
      <c r="D3206" t="s">
        <v>17</v>
      </c>
      <c r="E3206" t="s">
        <v>12</v>
      </c>
      <c r="F3206">
        <v>1</v>
      </c>
      <c r="G3206">
        <v>0</v>
      </c>
      <c r="H3206" s="2">
        <v>2.9646000000000008</v>
      </c>
      <c r="I3206" s="2">
        <v>10.98</v>
      </c>
    </row>
    <row r="3207" spans="2:9" x14ac:dyDescent="0.3">
      <c r="E3207" t="s">
        <v>20</v>
      </c>
      <c r="F3207">
        <v>3</v>
      </c>
      <c r="G3207">
        <v>0.2</v>
      </c>
      <c r="H3207" s="2">
        <v>13.896000000000001</v>
      </c>
      <c r="I3207" s="2">
        <v>37.055999999999997</v>
      </c>
    </row>
    <row r="3208" spans="2:9" x14ac:dyDescent="0.3">
      <c r="E3208" t="s">
        <v>18</v>
      </c>
      <c r="F3208">
        <v>3</v>
      </c>
      <c r="G3208">
        <v>0</v>
      </c>
      <c r="H3208" s="2">
        <v>3.6156000000000001</v>
      </c>
      <c r="I3208" s="2">
        <v>7.86</v>
      </c>
    </row>
    <row r="3209" spans="2:9" x14ac:dyDescent="0.3">
      <c r="E3209" t="s">
        <v>14</v>
      </c>
      <c r="F3209">
        <v>3</v>
      </c>
      <c r="G3209">
        <v>0</v>
      </c>
      <c r="H3209" s="2">
        <v>13.891499999999999</v>
      </c>
      <c r="I3209" s="2">
        <v>51.449999999999996</v>
      </c>
    </row>
    <row r="3210" spans="2:9" x14ac:dyDescent="0.3">
      <c r="B3210" t="s">
        <v>343</v>
      </c>
      <c r="C3210" t="s">
        <v>22</v>
      </c>
      <c r="D3210" t="s">
        <v>8</v>
      </c>
      <c r="E3210" t="s">
        <v>19</v>
      </c>
      <c r="F3210">
        <v>8</v>
      </c>
      <c r="G3210">
        <v>0</v>
      </c>
      <c r="H3210" s="2">
        <v>5.9184000000000019</v>
      </c>
      <c r="I3210" s="2">
        <v>21.92</v>
      </c>
    </row>
    <row r="3211" spans="2:9" x14ac:dyDescent="0.3">
      <c r="E3211" t="s">
        <v>34</v>
      </c>
      <c r="F3211">
        <v>2</v>
      </c>
      <c r="G3211">
        <v>0.15</v>
      </c>
      <c r="H3211" s="2">
        <v>-12.097999999999999</v>
      </c>
      <c r="I3211" s="2">
        <v>205.666</v>
      </c>
    </row>
    <row r="3212" spans="2:9" x14ac:dyDescent="0.3">
      <c r="E3212" t="s">
        <v>14</v>
      </c>
      <c r="F3212">
        <v>3</v>
      </c>
      <c r="G3212">
        <v>0</v>
      </c>
      <c r="H3212" s="2">
        <v>7.3079999999999998</v>
      </c>
      <c r="I3212" s="2">
        <v>48.72</v>
      </c>
    </row>
    <row r="3213" spans="2:9" x14ac:dyDescent="0.3">
      <c r="E3213" t="s">
        <v>25</v>
      </c>
      <c r="F3213">
        <v>3</v>
      </c>
      <c r="G3213">
        <v>0.2</v>
      </c>
      <c r="H3213" s="2">
        <v>6.717599999999976</v>
      </c>
      <c r="I3213" s="2">
        <v>268.70400000000001</v>
      </c>
    </row>
    <row r="3214" spans="2:9" x14ac:dyDescent="0.3">
      <c r="B3214" t="s">
        <v>344</v>
      </c>
      <c r="C3214" t="s">
        <v>7</v>
      </c>
      <c r="D3214" t="s">
        <v>8</v>
      </c>
      <c r="E3214" t="s">
        <v>12</v>
      </c>
      <c r="F3214">
        <v>8</v>
      </c>
      <c r="G3214">
        <v>0</v>
      </c>
      <c r="H3214" s="2">
        <v>735.03359999999998</v>
      </c>
      <c r="I3214" s="2">
        <v>2625.12</v>
      </c>
    </row>
    <row r="3215" spans="2:9" x14ac:dyDescent="0.3">
      <c r="E3215" t="s">
        <v>19</v>
      </c>
      <c r="F3215">
        <v>3</v>
      </c>
      <c r="G3215">
        <v>0</v>
      </c>
      <c r="H3215" s="2">
        <v>4.4850000000000003</v>
      </c>
      <c r="I3215" s="2">
        <v>17.940000000000001</v>
      </c>
    </row>
    <row r="3216" spans="2:9" x14ac:dyDescent="0.3">
      <c r="C3216" t="s">
        <v>22</v>
      </c>
      <c r="D3216" t="s">
        <v>8</v>
      </c>
      <c r="E3216" t="s">
        <v>18</v>
      </c>
      <c r="F3216">
        <v>6</v>
      </c>
      <c r="G3216">
        <v>0</v>
      </c>
      <c r="H3216" s="2">
        <v>0.3024</v>
      </c>
      <c r="I3216" s="2">
        <v>7.5600000000000005</v>
      </c>
    </row>
    <row r="3217" spans="2:9" x14ac:dyDescent="0.3">
      <c r="E3217" t="s">
        <v>46</v>
      </c>
      <c r="F3217">
        <v>4</v>
      </c>
      <c r="G3217">
        <v>0</v>
      </c>
      <c r="H3217" s="2">
        <v>225.6</v>
      </c>
      <c r="I3217" s="2">
        <v>480</v>
      </c>
    </row>
    <row r="3218" spans="2:9" x14ac:dyDescent="0.3">
      <c r="E3218" t="s">
        <v>14</v>
      </c>
      <c r="F3218">
        <v>3</v>
      </c>
      <c r="G3218">
        <v>0</v>
      </c>
      <c r="H3218" s="2">
        <v>9.5340000000000025</v>
      </c>
      <c r="I3218" s="2">
        <v>34.049999999999997</v>
      </c>
    </row>
    <row r="3219" spans="2:9" x14ac:dyDescent="0.3">
      <c r="D3219" t="s">
        <v>15</v>
      </c>
      <c r="E3219" t="s">
        <v>20</v>
      </c>
      <c r="F3219">
        <v>2</v>
      </c>
      <c r="G3219">
        <v>0</v>
      </c>
      <c r="H3219" s="2">
        <v>843.17059999999992</v>
      </c>
      <c r="I3219" s="2">
        <v>1793.98</v>
      </c>
    </row>
    <row r="3220" spans="2:9" x14ac:dyDescent="0.3">
      <c r="E3220" t="s">
        <v>21</v>
      </c>
      <c r="F3220">
        <v>5</v>
      </c>
      <c r="G3220">
        <v>0</v>
      </c>
      <c r="H3220" s="2">
        <v>20.101500000000001</v>
      </c>
      <c r="I3220" s="2">
        <v>74.45</v>
      </c>
    </row>
    <row r="3221" spans="2:9" x14ac:dyDescent="0.3">
      <c r="B3221" t="s">
        <v>345</v>
      </c>
      <c r="C3221" t="s">
        <v>27</v>
      </c>
      <c r="D3221" t="s">
        <v>8</v>
      </c>
      <c r="E3221" t="s">
        <v>21</v>
      </c>
      <c r="F3221">
        <v>2</v>
      </c>
      <c r="G3221">
        <v>0</v>
      </c>
      <c r="H3221" s="2">
        <v>6.1704000000000008</v>
      </c>
      <c r="I3221" s="2">
        <v>17.14</v>
      </c>
    </row>
    <row r="3222" spans="2:9" x14ac:dyDescent="0.3">
      <c r="C3222" t="s">
        <v>7</v>
      </c>
      <c r="D3222" t="s">
        <v>8</v>
      </c>
      <c r="E3222" t="s">
        <v>33</v>
      </c>
      <c r="F3222">
        <v>6</v>
      </c>
      <c r="G3222">
        <v>0</v>
      </c>
      <c r="H3222" s="2">
        <v>87.350400000000036</v>
      </c>
      <c r="I3222" s="2">
        <v>545.93999999999994</v>
      </c>
    </row>
    <row r="3223" spans="2:9" x14ac:dyDescent="0.3">
      <c r="B3223" t="s">
        <v>346</v>
      </c>
      <c r="C3223" t="s">
        <v>22</v>
      </c>
      <c r="D3223" t="s">
        <v>8</v>
      </c>
      <c r="E3223" t="s">
        <v>38</v>
      </c>
      <c r="F3223">
        <v>7</v>
      </c>
      <c r="G3223">
        <v>0</v>
      </c>
      <c r="H3223" s="2">
        <v>40.241399999999999</v>
      </c>
      <c r="I3223" s="2">
        <v>85.62</v>
      </c>
    </row>
    <row r="3224" spans="2:9" x14ac:dyDescent="0.3">
      <c r="E3224" t="s">
        <v>16</v>
      </c>
      <c r="F3224">
        <v>5</v>
      </c>
      <c r="G3224">
        <v>0</v>
      </c>
      <c r="H3224" s="2">
        <v>24.2285</v>
      </c>
      <c r="I3224" s="2">
        <v>51.550000000000004</v>
      </c>
    </row>
    <row r="3225" spans="2:9" x14ac:dyDescent="0.3">
      <c r="D3225" t="s">
        <v>15</v>
      </c>
      <c r="E3225" t="s">
        <v>23</v>
      </c>
      <c r="F3225">
        <v>3</v>
      </c>
      <c r="G3225">
        <v>0</v>
      </c>
      <c r="H3225" s="2">
        <v>113.98860000000001</v>
      </c>
      <c r="I3225" s="2">
        <v>299.96999999999997</v>
      </c>
    </row>
    <row r="3226" spans="2:9" x14ac:dyDescent="0.3">
      <c r="E3226" t="s">
        <v>12</v>
      </c>
      <c r="F3226">
        <v>6</v>
      </c>
      <c r="G3226">
        <v>0</v>
      </c>
      <c r="H3226" s="2">
        <v>109.72260000000001</v>
      </c>
      <c r="I3226" s="2">
        <v>281.34000000000003</v>
      </c>
    </row>
    <row r="3227" spans="2:9" x14ac:dyDescent="0.3">
      <c r="E3227" t="s">
        <v>20</v>
      </c>
      <c r="F3227">
        <v>3</v>
      </c>
      <c r="G3227">
        <v>0.2</v>
      </c>
      <c r="H3227" s="2">
        <v>2.8100999999999998</v>
      </c>
      <c r="I3227" s="2">
        <v>7.7520000000000007</v>
      </c>
    </row>
    <row r="3228" spans="2:9" x14ac:dyDescent="0.3">
      <c r="E3228" t="s">
        <v>24</v>
      </c>
      <c r="F3228">
        <v>2</v>
      </c>
      <c r="G3228">
        <v>0</v>
      </c>
      <c r="H3228" s="2">
        <v>89.314199999999971</v>
      </c>
      <c r="I3228" s="2">
        <v>307.98</v>
      </c>
    </row>
    <row r="3229" spans="2:9" x14ac:dyDescent="0.3">
      <c r="E3229" t="s">
        <v>14</v>
      </c>
      <c r="F3229">
        <v>7</v>
      </c>
      <c r="G3229">
        <v>0</v>
      </c>
      <c r="H3229" s="2">
        <v>282.20920000000001</v>
      </c>
      <c r="I3229" s="2">
        <v>1085.42</v>
      </c>
    </row>
    <row r="3230" spans="2:9" x14ac:dyDescent="0.3">
      <c r="B3230" t="s">
        <v>347</v>
      </c>
      <c r="C3230" t="s">
        <v>11</v>
      </c>
      <c r="D3230" t="s">
        <v>15</v>
      </c>
      <c r="E3230" t="s">
        <v>16</v>
      </c>
      <c r="F3230">
        <v>3</v>
      </c>
      <c r="G3230">
        <v>0.2</v>
      </c>
      <c r="H3230" s="2">
        <v>5.2026000000000003</v>
      </c>
      <c r="I3230" s="2">
        <v>14.352000000000002</v>
      </c>
    </row>
    <row r="3231" spans="2:9" x14ac:dyDescent="0.3">
      <c r="C3231" t="s">
        <v>7</v>
      </c>
      <c r="D3231" t="s">
        <v>15</v>
      </c>
      <c r="E3231" t="s">
        <v>21</v>
      </c>
      <c r="F3231">
        <v>1</v>
      </c>
      <c r="G3231">
        <v>0.2</v>
      </c>
      <c r="H3231" s="2">
        <v>0.99949999999999894</v>
      </c>
      <c r="I3231" s="2">
        <v>15.991999999999999</v>
      </c>
    </row>
    <row r="3232" spans="2:9" x14ac:dyDescent="0.3">
      <c r="C3232" t="s">
        <v>22</v>
      </c>
      <c r="D3232" t="s">
        <v>15</v>
      </c>
      <c r="E3232" t="s">
        <v>23</v>
      </c>
      <c r="F3232">
        <v>10</v>
      </c>
      <c r="G3232">
        <v>0.4</v>
      </c>
      <c r="H3232" s="2">
        <v>-12.021000000000011</v>
      </c>
      <c r="I3232" s="2">
        <v>77.472000000000008</v>
      </c>
    </row>
    <row r="3233" spans="2:9" x14ac:dyDescent="0.3">
      <c r="E3233" t="s">
        <v>20</v>
      </c>
      <c r="F3233">
        <v>7</v>
      </c>
      <c r="G3233">
        <v>2.0999999999999996</v>
      </c>
      <c r="H3233" s="2">
        <v>-8.7417999999999978</v>
      </c>
      <c r="I3233" s="2">
        <v>12.069000000000003</v>
      </c>
    </row>
    <row r="3234" spans="2:9" x14ac:dyDescent="0.3">
      <c r="E3234" t="s">
        <v>34</v>
      </c>
      <c r="F3234">
        <v>2</v>
      </c>
      <c r="G3234">
        <v>0.2</v>
      </c>
      <c r="H3234" s="2">
        <v>8.1939999999999955</v>
      </c>
      <c r="I3234" s="2">
        <v>131.10400000000001</v>
      </c>
    </row>
    <row r="3235" spans="2:9" x14ac:dyDescent="0.3">
      <c r="E3235" t="s">
        <v>21</v>
      </c>
      <c r="F3235">
        <v>3</v>
      </c>
      <c r="G3235">
        <v>0.2</v>
      </c>
      <c r="H3235" s="2">
        <v>16.005600000000005</v>
      </c>
      <c r="I3235" s="2">
        <v>53.352000000000004</v>
      </c>
    </row>
    <row r="3236" spans="2:9" x14ac:dyDescent="0.3">
      <c r="E3236" t="s">
        <v>16</v>
      </c>
      <c r="F3236">
        <v>1</v>
      </c>
      <c r="G3236">
        <v>0.2</v>
      </c>
      <c r="H3236" s="2">
        <v>3.7989999999999995</v>
      </c>
      <c r="I3236" s="2">
        <v>10.48</v>
      </c>
    </row>
    <row r="3237" spans="2:9" x14ac:dyDescent="0.3">
      <c r="E3237" t="s">
        <v>14</v>
      </c>
      <c r="F3237">
        <v>3</v>
      </c>
      <c r="G3237">
        <v>0.2</v>
      </c>
      <c r="H3237" s="2">
        <v>2.2511999999999999</v>
      </c>
      <c r="I3237" s="2">
        <v>22.512000000000004</v>
      </c>
    </row>
    <row r="3238" spans="2:9" x14ac:dyDescent="0.3">
      <c r="B3238" t="s">
        <v>348</v>
      </c>
      <c r="C3238" t="s">
        <v>11</v>
      </c>
      <c r="D3238" t="s">
        <v>8</v>
      </c>
      <c r="E3238" t="s">
        <v>21</v>
      </c>
      <c r="F3238">
        <v>3</v>
      </c>
      <c r="G3238">
        <v>0</v>
      </c>
      <c r="H3238" s="2">
        <v>74.809799999999996</v>
      </c>
      <c r="I3238" s="2">
        <v>191.82</v>
      </c>
    </row>
    <row r="3239" spans="2:9" x14ac:dyDescent="0.3">
      <c r="D3239" t="s">
        <v>17</v>
      </c>
      <c r="E3239" t="s">
        <v>16</v>
      </c>
      <c r="F3239">
        <v>5</v>
      </c>
      <c r="G3239">
        <v>0</v>
      </c>
      <c r="H3239" s="2">
        <v>23.231999999999999</v>
      </c>
      <c r="I3239" s="2">
        <v>48.4</v>
      </c>
    </row>
    <row r="3240" spans="2:9" x14ac:dyDescent="0.3">
      <c r="C3240" t="s">
        <v>27</v>
      </c>
      <c r="D3240" t="s">
        <v>8</v>
      </c>
      <c r="E3240" t="s">
        <v>19</v>
      </c>
      <c r="F3240">
        <v>1</v>
      </c>
      <c r="G3240">
        <v>0</v>
      </c>
      <c r="H3240" s="2">
        <v>7.5370999999999988</v>
      </c>
      <c r="I3240" s="2">
        <v>25.99</v>
      </c>
    </row>
    <row r="3241" spans="2:9" x14ac:dyDescent="0.3">
      <c r="E3241" t="s">
        <v>24</v>
      </c>
      <c r="F3241">
        <v>9</v>
      </c>
      <c r="G3241">
        <v>0.2</v>
      </c>
      <c r="H3241" s="2">
        <v>6.2936999999999976</v>
      </c>
      <c r="I3241" s="2">
        <v>71.928000000000011</v>
      </c>
    </row>
    <row r="3242" spans="2:9" x14ac:dyDescent="0.3">
      <c r="C3242" t="s">
        <v>22</v>
      </c>
      <c r="D3242" t="s">
        <v>8</v>
      </c>
      <c r="E3242" t="s">
        <v>12</v>
      </c>
      <c r="F3242">
        <v>5</v>
      </c>
      <c r="G3242">
        <v>0</v>
      </c>
      <c r="H3242" s="2">
        <v>19.656000000000002</v>
      </c>
      <c r="I3242" s="2">
        <v>72.8</v>
      </c>
    </row>
    <row r="3243" spans="2:9" x14ac:dyDescent="0.3">
      <c r="B3243" t="s">
        <v>349</v>
      </c>
      <c r="C3243" t="s">
        <v>22</v>
      </c>
      <c r="D3243" t="s">
        <v>8</v>
      </c>
      <c r="E3243" t="s">
        <v>14</v>
      </c>
      <c r="F3243">
        <v>3</v>
      </c>
      <c r="G3243">
        <v>0</v>
      </c>
      <c r="H3243" s="2">
        <v>92.083500000000015</v>
      </c>
      <c r="I3243" s="2">
        <v>484.65000000000003</v>
      </c>
    </row>
    <row r="3244" spans="2:9" x14ac:dyDescent="0.3">
      <c r="B3244" t="s">
        <v>350</v>
      </c>
      <c r="C3244" t="s">
        <v>27</v>
      </c>
      <c r="D3244" t="s">
        <v>17</v>
      </c>
      <c r="E3244" t="s">
        <v>24</v>
      </c>
      <c r="F3244">
        <v>8</v>
      </c>
      <c r="G3244">
        <v>0</v>
      </c>
      <c r="H3244" s="2">
        <v>374.37920000000008</v>
      </c>
      <c r="I3244" s="2">
        <v>1439.92</v>
      </c>
    </row>
    <row r="3245" spans="2:9" x14ac:dyDescent="0.3">
      <c r="E3245" t="s">
        <v>25</v>
      </c>
      <c r="F3245">
        <v>1</v>
      </c>
      <c r="G3245">
        <v>0</v>
      </c>
      <c r="H3245" s="2">
        <v>62.906399999999991</v>
      </c>
      <c r="I3245" s="2">
        <v>262.11</v>
      </c>
    </row>
    <row r="3246" spans="2:9" x14ac:dyDescent="0.3">
      <c r="C3246" t="s">
        <v>22</v>
      </c>
      <c r="D3246" t="s">
        <v>17</v>
      </c>
      <c r="E3246" t="s">
        <v>12</v>
      </c>
      <c r="F3246">
        <v>3</v>
      </c>
      <c r="G3246">
        <v>0</v>
      </c>
      <c r="H3246" s="2">
        <v>3.4086000000000003</v>
      </c>
      <c r="I3246" s="2">
        <v>13.11</v>
      </c>
    </row>
    <row r="3247" spans="2:9" x14ac:dyDescent="0.3">
      <c r="E3247" t="s">
        <v>19</v>
      </c>
      <c r="F3247">
        <v>2</v>
      </c>
      <c r="G3247">
        <v>0</v>
      </c>
      <c r="H3247" s="2">
        <v>1.9023999999999992</v>
      </c>
      <c r="I3247" s="2">
        <v>6.56</v>
      </c>
    </row>
    <row r="3248" spans="2:9" x14ac:dyDescent="0.3">
      <c r="B3248" t="s">
        <v>351</v>
      </c>
      <c r="C3248" t="s">
        <v>7</v>
      </c>
      <c r="D3248" t="s">
        <v>8</v>
      </c>
      <c r="E3248" t="s">
        <v>23</v>
      </c>
      <c r="F3248">
        <v>5</v>
      </c>
      <c r="G3248">
        <v>0.2</v>
      </c>
      <c r="H3248" s="2">
        <v>83.98599999999999</v>
      </c>
      <c r="I3248" s="2">
        <v>239.96000000000004</v>
      </c>
    </row>
    <row r="3249" spans="2:9" x14ac:dyDescent="0.3">
      <c r="E3249" t="s">
        <v>20</v>
      </c>
      <c r="F3249">
        <v>6</v>
      </c>
      <c r="G3249">
        <v>0.8</v>
      </c>
      <c r="H3249" s="2">
        <v>-13.015200000000004</v>
      </c>
      <c r="I3249" s="2">
        <v>7.6559999999999988</v>
      </c>
    </row>
    <row r="3250" spans="2:9" x14ac:dyDescent="0.3">
      <c r="E3250" t="s">
        <v>33</v>
      </c>
      <c r="F3250">
        <v>7</v>
      </c>
      <c r="G3250">
        <v>0.3</v>
      </c>
      <c r="H3250" s="2">
        <v>-163.57670000000005</v>
      </c>
      <c r="I3250" s="2">
        <v>602.65099999999995</v>
      </c>
    </row>
    <row r="3251" spans="2:9" x14ac:dyDescent="0.3">
      <c r="C3251" t="s">
        <v>22</v>
      </c>
      <c r="D3251" t="s">
        <v>8</v>
      </c>
      <c r="E3251" t="s">
        <v>20</v>
      </c>
      <c r="F3251">
        <v>3</v>
      </c>
      <c r="G3251">
        <v>0.8</v>
      </c>
      <c r="H3251" s="2">
        <v>-4.492799999999999</v>
      </c>
      <c r="I3251" s="2">
        <v>2.8079999999999989</v>
      </c>
    </row>
    <row r="3252" spans="2:9" x14ac:dyDescent="0.3">
      <c r="D3252" t="s">
        <v>15</v>
      </c>
      <c r="E3252" t="s">
        <v>24</v>
      </c>
      <c r="F3252">
        <v>4</v>
      </c>
      <c r="G3252">
        <v>0.2</v>
      </c>
      <c r="H3252" s="2">
        <v>16.556399999999996</v>
      </c>
      <c r="I3252" s="2">
        <v>147.16800000000001</v>
      </c>
    </row>
    <row r="3253" spans="2:9" x14ac:dyDescent="0.3">
      <c r="D3253" t="s">
        <v>17</v>
      </c>
      <c r="E3253" t="s">
        <v>20</v>
      </c>
      <c r="F3253">
        <v>2</v>
      </c>
      <c r="G3253">
        <v>0.8</v>
      </c>
      <c r="H3253" s="2">
        <v>-5.4870000000000001</v>
      </c>
      <c r="I3253" s="2">
        <v>3.5399999999999991</v>
      </c>
    </row>
    <row r="3254" spans="2:9" x14ac:dyDescent="0.3">
      <c r="E3254" t="s">
        <v>43</v>
      </c>
      <c r="F3254">
        <v>3</v>
      </c>
      <c r="G3254">
        <v>0.2</v>
      </c>
      <c r="H3254" s="2">
        <v>4.2716999999999992</v>
      </c>
      <c r="I3254" s="2">
        <v>11.784000000000001</v>
      </c>
    </row>
    <row r="3255" spans="2:9" x14ac:dyDescent="0.3">
      <c r="E3255" t="s">
        <v>14</v>
      </c>
      <c r="F3255">
        <v>3</v>
      </c>
      <c r="G3255">
        <v>0.2</v>
      </c>
      <c r="H3255" s="2">
        <v>-64.774800000000013</v>
      </c>
      <c r="I3255" s="2">
        <v>272.73599999999999</v>
      </c>
    </row>
    <row r="3256" spans="2:9" x14ac:dyDescent="0.3">
      <c r="B3256" t="s">
        <v>352</v>
      </c>
      <c r="C3256" t="s">
        <v>7</v>
      </c>
      <c r="D3256" t="s">
        <v>8</v>
      </c>
      <c r="E3256" t="s">
        <v>18</v>
      </c>
      <c r="F3256">
        <v>6</v>
      </c>
      <c r="G3256">
        <v>0</v>
      </c>
      <c r="H3256" s="2">
        <v>6.9654000000000007</v>
      </c>
      <c r="I3256" s="2">
        <v>14.82</v>
      </c>
    </row>
    <row r="3257" spans="2:9" x14ac:dyDescent="0.3">
      <c r="C3257" t="s">
        <v>22</v>
      </c>
      <c r="D3257" t="s">
        <v>15</v>
      </c>
      <c r="E3257" t="s">
        <v>21</v>
      </c>
      <c r="F3257">
        <v>4</v>
      </c>
      <c r="G3257">
        <v>0</v>
      </c>
      <c r="H3257" s="2">
        <v>6.5471999999999984</v>
      </c>
      <c r="I3257" s="2">
        <v>21.12</v>
      </c>
    </row>
    <row r="3258" spans="2:9" x14ac:dyDescent="0.3">
      <c r="B3258" t="s">
        <v>353</v>
      </c>
      <c r="C3258" t="s">
        <v>11</v>
      </c>
      <c r="D3258" t="s">
        <v>8</v>
      </c>
      <c r="E3258" t="s">
        <v>16</v>
      </c>
      <c r="F3258">
        <v>3</v>
      </c>
      <c r="G3258">
        <v>0.2</v>
      </c>
      <c r="H3258" s="2">
        <v>5.4432</v>
      </c>
      <c r="I3258" s="2">
        <v>15.552000000000003</v>
      </c>
    </row>
    <row r="3259" spans="2:9" x14ac:dyDescent="0.3">
      <c r="D3259" t="s">
        <v>15</v>
      </c>
      <c r="E3259" t="s">
        <v>33</v>
      </c>
      <c r="F3259">
        <v>2</v>
      </c>
      <c r="G3259">
        <v>0.2</v>
      </c>
      <c r="H3259" s="2">
        <v>10.960199999999993</v>
      </c>
      <c r="I3259" s="2">
        <v>97.424000000000007</v>
      </c>
    </row>
    <row r="3260" spans="2:9" x14ac:dyDescent="0.3">
      <c r="D3260" t="s">
        <v>17</v>
      </c>
      <c r="E3260" t="s">
        <v>19</v>
      </c>
      <c r="F3260">
        <v>14</v>
      </c>
      <c r="G3260">
        <v>0.4</v>
      </c>
      <c r="H3260" s="2">
        <v>12.048</v>
      </c>
      <c r="I3260" s="2">
        <v>109.96799999999999</v>
      </c>
    </row>
    <row r="3261" spans="2:9" x14ac:dyDescent="0.3">
      <c r="C3261" t="s">
        <v>22</v>
      </c>
      <c r="D3261" t="s">
        <v>8</v>
      </c>
      <c r="E3261" t="s">
        <v>23</v>
      </c>
      <c r="F3261">
        <v>4</v>
      </c>
      <c r="G3261">
        <v>0.2</v>
      </c>
      <c r="H3261" s="2">
        <v>8.3524000000000012</v>
      </c>
      <c r="I3261" s="2">
        <v>35.167999999999999</v>
      </c>
    </row>
    <row r="3262" spans="2:9" x14ac:dyDescent="0.3">
      <c r="E3262" t="s">
        <v>19</v>
      </c>
      <c r="F3262">
        <v>5</v>
      </c>
      <c r="G3262">
        <v>0.4</v>
      </c>
      <c r="H3262" s="2">
        <v>1.1720999999999993</v>
      </c>
      <c r="I3262" s="2">
        <v>9.6080000000000005</v>
      </c>
    </row>
    <row r="3263" spans="2:9" x14ac:dyDescent="0.3">
      <c r="E3263" t="s">
        <v>20</v>
      </c>
      <c r="F3263">
        <v>9</v>
      </c>
      <c r="G3263">
        <v>1.4</v>
      </c>
      <c r="H3263" s="2">
        <v>-921.82169999999996</v>
      </c>
      <c r="I3263" s="2">
        <v>1381.0410000000002</v>
      </c>
    </row>
    <row r="3264" spans="2:9" x14ac:dyDescent="0.3">
      <c r="E3264" t="s">
        <v>21</v>
      </c>
      <c r="F3264">
        <v>3</v>
      </c>
      <c r="G3264">
        <v>0.2</v>
      </c>
      <c r="H3264" s="2">
        <v>14.546999999999995</v>
      </c>
      <c r="I3264" s="2">
        <v>44.76</v>
      </c>
    </row>
    <row r="3265" spans="2:9" x14ac:dyDescent="0.3">
      <c r="E3265" t="s">
        <v>43</v>
      </c>
      <c r="F3265">
        <v>4</v>
      </c>
      <c r="G3265">
        <v>0.2</v>
      </c>
      <c r="H3265" s="2">
        <v>3.3408000000000002</v>
      </c>
      <c r="I3265" s="2">
        <v>9.2159999999999993</v>
      </c>
    </row>
    <row r="3266" spans="2:9" x14ac:dyDescent="0.3">
      <c r="E3266" t="s">
        <v>46</v>
      </c>
      <c r="F3266">
        <v>2</v>
      </c>
      <c r="G3266">
        <v>0.5</v>
      </c>
      <c r="H3266" s="2">
        <v>-272.58000000000015</v>
      </c>
      <c r="I3266" s="2">
        <v>649</v>
      </c>
    </row>
    <row r="3267" spans="2:9" x14ac:dyDescent="0.3">
      <c r="E3267" t="s">
        <v>16</v>
      </c>
      <c r="F3267">
        <v>22</v>
      </c>
      <c r="G3267">
        <v>1</v>
      </c>
      <c r="H3267" s="2">
        <v>98.928399999999982</v>
      </c>
      <c r="I3267" s="2">
        <v>297.29600000000005</v>
      </c>
    </row>
    <row r="3268" spans="2:9" x14ac:dyDescent="0.3">
      <c r="E3268" t="s">
        <v>14</v>
      </c>
      <c r="F3268">
        <v>4</v>
      </c>
      <c r="G3268">
        <v>0.2</v>
      </c>
      <c r="H3268" s="2">
        <v>-58.873600000000025</v>
      </c>
      <c r="I3268" s="2">
        <v>294.36799999999999</v>
      </c>
    </row>
    <row r="3269" spans="2:9" x14ac:dyDescent="0.3">
      <c r="D3269" t="s">
        <v>15</v>
      </c>
      <c r="E3269" t="s">
        <v>12</v>
      </c>
      <c r="F3269">
        <v>10</v>
      </c>
      <c r="G3269">
        <v>0.4</v>
      </c>
      <c r="H3269" s="2">
        <v>13.840399999999999</v>
      </c>
      <c r="I3269" s="2">
        <v>158.17599999999999</v>
      </c>
    </row>
    <row r="3270" spans="2:9" x14ac:dyDescent="0.3">
      <c r="E3270" t="s">
        <v>20</v>
      </c>
      <c r="F3270">
        <v>3</v>
      </c>
      <c r="G3270">
        <v>0.7</v>
      </c>
      <c r="H3270" s="2">
        <v>-20.72399999999999</v>
      </c>
      <c r="I3270" s="2">
        <v>31.086000000000006</v>
      </c>
    </row>
    <row r="3271" spans="2:9" x14ac:dyDescent="0.3">
      <c r="E3271" t="s">
        <v>18</v>
      </c>
      <c r="F3271">
        <v>5</v>
      </c>
      <c r="G3271">
        <v>0.2</v>
      </c>
      <c r="H3271" s="2">
        <v>1.1764999999999992</v>
      </c>
      <c r="I3271" s="2">
        <v>7.2400000000000011</v>
      </c>
    </row>
    <row r="3272" spans="2:9" x14ac:dyDescent="0.3">
      <c r="E3272" t="s">
        <v>21</v>
      </c>
      <c r="F3272">
        <v>4</v>
      </c>
      <c r="G3272">
        <v>0.2</v>
      </c>
      <c r="H3272" s="2">
        <v>9.3504000000000005</v>
      </c>
      <c r="I3272" s="2">
        <v>31.168000000000003</v>
      </c>
    </row>
    <row r="3273" spans="2:9" x14ac:dyDescent="0.3">
      <c r="E3273" t="s">
        <v>16</v>
      </c>
      <c r="F3273">
        <v>5</v>
      </c>
      <c r="G3273">
        <v>0.2</v>
      </c>
      <c r="H3273" s="2">
        <v>29.691999999999993</v>
      </c>
      <c r="I3273" s="2">
        <v>91.360000000000014</v>
      </c>
    </row>
    <row r="3274" spans="2:9" x14ac:dyDescent="0.3">
      <c r="E3274" t="s">
        <v>24</v>
      </c>
      <c r="F3274">
        <v>11</v>
      </c>
      <c r="G3274">
        <v>0.4</v>
      </c>
      <c r="H3274" s="2">
        <v>250.9909000000001</v>
      </c>
      <c r="I3274" s="2">
        <v>2479.9120000000003</v>
      </c>
    </row>
    <row r="3275" spans="2:9" x14ac:dyDescent="0.3">
      <c r="E3275" t="s">
        <v>14</v>
      </c>
      <c r="F3275">
        <v>1</v>
      </c>
      <c r="G3275">
        <v>0.2</v>
      </c>
      <c r="H3275" s="2">
        <v>17.84699999999998</v>
      </c>
      <c r="I3275" s="2">
        <v>142.77600000000001</v>
      </c>
    </row>
    <row r="3276" spans="2:9" x14ac:dyDescent="0.3">
      <c r="E3276" t="s">
        <v>25</v>
      </c>
      <c r="F3276">
        <v>2</v>
      </c>
      <c r="G3276">
        <v>0.4</v>
      </c>
      <c r="H3276" s="2">
        <v>-28.224000000000004</v>
      </c>
      <c r="I3276" s="2">
        <v>120.96</v>
      </c>
    </row>
    <row r="3277" spans="2:9" x14ac:dyDescent="0.3">
      <c r="D3277" t="s">
        <v>17</v>
      </c>
      <c r="E3277" t="s">
        <v>14</v>
      </c>
      <c r="F3277">
        <v>1</v>
      </c>
      <c r="G3277">
        <v>0.2</v>
      </c>
      <c r="H3277" s="2">
        <v>-12.956800000000005</v>
      </c>
      <c r="I3277" s="2">
        <v>64.784000000000006</v>
      </c>
    </row>
    <row r="3278" spans="2:9" x14ac:dyDescent="0.3">
      <c r="B3278" t="s">
        <v>354</v>
      </c>
      <c r="C3278" t="s">
        <v>22</v>
      </c>
      <c r="D3278" t="s">
        <v>8</v>
      </c>
      <c r="E3278" t="s">
        <v>20</v>
      </c>
      <c r="F3278">
        <v>6</v>
      </c>
      <c r="G3278">
        <v>0</v>
      </c>
      <c r="H3278" s="2">
        <v>17.9634</v>
      </c>
      <c r="I3278" s="2">
        <v>38.22</v>
      </c>
    </row>
    <row r="3279" spans="2:9" x14ac:dyDescent="0.3">
      <c r="E3279" t="s">
        <v>33</v>
      </c>
      <c r="F3279">
        <v>1</v>
      </c>
      <c r="G3279">
        <v>0</v>
      </c>
      <c r="H3279" s="2">
        <v>17.098099999999988</v>
      </c>
      <c r="I3279" s="2">
        <v>89.99</v>
      </c>
    </row>
    <row r="3280" spans="2:9" x14ac:dyDescent="0.3">
      <c r="E3280" t="s">
        <v>21</v>
      </c>
      <c r="F3280">
        <v>2</v>
      </c>
      <c r="G3280">
        <v>0</v>
      </c>
      <c r="H3280" s="2">
        <v>2.9567999999999999</v>
      </c>
      <c r="I3280" s="2">
        <v>6.16</v>
      </c>
    </row>
    <row r="3281" spans="2:9" x14ac:dyDescent="0.3">
      <c r="E3281" t="s">
        <v>43</v>
      </c>
      <c r="F3281">
        <v>6</v>
      </c>
      <c r="G3281">
        <v>0</v>
      </c>
      <c r="H3281" s="2">
        <v>35.334599999999995</v>
      </c>
      <c r="I3281" s="2">
        <v>75.179999999999993</v>
      </c>
    </row>
    <row r="3282" spans="2:9" x14ac:dyDescent="0.3">
      <c r="B3282" t="s">
        <v>355</v>
      </c>
      <c r="C3282" t="s">
        <v>22</v>
      </c>
      <c r="D3282" t="s">
        <v>8</v>
      </c>
      <c r="E3282" t="s">
        <v>23</v>
      </c>
      <c r="F3282">
        <v>2</v>
      </c>
      <c r="G3282">
        <v>0</v>
      </c>
      <c r="H3282" s="2">
        <v>7.6493999999999982</v>
      </c>
      <c r="I3282" s="2">
        <v>23.18</v>
      </c>
    </row>
    <row r="3283" spans="2:9" x14ac:dyDescent="0.3">
      <c r="D3283" t="s">
        <v>15</v>
      </c>
      <c r="E3283" t="s">
        <v>20</v>
      </c>
      <c r="F3283">
        <v>14</v>
      </c>
      <c r="G3283">
        <v>0</v>
      </c>
      <c r="H3283" s="2">
        <v>29.64</v>
      </c>
      <c r="I3283" s="2">
        <v>64.5</v>
      </c>
    </row>
    <row r="3284" spans="2:9" x14ac:dyDescent="0.3">
      <c r="E3284" t="s">
        <v>16</v>
      </c>
      <c r="F3284">
        <v>3</v>
      </c>
      <c r="G3284">
        <v>0</v>
      </c>
      <c r="H3284" s="2">
        <v>9.3312000000000008</v>
      </c>
      <c r="I3284" s="2">
        <v>19.440000000000001</v>
      </c>
    </row>
    <row r="3285" spans="2:9" x14ac:dyDescent="0.3">
      <c r="E3285" t="s">
        <v>24</v>
      </c>
      <c r="F3285">
        <v>3</v>
      </c>
      <c r="G3285">
        <v>0</v>
      </c>
      <c r="H3285" s="2">
        <v>3.8654999999999973</v>
      </c>
      <c r="I3285" s="2">
        <v>128.85000000000002</v>
      </c>
    </row>
    <row r="3286" spans="2:9" x14ac:dyDescent="0.3">
      <c r="B3286" t="s">
        <v>356</v>
      </c>
      <c r="C3286" t="s">
        <v>22</v>
      </c>
      <c r="D3286" t="s">
        <v>17</v>
      </c>
      <c r="E3286" t="s">
        <v>18</v>
      </c>
      <c r="F3286">
        <v>2</v>
      </c>
      <c r="G3286">
        <v>0</v>
      </c>
      <c r="H3286" s="2">
        <v>3.58</v>
      </c>
      <c r="I3286" s="2">
        <v>7.16</v>
      </c>
    </row>
    <row r="3287" spans="2:9" x14ac:dyDescent="0.3">
      <c r="E3287" t="s">
        <v>16</v>
      </c>
      <c r="F3287">
        <v>1</v>
      </c>
      <c r="G3287">
        <v>0</v>
      </c>
      <c r="H3287" s="2">
        <v>3.5766999999999998</v>
      </c>
      <c r="I3287" s="2">
        <v>7.61</v>
      </c>
    </row>
    <row r="3288" spans="2:9" x14ac:dyDescent="0.3">
      <c r="B3288" t="s">
        <v>357</v>
      </c>
      <c r="C3288" t="s">
        <v>22</v>
      </c>
      <c r="D3288" t="s">
        <v>8</v>
      </c>
      <c r="E3288" t="s">
        <v>12</v>
      </c>
      <c r="F3288">
        <v>7</v>
      </c>
      <c r="G3288">
        <v>0</v>
      </c>
      <c r="H3288" s="2">
        <v>16.386300000000002</v>
      </c>
      <c r="I3288" s="2">
        <v>60.69</v>
      </c>
    </row>
    <row r="3289" spans="2:9" x14ac:dyDescent="0.3">
      <c r="E3289" t="s">
        <v>24</v>
      </c>
      <c r="F3289">
        <v>2</v>
      </c>
      <c r="G3289">
        <v>0</v>
      </c>
      <c r="H3289" s="2">
        <v>6.6976000000000013</v>
      </c>
      <c r="I3289" s="2">
        <v>23.92</v>
      </c>
    </row>
    <row r="3290" spans="2:9" x14ac:dyDescent="0.3">
      <c r="B3290" t="s">
        <v>358</v>
      </c>
      <c r="C3290" t="s">
        <v>11</v>
      </c>
      <c r="D3290" t="s">
        <v>17</v>
      </c>
      <c r="E3290" t="s">
        <v>46</v>
      </c>
      <c r="F3290">
        <v>1</v>
      </c>
      <c r="G3290">
        <v>0</v>
      </c>
      <c r="H3290" s="2">
        <v>30.095700000000001</v>
      </c>
      <c r="I3290" s="2">
        <v>69.989999999999995</v>
      </c>
    </row>
    <row r="3291" spans="2:9" x14ac:dyDescent="0.3">
      <c r="C3291" t="s">
        <v>22</v>
      </c>
      <c r="D3291" t="s">
        <v>8</v>
      </c>
      <c r="E3291" t="s">
        <v>23</v>
      </c>
      <c r="F3291">
        <v>5</v>
      </c>
      <c r="G3291">
        <v>0</v>
      </c>
      <c r="H3291" s="2">
        <v>14.994999999999994</v>
      </c>
      <c r="I3291" s="2">
        <v>149.94999999999999</v>
      </c>
    </row>
    <row r="3292" spans="2:9" x14ac:dyDescent="0.3">
      <c r="E3292" t="s">
        <v>20</v>
      </c>
      <c r="F3292">
        <v>5</v>
      </c>
      <c r="G3292">
        <v>0.4</v>
      </c>
      <c r="H3292" s="2">
        <v>23.119399999999995</v>
      </c>
      <c r="I3292" s="2">
        <v>65.215999999999994</v>
      </c>
    </row>
    <row r="3293" spans="2:9" x14ac:dyDescent="0.3">
      <c r="E3293" t="s">
        <v>33</v>
      </c>
      <c r="F3293">
        <v>2</v>
      </c>
      <c r="G3293">
        <v>0.1</v>
      </c>
      <c r="H3293" s="2">
        <v>140.39599999999993</v>
      </c>
      <c r="I3293" s="2">
        <v>631.78200000000004</v>
      </c>
    </row>
    <row r="3294" spans="2:9" x14ac:dyDescent="0.3">
      <c r="E3294" t="s">
        <v>21</v>
      </c>
      <c r="F3294">
        <v>3</v>
      </c>
      <c r="G3294">
        <v>0</v>
      </c>
      <c r="H3294" s="2">
        <v>26.1096</v>
      </c>
      <c r="I3294" s="2">
        <v>60.72</v>
      </c>
    </row>
    <row r="3295" spans="2:9" x14ac:dyDescent="0.3">
      <c r="D3295" t="s">
        <v>17</v>
      </c>
      <c r="E3295" t="s">
        <v>16</v>
      </c>
      <c r="F3295">
        <v>9</v>
      </c>
      <c r="G3295">
        <v>0</v>
      </c>
      <c r="H3295" s="2">
        <v>131.50530000000001</v>
      </c>
      <c r="I3295" s="2">
        <v>270.27</v>
      </c>
    </row>
    <row r="3296" spans="2:9" x14ac:dyDescent="0.3">
      <c r="E3296" t="s">
        <v>9</v>
      </c>
      <c r="F3296">
        <v>2</v>
      </c>
      <c r="G3296">
        <v>0</v>
      </c>
      <c r="H3296" s="2">
        <v>2.1899999999999995</v>
      </c>
      <c r="I3296" s="2">
        <v>7.3</v>
      </c>
    </row>
    <row r="3297" spans="2:9" x14ac:dyDescent="0.3">
      <c r="B3297" t="s">
        <v>359</v>
      </c>
      <c r="C3297" t="s">
        <v>11</v>
      </c>
      <c r="D3297" t="s">
        <v>8</v>
      </c>
      <c r="E3297" t="s">
        <v>23</v>
      </c>
      <c r="F3297">
        <v>15</v>
      </c>
      <c r="G3297">
        <v>0</v>
      </c>
      <c r="H3297" s="2">
        <v>141.35080000000005</v>
      </c>
      <c r="I3297" s="2">
        <v>634.29</v>
      </c>
    </row>
    <row r="3298" spans="2:9" x14ac:dyDescent="0.3">
      <c r="E3298" t="s">
        <v>12</v>
      </c>
      <c r="F3298">
        <v>17</v>
      </c>
      <c r="G3298">
        <v>0</v>
      </c>
      <c r="H3298" s="2">
        <v>473.56579999999997</v>
      </c>
      <c r="I3298" s="2">
        <v>1533.21</v>
      </c>
    </row>
    <row r="3299" spans="2:9" x14ac:dyDescent="0.3">
      <c r="E3299" t="s">
        <v>19</v>
      </c>
      <c r="F3299">
        <v>11</v>
      </c>
      <c r="G3299">
        <v>0</v>
      </c>
      <c r="H3299" s="2">
        <v>43.552800000000005</v>
      </c>
      <c r="I3299" s="2">
        <v>147.96</v>
      </c>
    </row>
    <row r="3300" spans="2:9" x14ac:dyDescent="0.3">
      <c r="E3300" t="s">
        <v>20</v>
      </c>
      <c r="F3300">
        <v>40</v>
      </c>
      <c r="G3300">
        <v>2.1999999999999997</v>
      </c>
      <c r="H3300" s="2">
        <v>1792.0525000000002</v>
      </c>
      <c r="I3300" s="2">
        <v>4825.0720000000001</v>
      </c>
    </row>
    <row r="3301" spans="2:9" x14ac:dyDescent="0.3">
      <c r="E3301" t="s">
        <v>34</v>
      </c>
      <c r="F3301">
        <v>11</v>
      </c>
      <c r="G3301">
        <v>0.8</v>
      </c>
      <c r="H3301" s="2">
        <v>-174.78160000000017</v>
      </c>
      <c r="I3301" s="2">
        <v>2127.0239999999999</v>
      </c>
    </row>
    <row r="3302" spans="2:9" x14ac:dyDescent="0.3">
      <c r="E3302" t="s">
        <v>33</v>
      </c>
      <c r="F3302">
        <v>10</v>
      </c>
      <c r="G3302">
        <v>0.4</v>
      </c>
      <c r="H3302" s="2">
        <v>207.69119999999987</v>
      </c>
      <c r="I3302" s="2">
        <v>1747.08</v>
      </c>
    </row>
    <row r="3303" spans="2:9" x14ac:dyDescent="0.3">
      <c r="E3303" t="s">
        <v>45</v>
      </c>
      <c r="F3303">
        <v>1</v>
      </c>
      <c r="G3303">
        <v>0.2</v>
      </c>
      <c r="H3303" s="2">
        <v>174.99749999999997</v>
      </c>
      <c r="I3303" s="2">
        <v>559.99200000000008</v>
      </c>
    </row>
    <row r="3304" spans="2:9" x14ac:dyDescent="0.3">
      <c r="E3304" t="s">
        <v>38</v>
      </c>
      <c r="F3304">
        <v>4</v>
      </c>
      <c r="G3304">
        <v>0</v>
      </c>
      <c r="H3304" s="2">
        <v>162.864</v>
      </c>
      <c r="I3304" s="2">
        <v>361.92</v>
      </c>
    </row>
    <row r="3305" spans="2:9" x14ac:dyDescent="0.3">
      <c r="E3305" t="s">
        <v>18</v>
      </c>
      <c r="F3305">
        <v>6</v>
      </c>
      <c r="G3305">
        <v>0</v>
      </c>
      <c r="H3305" s="2">
        <v>7.9601999999999995</v>
      </c>
      <c r="I3305" s="2">
        <v>16.68</v>
      </c>
    </row>
    <row r="3306" spans="2:9" x14ac:dyDescent="0.3">
      <c r="E3306" t="s">
        <v>21</v>
      </c>
      <c r="F3306">
        <v>10</v>
      </c>
      <c r="G3306">
        <v>0</v>
      </c>
      <c r="H3306" s="2">
        <v>52.694199999999995</v>
      </c>
      <c r="I3306" s="2">
        <v>208.95</v>
      </c>
    </row>
    <row r="3307" spans="2:9" x14ac:dyDescent="0.3">
      <c r="E3307" t="s">
        <v>43</v>
      </c>
      <c r="F3307">
        <v>13</v>
      </c>
      <c r="G3307">
        <v>0</v>
      </c>
      <c r="H3307" s="2">
        <v>69.47059999999999</v>
      </c>
      <c r="I3307" s="2">
        <v>143.82999999999998</v>
      </c>
    </row>
    <row r="3308" spans="2:9" x14ac:dyDescent="0.3">
      <c r="E3308" t="s">
        <v>16</v>
      </c>
      <c r="F3308">
        <v>31</v>
      </c>
      <c r="G3308">
        <v>0</v>
      </c>
      <c r="H3308" s="2">
        <v>164.79680000000002</v>
      </c>
      <c r="I3308" s="2">
        <v>344.09</v>
      </c>
    </row>
    <row r="3309" spans="2:9" x14ac:dyDescent="0.3">
      <c r="E3309" t="s">
        <v>24</v>
      </c>
      <c r="F3309">
        <v>45</v>
      </c>
      <c r="G3309">
        <v>0</v>
      </c>
      <c r="H3309" s="2">
        <v>1968.6995999999999</v>
      </c>
      <c r="I3309" s="2">
        <v>6542.4299999999994</v>
      </c>
    </row>
    <row r="3310" spans="2:9" x14ac:dyDescent="0.3">
      <c r="E3310" t="s">
        <v>14</v>
      </c>
      <c r="F3310">
        <v>18</v>
      </c>
      <c r="G3310">
        <v>0</v>
      </c>
      <c r="H3310" s="2">
        <v>57.17519999999999</v>
      </c>
      <c r="I3310" s="2">
        <v>562.36</v>
      </c>
    </row>
    <row r="3311" spans="2:9" x14ac:dyDescent="0.3">
      <c r="E3311" t="s">
        <v>9</v>
      </c>
      <c r="F3311">
        <v>5</v>
      </c>
      <c r="G3311">
        <v>0</v>
      </c>
      <c r="H3311" s="2">
        <v>15.372000000000003</v>
      </c>
      <c r="I3311" s="2">
        <v>54.900000000000006</v>
      </c>
    </row>
    <row r="3312" spans="2:9" x14ac:dyDescent="0.3">
      <c r="E3312" t="s">
        <v>25</v>
      </c>
      <c r="F3312">
        <v>9</v>
      </c>
      <c r="G3312">
        <v>0.4</v>
      </c>
      <c r="H3312" s="2">
        <v>-153.12239999999997</v>
      </c>
      <c r="I3312" s="2">
        <v>382.80599999999998</v>
      </c>
    </row>
    <row r="3313" spans="4:9" x14ac:dyDescent="0.3">
      <c r="D3313" t="s">
        <v>15</v>
      </c>
      <c r="E3313" t="s">
        <v>23</v>
      </c>
      <c r="F3313">
        <v>22</v>
      </c>
      <c r="G3313">
        <v>0</v>
      </c>
      <c r="H3313" s="2">
        <v>599.40250000000003</v>
      </c>
      <c r="I3313" s="2">
        <v>1534.58</v>
      </c>
    </row>
    <row r="3314" spans="4:9" x14ac:dyDescent="0.3">
      <c r="E3314" t="s">
        <v>12</v>
      </c>
      <c r="F3314">
        <v>3</v>
      </c>
      <c r="G3314">
        <v>0</v>
      </c>
      <c r="H3314" s="2">
        <v>77.863499999999988</v>
      </c>
      <c r="I3314" s="2">
        <v>235.95000000000002</v>
      </c>
    </row>
    <row r="3315" spans="4:9" x14ac:dyDescent="0.3">
      <c r="E3315" t="s">
        <v>19</v>
      </c>
      <c r="F3315">
        <v>13</v>
      </c>
      <c r="G3315">
        <v>0</v>
      </c>
      <c r="H3315" s="2">
        <v>40.264799999999987</v>
      </c>
      <c r="I3315" s="2">
        <v>135.29999999999998</v>
      </c>
    </row>
    <row r="3316" spans="4:9" x14ac:dyDescent="0.3">
      <c r="E3316" t="s">
        <v>20</v>
      </c>
      <c r="F3316">
        <v>26</v>
      </c>
      <c r="G3316">
        <v>1.2</v>
      </c>
      <c r="H3316" s="2">
        <v>420.01929999999993</v>
      </c>
      <c r="I3316" s="2">
        <v>1281.9760000000001</v>
      </c>
    </row>
    <row r="3317" spans="4:9" x14ac:dyDescent="0.3">
      <c r="E3317" t="s">
        <v>33</v>
      </c>
      <c r="F3317">
        <v>3</v>
      </c>
      <c r="G3317">
        <v>0.1</v>
      </c>
      <c r="H3317" s="2">
        <v>2.3093999999999895</v>
      </c>
      <c r="I3317" s="2">
        <v>207.84600000000003</v>
      </c>
    </row>
    <row r="3318" spans="4:9" x14ac:dyDescent="0.3">
      <c r="E3318" t="s">
        <v>38</v>
      </c>
      <c r="F3318">
        <v>4</v>
      </c>
      <c r="G3318">
        <v>0</v>
      </c>
      <c r="H3318" s="2">
        <v>34.089699999999993</v>
      </c>
      <c r="I3318" s="2">
        <v>71</v>
      </c>
    </row>
    <row r="3319" spans="4:9" x14ac:dyDescent="0.3">
      <c r="E3319" t="s">
        <v>18</v>
      </c>
      <c r="F3319">
        <v>6</v>
      </c>
      <c r="G3319">
        <v>0</v>
      </c>
      <c r="H3319" s="2">
        <v>4.6448</v>
      </c>
      <c r="I3319" s="2">
        <v>9.6</v>
      </c>
    </row>
    <row r="3320" spans="4:9" x14ac:dyDescent="0.3">
      <c r="E3320" t="s">
        <v>21</v>
      </c>
      <c r="F3320">
        <v>20</v>
      </c>
      <c r="G3320">
        <v>0</v>
      </c>
      <c r="H3320" s="2">
        <v>241.67799999999994</v>
      </c>
      <c r="I3320" s="2">
        <v>683.1</v>
      </c>
    </row>
    <row r="3321" spans="4:9" x14ac:dyDescent="0.3">
      <c r="E3321" t="s">
        <v>43</v>
      </c>
      <c r="F3321">
        <v>3</v>
      </c>
      <c r="G3321">
        <v>0</v>
      </c>
      <c r="H3321" s="2">
        <v>8.6939999999999991</v>
      </c>
      <c r="I3321" s="2">
        <v>18.899999999999999</v>
      </c>
    </row>
    <row r="3322" spans="4:9" x14ac:dyDescent="0.3">
      <c r="E3322" t="s">
        <v>16</v>
      </c>
      <c r="F3322">
        <v>12</v>
      </c>
      <c r="G3322">
        <v>0</v>
      </c>
      <c r="H3322" s="2">
        <v>104.80959999999999</v>
      </c>
      <c r="I3322" s="2">
        <v>221.9</v>
      </c>
    </row>
    <row r="3323" spans="4:9" x14ac:dyDescent="0.3">
      <c r="E3323" t="s">
        <v>24</v>
      </c>
      <c r="F3323">
        <v>17</v>
      </c>
      <c r="G3323">
        <v>0</v>
      </c>
      <c r="H3323" s="2">
        <v>500.84669999999994</v>
      </c>
      <c r="I3323" s="2">
        <v>1807.52</v>
      </c>
    </row>
    <row r="3324" spans="4:9" x14ac:dyDescent="0.3">
      <c r="E3324" t="s">
        <v>14</v>
      </c>
      <c r="F3324">
        <v>7</v>
      </c>
      <c r="G3324">
        <v>0</v>
      </c>
      <c r="H3324" s="2">
        <v>40.716299999999997</v>
      </c>
      <c r="I3324" s="2">
        <v>154.87</v>
      </c>
    </row>
    <row r="3325" spans="4:9" x14ac:dyDescent="0.3">
      <c r="D3325" t="s">
        <v>17</v>
      </c>
      <c r="E3325" t="s">
        <v>23</v>
      </c>
      <c r="F3325">
        <v>1</v>
      </c>
      <c r="G3325">
        <v>0</v>
      </c>
      <c r="H3325" s="2">
        <v>2.3086000000000002</v>
      </c>
      <c r="I3325" s="2">
        <v>6.79</v>
      </c>
    </row>
    <row r="3326" spans="4:9" x14ac:dyDescent="0.3">
      <c r="E3326" t="s">
        <v>12</v>
      </c>
      <c r="F3326">
        <v>1</v>
      </c>
      <c r="G3326">
        <v>0</v>
      </c>
      <c r="H3326" s="2">
        <v>62.243999999999971</v>
      </c>
      <c r="I3326" s="2">
        <v>207.48</v>
      </c>
    </row>
    <row r="3327" spans="4:9" x14ac:dyDescent="0.3">
      <c r="E3327" t="s">
        <v>19</v>
      </c>
      <c r="F3327">
        <v>17</v>
      </c>
      <c r="G3327">
        <v>0</v>
      </c>
      <c r="H3327" s="2">
        <v>27.005999999999997</v>
      </c>
      <c r="I3327" s="2">
        <v>92.86</v>
      </c>
    </row>
    <row r="3328" spans="4:9" x14ac:dyDescent="0.3">
      <c r="E3328" t="s">
        <v>20</v>
      </c>
      <c r="F3328">
        <v>17</v>
      </c>
      <c r="G3328">
        <v>0.8</v>
      </c>
      <c r="H3328" s="2">
        <v>1441.9933999999998</v>
      </c>
      <c r="I3328" s="2">
        <v>4436.5039999999999</v>
      </c>
    </row>
    <row r="3329" spans="3:9" x14ac:dyDescent="0.3">
      <c r="E3329" t="s">
        <v>34</v>
      </c>
      <c r="F3329">
        <v>7</v>
      </c>
      <c r="G3329">
        <v>0.4</v>
      </c>
      <c r="H3329" s="2">
        <v>159.36839999999992</v>
      </c>
      <c r="I3329" s="2">
        <v>1525.4880000000003</v>
      </c>
    </row>
    <row r="3330" spans="3:9" x14ac:dyDescent="0.3">
      <c r="E3330" t="s">
        <v>33</v>
      </c>
      <c r="F3330">
        <v>16</v>
      </c>
      <c r="G3330">
        <v>0.2</v>
      </c>
      <c r="H3330" s="2">
        <v>546.84119999999973</v>
      </c>
      <c r="I3330" s="2">
        <v>3210.732</v>
      </c>
    </row>
    <row r="3331" spans="3:9" x14ac:dyDescent="0.3">
      <c r="E3331" t="s">
        <v>45</v>
      </c>
      <c r="F3331">
        <v>4</v>
      </c>
      <c r="G3331">
        <v>0.2</v>
      </c>
      <c r="H3331" s="2">
        <v>3919.9887999999992</v>
      </c>
      <c r="I3331" s="2">
        <v>11199.968000000001</v>
      </c>
    </row>
    <row r="3332" spans="3:9" x14ac:dyDescent="0.3">
      <c r="E3332" t="s">
        <v>38</v>
      </c>
      <c r="F3332">
        <v>5</v>
      </c>
      <c r="G3332">
        <v>0</v>
      </c>
      <c r="H3332" s="2">
        <v>28.754999999999995</v>
      </c>
      <c r="I3332" s="2">
        <v>63.9</v>
      </c>
    </row>
    <row r="3333" spans="3:9" x14ac:dyDescent="0.3">
      <c r="E3333" t="s">
        <v>43</v>
      </c>
      <c r="F3333">
        <v>5</v>
      </c>
      <c r="G3333">
        <v>0</v>
      </c>
      <c r="H3333" s="2">
        <v>9.0454000000000008</v>
      </c>
      <c r="I3333" s="2">
        <v>18.46</v>
      </c>
    </row>
    <row r="3334" spans="3:9" x14ac:dyDescent="0.3">
      <c r="E3334" t="s">
        <v>46</v>
      </c>
      <c r="F3334">
        <v>11</v>
      </c>
      <c r="G3334">
        <v>0</v>
      </c>
      <c r="H3334" s="2">
        <v>767.20049999999992</v>
      </c>
      <c r="I3334" s="2">
        <v>1704.89</v>
      </c>
    </row>
    <row r="3335" spans="3:9" x14ac:dyDescent="0.3">
      <c r="E3335" t="s">
        <v>16</v>
      </c>
      <c r="F3335">
        <v>35</v>
      </c>
      <c r="G3335">
        <v>0</v>
      </c>
      <c r="H3335" s="2">
        <v>274.00939999999997</v>
      </c>
      <c r="I3335" s="2">
        <v>570.67999999999995</v>
      </c>
    </row>
    <row r="3336" spans="3:9" x14ac:dyDescent="0.3">
      <c r="E3336" t="s">
        <v>24</v>
      </c>
      <c r="F3336">
        <v>24</v>
      </c>
      <c r="G3336">
        <v>0</v>
      </c>
      <c r="H3336" s="2">
        <v>1137.836</v>
      </c>
      <c r="I3336" s="2">
        <v>4112.41</v>
      </c>
    </row>
    <row r="3337" spans="3:9" x14ac:dyDescent="0.3">
      <c r="E3337" t="s">
        <v>14</v>
      </c>
      <c r="F3337">
        <v>18</v>
      </c>
      <c r="G3337">
        <v>0</v>
      </c>
      <c r="H3337" s="2">
        <v>57.365999999999985</v>
      </c>
      <c r="I3337" s="2">
        <v>764.97000000000014</v>
      </c>
    </row>
    <row r="3338" spans="3:9" x14ac:dyDescent="0.3">
      <c r="E3338" t="s">
        <v>9</v>
      </c>
      <c r="F3338">
        <v>1</v>
      </c>
      <c r="G3338">
        <v>0</v>
      </c>
      <c r="H3338" s="2">
        <v>7.2111000000000161</v>
      </c>
      <c r="I3338" s="2">
        <v>240.37</v>
      </c>
    </row>
    <row r="3339" spans="3:9" x14ac:dyDescent="0.3">
      <c r="C3339" t="s">
        <v>27</v>
      </c>
      <c r="D3339" t="s">
        <v>8</v>
      </c>
      <c r="E3339" t="s">
        <v>23</v>
      </c>
      <c r="F3339">
        <v>16</v>
      </c>
      <c r="G3339">
        <v>0</v>
      </c>
      <c r="H3339" s="2">
        <v>800.32049999999992</v>
      </c>
      <c r="I3339" s="2">
        <v>2595.8900000000003</v>
      </c>
    </row>
    <row r="3340" spans="3:9" x14ac:dyDescent="0.3">
      <c r="E3340" t="s">
        <v>12</v>
      </c>
      <c r="F3340">
        <v>2</v>
      </c>
      <c r="G3340">
        <v>0</v>
      </c>
      <c r="H3340" s="2">
        <v>198.42899999999997</v>
      </c>
      <c r="I3340" s="2">
        <v>601.29999999999995</v>
      </c>
    </row>
    <row r="3341" spans="3:9" x14ac:dyDescent="0.3">
      <c r="E3341" t="s">
        <v>20</v>
      </c>
      <c r="F3341">
        <v>8</v>
      </c>
      <c r="G3341">
        <v>0.4</v>
      </c>
      <c r="H3341" s="2">
        <v>223.42659999999992</v>
      </c>
      <c r="I3341" s="2">
        <v>709.49599999999998</v>
      </c>
    </row>
    <row r="3342" spans="3:9" x14ac:dyDescent="0.3">
      <c r="E3342" t="s">
        <v>34</v>
      </c>
      <c r="F3342">
        <v>1</v>
      </c>
      <c r="G3342">
        <v>0.2</v>
      </c>
      <c r="H3342" s="2">
        <v>5.129400000000004</v>
      </c>
      <c r="I3342" s="2">
        <v>136.78399999999999</v>
      </c>
    </row>
    <row r="3343" spans="3:9" x14ac:dyDescent="0.3">
      <c r="E3343" t="s">
        <v>33</v>
      </c>
      <c r="F3343">
        <v>7</v>
      </c>
      <c r="G3343">
        <v>0.1</v>
      </c>
      <c r="H3343" s="2">
        <v>63.934499999999971</v>
      </c>
      <c r="I3343" s="2">
        <v>383.60700000000003</v>
      </c>
    </row>
    <row r="3344" spans="3:9" x14ac:dyDescent="0.3">
      <c r="E3344" t="s">
        <v>38</v>
      </c>
      <c r="F3344">
        <v>10</v>
      </c>
      <c r="G3344">
        <v>0</v>
      </c>
      <c r="H3344" s="2">
        <v>46.161599999999993</v>
      </c>
      <c r="I3344" s="2">
        <v>97.799999999999983</v>
      </c>
    </row>
    <row r="3345" spans="4:9" x14ac:dyDescent="0.3">
      <c r="E3345" t="s">
        <v>18</v>
      </c>
      <c r="F3345">
        <v>1</v>
      </c>
      <c r="G3345">
        <v>0</v>
      </c>
      <c r="H3345" s="2">
        <v>1.4804999999999999</v>
      </c>
      <c r="I3345" s="2">
        <v>3.29</v>
      </c>
    </row>
    <row r="3346" spans="4:9" x14ac:dyDescent="0.3">
      <c r="E3346" t="s">
        <v>21</v>
      </c>
      <c r="F3346">
        <v>7</v>
      </c>
      <c r="G3346">
        <v>0</v>
      </c>
      <c r="H3346" s="2">
        <v>26.8096</v>
      </c>
      <c r="I3346" s="2">
        <v>79.959999999999994</v>
      </c>
    </row>
    <row r="3347" spans="4:9" x14ac:dyDescent="0.3">
      <c r="E3347" t="s">
        <v>43</v>
      </c>
      <c r="F3347">
        <v>5</v>
      </c>
      <c r="G3347">
        <v>0</v>
      </c>
      <c r="H3347" s="2">
        <v>7.056</v>
      </c>
      <c r="I3347" s="2">
        <v>14.399999999999999</v>
      </c>
    </row>
    <row r="3348" spans="4:9" x14ac:dyDescent="0.3">
      <c r="E3348" t="s">
        <v>46</v>
      </c>
      <c r="F3348">
        <v>7</v>
      </c>
      <c r="G3348">
        <v>0</v>
      </c>
      <c r="H3348" s="2">
        <v>1736.4398999999999</v>
      </c>
      <c r="I3348" s="2">
        <v>4149.8099999999995</v>
      </c>
    </row>
    <row r="3349" spans="4:9" x14ac:dyDescent="0.3">
      <c r="E3349" t="s">
        <v>16</v>
      </c>
      <c r="F3349">
        <v>29</v>
      </c>
      <c r="G3349">
        <v>0</v>
      </c>
      <c r="H3349" s="2">
        <v>157.982</v>
      </c>
      <c r="I3349" s="2">
        <v>323.3</v>
      </c>
    </row>
    <row r="3350" spans="4:9" x14ac:dyDescent="0.3">
      <c r="E3350" t="s">
        <v>24</v>
      </c>
      <c r="F3350">
        <v>4</v>
      </c>
      <c r="G3350">
        <v>0</v>
      </c>
      <c r="H3350" s="2">
        <v>85.049000000000007</v>
      </c>
      <c r="I3350" s="2">
        <v>304.95999999999998</v>
      </c>
    </row>
    <row r="3351" spans="4:9" x14ac:dyDescent="0.3">
      <c r="E3351" t="s">
        <v>14</v>
      </c>
      <c r="F3351">
        <v>9</v>
      </c>
      <c r="G3351">
        <v>0</v>
      </c>
      <c r="H3351" s="2">
        <v>80.470400000000012</v>
      </c>
      <c r="I3351" s="2">
        <v>622.29999999999995</v>
      </c>
    </row>
    <row r="3352" spans="4:9" x14ac:dyDescent="0.3">
      <c r="E3352" t="s">
        <v>25</v>
      </c>
      <c r="F3352">
        <v>24</v>
      </c>
      <c r="G3352">
        <v>1.6</v>
      </c>
      <c r="H3352" s="2">
        <v>-709.35239999999988</v>
      </c>
      <c r="I3352" s="2">
        <v>2627.1179999999999</v>
      </c>
    </row>
    <row r="3353" spans="4:9" x14ac:dyDescent="0.3">
      <c r="D3353" t="s">
        <v>15</v>
      </c>
      <c r="E3353" t="s">
        <v>33</v>
      </c>
      <c r="F3353">
        <v>9</v>
      </c>
      <c r="G3353">
        <v>0.2</v>
      </c>
      <c r="H3353" s="2">
        <v>292.97339999999997</v>
      </c>
      <c r="I3353" s="2">
        <v>1464.867</v>
      </c>
    </row>
    <row r="3354" spans="4:9" x14ac:dyDescent="0.3">
      <c r="E3354" t="s">
        <v>21</v>
      </c>
      <c r="F3354">
        <v>3</v>
      </c>
      <c r="G3354">
        <v>0</v>
      </c>
      <c r="H3354" s="2">
        <v>4.7279999999999998</v>
      </c>
      <c r="I3354" s="2">
        <v>11.82</v>
      </c>
    </row>
    <row r="3355" spans="4:9" x14ac:dyDescent="0.3">
      <c r="E3355" t="s">
        <v>46</v>
      </c>
      <c r="F3355">
        <v>8</v>
      </c>
      <c r="G3355">
        <v>0</v>
      </c>
      <c r="H3355" s="2">
        <v>2498.3319999999999</v>
      </c>
      <c r="I3355" s="2">
        <v>5679.6</v>
      </c>
    </row>
    <row r="3356" spans="4:9" x14ac:dyDescent="0.3">
      <c r="E3356" t="s">
        <v>24</v>
      </c>
      <c r="F3356">
        <v>2</v>
      </c>
      <c r="G3356">
        <v>0</v>
      </c>
      <c r="H3356" s="2">
        <v>142.9948</v>
      </c>
      <c r="I3356" s="2">
        <v>549.98</v>
      </c>
    </row>
    <row r="3357" spans="4:9" x14ac:dyDescent="0.3">
      <c r="E3357" t="s">
        <v>14</v>
      </c>
      <c r="F3357">
        <v>5</v>
      </c>
      <c r="G3357">
        <v>0</v>
      </c>
      <c r="H3357" s="2">
        <v>16.787500000000001</v>
      </c>
      <c r="I3357" s="2">
        <v>67.150000000000006</v>
      </c>
    </row>
    <row r="3358" spans="4:9" x14ac:dyDescent="0.3">
      <c r="E3358" t="s">
        <v>9</v>
      </c>
      <c r="F3358">
        <v>5</v>
      </c>
      <c r="G3358">
        <v>0</v>
      </c>
      <c r="H3358" s="2">
        <v>15.372000000000003</v>
      </c>
      <c r="I3358" s="2">
        <v>54.900000000000006</v>
      </c>
    </row>
    <row r="3359" spans="4:9" x14ac:dyDescent="0.3">
      <c r="D3359" t="s">
        <v>17</v>
      </c>
      <c r="E3359" t="s">
        <v>23</v>
      </c>
      <c r="F3359">
        <v>3</v>
      </c>
      <c r="G3359">
        <v>0</v>
      </c>
      <c r="H3359" s="2">
        <v>6.1679999999999975</v>
      </c>
      <c r="I3359" s="2">
        <v>30.839999999999996</v>
      </c>
    </row>
    <row r="3360" spans="4:9" x14ac:dyDescent="0.3">
      <c r="E3360" t="s">
        <v>20</v>
      </c>
      <c r="F3360">
        <v>7</v>
      </c>
      <c r="G3360">
        <v>0.2</v>
      </c>
      <c r="H3360" s="2">
        <v>18.252499999999998</v>
      </c>
      <c r="I3360" s="2">
        <v>58.407999999999994</v>
      </c>
    </row>
    <row r="3361" spans="3:9" x14ac:dyDescent="0.3">
      <c r="E3361" t="s">
        <v>34</v>
      </c>
      <c r="F3361">
        <v>2</v>
      </c>
      <c r="G3361">
        <v>0.2</v>
      </c>
      <c r="H3361" s="2">
        <v>12.776399999999988</v>
      </c>
      <c r="I3361" s="2">
        <v>113.56800000000001</v>
      </c>
    </row>
    <row r="3362" spans="3:9" x14ac:dyDescent="0.3">
      <c r="E3362" t="s">
        <v>45</v>
      </c>
      <c r="F3362">
        <v>2</v>
      </c>
      <c r="G3362">
        <v>0.2</v>
      </c>
      <c r="H3362" s="2">
        <v>249.99499999999998</v>
      </c>
      <c r="I3362" s="2">
        <v>799.98400000000004</v>
      </c>
    </row>
    <row r="3363" spans="3:9" x14ac:dyDescent="0.3">
      <c r="E3363" t="s">
        <v>43</v>
      </c>
      <c r="F3363">
        <v>7</v>
      </c>
      <c r="G3363">
        <v>0</v>
      </c>
      <c r="H3363" s="2">
        <v>29.509</v>
      </c>
      <c r="I3363" s="2">
        <v>62.39</v>
      </c>
    </row>
    <row r="3364" spans="3:9" x14ac:dyDescent="0.3">
      <c r="E3364" t="s">
        <v>16</v>
      </c>
      <c r="F3364">
        <v>22</v>
      </c>
      <c r="G3364">
        <v>0</v>
      </c>
      <c r="H3364" s="2">
        <v>137.70939999999999</v>
      </c>
      <c r="I3364" s="2">
        <v>301</v>
      </c>
    </row>
    <row r="3365" spans="3:9" x14ac:dyDescent="0.3">
      <c r="E3365" t="s">
        <v>25</v>
      </c>
      <c r="F3365">
        <v>3</v>
      </c>
      <c r="G3365">
        <v>0.4</v>
      </c>
      <c r="H3365" s="2">
        <v>-29.323800000000006</v>
      </c>
      <c r="I3365" s="2">
        <v>79.97399999999999</v>
      </c>
    </row>
    <row r="3366" spans="3:9" x14ac:dyDescent="0.3">
      <c r="C3366" t="s">
        <v>7</v>
      </c>
      <c r="D3366" t="s">
        <v>8</v>
      </c>
      <c r="E3366" t="s">
        <v>23</v>
      </c>
      <c r="F3366">
        <v>36</v>
      </c>
      <c r="G3366">
        <v>0</v>
      </c>
      <c r="H3366" s="2">
        <v>319.32800000000009</v>
      </c>
      <c r="I3366" s="2">
        <v>1666.3600000000001</v>
      </c>
    </row>
    <row r="3367" spans="3:9" x14ac:dyDescent="0.3">
      <c r="E3367" t="s">
        <v>12</v>
      </c>
      <c r="F3367">
        <v>6</v>
      </c>
      <c r="G3367">
        <v>0</v>
      </c>
      <c r="H3367" s="2">
        <v>76.315200000000004</v>
      </c>
      <c r="I3367" s="2">
        <v>293.52</v>
      </c>
    </row>
    <row r="3368" spans="3:9" x14ac:dyDescent="0.3">
      <c r="E3368" t="s">
        <v>19</v>
      </c>
      <c r="F3368">
        <v>17</v>
      </c>
      <c r="G3368">
        <v>0</v>
      </c>
      <c r="H3368" s="2">
        <v>44.340699999999998</v>
      </c>
      <c r="I3368" s="2">
        <v>128.99</v>
      </c>
    </row>
    <row r="3369" spans="3:9" x14ac:dyDescent="0.3">
      <c r="E3369" t="s">
        <v>20</v>
      </c>
      <c r="F3369">
        <v>37</v>
      </c>
      <c r="G3369">
        <v>2.1999999999999997</v>
      </c>
      <c r="H3369" s="2">
        <v>259.24909999999994</v>
      </c>
      <c r="I3369" s="2">
        <v>764.31200000000001</v>
      </c>
    </row>
    <row r="3370" spans="3:9" x14ac:dyDescent="0.3">
      <c r="E3370" t="s">
        <v>34</v>
      </c>
      <c r="F3370">
        <v>4</v>
      </c>
      <c r="G3370">
        <v>0.4</v>
      </c>
      <c r="H3370" s="2">
        <v>85.284199999999899</v>
      </c>
      <c r="I3370" s="2">
        <v>1123.1360000000002</v>
      </c>
    </row>
    <row r="3371" spans="3:9" x14ac:dyDescent="0.3">
      <c r="E3371" t="s">
        <v>33</v>
      </c>
      <c r="F3371">
        <v>39</v>
      </c>
      <c r="G3371">
        <v>0.79999999999999993</v>
      </c>
      <c r="H3371" s="2">
        <v>952.33880000000011</v>
      </c>
      <c r="I3371" s="2">
        <v>7557.75</v>
      </c>
    </row>
    <row r="3372" spans="3:9" x14ac:dyDescent="0.3">
      <c r="E3372" t="s">
        <v>38</v>
      </c>
      <c r="F3372">
        <v>9</v>
      </c>
      <c r="G3372">
        <v>0</v>
      </c>
      <c r="H3372" s="2">
        <v>33.517799999999994</v>
      </c>
      <c r="I3372" s="2">
        <v>70.2</v>
      </c>
    </row>
    <row r="3373" spans="3:9" x14ac:dyDescent="0.3">
      <c r="E3373" t="s">
        <v>21</v>
      </c>
      <c r="F3373">
        <v>34</v>
      </c>
      <c r="G3373">
        <v>0</v>
      </c>
      <c r="H3373" s="2">
        <v>270.94569999999993</v>
      </c>
      <c r="I3373" s="2">
        <v>991.2399999999999</v>
      </c>
    </row>
    <row r="3374" spans="3:9" x14ac:dyDescent="0.3">
      <c r="E3374" t="s">
        <v>43</v>
      </c>
      <c r="F3374">
        <v>25</v>
      </c>
      <c r="G3374">
        <v>0</v>
      </c>
      <c r="H3374" s="2">
        <v>52.381600000000006</v>
      </c>
      <c r="I3374" s="2">
        <v>111.62</v>
      </c>
    </row>
    <row r="3375" spans="3:9" x14ac:dyDescent="0.3">
      <c r="E3375" t="s">
        <v>16</v>
      </c>
      <c r="F3375">
        <v>58</v>
      </c>
      <c r="G3375">
        <v>0</v>
      </c>
      <c r="H3375" s="2">
        <v>400.55520000000001</v>
      </c>
      <c r="I3375" s="2">
        <v>854.9</v>
      </c>
    </row>
    <row r="3376" spans="3:9" x14ac:dyDescent="0.3">
      <c r="E3376" t="s">
        <v>24</v>
      </c>
      <c r="F3376">
        <v>42</v>
      </c>
      <c r="G3376">
        <v>0</v>
      </c>
      <c r="H3376" s="2">
        <v>1579.5085999999999</v>
      </c>
      <c r="I3376" s="2">
        <v>5032.75</v>
      </c>
    </row>
    <row r="3377" spans="4:9" x14ac:dyDescent="0.3">
      <c r="E3377" t="s">
        <v>14</v>
      </c>
      <c r="F3377">
        <v>45</v>
      </c>
      <c r="G3377">
        <v>0</v>
      </c>
      <c r="H3377" s="2">
        <v>835.44619999999998</v>
      </c>
      <c r="I3377" s="2">
        <v>4209.49</v>
      </c>
    </row>
    <row r="3378" spans="4:9" x14ac:dyDescent="0.3">
      <c r="E3378" t="s">
        <v>25</v>
      </c>
      <c r="F3378">
        <v>4</v>
      </c>
      <c r="G3378">
        <v>0.8</v>
      </c>
      <c r="H3378" s="2">
        <v>-132.83019999999999</v>
      </c>
      <c r="I3378" s="2">
        <v>375.64800000000002</v>
      </c>
    </row>
    <row r="3379" spans="4:9" x14ac:dyDescent="0.3">
      <c r="D3379" t="s">
        <v>15</v>
      </c>
      <c r="E3379" t="s">
        <v>23</v>
      </c>
      <c r="F3379">
        <v>7</v>
      </c>
      <c r="G3379">
        <v>0</v>
      </c>
      <c r="H3379" s="2">
        <v>22.536699999999996</v>
      </c>
      <c r="I3379" s="2">
        <v>63.97999999999999</v>
      </c>
    </row>
    <row r="3380" spans="4:9" x14ac:dyDescent="0.3">
      <c r="E3380" t="s">
        <v>12</v>
      </c>
      <c r="F3380">
        <v>12</v>
      </c>
      <c r="G3380">
        <v>0</v>
      </c>
      <c r="H3380" s="2">
        <v>102.89820000000002</v>
      </c>
      <c r="I3380" s="2">
        <v>368.43</v>
      </c>
    </row>
    <row r="3381" spans="4:9" x14ac:dyDescent="0.3">
      <c r="E3381" t="s">
        <v>19</v>
      </c>
      <c r="F3381">
        <v>15</v>
      </c>
      <c r="G3381">
        <v>0</v>
      </c>
      <c r="H3381" s="2">
        <v>33.826799999999992</v>
      </c>
      <c r="I3381" s="2">
        <v>122.84</v>
      </c>
    </row>
    <row r="3382" spans="4:9" x14ac:dyDescent="0.3">
      <c r="E3382" t="s">
        <v>20</v>
      </c>
      <c r="F3382">
        <v>33</v>
      </c>
      <c r="G3382">
        <v>1.5999999999999999</v>
      </c>
      <c r="H3382" s="2">
        <v>116.19349999999999</v>
      </c>
      <c r="I3382" s="2">
        <v>338.44800000000004</v>
      </c>
    </row>
    <row r="3383" spans="4:9" x14ac:dyDescent="0.3">
      <c r="E3383" t="s">
        <v>34</v>
      </c>
      <c r="F3383">
        <v>5</v>
      </c>
      <c r="G3383">
        <v>0.4</v>
      </c>
      <c r="H3383" s="2">
        <v>22.877199999999949</v>
      </c>
      <c r="I3383" s="2">
        <v>625.52</v>
      </c>
    </row>
    <row r="3384" spans="4:9" x14ac:dyDescent="0.3">
      <c r="E3384" t="s">
        <v>33</v>
      </c>
      <c r="F3384">
        <v>8</v>
      </c>
      <c r="G3384">
        <v>0.30000000000000004</v>
      </c>
      <c r="H3384" s="2">
        <v>69.626799999999974</v>
      </c>
      <c r="I3384" s="2">
        <v>653.79600000000005</v>
      </c>
    </row>
    <row r="3385" spans="4:9" x14ac:dyDescent="0.3">
      <c r="E3385" t="s">
        <v>38</v>
      </c>
      <c r="F3385">
        <v>6</v>
      </c>
      <c r="G3385">
        <v>0</v>
      </c>
      <c r="H3385" s="2">
        <v>52.322000000000003</v>
      </c>
      <c r="I3385" s="2">
        <v>110.94</v>
      </c>
    </row>
    <row r="3386" spans="4:9" x14ac:dyDescent="0.3">
      <c r="E3386" t="s">
        <v>18</v>
      </c>
      <c r="F3386">
        <v>10</v>
      </c>
      <c r="G3386">
        <v>0</v>
      </c>
      <c r="H3386" s="2">
        <v>7.6007999999999996</v>
      </c>
      <c r="I3386" s="2">
        <v>28.199999999999996</v>
      </c>
    </row>
    <row r="3387" spans="4:9" x14ac:dyDescent="0.3">
      <c r="E3387" t="s">
        <v>21</v>
      </c>
      <c r="F3387">
        <v>15</v>
      </c>
      <c r="G3387">
        <v>0</v>
      </c>
      <c r="H3387" s="2">
        <v>126.57319999999997</v>
      </c>
      <c r="I3387" s="2">
        <v>472.87</v>
      </c>
    </row>
    <row r="3388" spans="4:9" x14ac:dyDescent="0.3">
      <c r="E3388" t="s">
        <v>16</v>
      </c>
      <c r="F3388">
        <v>6</v>
      </c>
      <c r="G3388">
        <v>0</v>
      </c>
      <c r="H3388" s="2">
        <v>112.74239999999999</v>
      </c>
      <c r="I3388" s="2">
        <v>234.88</v>
      </c>
    </row>
    <row r="3389" spans="4:9" x14ac:dyDescent="0.3">
      <c r="E3389" t="s">
        <v>24</v>
      </c>
      <c r="F3389">
        <v>8</v>
      </c>
      <c r="G3389">
        <v>0</v>
      </c>
      <c r="H3389" s="2">
        <v>449.93499999999995</v>
      </c>
      <c r="I3389" s="2">
        <v>1630.84</v>
      </c>
    </row>
    <row r="3390" spans="4:9" x14ac:dyDescent="0.3">
      <c r="E3390" t="s">
        <v>14</v>
      </c>
      <c r="F3390">
        <v>34</v>
      </c>
      <c r="G3390">
        <v>0</v>
      </c>
      <c r="H3390" s="2">
        <v>811.755</v>
      </c>
      <c r="I3390" s="2">
        <v>3908.66</v>
      </c>
    </row>
    <row r="3391" spans="4:9" x14ac:dyDescent="0.3">
      <c r="E3391" t="s">
        <v>9</v>
      </c>
      <c r="F3391">
        <v>3</v>
      </c>
      <c r="G3391">
        <v>0</v>
      </c>
      <c r="H3391" s="2">
        <v>17.378999999999976</v>
      </c>
      <c r="I3391" s="2">
        <v>347.58</v>
      </c>
    </row>
    <row r="3392" spans="4:9" x14ac:dyDescent="0.3">
      <c r="E3392" t="s">
        <v>25</v>
      </c>
      <c r="F3392">
        <v>5</v>
      </c>
      <c r="G3392">
        <v>0.8</v>
      </c>
      <c r="H3392" s="2">
        <v>-219.39610000000005</v>
      </c>
      <c r="I3392" s="2">
        <v>626.89799999999991</v>
      </c>
    </row>
    <row r="3393" spans="3:9" x14ac:dyDescent="0.3">
      <c r="D3393" t="s">
        <v>17</v>
      </c>
      <c r="E3393" t="s">
        <v>23</v>
      </c>
      <c r="F3393">
        <v>3</v>
      </c>
      <c r="G3393">
        <v>0</v>
      </c>
      <c r="H3393" s="2">
        <v>66.954599999999971</v>
      </c>
      <c r="I3393" s="2">
        <v>371.96999999999997</v>
      </c>
    </row>
    <row r="3394" spans="3:9" x14ac:dyDescent="0.3">
      <c r="E3394" t="s">
        <v>19</v>
      </c>
      <c r="F3394">
        <v>13</v>
      </c>
      <c r="G3394">
        <v>0</v>
      </c>
      <c r="H3394" s="2">
        <v>44.6173</v>
      </c>
      <c r="I3394" s="2">
        <v>139.61000000000001</v>
      </c>
    </row>
    <row r="3395" spans="3:9" x14ac:dyDescent="0.3">
      <c r="E3395" t="s">
        <v>20</v>
      </c>
      <c r="F3395">
        <v>13</v>
      </c>
      <c r="G3395">
        <v>0.60000000000000009</v>
      </c>
      <c r="H3395" s="2">
        <v>52.373899999999985</v>
      </c>
      <c r="I3395" s="2">
        <v>154.792</v>
      </c>
    </row>
    <row r="3396" spans="3:9" x14ac:dyDescent="0.3">
      <c r="E3396" t="s">
        <v>34</v>
      </c>
      <c r="F3396">
        <v>3</v>
      </c>
      <c r="G3396">
        <v>0.2</v>
      </c>
      <c r="H3396" s="2">
        <v>-37.943400000000025</v>
      </c>
      <c r="I3396" s="2">
        <v>275.952</v>
      </c>
    </row>
    <row r="3397" spans="3:9" x14ac:dyDescent="0.3">
      <c r="E3397" t="s">
        <v>33</v>
      </c>
      <c r="F3397">
        <v>8</v>
      </c>
      <c r="G3397">
        <v>0.30000000000000004</v>
      </c>
      <c r="H3397" s="2">
        <v>268.43619999999981</v>
      </c>
      <c r="I3397" s="2">
        <v>1515.4649999999997</v>
      </c>
    </row>
    <row r="3398" spans="3:9" x14ac:dyDescent="0.3">
      <c r="E3398" t="s">
        <v>21</v>
      </c>
      <c r="F3398">
        <v>14</v>
      </c>
      <c r="G3398">
        <v>0</v>
      </c>
      <c r="H3398" s="2">
        <v>74.356999999999999</v>
      </c>
      <c r="I3398" s="2">
        <v>215.73000000000002</v>
      </c>
    </row>
    <row r="3399" spans="3:9" x14ac:dyDescent="0.3">
      <c r="E3399" t="s">
        <v>16</v>
      </c>
      <c r="F3399">
        <v>12</v>
      </c>
      <c r="G3399">
        <v>0</v>
      </c>
      <c r="H3399" s="2">
        <v>235.91619999999998</v>
      </c>
      <c r="I3399" s="2">
        <v>490.96999999999997</v>
      </c>
    </row>
    <row r="3400" spans="3:9" x14ac:dyDescent="0.3">
      <c r="E3400" t="s">
        <v>24</v>
      </c>
      <c r="F3400">
        <v>7</v>
      </c>
      <c r="G3400">
        <v>0</v>
      </c>
      <c r="H3400" s="2">
        <v>3.2186000000000092</v>
      </c>
      <c r="I3400" s="2">
        <v>160.92999999999998</v>
      </c>
    </row>
    <row r="3401" spans="3:9" x14ac:dyDescent="0.3">
      <c r="E3401" t="s">
        <v>14</v>
      </c>
      <c r="F3401">
        <v>10</v>
      </c>
      <c r="G3401">
        <v>0</v>
      </c>
      <c r="H3401" s="2">
        <v>181.82839999999996</v>
      </c>
      <c r="I3401" s="2">
        <v>2077.48</v>
      </c>
    </row>
    <row r="3402" spans="3:9" x14ac:dyDescent="0.3">
      <c r="C3402" t="s">
        <v>22</v>
      </c>
      <c r="D3402" t="s">
        <v>8</v>
      </c>
      <c r="E3402" t="s">
        <v>23</v>
      </c>
      <c r="F3402">
        <v>73</v>
      </c>
      <c r="G3402">
        <v>0</v>
      </c>
      <c r="H3402" s="2">
        <v>2228.9230000000002</v>
      </c>
      <c r="I3402" s="2">
        <v>7240.5999999999985</v>
      </c>
    </row>
    <row r="3403" spans="3:9" x14ac:dyDescent="0.3">
      <c r="E3403" t="s">
        <v>12</v>
      </c>
      <c r="F3403">
        <v>47</v>
      </c>
      <c r="G3403">
        <v>0</v>
      </c>
      <c r="H3403" s="2">
        <v>979.80439999999999</v>
      </c>
      <c r="I3403" s="2">
        <v>3315.2599999999998</v>
      </c>
    </row>
    <row r="3404" spans="3:9" x14ac:dyDescent="0.3">
      <c r="E3404" t="s">
        <v>19</v>
      </c>
      <c r="F3404">
        <v>73</v>
      </c>
      <c r="G3404">
        <v>0</v>
      </c>
      <c r="H3404" s="2">
        <v>168.2885</v>
      </c>
      <c r="I3404" s="2">
        <v>538.21999999999991</v>
      </c>
    </row>
    <row r="3405" spans="3:9" x14ac:dyDescent="0.3">
      <c r="E3405" t="s">
        <v>20</v>
      </c>
      <c r="F3405">
        <v>236</v>
      </c>
      <c r="G3405">
        <v>12.199999999999989</v>
      </c>
      <c r="H3405" s="2">
        <v>2661.0241999999989</v>
      </c>
      <c r="I3405" s="2">
        <v>7954.5120000000015</v>
      </c>
    </row>
    <row r="3406" spans="3:9" x14ac:dyDescent="0.3">
      <c r="E3406" t="s">
        <v>34</v>
      </c>
      <c r="F3406">
        <v>55</v>
      </c>
      <c r="G3406">
        <v>2.8000000000000003</v>
      </c>
      <c r="H3406" s="2">
        <v>137.17199999999963</v>
      </c>
      <c r="I3406" s="2">
        <v>10617.535999999998</v>
      </c>
    </row>
    <row r="3407" spans="3:9" x14ac:dyDescent="0.3">
      <c r="E3407" t="s">
        <v>33</v>
      </c>
      <c r="F3407">
        <v>111</v>
      </c>
      <c r="G3407">
        <v>2.2000000000000006</v>
      </c>
      <c r="H3407" s="2">
        <v>2634.9533999999999</v>
      </c>
      <c r="I3407" s="2">
        <v>16459.596000000001</v>
      </c>
    </row>
    <row r="3408" spans="3:9" x14ac:dyDescent="0.3">
      <c r="E3408" t="s">
        <v>45</v>
      </c>
      <c r="F3408">
        <v>11</v>
      </c>
      <c r="G3408">
        <v>0.60000000000000009</v>
      </c>
      <c r="H3408" s="2">
        <v>1404.9717000000001</v>
      </c>
      <c r="I3408" s="2">
        <v>4159.9120000000003</v>
      </c>
    </row>
    <row r="3409" spans="4:9" x14ac:dyDescent="0.3">
      <c r="E3409" t="s">
        <v>38</v>
      </c>
      <c r="F3409">
        <v>11</v>
      </c>
      <c r="G3409">
        <v>0</v>
      </c>
      <c r="H3409" s="2">
        <v>115.64419999999998</v>
      </c>
      <c r="I3409" s="2">
        <v>248.28</v>
      </c>
    </row>
    <row r="3410" spans="4:9" x14ac:dyDescent="0.3">
      <c r="E3410" t="s">
        <v>18</v>
      </c>
      <c r="F3410">
        <v>27</v>
      </c>
      <c r="G3410">
        <v>0</v>
      </c>
      <c r="H3410" s="2">
        <v>37.698500000000003</v>
      </c>
      <c r="I3410" s="2">
        <v>96.91</v>
      </c>
    </row>
    <row r="3411" spans="4:9" x14ac:dyDescent="0.3">
      <c r="E3411" t="s">
        <v>21</v>
      </c>
      <c r="F3411">
        <v>102</v>
      </c>
      <c r="G3411">
        <v>0</v>
      </c>
      <c r="H3411" s="2">
        <v>1165.6760000000002</v>
      </c>
      <c r="I3411" s="2">
        <v>3352.4100000000003</v>
      </c>
    </row>
    <row r="3412" spans="4:9" x14ac:dyDescent="0.3">
      <c r="E3412" t="s">
        <v>43</v>
      </c>
      <c r="F3412">
        <v>49</v>
      </c>
      <c r="G3412">
        <v>0</v>
      </c>
      <c r="H3412" s="2">
        <v>255.71119999999999</v>
      </c>
      <c r="I3412" s="2">
        <v>544.07000000000005</v>
      </c>
    </row>
    <row r="3413" spans="4:9" x14ac:dyDescent="0.3">
      <c r="E3413" t="s">
        <v>46</v>
      </c>
      <c r="F3413">
        <v>9</v>
      </c>
      <c r="G3413">
        <v>0</v>
      </c>
      <c r="H3413" s="2">
        <v>3399.9726999999993</v>
      </c>
      <c r="I3413" s="2">
        <v>10999.91</v>
      </c>
    </row>
    <row r="3414" spans="4:9" x14ac:dyDescent="0.3">
      <c r="E3414" t="s">
        <v>16</v>
      </c>
      <c r="F3414">
        <v>154</v>
      </c>
      <c r="G3414">
        <v>0</v>
      </c>
      <c r="H3414" s="2">
        <v>818.55819999999994</v>
      </c>
      <c r="I3414" s="2">
        <v>1729.5700000000002</v>
      </c>
    </row>
    <row r="3415" spans="4:9" x14ac:dyDescent="0.3">
      <c r="E3415" t="s">
        <v>24</v>
      </c>
      <c r="F3415">
        <v>75</v>
      </c>
      <c r="G3415">
        <v>0</v>
      </c>
      <c r="H3415" s="2">
        <v>1877.5389999999998</v>
      </c>
      <c r="I3415" s="2">
        <v>7038.9399999999987</v>
      </c>
    </row>
    <row r="3416" spans="4:9" x14ac:dyDescent="0.3">
      <c r="E3416" t="s">
        <v>14</v>
      </c>
      <c r="F3416">
        <v>76</v>
      </c>
      <c r="G3416">
        <v>0</v>
      </c>
      <c r="H3416" s="2">
        <v>580.03079999999989</v>
      </c>
      <c r="I3416" s="2">
        <v>4378.2499999999991</v>
      </c>
    </row>
    <row r="3417" spans="4:9" x14ac:dyDescent="0.3">
      <c r="E3417" t="s">
        <v>9</v>
      </c>
      <c r="F3417">
        <v>50</v>
      </c>
      <c r="G3417">
        <v>0</v>
      </c>
      <c r="H3417" s="2">
        <v>137.83019999999999</v>
      </c>
      <c r="I3417" s="2">
        <v>824.63</v>
      </c>
    </row>
    <row r="3418" spans="4:9" x14ac:dyDescent="0.3">
      <c r="E3418" t="s">
        <v>25</v>
      </c>
      <c r="F3418">
        <v>5</v>
      </c>
      <c r="G3418">
        <v>0.8</v>
      </c>
      <c r="H3418" s="2">
        <v>-489.01060000000007</v>
      </c>
      <c r="I3418" s="2">
        <v>1348.692</v>
      </c>
    </row>
    <row r="3419" spans="4:9" x14ac:dyDescent="0.3">
      <c r="D3419" t="s">
        <v>15</v>
      </c>
      <c r="E3419" t="s">
        <v>23</v>
      </c>
      <c r="F3419">
        <v>38</v>
      </c>
      <c r="G3419">
        <v>0</v>
      </c>
      <c r="H3419" s="2">
        <v>255.59759999999997</v>
      </c>
      <c r="I3419" s="2">
        <v>1169.47</v>
      </c>
    </row>
    <row r="3420" spans="4:9" x14ac:dyDescent="0.3">
      <c r="E3420" t="s">
        <v>12</v>
      </c>
      <c r="F3420">
        <v>32</v>
      </c>
      <c r="G3420">
        <v>0</v>
      </c>
      <c r="H3420" s="2">
        <v>1212.2209</v>
      </c>
      <c r="I3420" s="2">
        <v>4646.63</v>
      </c>
    </row>
    <row r="3421" spans="4:9" x14ac:dyDescent="0.3">
      <c r="E3421" t="s">
        <v>19</v>
      </c>
      <c r="F3421">
        <v>74</v>
      </c>
      <c r="G3421">
        <v>0</v>
      </c>
      <c r="H3421" s="2">
        <v>201.83180000000004</v>
      </c>
      <c r="I3421" s="2">
        <v>671.56</v>
      </c>
    </row>
    <row r="3422" spans="4:9" x14ac:dyDescent="0.3">
      <c r="E3422" t="s">
        <v>20</v>
      </c>
      <c r="F3422">
        <v>88</v>
      </c>
      <c r="G3422">
        <v>5.200000000000002</v>
      </c>
      <c r="H3422" s="2">
        <v>1090.0991999999999</v>
      </c>
      <c r="I3422" s="2">
        <v>3171.2400000000002</v>
      </c>
    </row>
    <row r="3423" spans="4:9" x14ac:dyDescent="0.3">
      <c r="E3423" t="s">
        <v>34</v>
      </c>
      <c r="F3423">
        <v>7</v>
      </c>
      <c r="G3423">
        <v>0.4</v>
      </c>
      <c r="H3423" s="2">
        <v>16.501799999999974</v>
      </c>
      <c r="I3423" s="2">
        <v>474.024</v>
      </c>
    </row>
    <row r="3424" spans="4:9" x14ac:dyDescent="0.3">
      <c r="E3424" t="s">
        <v>33</v>
      </c>
      <c r="F3424">
        <v>28</v>
      </c>
      <c r="G3424">
        <v>0.89999999999999991</v>
      </c>
      <c r="H3424" s="2">
        <v>818.68899999999996</v>
      </c>
      <c r="I3424" s="2">
        <v>4951.6560000000009</v>
      </c>
    </row>
    <row r="3425" spans="4:9" x14ac:dyDescent="0.3">
      <c r="E3425" t="s">
        <v>38</v>
      </c>
      <c r="F3425">
        <v>18</v>
      </c>
      <c r="G3425">
        <v>0</v>
      </c>
      <c r="H3425" s="2">
        <v>99.190399999999983</v>
      </c>
      <c r="I3425" s="2">
        <v>211.16</v>
      </c>
    </row>
    <row r="3426" spans="4:9" x14ac:dyDescent="0.3">
      <c r="E3426" t="s">
        <v>18</v>
      </c>
      <c r="F3426">
        <v>17</v>
      </c>
      <c r="G3426">
        <v>0</v>
      </c>
      <c r="H3426" s="2">
        <v>26.885800000000003</v>
      </c>
      <c r="I3426" s="2">
        <v>58.980000000000004</v>
      </c>
    </row>
    <row r="3427" spans="4:9" x14ac:dyDescent="0.3">
      <c r="E3427" t="s">
        <v>21</v>
      </c>
      <c r="F3427">
        <v>56</v>
      </c>
      <c r="G3427">
        <v>0</v>
      </c>
      <c r="H3427" s="2">
        <v>365.94130000000001</v>
      </c>
      <c r="I3427" s="2">
        <v>1212.8499999999997</v>
      </c>
    </row>
    <row r="3428" spans="4:9" x14ac:dyDescent="0.3">
      <c r="E3428" t="s">
        <v>43</v>
      </c>
      <c r="F3428">
        <v>15</v>
      </c>
      <c r="G3428">
        <v>0</v>
      </c>
      <c r="H3428" s="2">
        <v>40.397999999999996</v>
      </c>
      <c r="I3428" s="2">
        <v>85.2</v>
      </c>
    </row>
    <row r="3429" spans="4:9" x14ac:dyDescent="0.3">
      <c r="E3429" t="s">
        <v>46</v>
      </c>
      <c r="F3429">
        <v>10</v>
      </c>
      <c r="G3429">
        <v>0</v>
      </c>
      <c r="H3429" s="2">
        <v>1388.1732</v>
      </c>
      <c r="I3429" s="2">
        <v>5278.62</v>
      </c>
    </row>
    <row r="3430" spans="4:9" x14ac:dyDescent="0.3">
      <c r="E3430" t="s">
        <v>16</v>
      </c>
      <c r="F3430">
        <v>80</v>
      </c>
      <c r="G3430">
        <v>0</v>
      </c>
      <c r="H3430" s="2">
        <v>640.21569999999997</v>
      </c>
      <c r="I3430" s="2">
        <v>1328.87</v>
      </c>
    </row>
    <row r="3431" spans="4:9" x14ac:dyDescent="0.3">
      <c r="E3431" t="s">
        <v>24</v>
      </c>
      <c r="F3431">
        <v>72</v>
      </c>
      <c r="G3431">
        <v>0</v>
      </c>
      <c r="H3431" s="2">
        <v>2137.0401999999999</v>
      </c>
      <c r="I3431" s="2">
        <v>7500.4799999999987</v>
      </c>
    </row>
    <row r="3432" spans="4:9" x14ac:dyDescent="0.3">
      <c r="E3432" t="s">
        <v>14</v>
      </c>
      <c r="F3432">
        <v>54</v>
      </c>
      <c r="G3432">
        <v>0</v>
      </c>
      <c r="H3432" s="2">
        <v>701.66609999999991</v>
      </c>
      <c r="I3432" s="2">
        <v>3637.3200000000006</v>
      </c>
    </row>
    <row r="3433" spans="4:9" x14ac:dyDescent="0.3">
      <c r="E3433" t="s">
        <v>9</v>
      </c>
      <c r="F3433">
        <v>13</v>
      </c>
      <c r="G3433">
        <v>0</v>
      </c>
      <c r="H3433" s="2">
        <v>23.313400000000001</v>
      </c>
      <c r="I3433" s="2">
        <v>81.710000000000008</v>
      </c>
    </row>
    <row r="3434" spans="4:9" x14ac:dyDescent="0.3">
      <c r="E3434" t="s">
        <v>25</v>
      </c>
      <c r="F3434">
        <v>26</v>
      </c>
      <c r="G3434">
        <v>3.9999999999999996</v>
      </c>
      <c r="H3434" s="2">
        <v>-1706.4201</v>
      </c>
      <c r="I3434" s="2">
        <v>5178.7380000000003</v>
      </c>
    </row>
    <row r="3435" spans="4:9" x14ac:dyDescent="0.3">
      <c r="D3435" t="s">
        <v>17</v>
      </c>
      <c r="E3435" t="s">
        <v>23</v>
      </c>
      <c r="F3435">
        <v>27</v>
      </c>
      <c r="G3435">
        <v>0</v>
      </c>
      <c r="H3435" s="2">
        <v>578.34029999999996</v>
      </c>
      <c r="I3435" s="2">
        <v>1791.14</v>
      </c>
    </row>
    <row r="3436" spans="4:9" x14ac:dyDescent="0.3">
      <c r="E3436" t="s">
        <v>12</v>
      </c>
      <c r="F3436">
        <v>23</v>
      </c>
      <c r="G3436">
        <v>0</v>
      </c>
      <c r="H3436" s="2">
        <v>307.84999999999991</v>
      </c>
      <c r="I3436" s="2">
        <v>1092.7600000000002</v>
      </c>
    </row>
    <row r="3437" spans="4:9" x14ac:dyDescent="0.3">
      <c r="E3437" t="s">
        <v>19</v>
      </c>
      <c r="F3437">
        <v>23</v>
      </c>
      <c r="G3437">
        <v>0</v>
      </c>
      <c r="H3437" s="2">
        <v>50.795299999999997</v>
      </c>
      <c r="I3437" s="2">
        <v>161.94</v>
      </c>
    </row>
    <row r="3438" spans="4:9" x14ac:dyDescent="0.3">
      <c r="E3438" t="s">
        <v>20</v>
      </c>
      <c r="F3438">
        <v>57</v>
      </c>
      <c r="G3438">
        <v>2.4</v>
      </c>
      <c r="H3438" s="2">
        <v>298.2627</v>
      </c>
      <c r="I3438" s="2">
        <v>872.93600000000015</v>
      </c>
    </row>
    <row r="3439" spans="4:9" x14ac:dyDescent="0.3">
      <c r="E3439" t="s">
        <v>33</v>
      </c>
      <c r="F3439">
        <v>26</v>
      </c>
      <c r="G3439">
        <v>0.7</v>
      </c>
      <c r="H3439" s="2">
        <v>329.25999999999988</v>
      </c>
      <c r="I3439" s="2">
        <v>1997.2980000000002</v>
      </c>
    </row>
    <row r="3440" spans="4:9" x14ac:dyDescent="0.3">
      <c r="E3440" t="s">
        <v>38</v>
      </c>
      <c r="F3440">
        <v>3</v>
      </c>
      <c r="G3440">
        <v>0</v>
      </c>
      <c r="H3440" s="2">
        <v>13.8292</v>
      </c>
      <c r="I3440" s="2">
        <v>28.34</v>
      </c>
    </row>
    <row r="3441" spans="2:9" x14ac:dyDescent="0.3">
      <c r="E3441" t="s">
        <v>21</v>
      </c>
      <c r="F3441">
        <v>21</v>
      </c>
      <c r="G3441">
        <v>0</v>
      </c>
      <c r="H3441" s="2">
        <v>106.5718</v>
      </c>
      <c r="I3441" s="2">
        <v>329.29999999999995</v>
      </c>
    </row>
    <row r="3442" spans="2:9" x14ac:dyDescent="0.3">
      <c r="E3442" t="s">
        <v>43</v>
      </c>
      <c r="F3442">
        <v>10</v>
      </c>
      <c r="G3442">
        <v>0</v>
      </c>
      <c r="H3442" s="2">
        <v>20.170999999999999</v>
      </c>
      <c r="I3442" s="2">
        <v>43.85</v>
      </c>
    </row>
    <row r="3443" spans="2:9" x14ac:dyDescent="0.3">
      <c r="E3443" t="s">
        <v>46</v>
      </c>
      <c r="F3443">
        <v>9</v>
      </c>
      <c r="G3443">
        <v>0</v>
      </c>
      <c r="H3443" s="2">
        <v>4778.7070000000003</v>
      </c>
      <c r="I3443" s="2">
        <v>9718.380000000001</v>
      </c>
    </row>
    <row r="3444" spans="2:9" x14ac:dyDescent="0.3">
      <c r="E3444" t="s">
        <v>16</v>
      </c>
      <c r="F3444">
        <v>25</v>
      </c>
      <c r="G3444">
        <v>0</v>
      </c>
      <c r="H3444" s="2">
        <v>224.23559999999998</v>
      </c>
      <c r="I3444" s="2">
        <v>476.6</v>
      </c>
    </row>
    <row r="3445" spans="2:9" x14ac:dyDescent="0.3">
      <c r="E3445" t="s">
        <v>24</v>
      </c>
      <c r="F3445">
        <v>23</v>
      </c>
      <c r="G3445">
        <v>0</v>
      </c>
      <c r="H3445" s="2">
        <v>882.82940000000008</v>
      </c>
      <c r="I3445" s="2">
        <v>3277.8900000000003</v>
      </c>
    </row>
    <row r="3446" spans="2:9" x14ac:dyDescent="0.3">
      <c r="E3446" t="s">
        <v>14</v>
      </c>
      <c r="F3446">
        <v>18</v>
      </c>
      <c r="G3446">
        <v>0</v>
      </c>
      <c r="H3446" s="2">
        <v>89.79310000000001</v>
      </c>
      <c r="I3446" s="2">
        <v>975.87</v>
      </c>
    </row>
    <row r="3447" spans="2:9" x14ac:dyDescent="0.3">
      <c r="E3447" t="s">
        <v>25</v>
      </c>
      <c r="F3447">
        <v>2</v>
      </c>
      <c r="G3447">
        <v>0.4</v>
      </c>
      <c r="H3447" s="2">
        <v>-103.26600000000002</v>
      </c>
      <c r="I3447" s="2">
        <v>344.22</v>
      </c>
    </row>
    <row r="3448" spans="2:9" x14ac:dyDescent="0.3">
      <c r="B3448" t="s">
        <v>360</v>
      </c>
      <c r="C3448" t="s">
        <v>11</v>
      </c>
      <c r="D3448" t="s">
        <v>8</v>
      </c>
      <c r="E3448" t="s">
        <v>23</v>
      </c>
      <c r="F3448">
        <v>14</v>
      </c>
      <c r="G3448">
        <v>0.60000000000000009</v>
      </c>
      <c r="H3448" s="2">
        <v>566.79870000000005</v>
      </c>
      <c r="I3448" s="2">
        <v>2589.8560000000002</v>
      </c>
    </row>
    <row r="3449" spans="2:9" x14ac:dyDescent="0.3">
      <c r="E3449" t="s">
        <v>19</v>
      </c>
      <c r="F3449">
        <v>3</v>
      </c>
      <c r="G3449">
        <v>0.2</v>
      </c>
      <c r="H3449" s="2">
        <v>0.71520000000000028</v>
      </c>
      <c r="I3449" s="2">
        <v>7.1519999999999992</v>
      </c>
    </row>
    <row r="3450" spans="2:9" x14ac:dyDescent="0.3">
      <c r="E3450" t="s">
        <v>21</v>
      </c>
      <c r="F3450">
        <v>9</v>
      </c>
      <c r="G3450">
        <v>0.4</v>
      </c>
      <c r="H3450" s="2">
        <v>79.395400000000009</v>
      </c>
      <c r="I3450" s="2">
        <v>314.83199999999999</v>
      </c>
    </row>
    <row r="3451" spans="2:9" x14ac:dyDescent="0.3">
      <c r="E3451" t="s">
        <v>43</v>
      </c>
      <c r="F3451">
        <v>2</v>
      </c>
      <c r="G3451">
        <v>0.2</v>
      </c>
      <c r="H3451" s="2">
        <v>2.0999999999999996</v>
      </c>
      <c r="I3451" s="2">
        <v>6</v>
      </c>
    </row>
    <row r="3452" spans="2:9" x14ac:dyDescent="0.3">
      <c r="E3452" t="s">
        <v>46</v>
      </c>
      <c r="F3452">
        <v>5</v>
      </c>
      <c r="G3452">
        <v>1.4</v>
      </c>
      <c r="H3452" s="2">
        <v>-2804.9450000000006</v>
      </c>
      <c r="I3452" s="2">
        <v>2024.9310000000003</v>
      </c>
    </row>
    <row r="3453" spans="2:9" x14ac:dyDescent="0.3">
      <c r="E3453" t="s">
        <v>24</v>
      </c>
      <c r="F3453">
        <v>2</v>
      </c>
      <c r="G3453">
        <v>0.4</v>
      </c>
      <c r="H3453" s="2">
        <v>-16.998000000000019</v>
      </c>
      <c r="I3453" s="2">
        <v>101.98799999999999</v>
      </c>
    </row>
    <row r="3454" spans="2:9" x14ac:dyDescent="0.3">
      <c r="E3454" t="s">
        <v>14</v>
      </c>
      <c r="F3454">
        <v>5</v>
      </c>
      <c r="G3454">
        <v>0.2</v>
      </c>
      <c r="H3454" s="2">
        <v>-44.018999999999991</v>
      </c>
      <c r="I3454" s="2">
        <v>195.64</v>
      </c>
    </row>
    <row r="3455" spans="2:9" x14ac:dyDescent="0.3">
      <c r="D3455" t="s">
        <v>15</v>
      </c>
      <c r="E3455" t="s">
        <v>23</v>
      </c>
      <c r="F3455">
        <v>3</v>
      </c>
      <c r="G3455">
        <v>0</v>
      </c>
      <c r="H3455" s="2">
        <v>7.3479000000000028</v>
      </c>
      <c r="I3455" s="2">
        <v>104.97</v>
      </c>
    </row>
    <row r="3456" spans="2:9" x14ac:dyDescent="0.3">
      <c r="E3456" t="s">
        <v>24</v>
      </c>
      <c r="F3456">
        <v>3</v>
      </c>
      <c r="G3456">
        <v>0</v>
      </c>
      <c r="H3456" s="2">
        <v>23.511599999999998</v>
      </c>
      <c r="I3456" s="2">
        <v>83.97</v>
      </c>
    </row>
    <row r="3457" spans="3:9" x14ac:dyDescent="0.3">
      <c r="D3457" t="s">
        <v>17</v>
      </c>
      <c r="E3457" t="s">
        <v>23</v>
      </c>
      <c r="F3457">
        <v>3</v>
      </c>
      <c r="G3457">
        <v>0</v>
      </c>
      <c r="H3457" s="2">
        <v>52.734000000000009</v>
      </c>
      <c r="I3457" s="2">
        <v>119.85000000000001</v>
      </c>
    </row>
    <row r="3458" spans="3:9" x14ac:dyDescent="0.3">
      <c r="E3458" t="s">
        <v>20</v>
      </c>
      <c r="F3458">
        <v>4</v>
      </c>
      <c r="G3458">
        <v>0</v>
      </c>
      <c r="H3458" s="2">
        <v>48.169999999999995</v>
      </c>
      <c r="I3458" s="2">
        <v>99.72</v>
      </c>
    </row>
    <row r="3459" spans="3:9" x14ac:dyDescent="0.3">
      <c r="E3459" t="s">
        <v>24</v>
      </c>
      <c r="F3459">
        <v>3</v>
      </c>
      <c r="G3459">
        <v>0</v>
      </c>
      <c r="H3459" s="2">
        <v>170.51129999999998</v>
      </c>
      <c r="I3459" s="2">
        <v>587.97</v>
      </c>
    </row>
    <row r="3460" spans="3:9" x14ac:dyDescent="0.3">
      <c r="C3460" t="s">
        <v>27</v>
      </c>
      <c r="D3460" t="s">
        <v>8</v>
      </c>
      <c r="E3460" t="s">
        <v>20</v>
      </c>
      <c r="F3460">
        <v>2</v>
      </c>
      <c r="G3460">
        <v>0</v>
      </c>
      <c r="H3460" s="2">
        <v>15.944599999999998</v>
      </c>
      <c r="I3460" s="2">
        <v>32.54</v>
      </c>
    </row>
    <row r="3461" spans="3:9" x14ac:dyDescent="0.3">
      <c r="E3461" t="s">
        <v>24</v>
      </c>
      <c r="F3461">
        <v>2</v>
      </c>
      <c r="G3461">
        <v>0</v>
      </c>
      <c r="H3461" s="2">
        <v>62.3904</v>
      </c>
      <c r="I3461" s="2">
        <v>129.97999999999999</v>
      </c>
    </row>
    <row r="3462" spans="3:9" x14ac:dyDescent="0.3">
      <c r="D3462" t="s">
        <v>15</v>
      </c>
      <c r="E3462" t="s">
        <v>19</v>
      </c>
      <c r="F3462">
        <v>6</v>
      </c>
      <c r="G3462">
        <v>0.4</v>
      </c>
      <c r="H3462" s="2">
        <v>5.0424000000000007</v>
      </c>
      <c r="I3462" s="2">
        <v>31.904000000000003</v>
      </c>
    </row>
    <row r="3463" spans="3:9" x14ac:dyDescent="0.3">
      <c r="E3463" t="s">
        <v>20</v>
      </c>
      <c r="F3463">
        <v>7</v>
      </c>
      <c r="G3463">
        <v>0.7</v>
      </c>
      <c r="H3463" s="2">
        <v>-8.1311999999999998</v>
      </c>
      <c r="I3463" s="2">
        <v>11.088000000000003</v>
      </c>
    </row>
    <row r="3464" spans="3:9" x14ac:dyDescent="0.3">
      <c r="E3464" t="s">
        <v>24</v>
      </c>
      <c r="F3464">
        <v>5</v>
      </c>
      <c r="G3464">
        <v>0.8</v>
      </c>
      <c r="H3464" s="2">
        <v>-128.31290000000004</v>
      </c>
      <c r="I3464" s="2">
        <v>535.16999999999996</v>
      </c>
    </row>
    <row r="3465" spans="3:9" x14ac:dyDescent="0.3">
      <c r="E3465" t="s">
        <v>14</v>
      </c>
      <c r="F3465">
        <v>3</v>
      </c>
      <c r="G3465">
        <v>0.4</v>
      </c>
      <c r="H3465" s="2">
        <v>12.873200000000008</v>
      </c>
      <c r="I3465" s="2">
        <v>166.17599999999999</v>
      </c>
    </row>
    <row r="3466" spans="3:9" x14ac:dyDescent="0.3">
      <c r="C3466" t="s">
        <v>7</v>
      </c>
      <c r="D3466" t="s">
        <v>8</v>
      </c>
      <c r="E3466" t="s">
        <v>33</v>
      </c>
      <c r="F3466">
        <v>7</v>
      </c>
      <c r="G3466">
        <v>0.3</v>
      </c>
      <c r="H3466" s="2">
        <v>-11.337199999999939</v>
      </c>
      <c r="I3466" s="2">
        <v>396.80200000000002</v>
      </c>
    </row>
    <row r="3467" spans="3:9" x14ac:dyDescent="0.3">
      <c r="E3467" t="s">
        <v>38</v>
      </c>
      <c r="F3467">
        <v>5</v>
      </c>
      <c r="G3467">
        <v>0.2</v>
      </c>
      <c r="H3467" s="2">
        <v>17.52</v>
      </c>
      <c r="I3467" s="2">
        <v>46.72</v>
      </c>
    </row>
    <row r="3468" spans="3:9" x14ac:dyDescent="0.3">
      <c r="E3468" t="s">
        <v>9</v>
      </c>
      <c r="F3468">
        <v>5</v>
      </c>
      <c r="G3468">
        <v>0.2</v>
      </c>
      <c r="H3468" s="2">
        <v>-3.771500000000001</v>
      </c>
      <c r="I3468" s="2">
        <v>15.88</v>
      </c>
    </row>
    <row r="3469" spans="3:9" x14ac:dyDescent="0.3">
      <c r="D3469" t="s">
        <v>15</v>
      </c>
      <c r="E3469" t="s">
        <v>23</v>
      </c>
      <c r="F3469">
        <v>9</v>
      </c>
      <c r="G3469">
        <v>0.2</v>
      </c>
      <c r="H3469" s="2">
        <v>1.5291000000000032</v>
      </c>
      <c r="I3469" s="2">
        <v>122.32799999999999</v>
      </c>
    </row>
    <row r="3470" spans="3:9" x14ac:dyDescent="0.3">
      <c r="E3470" t="s">
        <v>19</v>
      </c>
      <c r="F3470">
        <v>3</v>
      </c>
      <c r="G3470">
        <v>0</v>
      </c>
      <c r="H3470" s="2">
        <v>2.6568000000000005</v>
      </c>
      <c r="I3470" s="2">
        <v>9.84</v>
      </c>
    </row>
    <row r="3471" spans="3:9" x14ac:dyDescent="0.3">
      <c r="E3471" t="s">
        <v>33</v>
      </c>
      <c r="F3471">
        <v>6</v>
      </c>
      <c r="G3471">
        <v>0.3</v>
      </c>
      <c r="H3471" s="2">
        <v>-43.435200000000009</v>
      </c>
      <c r="I3471" s="2">
        <v>760.11599999999987</v>
      </c>
    </row>
    <row r="3472" spans="3:9" x14ac:dyDescent="0.3">
      <c r="E3472" t="s">
        <v>38</v>
      </c>
      <c r="F3472">
        <v>7</v>
      </c>
      <c r="G3472">
        <v>0</v>
      </c>
      <c r="H3472" s="2">
        <v>51.554299999999991</v>
      </c>
      <c r="I3472" s="2">
        <v>109.69</v>
      </c>
    </row>
    <row r="3473" spans="3:9" x14ac:dyDescent="0.3">
      <c r="E3473" t="s">
        <v>18</v>
      </c>
      <c r="F3473">
        <v>7</v>
      </c>
      <c r="G3473">
        <v>0</v>
      </c>
      <c r="H3473" s="2">
        <v>0.5236000000000014</v>
      </c>
      <c r="I3473" s="2">
        <v>26.18</v>
      </c>
    </row>
    <row r="3474" spans="3:9" x14ac:dyDescent="0.3">
      <c r="E3474" t="s">
        <v>21</v>
      </c>
      <c r="F3474">
        <v>4</v>
      </c>
      <c r="G3474">
        <v>0.2</v>
      </c>
      <c r="H3474" s="2">
        <v>13.703999999999994</v>
      </c>
      <c r="I3474" s="2">
        <v>52.184000000000005</v>
      </c>
    </row>
    <row r="3475" spans="3:9" x14ac:dyDescent="0.3">
      <c r="E3475" t="s">
        <v>16</v>
      </c>
      <c r="F3475">
        <v>6</v>
      </c>
      <c r="G3475">
        <v>0</v>
      </c>
      <c r="H3475" s="2">
        <v>15.390799999999999</v>
      </c>
      <c r="I3475" s="2">
        <v>32.32</v>
      </c>
    </row>
    <row r="3476" spans="3:9" x14ac:dyDescent="0.3">
      <c r="E3476" t="s">
        <v>14</v>
      </c>
      <c r="F3476">
        <v>2</v>
      </c>
      <c r="G3476">
        <v>0</v>
      </c>
      <c r="H3476" s="2">
        <v>22.235199999999999</v>
      </c>
      <c r="I3476" s="2">
        <v>85.52</v>
      </c>
    </row>
    <row r="3477" spans="3:9" x14ac:dyDescent="0.3">
      <c r="D3477" t="s">
        <v>17</v>
      </c>
      <c r="E3477" t="s">
        <v>20</v>
      </c>
      <c r="F3477">
        <v>9</v>
      </c>
      <c r="G3477">
        <v>0</v>
      </c>
      <c r="H3477" s="2">
        <v>149.76</v>
      </c>
      <c r="I3477" s="2">
        <v>299.52</v>
      </c>
    </row>
    <row r="3478" spans="3:9" x14ac:dyDescent="0.3">
      <c r="C3478" t="s">
        <v>22</v>
      </c>
      <c r="D3478" t="s">
        <v>8</v>
      </c>
      <c r="E3478" t="s">
        <v>12</v>
      </c>
      <c r="F3478">
        <v>7</v>
      </c>
      <c r="G3478">
        <v>0</v>
      </c>
      <c r="H3478" s="2">
        <v>33.310199999999995</v>
      </c>
      <c r="I3478" s="2">
        <v>100.94</v>
      </c>
    </row>
    <row r="3479" spans="3:9" x14ac:dyDescent="0.3">
      <c r="E3479" t="s">
        <v>19</v>
      </c>
      <c r="F3479">
        <v>15</v>
      </c>
      <c r="G3479">
        <v>0.2</v>
      </c>
      <c r="H3479" s="2">
        <v>56.345399999999998</v>
      </c>
      <c r="I3479" s="2">
        <v>278.20400000000001</v>
      </c>
    </row>
    <row r="3480" spans="3:9" x14ac:dyDescent="0.3">
      <c r="E3480" t="s">
        <v>20</v>
      </c>
      <c r="F3480">
        <v>12</v>
      </c>
      <c r="G3480">
        <v>0.7</v>
      </c>
      <c r="H3480" s="2">
        <v>279.84619999999995</v>
      </c>
      <c r="I3480" s="2">
        <v>579.69799999999998</v>
      </c>
    </row>
    <row r="3481" spans="3:9" x14ac:dyDescent="0.3">
      <c r="E3481" t="s">
        <v>34</v>
      </c>
      <c r="F3481">
        <v>3</v>
      </c>
      <c r="G3481">
        <v>0</v>
      </c>
      <c r="H3481" s="2">
        <v>56.994299999999981</v>
      </c>
      <c r="I3481" s="2">
        <v>299.96999999999997</v>
      </c>
    </row>
    <row r="3482" spans="3:9" x14ac:dyDescent="0.3">
      <c r="E3482" t="s">
        <v>45</v>
      </c>
      <c r="F3482">
        <v>3</v>
      </c>
      <c r="G3482">
        <v>0</v>
      </c>
      <c r="H3482" s="2">
        <v>5039.9856</v>
      </c>
      <c r="I3482" s="2">
        <v>10499.97</v>
      </c>
    </row>
    <row r="3483" spans="3:9" x14ac:dyDescent="0.3">
      <c r="E3483" t="s">
        <v>21</v>
      </c>
      <c r="F3483">
        <v>18</v>
      </c>
      <c r="G3483">
        <v>0.60000000000000009</v>
      </c>
      <c r="H3483" s="2">
        <v>64.809200000000004</v>
      </c>
      <c r="I3483" s="2">
        <v>215.91199999999998</v>
      </c>
    </row>
    <row r="3484" spans="3:9" x14ac:dyDescent="0.3">
      <c r="E3484" t="s">
        <v>43</v>
      </c>
      <c r="F3484">
        <v>12</v>
      </c>
      <c r="G3484">
        <v>0</v>
      </c>
      <c r="H3484" s="2">
        <v>19.357199999999999</v>
      </c>
      <c r="I3484" s="2">
        <v>41.67</v>
      </c>
    </row>
    <row r="3485" spans="3:9" x14ac:dyDescent="0.3">
      <c r="E3485" t="s">
        <v>46</v>
      </c>
      <c r="F3485">
        <v>3</v>
      </c>
      <c r="G3485">
        <v>0</v>
      </c>
      <c r="H3485" s="2">
        <v>31.005899999999997</v>
      </c>
      <c r="I3485" s="2">
        <v>65.97</v>
      </c>
    </row>
    <row r="3486" spans="3:9" x14ac:dyDescent="0.3">
      <c r="E3486" t="s">
        <v>16</v>
      </c>
      <c r="F3486">
        <v>26</v>
      </c>
      <c r="G3486">
        <v>0.2</v>
      </c>
      <c r="H3486" s="2">
        <v>130.47399999999999</v>
      </c>
      <c r="I3486" s="2">
        <v>283.298</v>
      </c>
    </row>
    <row r="3487" spans="3:9" x14ac:dyDescent="0.3">
      <c r="E3487" t="s">
        <v>24</v>
      </c>
      <c r="F3487">
        <v>10</v>
      </c>
      <c r="G3487">
        <v>0</v>
      </c>
      <c r="H3487" s="2">
        <v>267.26940000000002</v>
      </c>
      <c r="I3487" s="2">
        <v>947.9</v>
      </c>
    </row>
    <row r="3488" spans="3:9" x14ac:dyDescent="0.3">
      <c r="E3488" t="s">
        <v>14</v>
      </c>
      <c r="F3488">
        <v>7</v>
      </c>
      <c r="G3488">
        <v>0</v>
      </c>
      <c r="H3488" s="2">
        <v>98.781800000000004</v>
      </c>
      <c r="I3488" s="2">
        <v>390.28</v>
      </c>
    </row>
    <row r="3489" spans="2:9" x14ac:dyDescent="0.3">
      <c r="D3489" t="s">
        <v>15</v>
      </c>
      <c r="E3489" t="s">
        <v>23</v>
      </c>
      <c r="F3489">
        <v>8</v>
      </c>
      <c r="G3489">
        <v>0.2</v>
      </c>
      <c r="H3489" s="2">
        <v>80.674499999999995</v>
      </c>
      <c r="I3489" s="2">
        <v>261.87600000000003</v>
      </c>
    </row>
    <row r="3490" spans="2:9" x14ac:dyDescent="0.3">
      <c r="E3490" t="s">
        <v>19</v>
      </c>
      <c r="F3490">
        <v>20</v>
      </c>
      <c r="G3490">
        <v>0</v>
      </c>
      <c r="H3490" s="2">
        <v>96.200199999999995</v>
      </c>
      <c r="I3490" s="2">
        <v>321.13</v>
      </c>
    </row>
    <row r="3491" spans="2:9" x14ac:dyDescent="0.3">
      <c r="E3491" t="s">
        <v>20</v>
      </c>
      <c r="F3491">
        <v>8</v>
      </c>
      <c r="G3491">
        <v>0</v>
      </c>
      <c r="H3491" s="2">
        <v>9.0127999999999986</v>
      </c>
      <c r="I3491" s="2">
        <v>19.04</v>
      </c>
    </row>
    <row r="3492" spans="2:9" x14ac:dyDescent="0.3">
      <c r="E3492" t="s">
        <v>34</v>
      </c>
      <c r="F3492">
        <v>2</v>
      </c>
      <c r="G3492">
        <v>0</v>
      </c>
      <c r="H3492" s="2">
        <v>101.6508</v>
      </c>
      <c r="I3492" s="2">
        <v>441.96</v>
      </c>
    </row>
    <row r="3493" spans="2:9" x14ac:dyDescent="0.3">
      <c r="E3493" t="s">
        <v>33</v>
      </c>
      <c r="F3493">
        <v>5</v>
      </c>
      <c r="G3493">
        <v>0</v>
      </c>
      <c r="H3493" s="2">
        <v>75.686000000000007</v>
      </c>
      <c r="I3493" s="2">
        <v>291.10000000000002</v>
      </c>
    </row>
    <row r="3494" spans="2:9" x14ac:dyDescent="0.3">
      <c r="E3494" t="s">
        <v>38</v>
      </c>
      <c r="F3494">
        <v>7</v>
      </c>
      <c r="G3494">
        <v>0</v>
      </c>
      <c r="H3494" s="2">
        <v>27.241199999999996</v>
      </c>
      <c r="I3494" s="2">
        <v>57.959999999999994</v>
      </c>
    </row>
    <row r="3495" spans="2:9" x14ac:dyDescent="0.3">
      <c r="E3495" t="s">
        <v>21</v>
      </c>
      <c r="F3495">
        <v>9</v>
      </c>
      <c r="G3495">
        <v>0</v>
      </c>
      <c r="H3495" s="2">
        <v>29.998999999999988</v>
      </c>
      <c r="I3495" s="2">
        <v>248.30999999999997</v>
      </c>
    </row>
    <row r="3496" spans="2:9" x14ac:dyDescent="0.3">
      <c r="E3496" t="s">
        <v>43</v>
      </c>
      <c r="F3496">
        <v>3</v>
      </c>
      <c r="G3496">
        <v>0.2</v>
      </c>
      <c r="H3496" s="2">
        <v>2.5056000000000003</v>
      </c>
      <c r="I3496" s="2">
        <v>6.911999999999999</v>
      </c>
    </row>
    <row r="3497" spans="2:9" x14ac:dyDescent="0.3">
      <c r="E3497" t="s">
        <v>16</v>
      </c>
      <c r="F3497">
        <v>6</v>
      </c>
      <c r="G3497">
        <v>0</v>
      </c>
      <c r="H3497" s="2">
        <v>33.339599999999997</v>
      </c>
      <c r="I3497" s="2">
        <v>68.039999999999992</v>
      </c>
    </row>
    <row r="3498" spans="2:9" x14ac:dyDescent="0.3">
      <c r="E3498" t="s">
        <v>24</v>
      </c>
      <c r="F3498">
        <v>1</v>
      </c>
      <c r="G3498">
        <v>0</v>
      </c>
      <c r="H3498" s="2">
        <v>41.337400000000002</v>
      </c>
      <c r="I3498" s="2">
        <v>158.99</v>
      </c>
    </row>
    <row r="3499" spans="2:9" x14ac:dyDescent="0.3">
      <c r="E3499" t="s">
        <v>14</v>
      </c>
      <c r="F3499">
        <v>15</v>
      </c>
      <c r="G3499">
        <v>0.4</v>
      </c>
      <c r="H3499" s="2">
        <v>877.51490000000024</v>
      </c>
      <c r="I3499" s="2">
        <v>3604.174</v>
      </c>
    </row>
    <row r="3500" spans="2:9" x14ac:dyDescent="0.3">
      <c r="D3500" t="s">
        <v>17</v>
      </c>
      <c r="E3500" t="s">
        <v>23</v>
      </c>
      <c r="F3500">
        <v>3</v>
      </c>
      <c r="G3500">
        <v>0</v>
      </c>
      <c r="H3500" s="2">
        <v>52.489499999999992</v>
      </c>
      <c r="I3500" s="2">
        <v>149.97</v>
      </c>
    </row>
    <row r="3501" spans="2:9" x14ac:dyDescent="0.3">
      <c r="E3501" t="s">
        <v>12</v>
      </c>
      <c r="F3501">
        <v>1</v>
      </c>
      <c r="G3501">
        <v>0</v>
      </c>
      <c r="H3501" s="2">
        <v>11.054400000000001</v>
      </c>
      <c r="I3501" s="2">
        <v>39.479999999999997</v>
      </c>
    </row>
    <row r="3502" spans="2:9" x14ac:dyDescent="0.3">
      <c r="E3502" t="s">
        <v>19</v>
      </c>
      <c r="F3502">
        <v>3</v>
      </c>
      <c r="G3502">
        <v>0</v>
      </c>
      <c r="H3502" s="2">
        <v>2.5055999999999998</v>
      </c>
      <c r="I3502" s="2">
        <v>8.64</v>
      </c>
    </row>
    <row r="3503" spans="2:9" x14ac:dyDescent="0.3">
      <c r="E3503" t="s">
        <v>21</v>
      </c>
      <c r="F3503">
        <v>4</v>
      </c>
      <c r="G3503">
        <v>0.2</v>
      </c>
      <c r="H3503" s="2">
        <v>12.90959999999999</v>
      </c>
      <c r="I3503" s="2">
        <v>93.888000000000005</v>
      </c>
    </row>
    <row r="3504" spans="2:9" x14ac:dyDescent="0.3">
      <c r="B3504" t="s">
        <v>361</v>
      </c>
      <c r="C3504" t="s">
        <v>27</v>
      </c>
      <c r="D3504" t="s">
        <v>17</v>
      </c>
      <c r="E3504" t="s">
        <v>16</v>
      </c>
      <c r="F3504">
        <v>4</v>
      </c>
      <c r="G3504">
        <v>0</v>
      </c>
      <c r="H3504" s="2">
        <v>91.967999999999989</v>
      </c>
      <c r="I3504" s="2">
        <v>191.6</v>
      </c>
    </row>
    <row r="3505" spans="2:9" x14ac:dyDescent="0.3">
      <c r="E3505" t="s">
        <v>9</v>
      </c>
      <c r="F3505">
        <v>5</v>
      </c>
      <c r="G3505">
        <v>0</v>
      </c>
      <c r="H3505" s="2">
        <v>20.154999999999994</v>
      </c>
      <c r="I3505" s="2">
        <v>69.5</v>
      </c>
    </row>
    <row r="3506" spans="2:9" x14ac:dyDescent="0.3">
      <c r="C3506" t="s">
        <v>22</v>
      </c>
      <c r="D3506" t="s">
        <v>8</v>
      </c>
      <c r="E3506" t="s">
        <v>45</v>
      </c>
      <c r="F3506">
        <v>8</v>
      </c>
      <c r="G3506">
        <v>0</v>
      </c>
      <c r="H3506" s="2">
        <v>751.9624</v>
      </c>
      <c r="I3506" s="2">
        <v>1599.92</v>
      </c>
    </row>
    <row r="3507" spans="2:9" x14ac:dyDescent="0.3">
      <c r="E3507" t="s">
        <v>38</v>
      </c>
      <c r="F3507">
        <v>5</v>
      </c>
      <c r="G3507">
        <v>0</v>
      </c>
      <c r="H3507" s="2">
        <v>20.060500000000001</v>
      </c>
      <c r="I3507" s="2">
        <v>42.21</v>
      </c>
    </row>
    <row r="3508" spans="2:9" x14ac:dyDescent="0.3">
      <c r="E3508" t="s">
        <v>16</v>
      </c>
      <c r="F3508">
        <v>6</v>
      </c>
      <c r="G3508">
        <v>0</v>
      </c>
      <c r="H3508" s="2">
        <v>19.651499999999999</v>
      </c>
      <c r="I3508" s="2">
        <v>41.510000000000005</v>
      </c>
    </row>
    <row r="3509" spans="2:9" x14ac:dyDescent="0.3">
      <c r="E3509" t="s">
        <v>14</v>
      </c>
      <c r="F3509">
        <v>5</v>
      </c>
      <c r="G3509">
        <v>0</v>
      </c>
      <c r="H3509" s="2">
        <v>170.28329999999994</v>
      </c>
      <c r="I3509" s="2">
        <v>588.35</v>
      </c>
    </row>
    <row r="3510" spans="2:9" x14ac:dyDescent="0.3">
      <c r="D3510" t="s">
        <v>15</v>
      </c>
      <c r="E3510" t="s">
        <v>19</v>
      </c>
      <c r="F3510">
        <v>1</v>
      </c>
      <c r="G3510">
        <v>0</v>
      </c>
      <c r="H3510" s="2">
        <v>0.88039999999999985</v>
      </c>
      <c r="I3510" s="2">
        <v>2.84</v>
      </c>
    </row>
    <row r="3511" spans="2:9" x14ac:dyDescent="0.3">
      <c r="E3511" t="s">
        <v>14</v>
      </c>
      <c r="F3511">
        <v>5</v>
      </c>
      <c r="G3511">
        <v>0</v>
      </c>
      <c r="H3511" s="2">
        <v>9.7349999999999781</v>
      </c>
      <c r="I3511" s="2">
        <v>194.7</v>
      </c>
    </row>
    <row r="3512" spans="2:9" x14ac:dyDescent="0.3">
      <c r="E3512" t="s">
        <v>25</v>
      </c>
      <c r="F3512">
        <v>4</v>
      </c>
      <c r="G3512">
        <v>0</v>
      </c>
      <c r="H3512" s="2">
        <v>112.35079999999999</v>
      </c>
      <c r="I3512" s="2">
        <v>591.32000000000005</v>
      </c>
    </row>
    <row r="3513" spans="2:9" x14ac:dyDescent="0.3">
      <c r="B3513" t="s">
        <v>362</v>
      </c>
      <c r="C3513" t="s">
        <v>11</v>
      </c>
      <c r="D3513" t="s">
        <v>8</v>
      </c>
      <c r="E3513" t="s">
        <v>24</v>
      </c>
      <c r="F3513">
        <v>3</v>
      </c>
      <c r="G3513">
        <v>0</v>
      </c>
      <c r="H3513" s="2">
        <v>47.806499999999993</v>
      </c>
      <c r="I3513" s="2">
        <v>164.85000000000002</v>
      </c>
    </row>
    <row r="3514" spans="2:9" x14ac:dyDescent="0.3">
      <c r="C3514" t="s">
        <v>22</v>
      </c>
      <c r="D3514" t="s">
        <v>17</v>
      </c>
      <c r="E3514" t="s">
        <v>19</v>
      </c>
      <c r="F3514">
        <v>6</v>
      </c>
      <c r="G3514">
        <v>0</v>
      </c>
      <c r="H3514" s="2">
        <v>5.0111999999999997</v>
      </c>
      <c r="I3514" s="2">
        <v>17.28</v>
      </c>
    </row>
    <row r="3515" spans="2:9" x14ac:dyDescent="0.3">
      <c r="E3515" t="s">
        <v>20</v>
      </c>
      <c r="F3515">
        <v>3</v>
      </c>
      <c r="G3515">
        <v>0.2</v>
      </c>
      <c r="H3515" s="2">
        <v>6.4206000000000012</v>
      </c>
      <c r="I3515" s="2">
        <v>17.712</v>
      </c>
    </row>
    <row r="3516" spans="2:9" x14ac:dyDescent="0.3">
      <c r="B3516" t="s">
        <v>363</v>
      </c>
      <c r="C3516" t="s">
        <v>7</v>
      </c>
      <c r="D3516" t="s">
        <v>8</v>
      </c>
      <c r="E3516" t="s">
        <v>20</v>
      </c>
      <c r="F3516">
        <v>2</v>
      </c>
      <c r="G3516">
        <v>0</v>
      </c>
      <c r="H3516" s="2">
        <v>5.6519999999999992</v>
      </c>
      <c r="I3516" s="2">
        <v>12.56</v>
      </c>
    </row>
    <row r="3517" spans="2:9" x14ac:dyDescent="0.3">
      <c r="E3517" t="s">
        <v>24</v>
      </c>
      <c r="F3517">
        <v>7</v>
      </c>
      <c r="G3517">
        <v>0</v>
      </c>
      <c r="H3517" s="2">
        <v>106.55640000000001</v>
      </c>
      <c r="I3517" s="2">
        <v>399.67999999999995</v>
      </c>
    </row>
    <row r="3518" spans="2:9" x14ac:dyDescent="0.3">
      <c r="C3518" t="s">
        <v>22</v>
      </c>
      <c r="D3518" t="s">
        <v>15</v>
      </c>
      <c r="E3518" t="s">
        <v>25</v>
      </c>
      <c r="F3518">
        <v>6</v>
      </c>
      <c r="G3518">
        <v>0</v>
      </c>
      <c r="H3518" s="2">
        <v>241.1046</v>
      </c>
      <c r="I3518" s="2">
        <v>2678.94</v>
      </c>
    </row>
    <row r="3519" spans="2:9" x14ac:dyDescent="0.3">
      <c r="B3519" t="s">
        <v>364</v>
      </c>
      <c r="C3519" t="s">
        <v>22</v>
      </c>
      <c r="D3519" t="s">
        <v>8</v>
      </c>
      <c r="E3519" t="s">
        <v>20</v>
      </c>
      <c r="F3519">
        <v>3</v>
      </c>
      <c r="G3519">
        <v>0</v>
      </c>
      <c r="H3519" s="2">
        <v>8.0177999999999994</v>
      </c>
      <c r="I3519" s="2">
        <v>17.43</v>
      </c>
    </row>
    <row r="3520" spans="2:9" x14ac:dyDescent="0.3">
      <c r="B3520" t="s">
        <v>365</v>
      </c>
      <c r="C3520" t="s">
        <v>22</v>
      </c>
      <c r="D3520" t="s">
        <v>17</v>
      </c>
      <c r="E3520" t="s">
        <v>33</v>
      </c>
      <c r="F3520">
        <v>4</v>
      </c>
      <c r="G3520">
        <v>0.3</v>
      </c>
      <c r="H3520" s="2">
        <v>-110.02320000000003</v>
      </c>
      <c r="I3520" s="2">
        <v>366.74399999999997</v>
      </c>
    </row>
    <row r="3521" spans="2:9" x14ac:dyDescent="0.3">
      <c r="B3521" t="s">
        <v>366</v>
      </c>
      <c r="C3521" t="s">
        <v>27</v>
      </c>
      <c r="D3521" t="s">
        <v>8</v>
      </c>
      <c r="E3521" t="s">
        <v>23</v>
      </c>
      <c r="F3521">
        <v>5</v>
      </c>
      <c r="G3521">
        <v>0</v>
      </c>
      <c r="H3521" s="2">
        <v>244.61549999999988</v>
      </c>
      <c r="I3521" s="2">
        <v>1287.45</v>
      </c>
    </row>
    <row r="3522" spans="2:9" x14ac:dyDescent="0.3">
      <c r="C3522" t="s">
        <v>22</v>
      </c>
      <c r="D3522" t="s">
        <v>15</v>
      </c>
      <c r="E3522" t="s">
        <v>23</v>
      </c>
      <c r="F3522">
        <v>4</v>
      </c>
      <c r="G3522">
        <v>0</v>
      </c>
      <c r="H3522" s="2">
        <v>24.913200000000003</v>
      </c>
      <c r="I3522" s="2">
        <v>63.88</v>
      </c>
    </row>
    <row r="3523" spans="2:9" x14ac:dyDescent="0.3">
      <c r="B3523" t="s">
        <v>367</v>
      </c>
      <c r="C3523" t="s">
        <v>7</v>
      </c>
      <c r="D3523" t="s">
        <v>8</v>
      </c>
      <c r="E3523" t="s">
        <v>14</v>
      </c>
      <c r="F3523">
        <v>3</v>
      </c>
      <c r="G3523">
        <v>0</v>
      </c>
      <c r="H3523" s="2">
        <v>5.3897999999999939</v>
      </c>
      <c r="I3523" s="2">
        <v>269.49</v>
      </c>
    </row>
    <row r="3524" spans="2:9" x14ac:dyDescent="0.3">
      <c r="C3524" t="s">
        <v>22</v>
      </c>
      <c r="D3524" t="s">
        <v>15</v>
      </c>
      <c r="E3524" t="s">
        <v>21</v>
      </c>
      <c r="F3524">
        <v>2</v>
      </c>
      <c r="G3524">
        <v>0</v>
      </c>
      <c r="H3524" s="2">
        <v>4.2803999999999984</v>
      </c>
      <c r="I3524" s="2">
        <v>14.76</v>
      </c>
    </row>
    <row r="3525" spans="2:9" x14ac:dyDescent="0.3">
      <c r="B3525" t="s">
        <v>368</v>
      </c>
      <c r="C3525" t="s">
        <v>11</v>
      </c>
      <c r="D3525" t="s">
        <v>15</v>
      </c>
      <c r="E3525" t="s">
        <v>23</v>
      </c>
      <c r="F3525">
        <v>2</v>
      </c>
      <c r="G3525">
        <v>0</v>
      </c>
      <c r="H3525" s="2">
        <v>19.331399999999995</v>
      </c>
      <c r="I3525" s="2">
        <v>58.58</v>
      </c>
    </row>
    <row r="3526" spans="2:9" x14ac:dyDescent="0.3">
      <c r="D3526" t="s">
        <v>17</v>
      </c>
      <c r="E3526" t="s">
        <v>21</v>
      </c>
      <c r="F3526">
        <v>2</v>
      </c>
      <c r="G3526">
        <v>0</v>
      </c>
      <c r="H3526" s="2">
        <v>5.5327999999999999</v>
      </c>
      <c r="I3526" s="2">
        <v>14.56</v>
      </c>
    </row>
    <row r="3527" spans="2:9" x14ac:dyDescent="0.3">
      <c r="C3527" t="s">
        <v>7</v>
      </c>
      <c r="D3527" t="s">
        <v>8</v>
      </c>
      <c r="E3527" t="s">
        <v>25</v>
      </c>
      <c r="F3527">
        <v>4</v>
      </c>
      <c r="G3527">
        <v>0</v>
      </c>
      <c r="H3527" s="2">
        <v>116.87199999999984</v>
      </c>
      <c r="I3527" s="2">
        <v>1669.6</v>
      </c>
    </row>
    <row r="3528" spans="2:9" x14ac:dyDescent="0.3">
      <c r="D3528" t="s">
        <v>15</v>
      </c>
      <c r="E3528" t="s">
        <v>19</v>
      </c>
      <c r="F3528">
        <v>7</v>
      </c>
      <c r="G3528">
        <v>0</v>
      </c>
      <c r="H3528" s="2">
        <v>4.6956000000000007</v>
      </c>
      <c r="I3528" s="2">
        <v>18.060000000000002</v>
      </c>
    </row>
    <row r="3529" spans="2:9" x14ac:dyDescent="0.3">
      <c r="E3529" t="s">
        <v>21</v>
      </c>
      <c r="F3529">
        <v>2</v>
      </c>
      <c r="G3529">
        <v>0</v>
      </c>
      <c r="H3529" s="2">
        <v>14.212</v>
      </c>
      <c r="I3529" s="2">
        <v>37.4</v>
      </c>
    </row>
    <row r="3530" spans="2:9" x14ac:dyDescent="0.3">
      <c r="E3530" t="s">
        <v>16</v>
      </c>
      <c r="F3530">
        <v>3</v>
      </c>
      <c r="G3530">
        <v>0</v>
      </c>
      <c r="H3530" s="2">
        <v>36.404399999999995</v>
      </c>
      <c r="I3530" s="2">
        <v>79.14</v>
      </c>
    </row>
    <row r="3531" spans="2:9" x14ac:dyDescent="0.3">
      <c r="D3531" t="s">
        <v>17</v>
      </c>
      <c r="E3531" t="s">
        <v>19</v>
      </c>
      <c r="F3531">
        <v>3</v>
      </c>
      <c r="G3531">
        <v>0</v>
      </c>
      <c r="H3531" s="2">
        <v>29.437200000000001</v>
      </c>
      <c r="I3531" s="2">
        <v>113.22</v>
      </c>
    </row>
    <row r="3532" spans="2:9" x14ac:dyDescent="0.3">
      <c r="E3532" t="s">
        <v>20</v>
      </c>
      <c r="F3532">
        <v>3</v>
      </c>
      <c r="G3532">
        <v>0.2</v>
      </c>
      <c r="H3532" s="2">
        <v>1644.2912999999999</v>
      </c>
      <c r="I3532" s="2">
        <v>4535.9760000000006</v>
      </c>
    </row>
    <row r="3533" spans="2:9" x14ac:dyDescent="0.3">
      <c r="E3533" t="s">
        <v>16</v>
      </c>
      <c r="F3533">
        <v>6</v>
      </c>
      <c r="G3533">
        <v>0</v>
      </c>
      <c r="H3533" s="2">
        <v>17.581200000000003</v>
      </c>
      <c r="I3533" s="2">
        <v>35.880000000000003</v>
      </c>
    </row>
    <row r="3534" spans="2:9" x14ac:dyDescent="0.3">
      <c r="C3534" t="s">
        <v>22</v>
      </c>
      <c r="D3534" t="s">
        <v>8</v>
      </c>
      <c r="E3534" t="s">
        <v>23</v>
      </c>
      <c r="F3534">
        <v>3</v>
      </c>
      <c r="G3534">
        <v>0</v>
      </c>
      <c r="H3534" s="2">
        <v>70.097700000000003</v>
      </c>
      <c r="I3534" s="2">
        <v>170.97</v>
      </c>
    </row>
    <row r="3535" spans="2:9" x14ac:dyDescent="0.3">
      <c r="E3535" t="s">
        <v>33</v>
      </c>
      <c r="F3535">
        <v>3</v>
      </c>
      <c r="G3535">
        <v>0.2</v>
      </c>
      <c r="H3535" s="2">
        <v>-109.58220000000011</v>
      </c>
      <c r="I3535" s="2">
        <v>674.35200000000009</v>
      </c>
    </row>
    <row r="3536" spans="2:9" x14ac:dyDescent="0.3">
      <c r="E3536" t="s">
        <v>21</v>
      </c>
      <c r="F3536">
        <v>9</v>
      </c>
      <c r="G3536">
        <v>0</v>
      </c>
      <c r="H3536" s="2">
        <v>36.182700000000004</v>
      </c>
      <c r="I3536" s="2">
        <v>134.01</v>
      </c>
    </row>
    <row r="3537" spans="2:9" x14ac:dyDescent="0.3">
      <c r="E3537" t="s">
        <v>43</v>
      </c>
      <c r="F3537">
        <v>3</v>
      </c>
      <c r="G3537">
        <v>0</v>
      </c>
      <c r="H3537" s="2">
        <v>6.8723999999999998</v>
      </c>
      <c r="I3537" s="2">
        <v>14.940000000000001</v>
      </c>
    </row>
    <row r="3538" spans="2:9" x14ac:dyDescent="0.3">
      <c r="E3538" t="s">
        <v>16</v>
      </c>
      <c r="F3538">
        <v>1</v>
      </c>
      <c r="G3538">
        <v>0</v>
      </c>
      <c r="H3538" s="2">
        <v>3.1104000000000003</v>
      </c>
      <c r="I3538" s="2">
        <v>6.48</v>
      </c>
    </row>
    <row r="3539" spans="2:9" x14ac:dyDescent="0.3">
      <c r="E3539" t="s">
        <v>24</v>
      </c>
      <c r="F3539">
        <v>2</v>
      </c>
      <c r="G3539">
        <v>0.2</v>
      </c>
      <c r="H3539" s="2">
        <v>113.99799999999991</v>
      </c>
      <c r="I3539" s="2">
        <v>911.98400000000004</v>
      </c>
    </row>
    <row r="3540" spans="2:9" x14ac:dyDescent="0.3">
      <c r="E3540" t="s">
        <v>14</v>
      </c>
      <c r="F3540">
        <v>5</v>
      </c>
      <c r="G3540">
        <v>0</v>
      </c>
      <c r="H3540" s="2">
        <v>238.65299999999991</v>
      </c>
      <c r="I3540" s="2">
        <v>1325.8500000000001</v>
      </c>
    </row>
    <row r="3541" spans="2:9" x14ac:dyDescent="0.3">
      <c r="B3541" t="s">
        <v>369</v>
      </c>
      <c r="C3541" t="s">
        <v>7</v>
      </c>
      <c r="D3541" t="s">
        <v>8</v>
      </c>
      <c r="E3541" t="s">
        <v>9</v>
      </c>
      <c r="F3541">
        <v>3</v>
      </c>
      <c r="G3541">
        <v>0.2</v>
      </c>
      <c r="H3541" s="2">
        <v>-1.8126000000000002</v>
      </c>
      <c r="I3541" s="2">
        <v>7.6320000000000014</v>
      </c>
    </row>
    <row r="3542" spans="2:9" x14ac:dyDescent="0.3">
      <c r="C3542" t="s">
        <v>22</v>
      </c>
      <c r="D3542" t="s">
        <v>8</v>
      </c>
      <c r="E3542" t="s">
        <v>16</v>
      </c>
      <c r="F3542">
        <v>3</v>
      </c>
      <c r="G3542">
        <v>0.2</v>
      </c>
      <c r="H3542" s="2">
        <v>4.8924000000000003</v>
      </c>
      <c r="I3542" s="2">
        <v>14.496000000000002</v>
      </c>
    </row>
    <row r="3543" spans="2:9" x14ac:dyDescent="0.3">
      <c r="B3543" t="s">
        <v>370</v>
      </c>
      <c r="C3543" t="s">
        <v>11</v>
      </c>
      <c r="D3543" t="s">
        <v>15</v>
      </c>
      <c r="E3543" t="s">
        <v>16</v>
      </c>
      <c r="F3543">
        <v>1</v>
      </c>
      <c r="G3543">
        <v>0</v>
      </c>
      <c r="H3543" s="2">
        <v>5.5565999999999995</v>
      </c>
      <c r="I3543" s="2">
        <v>11.34</v>
      </c>
    </row>
    <row r="3544" spans="2:9" x14ac:dyDescent="0.3">
      <c r="C3544" t="s">
        <v>22</v>
      </c>
      <c r="D3544" t="s">
        <v>8</v>
      </c>
      <c r="E3544" t="s">
        <v>12</v>
      </c>
      <c r="F3544">
        <v>3</v>
      </c>
      <c r="G3544">
        <v>0</v>
      </c>
      <c r="H3544" s="2">
        <v>144.3546</v>
      </c>
      <c r="I3544" s="2">
        <v>370.14</v>
      </c>
    </row>
    <row r="3545" spans="2:9" x14ac:dyDescent="0.3">
      <c r="E3545" t="s">
        <v>20</v>
      </c>
      <c r="F3545">
        <v>2</v>
      </c>
      <c r="G3545">
        <v>0</v>
      </c>
      <c r="H3545" s="2">
        <v>5.0763999999999996</v>
      </c>
      <c r="I3545" s="2">
        <v>10.36</v>
      </c>
    </row>
    <row r="3546" spans="2:9" x14ac:dyDescent="0.3">
      <c r="D3546" t="s">
        <v>17</v>
      </c>
      <c r="E3546" t="s">
        <v>21</v>
      </c>
      <c r="F3546">
        <v>6</v>
      </c>
      <c r="G3546">
        <v>0</v>
      </c>
      <c r="H3546" s="2">
        <v>9.1020000000000021</v>
      </c>
      <c r="I3546" s="2">
        <v>22.200000000000003</v>
      </c>
    </row>
    <row r="3547" spans="2:9" x14ac:dyDescent="0.3">
      <c r="B3547" t="s">
        <v>371</v>
      </c>
      <c r="C3547" t="s">
        <v>22</v>
      </c>
      <c r="D3547" t="s">
        <v>15</v>
      </c>
      <c r="E3547" t="s">
        <v>19</v>
      </c>
      <c r="F3547">
        <v>7</v>
      </c>
      <c r="G3547">
        <v>0.2</v>
      </c>
      <c r="H3547" s="2">
        <v>1.0192000000000001</v>
      </c>
      <c r="I3547" s="2">
        <v>10.192000000000002</v>
      </c>
    </row>
    <row r="3548" spans="2:9" x14ac:dyDescent="0.3">
      <c r="E3548" t="s">
        <v>21</v>
      </c>
      <c r="F3548">
        <v>5</v>
      </c>
      <c r="G3548">
        <v>0</v>
      </c>
      <c r="H3548" s="2">
        <v>151.02359999999999</v>
      </c>
      <c r="I3548" s="2">
        <v>580.8599999999999</v>
      </c>
    </row>
    <row r="3549" spans="2:9" x14ac:dyDescent="0.3">
      <c r="B3549" t="s">
        <v>372</v>
      </c>
      <c r="C3549" t="s">
        <v>11</v>
      </c>
      <c r="D3549" t="s">
        <v>8</v>
      </c>
      <c r="E3549" t="s">
        <v>12</v>
      </c>
      <c r="F3549">
        <v>3</v>
      </c>
      <c r="G3549">
        <v>0</v>
      </c>
      <c r="H3549" s="2">
        <v>54.950400000000002</v>
      </c>
      <c r="I3549" s="2">
        <v>203.52</v>
      </c>
    </row>
    <row r="3550" spans="2:9" x14ac:dyDescent="0.3">
      <c r="E3550" t="s">
        <v>19</v>
      </c>
      <c r="F3550">
        <v>4</v>
      </c>
      <c r="G3550">
        <v>0</v>
      </c>
      <c r="H3550" s="2">
        <v>4.9647999999999985</v>
      </c>
      <c r="I3550" s="2">
        <v>17.12</v>
      </c>
    </row>
    <row r="3551" spans="2:9" x14ac:dyDescent="0.3">
      <c r="E3551" t="s">
        <v>20</v>
      </c>
      <c r="F3551">
        <v>9</v>
      </c>
      <c r="G3551">
        <v>0.2</v>
      </c>
      <c r="H3551" s="2">
        <v>42.464699999999993</v>
      </c>
      <c r="I3551" s="2">
        <v>117.14400000000001</v>
      </c>
    </row>
    <row r="3552" spans="2:9" x14ac:dyDescent="0.3">
      <c r="E3552" t="s">
        <v>21</v>
      </c>
      <c r="F3552">
        <v>6</v>
      </c>
      <c r="G3552">
        <v>0</v>
      </c>
      <c r="H3552" s="2">
        <v>14.082999999999993</v>
      </c>
      <c r="I3552" s="2">
        <v>139.38</v>
      </c>
    </row>
    <row r="3553" spans="3:9" x14ac:dyDescent="0.3">
      <c r="E3553" t="s">
        <v>43</v>
      </c>
      <c r="F3553">
        <v>5</v>
      </c>
      <c r="G3553">
        <v>0</v>
      </c>
      <c r="H3553" s="2">
        <v>24.84</v>
      </c>
      <c r="I3553" s="2">
        <v>51.75</v>
      </c>
    </row>
    <row r="3554" spans="3:9" x14ac:dyDescent="0.3">
      <c r="E3554" t="s">
        <v>24</v>
      </c>
      <c r="F3554">
        <v>4</v>
      </c>
      <c r="G3554">
        <v>0.2</v>
      </c>
      <c r="H3554" s="2">
        <v>37.797199999999975</v>
      </c>
      <c r="I3554" s="2">
        <v>431.96800000000007</v>
      </c>
    </row>
    <row r="3555" spans="3:9" x14ac:dyDescent="0.3">
      <c r="E3555" t="s">
        <v>25</v>
      </c>
      <c r="F3555">
        <v>3</v>
      </c>
      <c r="G3555">
        <v>0.2</v>
      </c>
      <c r="H3555" s="2">
        <v>28.436399999999935</v>
      </c>
      <c r="I3555" s="2">
        <v>568.72800000000007</v>
      </c>
    </row>
    <row r="3556" spans="3:9" x14ac:dyDescent="0.3">
      <c r="D3556" t="s">
        <v>17</v>
      </c>
      <c r="E3556" t="s">
        <v>33</v>
      </c>
      <c r="F3556">
        <v>8</v>
      </c>
      <c r="G3556">
        <v>0.2</v>
      </c>
      <c r="H3556" s="2">
        <v>-73.819200000000052</v>
      </c>
      <c r="I3556" s="2">
        <v>454.27200000000005</v>
      </c>
    </row>
    <row r="3557" spans="3:9" x14ac:dyDescent="0.3">
      <c r="C3557" t="s">
        <v>7</v>
      </c>
      <c r="D3557" t="s">
        <v>8</v>
      </c>
      <c r="E3557" t="s">
        <v>21</v>
      </c>
      <c r="F3557">
        <v>6</v>
      </c>
      <c r="G3557">
        <v>0</v>
      </c>
      <c r="H3557" s="2">
        <v>8.9496000000000002</v>
      </c>
      <c r="I3557" s="2">
        <v>21.78</v>
      </c>
    </row>
    <row r="3558" spans="3:9" x14ac:dyDescent="0.3">
      <c r="E3558" t="s">
        <v>14</v>
      </c>
      <c r="F3558">
        <v>3</v>
      </c>
      <c r="G3558">
        <v>0</v>
      </c>
      <c r="H3558" s="2">
        <v>0.62579999999999902</v>
      </c>
      <c r="I3558" s="2">
        <v>8.94</v>
      </c>
    </row>
    <row r="3559" spans="3:9" x14ac:dyDescent="0.3">
      <c r="D3559" t="s">
        <v>15</v>
      </c>
      <c r="E3559" t="s">
        <v>43</v>
      </c>
      <c r="F3559">
        <v>1</v>
      </c>
      <c r="G3559">
        <v>0</v>
      </c>
      <c r="H3559" s="2">
        <v>1.512</v>
      </c>
      <c r="I3559" s="2">
        <v>3.15</v>
      </c>
    </row>
    <row r="3560" spans="3:9" x14ac:dyDescent="0.3">
      <c r="E3560" t="s">
        <v>24</v>
      </c>
      <c r="F3560">
        <v>3</v>
      </c>
      <c r="G3560">
        <v>0.2</v>
      </c>
      <c r="H3560" s="2">
        <v>7.1976000000000049</v>
      </c>
      <c r="I3560" s="2">
        <v>71.975999999999999</v>
      </c>
    </row>
    <row r="3561" spans="3:9" x14ac:dyDescent="0.3">
      <c r="C3561" t="s">
        <v>22</v>
      </c>
      <c r="D3561" t="s">
        <v>8</v>
      </c>
      <c r="E3561" t="s">
        <v>23</v>
      </c>
      <c r="F3561">
        <v>6</v>
      </c>
      <c r="G3561">
        <v>0</v>
      </c>
      <c r="H3561" s="2">
        <v>230.07840000000002</v>
      </c>
      <c r="I3561" s="2">
        <v>629.94000000000005</v>
      </c>
    </row>
    <row r="3562" spans="3:9" x14ac:dyDescent="0.3">
      <c r="E3562" t="s">
        <v>33</v>
      </c>
      <c r="F3562">
        <v>3</v>
      </c>
      <c r="G3562">
        <v>0.2</v>
      </c>
      <c r="H3562" s="2">
        <v>35.759999999999962</v>
      </c>
      <c r="I3562" s="2">
        <v>572.16000000000008</v>
      </c>
    </row>
    <row r="3563" spans="3:9" x14ac:dyDescent="0.3">
      <c r="E3563" t="s">
        <v>21</v>
      </c>
      <c r="F3563">
        <v>7</v>
      </c>
      <c r="G3563">
        <v>0</v>
      </c>
      <c r="H3563" s="2">
        <v>28.142100000000006</v>
      </c>
      <c r="I3563" s="2">
        <v>104.23</v>
      </c>
    </row>
    <row r="3564" spans="3:9" x14ac:dyDescent="0.3">
      <c r="E3564" t="s">
        <v>24</v>
      </c>
      <c r="F3564">
        <v>7</v>
      </c>
      <c r="G3564">
        <v>0.2</v>
      </c>
      <c r="H3564" s="2">
        <v>-15.458100000000007</v>
      </c>
      <c r="I3564" s="2">
        <v>72.744000000000014</v>
      </c>
    </row>
    <row r="3565" spans="3:9" x14ac:dyDescent="0.3">
      <c r="E3565" t="s">
        <v>14</v>
      </c>
      <c r="F3565">
        <v>3</v>
      </c>
      <c r="G3565">
        <v>0</v>
      </c>
      <c r="H3565" s="2">
        <v>18.970199999999998</v>
      </c>
      <c r="I3565" s="2">
        <v>70.260000000000005</v>
      </c>
    </row>
    <row r="3566" spans="3:9" x14ac:dyDescent="0.3">
      <c r="D3566" t="s">
        <v>15</v>
      </c>
      <c r="E3566" t="s">
        <v>19</v>
      </c>
      <c r="F3566">
        <v>5</v>
      </c>
      <c r="G3566">
        <v>0</v>
      </c>
      <c r="H3566" s="2">
        <v>44.974999999999987</v>
      </c>
      <c r="I3566" s="2">
        <v>179.89999999999998</v>
      </c>
    </row>
    <row r="3567" spans="3:9" x14ac:dyDescent="0.3">
      <c r="E3567" t="s">
        <v>20</v>
      </c>
      <c r="F3567">
        <v>3</v>
      </c>
      <c r="G3567">
        <v>0.2</v>
      </c>
      <c r="H3567" s="2">
        <v>4.1327999999999996</v>
      </c>
      <c r="I3567" s="2">
        <v>11.808</v>
      </c>
    </row>
    <row r="3568" spans="3:9" x14ac:dyDescent="0.3">
      <c r="E3568" t="s">
        <v>33</v>
      </c>
      <c r="F3568">
        <v>9</v>
      </c>
      <c r="G3568">
        <v>0.2</v>
      </c>
      <c r="H3568" s="2">
        <v>43.464599999999905</v>
      </c>
      <c r="I3568" s="2">
        <v>1159.056</v>
      </c>
    </row>
    <row r="3569" spans="2:9" x14ac:dyDescent="0.3">
      <c r="E3569" t="s">
        <v>24</v>
      </c>
      <c r="F3569">
        <v>1</v>
      </c>
      <c r="G3569">
        <v>0.2</v>
      </c>
      <c r="H3569" s="2">
        <v>-7.9984000000000073</v>
      </c>
      <c r="I3569" s="2">
        <v>39.992000000000004</v>
      </c>
    </row>
    <row r="3570" spans="2:9" x14ac:dyDescent="0.3">
      <c r="E3570" t="s">
        <v>14</v>
      </c>
      <c r="F3570">
        <v>7</v>
      </c>
      <c r="G3570">
        <v>0</v>
      </c>
      <c r="H3570" s="2">
        <v>290.00579999999991</v>
      </c>
      <c r="I3570" s="2">
        <v>1000.0200000000001</v>
      </c>
    </row>
    <row r="3571" spans="2:9" x14ac:dyDescent="0.3">
      <c r="D3571" t="s">
        <v>17</v>
      </c>
      <c r="E3571" t="s">
        <v>19</v>
      </c>
      <c r="F3571">
        <v>1</v>
      </c>
      <c r="G3571">
        <v>0</v>
      </c>
      <c r="H3571" s="2">
        <v>10.028199999999998</v>
      </c>
      <c r="I3571" s="2">
        <v>34.58</v>
      </c>
    </row>
    <row r="3572" spans="2:9" x14ac:dyDescent="0.3">
      <c r="B3572" t="s">
        <v>373</v>
      </c>
      <c r="C3572" t="s">
        <v>11</v>
      </c>
      <c r="D3572" t="s">
        <v>8</v>
      </c>
      <c r="E3572" t="s">
        <v>33</v>
      </c>
      <c r="F3572">
        <v>3</v>
      </c>
      <c r="G3572">
        <v>0.1</v>
      </c>
      <c r="H3572" s="2">
        <v>102.49980000000001</v>
      </c>
      <c r="I3572" s="2">
        <v>542.64599999999996</v>
      </c>
    </row>
    <row r="3573" spans="2:9" x14ac:dyDescent="0.3">
      <c r="E3573" t="s">
        <v>43</v>
      </c>
      <c r="F3573">
        <v>2</v>
      </c>
      <c r="G3573">
        <v>0</v>
      </c>
      <c r="H3573" s="2">
        <v>3.024</v>
      </c>
      <c r="I3573" s="2">
        <v>6.3</v>
      </c>
    </row>
    <row r="3574" spans="2:9" x14ac:dyDescent="0.3">
      <c r="E3574" t="s">
        <v>16</v>
      </c>
      <c r="F3574">
        <v>8</v>
      </c>
      <c r="G3574">
        <v>0</v>
      </c>
      <c r="H3574" s="2">
        <v>84.051199999999994</v>
      </c>
      <c r="I3574" s="2">
        <v>182.72</v>
      </c>
    </row>
    <row r="3575" spans="2:9" x14ac:dyDescent="0.3">
      <c r="E3575" t="s">
        <v>14</v>
      </c>
      <c r="F3575">
        <v>3</v>
      </c>
      <c r="G3575">
        <v>0</v>
      </c>
      <c r="H3575" s="2">
        <v>10.088999999999999</v>
      </c>
      <c r="I3575" s="2">
        <v>33.630000000000003</v>
      </c>
    </row>
    <row r="3576" spans="2:9" x14ac:dyDescent="0.3">
      <c r="E3576" t="s">
        <v>25</v>
      </c>
      <c r="F3576">
        <v>2</v>
      </c>
      <c r="G3576">
        <v>0.4</v>
      </c>
      <c r="H3576" s="2">
        <v>-153.34560000000005</v>
      </c>
      <c r="I3576" s="2">
        <v>400.03199999999998</v>
      </c>
    </row>
    <row r="3577" spans="2:9" x14ac:dyDescent="0.3">
      <c r="D3577" t="s">
        <v>15</v>
      </c>
      <c r="E3577" t="s">
        <v>20</v>
      </c>
      <c r="F3577">
        <v>3</v>
      </c>
      <c r="G3577">
        <v>0.2</v>
      </c>
      <c r="H3577" s="2">
        <v>4.4352000000000009</v>
      </c>
      <c r="I3577" s="2">
        <v>12.672000000000001</v>
      </c>
    </row>
    <row r="3578" spans="2:9" x14ac:dyDescent="0.3">
      <c r="E3578" t="s">
        <v>21</v>
      </c>
      <c r="F3578">
        <v>2</v>
      </c>
      <c r="G3578">
        <v>0</v>
      </c>
      <c r="H3578" s="2">
        <v>6.3743999999999996</v>
      </c>
      <c r="I3578" s="2">
        <v>13.28</v>
      </c>
    </row>
    <row r="3579" spans="2:9" x14ac:dyDescent="0.3">
      <c r="C3579" t="s">
        <v>27</v>
      </c>
      <c r="D3579" t="s">
        <v>8</v>
      </c>
      <c r="E3579" t="s">
        <v>21</v>
      </c>
      <c r="F3579">
        <v>2</v>
      </c>
      <c r="G3579">
        <v>0</v>
      </c>
      <c r="H3579" s="2">
        <v>53.195999999999998</v>
      </c>
      <c r="I3579" s="2">
        <v>204.6</v>
      </c>
    </row>
    <row r="3580" spans="2:9" x14ac:dyDescent="0.3">
      <c r="C3580" t="s">
        <v>7</v>
      </c>
      <c r="D3580" t="s">
        <v>8</v>
      </c>
      <c r="E3580" t="s">
        <v>23</v>
      </c>
      <c r="F3580">
        <v>7</v>
      </c>
      <c r="G3580">
        <v>0</v>
      </c>
      <c r="H3580" s="2">
        <v>60.008399999999959</v>
      </c>
      <c r="I3580" s="2">
        <v>913.93000000000006</v>
      </c>
    </row>
    <row r="3581" spans="2:9" x14ac:dyDescent="0.3">
      <c r="E3581" t="s">
        <v>38</v>
      </c>
      <c r="F3581">
        <v>6</v>
      </c>
      <c r="G3581">
        <v>0</v>
      </c>
      <c r="H3581" s="2">
        <v>5.7527999999999988</v>
      </c>
      <c r="I3581" s="2">
        <v>12.24</v>
      </c>
    </row>
    <row r="3582" spans="2:9" x14ac:dyDescent="0.3">
      <c r="E3582" t="s">
        <v>21</v>
      </c>
      <c r="F3582">
        <v>5</v>
      </c>
      <c r="G3582">
        <v>0</v>
      </c>
      <c r="H3582" s="2">
        <v>13.7996</v>
      </c>
      <c r="I3582" s="2">
        <v>35.299999999999997</v>
      </c>
    </row>
    <row r="3583" spans="2:9" x14ac:dyDescent="0.3">
      <c r="E3583" t="s">
        <v>14</v>
      </c>
      <c r="F3583">
        <v>5</v>
      </c>
      <c r="G3583">
        <v>0</v>
      </c>
      <c r="H3583" s="2">
        <v>4.8910000000000053</v>
      </c>
      <c r="I3583" s="2">
        <v>244.54999999999998</v>
      </c>
    </row>
    <row r="3584" spans="2:9" x14ac:dyDescent="0.3">
      <c r="D3584" t="s">
        <v>15</v>
      </c>
      <c r="E3584" t="s">
        <v>20</v>
      </c>
      <c r="F3584">
        <v>5</v>
      </c>
      <c r="G3584">
        <v>0.2</v>
      </c>
      <c r="H3584" s="2">
        <v>8.2079999999999984</v>
      </c>
      <c r="I3584" s="2">
        <v>24.320000000000004</v>
      </c>
    </row>
    <row r="3585" spans="2:9" x14ac:dyDescent="0.3">
      <c r="E3585" t="s">
        <v>33</v>
      </c>
      <c r="F3585">
        <v>4</v>
      </c>
      <c r="G3585">
        <v>0.4</v>
      </c>
      <c r="H3585" s="2">
        <v>15.250399999999999</v>
      </c>
      <c r="I3585" s="2">
        <v>178.75200000000001</v>
      </c>
    </row>
    <row r="3586" spans="2:9" x14ac:dyDescent="0.3">
      <c r="E3586" t="s">
        <v>21</v>
      </c>
      <c r="F3586">
        <v>2</v>
      </c>
      <c r="G3586">
        <v>0</v>
      </c>
      <c r="H3586" s="2">
        <v>7.5840000000000014</v>
      </c>
      <c r="I3586" s="2">
        <v>18.96</v>
      </c>
    </row>
    <row r="3587" spans="2:9" x14ac:dyDescent="0.3">
      <c r="C3587" t="s">
        <v>22</v>
      </c>
      <c r="D3587" t="s">
        <v>8</v>
      </c>
      <c r="E3587" t="s">
        <v>20</v>
      </c>
      <c r="F3587">
        <v>12</v>
      </c>
      <c r="G3587">
        <v>0.4</v>
      </c>
      <c r="H3587" s="2">
        <v>33.509700000000002</v>
      </c>
      <c r="I3587" s="2">
        <v>93.432000000000016</v>
      </c>
    </row>
    <row r="3588" spans="2:9" x14ac:dyDescent="0.3">
      <c r="E3588" t="s">
        <v>33</v>
      </c>
      <c r="F3588">
        <v>2</v>
      </c>
      <c r="G3588">
        <v>0.1</v>
      </c>
      <c r="H3588" s="2">
        <v>48.313600000000008</v>
      </c>
      <c r="I3588" s="2">
        <v>271.76400000000001</v>
      </c>
    </row>
    <row r="3589" spans="2:9" x14ac:dyDescent="0.3">
      <c r="E3589" t="s">
        <v>18</v>
      </c>
      <c r="F3589">
        <v>3</v>
      </c>
      <c r="G3589">
        <v>0</v>
      </c>
      <c r="H3589" s="2">
        <v>16.186799999999998</v>
      </c>
      <c r="I3589" s="2">
        <v>34.44</v>
      </c>
    </row>
    <row r="3590" spans="2:9" x14ac:dyDescent="0.3">
      <c r="E3590" t="s">
        <v>21</v>
      </c>
      <c r="F3590">
        <v>10</v>
      </c>
      <c r="G3590">
        <v>0</v>
      </c>
      <c r="H3590" s="2">
        <v>29.264800000000001</v>
      </c>
      <c r="I3590" s="2">
        <v>66.08</v>
      </c>
    </row>
    <row r="3591" spans="2:9" x14ac:dyDescent="0.3">
      <c r="E3591" t="s">
        <v>46</v>
      </c>
      <c r="F3591">
        <v>7</v>
      </c>
      <c r="G3591">
        <v>0</v>
      </c>
      <c r="H3591" s="2">
        <v>296.06709999999998</v>
      </c>
      <c r="I3591" s="2">
        <v>629.92999999999995</v>
      </c>
    </row>
    <row r="3592" spans="2:9" x14ac:dyDescent="0.3">
      <c r="E3592" t="s">
        <v>16</v>
      </c>
      <c r="F3592">
        <v>2</v>
      </c>
      <c r="G3592">
        <v>0</v>
      </c>
      <c r="H3592" s="2">
        <v>6.2208000000000006</v>
      </c>
      <c r="I3592" s="2">
        <v>12.96</v>
      </c>
    </row>
    <row r="3593" spans="2:9" x14ac:dyDescent="0.3">
      <c r="D3593" t="s">
        <v>15</v>
      </c>
      <c r="E3593" t="s">
        <v>21</v>
      </c>
      <c r="F3593">
        <v>5</v>
      </c>
      <c r="G3593">
        <v>0</v>
      </c>
      <c r="H3593" s="2">
        <v>28.959000000000003</v>
      </c>
      <c r="I3593" s="2">
        <v>68.949999999999989</v>
      </c>
    </row>
    <row r="3594" spans="2:9" x14ac:dyDescent="0.3">
      <c r="E3594" t="s">
        <v>24</v>
      </c>
      <c r="F3594">
        <v>2</v>
      </c>
      <c r="G3594">
        <v>0</v>
      </c>
      <c r="H3594" s="2">
        <v>1.9989999999999952</v>
      </c>
      <c r="I3594" s="2">
        <v>39.979999999999997</v>
      </c>
    </row>
    <row r="3595" spans="2:9" x14ac:dyDescent="0.3">
      <c r="E3595" t="s">
        <v>14</v>
      </c>
      <c r="F3595">
        <v>3</v>
      </c>
      <c r="G3595">
        <v>0</v>
      </c>
      <c r="H3595" s="2">
        <v>80.019899999999993</v>
      </c>
      <c r="I3595" s="2">
        <v>296.37</v>
      </c>
    </row>
    <row r="3596" spans="2:9" x14ac:dyDescent="0.3">
      <c r="D3596" t="s">
        <v>17</v>
      </c>
      <c r="E3596" t="s">
        <v>16</v>
      </c>
      <c r="F3596">
        <v>2</v>
      </c>
      <c r="G3596">
        <v>0</v>
      </c>
      <c r="H3596" s="2">
        <v>6.3209999999999997</v>
      </c>
      <c r="I3596" s="2">
        <v>12.9</v>
      </c>
    </row>
    <row r="3597" spans="2:9" x14ac:dyDescent="0.3">
      <c r="B3597" t="s">
        <v>374</v>
      </c>
      <c r="C3597" t="s">
        <v>11</v>
      </c>
      <c r="D3597" t="s">
        <v>15</v>
      </c>
      <c r="E3597" t="s">
        <v>33</v>
      </c>
      <c r="F3597">
        <v>5</v>
      </c>
      <c r="G3597">
        <v>0.3</v>
      </c>
      <c r="H3597" s="2">
        <v>-56.343000000000018</v>
      </c>
      <c r="I3597" s="2">
        <v>563.42999999999984</v>
      </c>
    </row>
    <row r="3598" spans="2:9" x14ac:dyDescent="0.3">
      <c r="E3598" t="s">
        <v>16</v>
      </c>
      <c r="F3598">
        <v>7</v>
      </c>
      <c r="G3598">
        <v>0.2</v>
      </c>
      <c r="H3598" s="2">
        <v>15.509199999999998</v>
      </c>
      <c r="I3598" s="2">
        <v>42.783999999999999</v>
      </c>
    </row>
    <row r="3599" spans="2:9" x14ac:dyDescent="0.3">
      <c r="C3599" t="s">
        <v>22</v>
      </c>
      <c r="D3599" t="s">
        <v>15</v>
      </c>
      <c r="E3599" t="s">
        <v>12</v>
      </c>
      <c r="F3599">
        <v>1</v>
      </c>
      <c r="G3599">
        <v>0.8</v>
      </c>
      <c r="H3599" s="2">
        <v>-24.771599999999999</v>
      </c>
      <c r="I3599" s="2">
        <v>13.761999999999997</v>
      </c>
    </row>
    <row r="3600" spans="2:9" x14ac:dyDescent="0.3">
      <c r="E3600" t="s">
        <v>16</v>
      </c>
      <c r="F3600">
        <v>3</v>
      </c>
      <c r="G3600">
        <v>0.2</v>
      </c>
      <c r="H3600" s="2">
        <v>5.6111999999999993</v>
      </c>
      <c r="I3600" s="2">
        <v>16.032</v>
      </c>
    </row>
    <row r="3601" spans="2:9" x14ac:dyDescent="0.3">
      <c r="D3601" t="s">
        <v>17</v>
      </c>
      <c r="E3601" t="s">
        <v>33</v>
      </c>
      <c r="F3601">
        <v>6</v>
      </c>
      <c r="G3601">
        <v>0.3</v>
      </c>
      <c r="H3601" s="2">
        <v>-9.717599999999976</v>
      </c>
      <c r="I3601" s="2">
        <v>340.11599999999999</v>
      </c>
    </row>
    <row r="3602" spans="2:9" x14ac:dyDescent="0.3">
      <c r="B3602" t="s">
        <v>375</v>
      </c>
      <c r="C3602" t="s">
        <v>11</v>
      </c>
      <c r="D3602" t="s">
        <v>8</v>
      </c>
      <c r="E3602" t="s">
        <v>34</v>
      </c>
      <c r="F3602">
        <v>2</v>
      </c>
      <c r="G3602">
        <v>0</v>
      </c>
      <c r="H3602" s="2">
        <v>54.713599999999985</v>
      </c>
      <c r="I3602" s="2">
        <v>341.96</v>
      </c>
    </row>
    <row r="3603" spans="2:9" x14ac:dyDescent="0.3">
      <c r="E3603" t="s">
        <v>38</v>
      </c>
      <c r="F3603">
        <v>2</v>
      </c>
      <c r="G3603">
        <v>0</v>
      </c>
      <c r="H3603" s="2">
        <v>149.8956</v>
      </c>
      <c r="I3603" s="2">
        <v>325.86</v>
      </c>
    </row>
    <row r="3604" spans="2:9" x14ac:dyDescent="0.3">
      <c r="E3604" t="s">
        <v>24</v>
      </c>
      <c r="F3604">
        <v>2</v>
      </c>
      <c r="G3604">
        <v>0</v>
      </c>
      <c r="H3604" s="2">
        <v>62.15440000000001</v>
      </c>
      <c r="I3604" s="2">
        <v>221.98</v>
      </c>
    </row>
    <row r="3605" spans="2:9" x14ac:dyDescent="0.3">
      <c r="C3605" t="s">
        <v>27</v>
      </c>
      <c r="D3605" t="s">
        <v>8</v>
      </c>
      <c r="E3605" t="s">
        <v>20</v>
      </c>
      <c r="F3605">
        <v>9</v>
      </c>
      <c r="G3605">
        <v>0</v>
      </c>
      <c r="H3605" s="2">
        <v>19.080000000000002</v>
      </c>
      <c r="I3605" s="2">
        <v>38.160000000000004</v>
      </c>
    </row>
    <row r="3606" spans="2:9" x14ac:dyDescent="0.3">
      <c r="C3606" t="s">
        <v>22</v>
      </c>
      <c r="D3606" t="s">
        <v>8</v>
      </c>
      <c r="E3606" t="s">
        <v>12</v>
      </c>
      <c r="F3606">
        <v>2</v>
      </c>
      <c r="G3606">
        <v>0</v>
      </c>
      <c r="H3606" s="2">
        <v>60.552800000000005</v>
      </c>
      <c r="I3606" s="2">
        <v>137.62</v>
      </c>
    </row>
    <row r="3607" spans="2:9" x14ac:dyDescent="0.3">
      <c r="E3607" t="s">
        <v>20</v>
      </c>
      <c r="F3607">
        <v>2</v>
      </c>
      <c r="G3607">
        <v>0</v>
      </c>
      <c r="H3607" s="2">
        <v>16.405199999999997</v>
      </c>
      <c r="I3607" s="2">
        <v>33.479999999999997</v>
      </c>
    </row>
    <row r="3608" spans="2:9" x14ac:dyDescent="0.3">
      <c r="E3608" t="s">
        <v>33</v>
      </c>
      <c r="F3608">
        <v>8</v>
      </c>
      <c r="G3608">
        <v>0</v>
      </c>
      <c r="H3608" s="2">
        <v>456.57179999999994</v>
      </c>
      <c r="I3608" s="2">
        <v>1626.57</v>
      </c>
    </row>
    <row r="3609" spans="2:9" x14ac:dyDescent="0.3">
      <c r="E3609" t="s">
        <v>16</v>
      </c>
      <c r="F3609">
        <v>5</v>
      </c>
      <c r="G3609">
        <v>0</v>
      </c>
      <c r="H3609" s="2">
        <v>54.722399999999993</v>
      </c>
      <c r="I3609" s="2">
        <v>116.88</v>
      </c>
    </row>
    <row r="3610" spans="2:9" x14ac:dyDescent="0.3">
      <c r="E3610" t="s">
        <v>24</v>
      </c>
      <c r="F3610">
        <v>7</v>
      </c>
      <c r="G3610">
        <v>0</v>
      </c>
      <c r="H3610" s="2">
        <v>268.36009999999999</v>
      </c>
      <c r="I3610" s="2">
        <v>941.93000000000006</v>
      </c>
    </row>
    <row r="3611" spans="2:9" x14ac:dyDescent="0.3">
      <c r="E3611" t="s">
        <v>14</v>
      </c>
      <c r="F3611">
        <v>4</v>
      </c>
      <c r="G3611">
        <v>0</v>
      </c>
      <c r="H3611" s="2">
        <v>5.4124000000000478</v>
      </c>
      <c r="I3611" s="2">
        <v>541.24</v>
      </c>
    </row>
    <row r="3612" spans="2:9" x14ac:dyDescent="0.3">
      <c r="D3612" t="s">
        <v>15</v>
      </c>
      <c r="E3612" t="s">
        <v>23</v>
      </c>
      <c r="F3612">
        <v>1</v>
      </c>
      <c r="G3612">
        <v>0</v>
      </c>
      <c r="H3612" s="2">
        <v>0.5519999999999996</v>
      </c>
      <c r="I3612" s="2">
        <v>6.9</v>
      </c>
    </row>
    <row r="3613" spans="2:9" x14ac:dyDescent="0.3">
      <c r="E3613" t="s">
        <v>21</v>
      </c>
      <c r="F3613">
        <v>7</v>
      </c>
      <c r="G3613">
        <v>0</v>
      </c>
      <c r="H3613" s="2">
        <v>36.707700000000003</v>
      </c>
      <c r="I3613" s="2">
        <v>88.05</v>
      </c>
    </row>
    <row r="3614" spans="2:9" x14ac:dyDescent="0.3">
      <c r="D3614" t="s">
        <v>17</v>
      </c>
      <c r="E3614" t="s">
        <v>12</v>
      </c>
      <c r="F3614">
        <v>3</v>
      </c>
      <c r="G3614">
        <v>0</v>
      </c>
      <c r="H3614" s="2">
        <v>251.89109999999988</v>
      </c>
      <c r="I3614" s="2">
        <v>868.58999999999992</v>
      </c>
    </row>
    <row r="3615" spans="2:9" x14ac:dyDescent="0.3">
      <c r="E3615" t="s">
        <v>20</v>
      </c>
      <c r="F3615">
        <v>4</v>
      </c>
      <c r="G3615">
        <v>0</v>
      </c>
      <c r="H3615" s="2">
        <v>55.935999999999993</v>
      </c>
      <c r="I3615" s="2">
        <v>121.6</v>
      </c>
    </row>
    <row r="3616" spans="2:9" x14ac:dyDescent="0.3">
      <c r="E3616" t="s">
        <v>43</v>
      </c>
      <c r="F3616">
        <v>13</v>
      </c>
      <c r="G3616">
        <v>0</v>
      </c>
      <c r="H3616" s="2">
        <v>24.313800000000001</v>
      </c>
      <c r="I3616" s="2">
        <v>49.620000000000005</v>
      </c>
    </row>
    <row r="3617" spans="2:9" x14ac:dyDescent="0.3">
      <c r="E3617" t="s">
        <v>16</v>
      </c>
      <c r="F3617">
        <v>2</v>
      </c>
      <c r="G3617">
        <v>0</v>
      </c>
      <c r="H3617" s="2">
        <v>6.2208000000000006</v>
      </c>
      <c r="I3617" s="2">
        <v>12.96</v>
      </c>
    </row>
    <row r="3618" spans="2:9" x14ac:dyDescent="0.3">
      <c r="E3618" t="s">
        <v>24</v>
      </c>
      <c r="F3618">
        <v>1</v>
      </c>
      <c r="G3618">
        <v>0</v>
      </c>
      <c r="H3618" s="2">
        <v>1.375</v>
      </c>
      <c r="I3618" s="2">
        <v>5.5</v>
      </c>
    </row>
    <row r="3619" spans="2:9" x14ac:dyDescent="0.3">
      <c r="E3619" t="s">
        <v>14</v>
      </c>
      <c r="F3619">
        <v>4</v>
      </c>
      <c r="G3619">
        <v>0</v>
      </c>
      <c r="H3619" s="2">
        <v>55.895999999999958</v>
      </c>
      <c r="I3619" s="2">
        <v>1117.92</v>
      </c>
    </row>
    <row r="3620" spans="2:9" x14ac:dyDescent="0.3">
      <c r="B3620" t="s">
        <v>376</v>
      </c>
      <c r="C3620" t="s">
        <v>22</v>
      </c>
      <c r="D3620" t="s">
        <v>17</v>
      </c>
      <c r="E3620" t="s">
        <v>23</v>
      </c>
      <c r="F3620">
        <v>5</v>
      </c>
      <c r="G3620">
        <v>0</v>
      </c>
      <c r="H3620" s="2">
        <v>10.905999999999993</v>
      </c>
      <c r="I3620" s="2">
        <v>57.400000000000006</v>
      </c>
    </row>
    <row r="3621" spans="2:9" x14ac:dyDescent="0.3">
      <c r="E3621" t="s">
        <v>19</v>
      </c>
      <c r="F3621">
        <v>3</v>
      </c>
      <c r="G3621">
        <v>0</v>
      </c>
      <c r="H3621" s="2">
        <v>26.984999999999992</v>
      </c>
      <c r="I3621" s="2">
        <v>107.94</v>
      </c>
    </row>
    <row r="3622" spans="2:9" x14ac:dyDescent="0.3">
      <c r="E3622" t="s">
        <v>20</v>
      </c>
      <c r="F3622">
        <v>2</v>
      </c>
      <c r="G3622">
        <v>0</v>
      </c>
      <c r="H3622" s="2">
        <v>149.38199999999998</v>
      </c>
      <c r="I3622" s="2">
        <v>331.96</v>
      </c>
    </row>
    <row r="3623" spans="2:9" x14ac:dyDescent="0.3">
      <c r="E3623" t="s">
        <v>21</v>
      </c>
      <c r="F3623">
        <v>2</v>
      </c>
      <c r="G3623">
        <v>0</v>
      </c>
      <c r="H3623" s="2">
        <v>12.979199999999999</v>
      </c>
      <c r="I3623" s="2">
        <v>40.56</v>
      </c>
    </row>
    <row r="3624" spans="2:9" x14ac:dyDescent="0.3">
      <c r="E3624" t="s">
        <v>9</v>
      </c>
      <c r="F3624">
        <v>3</v>
      </c>
      <c r="G3624">
        <v>0</v>
      </c>
      <c r="H3624" s="2">
        <v>7.158600000000007</v>
      </c>
      <c r="I3624" s="2">
        <v>357.93</v>
      </c>
    </row>
    <row r="3625" spans="2:9" x14ac:dyDescent="0.3">
      <c r="B3625" t="s">
        <v>377</v>
      </c>
      <c r="C3625" t="s">
        <v>7</v>
      </c>
      <c r="D3625" t="s">
        <v>8</v>
      </c>
      <c r="E3625" t="s">
        <v>33</v>
      </c>
      <c r="F3625">
        <v>5</v>
      </c>
      <c r="G3625">
        <v>0.2</v>
      </c>
      <c r="H3625" s="2">
        <v>45.294000000000011</v>
      </c>
      <c r="I3625" s="2">
        <v>603.91999999999996</v>
      </c>
    </row>
    <row r="3626" spans="2:9" x14ac:dyDescent="0.3">
      <c r="E3626" t="s">
        <v>21</v>
      </c>
      <c r="F3626">
        <v>3</v>
      </c>
      <c r="G3626">
        <v>0</v>
      </c>
      <c r="H3626" s="2">
        <v>46.574999999999996</v>
      </c>
      <c r="I3626" s="2">
        <v>155.25</v>
      </c>
    </row>
    <row r="3627" spans="2:9" x14ac:dyDescent="0.3">
      <c r="E3627" t="s">
        <v>16</v>
      </c>
      <c r="F3627">
        <v>2</v>
      </c>
      <c r="G3627">
        <v>0</v>
      </c>
      <c r="H3627" s="2">
        <v>21.012799999999999</v>
      </c>
      <c r="I3627" s="2">
        <v>45.68</v>
      </c>
    </row>
    <row r="3628" spans="2:9" x14ac:dyDescent="0.3">
      <c r="E3628" t="s">
        <v>24</v>
      </c>
      <c r="F3628">
        <v>4</v>
      </c>
      <c r="G3628">
        <v>0.2</v>
      </c>
      <c r="H3628" s="2">
        <v>22.676399999999994</v>
      </c>
      <c r="I3628" s="2">
        <v>201.56800000000001</v>
      </c>
    </row>
    <row r="3629" spans="2:9" x14ac:dyDescent="0.3">
      <c r="E3629" t="s">
        <v>14</v>
      </c>
      <c r="F3629">
        <v>1</v>
      </c>
      <c r="G3629">
        <v>0</v>
      </c>
      <c r="H3629" s="2">
        <v>4.068699999999998</v>
      </c>
      <c r="I3629" s="2">
        <v>14.03</v>
      </c>
    </row>
    <row r="3630" spans="2:9" x14ac:dyDescent="0.3">
      <c r="B3630" t="s">
        <v>378</v>
      </c>
      <c r="C3630" t="s">
        <v>11</v>
      </c>
      <c r="D3630" t="s">
        <v>8</v>
      </c>
      <c r="E3630" t="s">
        <v>23</v>
      </c>
      <c r="F3630">
        <v>3</v>
      </c>
      <c r="G3630">
        <v>0</v>
      </c>
      <c r="H3630" s="2">
        <v>50.989800000000002</v>
      </c>
      <c r="I3630" s="2">
        <v>149.97</v>
      </c>
    </row>
    <row r="3631" spans="2:9" x14ac:dyDescent="0.3">
      <c r="E3631" t="s">
        <v>21</v>
      </c>
      <c r="F3631">
        <v>2</v>
      </c>
      <c r="G3631">
        <v>0</v>
      </c>
      <c r="H3631" s="2">
        <v>11.076000000000001</v>
      </c>
      <c r="I3631" s="2">
        <v>28.4</v>
      </c>
    </row>
    <row r="3632" spans="2:9" x14ac:dyDescent="0.3">
      <c r="D3632" t="s">
        <v>15</v>
      </c>
      <c r="E3632" t="s">
        <v>12</v>
      </c>
      <c r="F3632">
        <v>5</v>
      </c>
      <c r="G3632">
        <v>0</v>
      </c>
      <c r="H3632" s="2">
        <v>18.409399999999994</v>
      </c>
      <c r="I3632" s="2">
        <v>62.23</v>
      </c>
    </row>
    <row r="3633" spans="3:9" x14ac:dyDescent="0.3">
      <c r="E3633" t="s">
        <v>16</v>
      </c>
      <c r="F3633">
        <v>1</v>
      </c>
      <c r="G3633">
        <v>0</v>
      </c>
      <c r="H3633" s="2">
        <v>3.1104000000000003</v>
      </c>
      <c r="I3633" s="2">
        <v>6.48</v>
      </c>
    </row>
    <row r="3634" spans="3:9" x14ac:dyDescent="0.3">
      <c r="D3634" t="s">
        <v>17</v>
      </c>
      <c r="E3634" t="s">
        <v>33</v>
      </c>
      <c r="F3634">
        <v>3</v>
      </c>
      <c r="G3634">
        <v>0</v>
      </c>
      <c r="H3634" s="2">
        <v>112.78800000000001</v>
      </c>
      <c r="I3634" s="2">
        <v>563.93999999999994</v>
      </c>
    </row>
    <row r="3635" spans="3:9" x14ac:dyDescent="0.3">
      <c r="C3635" t="s">
        <v>27</v>
      </c>
      <c r="D3635" t="s">
        <v>17</v>
      </c>
      <c r="E3635" t="s">
        <v>20</v>
      </c>
      <c r="F3635">
        <v>3</v>
      </c>
      <c r="G3635">
        <v>0</v>
      </c>
      <c r="H3635" s="2">
        <v>15.524999999999999</v>
      </c>
      <c r="I3635" s="2">
        <v>34.5</v>
      </c>
    </row>
    <row r="3636" spans="3:9" x14ac:dyDescent="0.3">
      <c r="C3636" t="s">
        <v>7</v>
      </c>
      <c r="D3636" t="s">
        <v>15</v>
      </c>
      <c r="E3636" t="s">
        <v>20</v>
      </c>
      <c r="F3636">
        <v>4</v>
      </c>
      <c r="G3636">
        <v>0</v>
      </c>
      <c r="H3636" s="2">
        <v>10.988799999999999</v>
      </c>
      <c r="I3636" s="2">
        <v>22.4</v>
      </c>
    </row>
    <row r="3637" spans="3:9" x14ac:dyDescent="0.3">
      <c r="E3637" t="s">
        <v>18</v>
      </c>
      <c r="F3637">
        <v>4</v>
      </c>
      <c r="G3637">
        <v>0</v>
      </c>
      <c r="H3637" s="2">
        <v>0.2016</v>
      </c>
      <c r="I3637" s="2">
        <v>5.04</v>
      </c>
    </row>
    <row r="3638" spans="3:9" x14ac:dyDescent="0.3">
      <c r="E3638" t="s">
        <v>16</v>
      </c>
      <c r="F3638">
        <v>3</v>
      </c>
      <c r="G3638">
        <v>0</v>
      </c>
      <c r="H3638" s="2">
        <v>56.977199999999996</v>
      </c>
      <c r="I3638" s="2">
        <v>116.28</v>
      </c>
    </row>
    <row r="3639" spans="3:9" x14ac:dyDescent="0.3">
      <c r="C3639" t="s">
        <v>22</v>
      </c>
      <c r="D3639" t="s">
        <v>8</v>
      </c>
      <c r="E3639" t="s">
        <v>12</v>
      </c>
      <c r="F3639">
        <v>2</v>
      </c>
      <c r="G3639">
        <v>0</v>
      </c>
      <c r="H3639" s="2">
        <v>136.07999999999998</v>
      </c>
      <c r="I3639" s="2">
        <v>378</v>
      </c>
    </row>
    <row r="3640" spans="3:9" x14ac:dyDescent="0.3">
      <c r="E3640" t="s">
        <v>21</v>
      </c>
      <c r="F3640">
        <v>14</v>
      </c>
      <c r="G3640">
        <v>0</v>
      </c>
      <c r="H3640" s="2">
        <v>387.56759999999986</v>
      </c>
      <c r="I3640" s="2">
        <v>1336.4399999999998</v>
      </c>
    </row>
    <row r="3641" spans="3:9" x14ac:dyDescent="0.3">
      <c r="E3641" t="s">
        <v>43</v>
      </c>
      <c r="F3641">
        <v>5</v>
      </c>
      <c r="G3641">
        <v>0</v>
      </c>
      <c r="H3641" s="2">
        <v>7.056</v>
      </c>
      <c r="I3641" s="2">
        <v>14.399999999999999</v>
      </c>
    </row>
    <row r="3642" spans="3:9" x14ac:dyDescent="0.3">
      <c r="E3642" t="s">
        <v>16</v>
      </c>
      <c r="F3642">
        <v>9</v>
      </c>
      <c r="G3642">
        <v>0</v>
      </c>
      <c r="H3642" s="2">
        <v>26.328599999999998</v>
      </c>
      <c r="I3642" s="2">
        <v>55.32</v>
      </c>
    </row>
    <row r="3643" spans="3:9" x14ac:dyDescent="0.3">
      <c r="E3643" t="s">
        <v>24</v>
      </c>
      <c r="F3643">
        <v>14</v>
      </c>
      <c r="G3643">
        <v>0</v>
      </c>
      <c r="H3643" s="2">
        <v>796.34809999999982</v>
      </c>
      <c r="I3643" s="2">
        <v>2695.8599999999997</v>
      </c>
    </row>
    <row r="3644" spans="3:9" x14ac:dyDescent="0.3">
      <c r="E3644" t="s">
        <v>14</v>
      </c>
      <c r="F3644">
        <v>9</v>
      </c>
      <c r="G3644">
        <v>0</v>
      </c>
      <c r="H3644" s="2">
        <v>101.13900000000001</v>
      </c>
      <c r="I3644" s="2">
        <v>413.82</v>
      </c>
    </row>
    <row r="3645" spans="3:9" x14ac:dyDescent="0.3">
      <c r="E3645" t="s">
        <v>9</v>
      </c>
      <c r="F3645">
        <v>2</v>
      </c>
      <c r="G3645">
        <v>0</v>
      </c>
      <c r="H3645" s="2">
        <v>5.0699999999999985</v>
      </c>
      <c r="I3645" s="2">
        <v>16.899999999999999</v>
      </c>
    </row>
    <row r="3646" spans="3:9" x14ac:dyDescent="0.3">
      <c r="D3646" t="s">
        <v>15</v>
      </c>
      <c r="E3646" t="s">
        <v>23</v>
      </c>
      <c r="F3646">
        <v>3</v>
      </c>
      <c r="G3646">
        <v>0</v>
      </c>
      <c r="H3646" s="2">
        <v>18.893699999999995</v>
      </c>
      <c r="I3646" s="2">
        <v>89.97</v>
      </c>
    </row>
    <row r="3647" spans="3:9" x14ac:dyDescent="0.3">
      <c r="D3647" t="s">
        <v>17</v>
      </c>
      <c r="E3647" t="s">
        <v>18</v>
      </c>
      <c r="F3647">
        <v>10</v>
      </c>
      <c r="G3647">
        <v>0</v>
      </c>
      <c r="H3647" s="2">
        <v>10.183</v>
      </c>
      <c r="I3647" s="2">
        <v>52.599999999999994</v>
      </c>
    </row>
    <row r="3648" spans="3:9" x14ac:dyDescent="0.3">
      <c r="E3648" t="s">
        <v>24</v>
      </c>
      <c r="F3648">
        <v>2</v>
      </c>
      <c r="G3648">
        <v>0</v>
      </c>
      <c r="H3648" s="2">
        <v>72.894599999999997</v>
      </c>
      <c r="I3648" s="2">
        <v>269.98</v>
      </c>
    </row>
    <row r="3649" spans="2:9" x14ac:dyDescent="0.3">
      <c r="B3649" t="s">
        <v>379</v>
      </c>
      <c r="C3649" t="s">
        <v>22</v>
      </c>
      <c r="D3649" t="s">
        <v>8</v>
      </c>
      <c r="E3649" t="s">
        <v>33</v>
      </c>
      <c r="F3649">
        <v>5</v>
      </c>
      <c r="G3649">
        <v>0.2</v>
      </c>
      <c r="H3649" s="2">
        <v>-46.137000000000029</v>
      </c>
      <c r="I3649" s="2">
        <v>283.92</v>
      </c>
    </row>
    <row r="3650" spans="2:9" x14ac:dyDescent="0.3">
      <c r="B3650" t="s">
        <v>380</v>
      </c>
      <c r="C3650" t="s">
        <v>27</v>
      </c>
      <c r="D3650" t="s">
        <v>8</v>
      </c>
      <c r="E3650" t="s">
        <v>19</v>
      </c>
      <c r="F3650">
        <v>3</v>
      </c>
      <c r="G3650">
        <v>0</v>
      </c>
      <c r="H3650" s="2">
        <v>18.447000000000003</v>
      </c>
      <c r="I3650" s="2">
        <v>70.949999999999989</v>
      </c>
    </row>
    <row r="3651" spans="2:9" x14ac:dyDescent="0.3">
      <c r="C3651" t="s">
        <v>7</v>
      </c>
      <c r="D3651" t="s">
        <v>15</v>
      </c>
      <c r="E3651" t="s">
        <v>20</v>
      </c>
      <c r="F3651">
        <v>2</v>
      </c>
      <c r="G3651">
        <v>0</v>
      </c>
      <c r="H3651" s="2">
        <v>2.8224</v>
      </c>
      <c r="I3651" s="2">
        <v>5.76</v>
      </c>
    </row>
    <row r="3652" spans="2:9" x14ac:dyDescent="0.3">
      <c r="D3652" t="s">
        <v>17</v>
      </c>
      <c r="E3652" t="s">
        <v>20</v>
      </c>
      <c r="F3652">
        <v>6</v>
      </c>
      <c r="G3652">
        <v>0</v>
      </c>
      <c r="H3652" s="2">
        <v>12.72</v>
      </c>
      <c r="I3652" s="2">
        <v>25.44</v>
      </c>
    </row>
    <row r="3653" spans="2:9" x14ac:dyDescent="0.3">
      <c r="E3653" t="s">
        <v>9</v>
      </c>
      <c r="F3653">
        <v>3</v>
      </c>
      <c r="G3653">
        <v>0</v>
      </c>
      <c r="H3653" s="2">
        <v>8.0996999999999986</v>
      </c>
      <c r="I3653" s="2">
        <v>27.93</v>
      </c>
    </row>
    <row r="3654" spans="2:9" x14ac:dyDescent="0.3">
      <c r="C3654" t="s">
        <v>22</v>
      </c>
      <c r="D3654" t="s">
        <v>8</v>
      </c>
      <c r="E3654" t="s">
        <v>43</v>
      </c>
      <c r="F3654">
        <v>1</v>
      </c>
      <c r="G3654">
        <v>0</v>
      </c>
      <c r="H3654" s="2">
        <v>2.4058999999999999</v>
      </c>
      <c r="I3654" s="2">
        <v>4.91</v>
      </c>
    </row>
    <row r="3655" spans="2:9" x14ac:dyDescent="0.3">
      <c r="D3655" t="s">
        <v>15</v>
      </c>
      <c r="E3655" t="s">
        <v>12</v>
      </c>
      <c r="F3655">
        <v>2</v>
      </c>
      <c r="G3655">
        <v>0</v>
      </c>
      <c r="H3655" s="2">
        <v>22.074799999999996</v>
      </c>
      <c r="I3655" s="2">
        <v>76.12</v>
      </c>
    </row>
    <row r="3656" spans="2:9" x14ac:dyDescent="0.3">
      <c r="B3656" t="s">
        <v>381</v>
      </c>
      <c r="C3656" t="s">
        <v>22</v>
      </c>
      <c r="D3656" t="s">
        <v>8</v>
      </c>
      <c r="E3656" t="s">
        <v>19</v>
      </c>
      <c r="F3656">
        <v>2</v>
      </c>
      <c r="G3656">
        <v>0</v>
      </c>
      <c r="H3656" s="2">
        <v>12.874400000000001</v>
      </c>
      <c r="I3656" s="2">
        <v>45.98</v>
      </c>
    </row>
    <row r="3657" spans="2:9" x14ac:dyDescent="0.3">
      <c r="E3657" t="s">
        <v>34</v>
      </c>
      <c r="F3657">
        <v>7</v>
      </c>
      <c r="G3657">
        <v>0</v>
      </c>
      <c r="H3657" s="2">
        <v>140.68599999999989</v>
      </c>
      <c r="I3657" s="2">
        <v>1406.86</v>
      </c>
    </row>
    <row r="3658" spans="2:9" x14ac:dyDescent="0.3">
      <c r="E3658" t="s">
        <v>43</v>
      </c>
      <c r="F3658">
        <v>5</v>
      </c>
      <c r="G3658">
        <v>0</v>
      </c>
      <c r="H3658" s="2">
        <v>7.5600000000000005</v>
      </c>
      <c r="I3658" s="2">
        <v>15.75</v>
      </c>
    </row>
    <row r="3659" spans="2:9" x14ac:dyDescent="0.3">
      <c r="E3659" t="s">
        <v>16</v>
      </c>
      <c r="F3659">
        <v>2</v>
      </c>
      <c r="G3659">
        <v>0</v>
      </c>
      <c r="H3659" s="2">
        <v>6.2208000000000006</v>
      </c>
      <c r="I3659" s="2">
        <v>12.96</v>
      </c>
    </row>
    <row r="3660" spans="2:9" x14ac:dyDescent="0.3">
      <c r="E3660" t="s">
        <v>14</v>
      </c>
      <c r="F3660">
        <v>2</v>
      </c>
      <c r="G3660">
        <v>0</v>
      </c>
      <c r="H3660" s="2">
        <v>61.38900000000001</v>
      </c>
      <c r="I3660" s="2">
        <v>323.10000000000002</v>
      </c>
    </row>
    <row r="3661" spans="2:9" x14ac:dyDescent="0.3">
      <c r="E3661" t="s">
        <v>25</v>
      </c>
      <c r="F3661">
        <v>3</v>
      </c>
      <c r="G3661">
        <v>0</v>
      </c>
      <c r="H3661" s="2">
        <v>240.26490000000001</v>
      </c>
      <c r="I3661" s="2">
        <v>1044.6299999999999</v>
      </c>
    </row>
    <row r="3662" spans="2:9" x14ac:dyDescent="0.3">
      <c r="D3662" t="s">
        <v>15</v>
      </c>
      <c r="E3662" t="s">
        <v>19</v>
      </c>
      <c r="F3662">
        <v>2</v>
      </c>
      <c r="G3662">
        <v>0</v>
      </c>
      <c r="H3662" s="2">
        <v>4.2047999999999996</v>
      </c>
      <c r="I3662" s="2">
        <v>11.68</v>
      </c>
    </row>
    <row r="3663" spans="2:9" x14ac:dyDescent="0.3">
      <c r="D3663" t="s">
        <v>17</v>
      </c>
      <c r="E3663" t="s">
        <v>20</v>
      </c>
      <c r="F3663">
        <v>3</v>
      </c>
      <c r="G3663">
        <v>0.2</v>
      </c>
      <c r="H3663" s="2">
        <v>19.4376</v>
      </c>
      <c r="I3663" s="2">
        <v>59.808000000000007</v>
      </c>
    </row>
    <row r="3664" spans="2:9" x14ac:dyDescent="0.3">
      <c r="E3664" t="s">
        <v>21</v>
      </c>
      <c r="F3664">
        <v>6</v>
      </c>
      <c r="G3664">
        <v>0</v>
      </c>
      <c r="H3664" s="2">
        <v>21.995999999999992</v>
      </c>
      <c r="I3664" s="2">
        <v>73.320000000000007</v>
      </c>
    </row>
    <row r="3665" spans="2:9" x14ac:dyDescent="0.3">
      <c r="B3665" t="s">
        <v>382</v>
      </c>
      <c r="C3665" t="s">
        <v>22</v>
      </c>
      <c r="D3665" t="s">
        <v>17</v>
      </c>
      <c r="E3665" t="s">
        <v>23</v>
      </c>
      <c r="F3665">
        <v>5</v>
      </c>
      <c r="G3665">
        <v>0.2</v>
      </c>
      <c r="H3665" s="2">
        <v>67.991999999999962</v>
      </c>
      <c r="I3665" s="2">
        <v>339.96000000000004</v>
      </c>
    </row>
    <row r="3666" spans="2:9" x14ac:dyDescent="0.3">
      <c r="B3666" t="s">
        <v>383</v>
      </c>
      <c r="C3666" t="s">
        <v>22</v>
      </c>
      <c r="D3666" t="s">
        <v>8</v>
      </c>
      <c r="E3666" t="s">
        <v>23</v>
      </c>
      <c r="F3666">
        <v>3</v>
      </c>
      <c r="G3666">
        <v>0.2</v>
      </c>
      <c r="H3666" s="2">
        <v>10.895999999999987</v>
      </c>
      <c r="I3666" s="2">
        <v>87.168000000000006</v>
      </c>
    </row>
    <row r="3667" spans="2:9" x14ac:dyDescent="0.3">
      <c r="E3667" t="s">
        <v>19</v>
      </c>
      <c r="F3667">
        <v>2</v>
      </c>
      <c r="G3667">
        <v>0.2</v>
      </c>
      <c r="H3667" s="2">
        <v>4.1987999999999985</v>
      </c>
      <c r="I3667" s="2">
        <v>55.984000000000009</v>
      </c>
    </row>
    <row r="3668" spans="2:9" x14ac:dyDescent="0.3">
      <c r="E3668" t="s">
        <v>20</v>
      </c>
      <c r="F3668">
        <v>2</v>
      </c>
      <c r="G3668">
        <v>0.7</v>
      </c>
      <c r="H3668" s="2">
        <v>-2.9963999999999995</v>
      </c>
      <c r="I3668" s="2">
        <v>4.0860000000000003</v>
      </c>
    </row>
    <row r="3669" spans="2:9" x14ac:dyDescent="0.3">
      <c r="E3669" t="s">
        <v>45</v>
      </c>
      <c r="F3669">
        <v>2</v>
      </c>
      <c r="G3669">
        <v>0.2</v>
      </c>
      <c r="H3669" s="2">
        <v>311.99479999999994</v>
      </c>
      <c r="I3669" s="2">
        <v>959.98400000000004</v>
      </c>
    </row>
    <row r="3670" spans="2:9" x14ac:dyDescent="0.3">
      <c r="E3670" t="s">
        <v>16</v>
      </c>
      <c r="F3670">
        <v>6</v>
      </c>
      <c r="G3670">
        <v>0.4</v>
      </c>
      <c r="H3670" s="2">
        <v>10.9984</v>
      </c>
      <c r="I3670" s="2">
        <v>31.424000000000007</v>
      </c>
    </row>
    <row r="3671" spans="2:9" x14ac:dyDescent="0.3">
      <c r="D3671" t="s">
        <v>15</v>
      </c>
      <c r="E3671" t="s">
        <v>20</v>
      </c>
      <c r="F3671">
        <v>9</v>
      </c>
      <c r="G3671">
        <v>0.7</v>
      </c>
      <c r="H3671" s="2">
        <v>-4.427999999999999</v>
      </c>
      <c r="I3671" s="2">
        <v>6.6420000000000012</v>
      </c>
    </row>
    <row r="3672" spans="2:9" x14ac:dyDescent="0.3">
      <c r="E3672" t="s">
        <v>34</v>
      </c>
      <c r="F3672">
        <v>2</v>
      </c>
      <c r="G3672">
        <v>0.2</v>
      </c>
      <c r="H3672" s="2">
        <v>10.858799999999974</v>
      </c>
      <c r="I3672" s="2">
        <v>289.56799999999998</v>
      </c>
    </row>
    <row r="3673" spans="2:9" x14ac:dyDescent="0.3">
      <c r="E3673" t="s">
        <v>16</v>
      </c>
      <c r="F3673">
        <v>4</v>
      </c>
      <c r="G3673">
        <v>0.2</v>
      </c>
      <c r="H3673" s="2">
        <v>7.2576000000000001</v>
      </c>
      <c r="I3673" s="2">
        <v>20.736000000000004</v>
      </c>
    </row>
    <row r="3674" spans="2:9" x14ac:dyDescent="0.3">
      <c r="E3674" t="s">
        <v>24</v>
      </c>
      <c r="F3674">
        <v>4</v>
      </c>
      <c r="G3674">
        <v>0.2</v>
      </c>
      <c r="H3674" s="2">
        <v>24.476800000000004</v>
      </c>
      <c r="I3674" s="2">
        <v>244.768</v>
      </c>
    </row>
    <row r="3675" spans="2:9" x14ac:dyDescent="0.3">
      <c r="E3675" t="s">
        <v>14</v>
      </c>
      <c r="F3675">
        <v>5</v>
      </c>
      <c r="G3675">
        <v>0.2</v>
      </c>
      <c r="H3675" s="2">
        <v>4.4684999999999953</v>
      </c>
      <c r="I3675" s="2">
        <v>39.72</v>
      </c>
    </row>
    <row r="3676" spans="2:9" x14ac:dyDescent="0.3">
      <c r="B3676" t="s">
        <v>384</v>
      </c>
      <c r="C3676" t="s">
        <v>22</v>
      </c>
      <c r="D3676" t="s">
        <v>8</v>
      </c>
      <c r="E3676" t="s">
        <v>20</v>
      </c>
      <c r="F3676">
        <v>3</v>
      </c>
      <c r="G3676">
        <v>0.7</v>
      </c>
      <c r="H3676" s="2">
        <v>-1.9656000000000002</v>
      </c>
      <c r="I3676" s="2">
        <v>2.8080000000000007</v>
      </c>
    </row>
    <row r="3677" spans="2:9" x14ac:dyDescent="0.3">
      <c r="B3677" t="s">
        <v>385</v>
      </c>
      <c r="C3677" t="s">
        <v>22</v>
      </c>
      <c r="D3677" t="s">
        <v>8</v>
      </c>
      <c r="E3677" t="s">
        <v>20</v>
      </c>
      <c r="F3677">
        <v>8</v>
      </c>
      <c r="G3677">
        <v>1.6</v>
      </c>
      <c r="H3677" s="2">
        <v>-540.2401000000001</v>
      </c>
      <c r="I3677" s="2">
        <v>308.81799999999993</v>
      </c>
    </row>
    <row r="3678" spans="2:9" x14ac:dyDescent="0.3">
      <c r="E3678" t="s">
        <v>18</v>
      </c>
      <c r="F3678">
        <v>5</v>
      </c>
      <c r="G3678">
        <v>0.2</v>
      </c>
      <c r="H3678" s="2">
        <v>4.1124999999999998</v>
      </c>
      <c r="I3678" s="2">
        <v>13.16</v>
      </c>
    </row>
    <row r="3679" spans="2:9" x14ac:dyDescent="0.3">
      <c r="B3679" t="s">
        <v>386</v>
      </c>
      <c r="C3679" t="s">
        <v>11</v>
      </c>
      <c r="D3679" t="s">
        <v>15</v>
      </c>
      <c r="E3679" t="s">
        <v>23</v>
      </c>
      <c r="F3679">
        <v>5</v>
      </c>
      <c r="G3679">
        <v>0</v>
      </c>
      <c r="H3679" s="2">
        <v>15.378000000000004</v>
      </c>
      <c r="I3679" s="2">
        <v>34.950000000000003</v>
      </c>
    </row>
    <row r="3680" spans="2:9" x14ac:dyDescent="0.3">
      <c r="E3680" t="s">
        <v>20</v>
      </c>
      <c r="F3680">
        <v>5</v>
      </c>
      <c r="G3680">
        <v>0</v>
      </c>
      <c r="H3680" s="2">
        <v>69.919999999999987</v>
      </c>
      <c r="I3680" s="2">
        <v>152</v>
      </c>
    </row>
    <row r="3681" spans="2:9" x14ac:dyDescent="0.3">
      <c r="C3681" t="s">
        <v>22</v>
      </c>
      <c r="D3681" t="s">
        <v>15</v>
      </c>
      <c r="E3681" t="s">
        <v>19</v>
      </c>
      <c r="F3681">
        <v>6</v>
      </c>
      <c r="G3681">
        <v>0</v>
      </c>
      <c r="H3681" s="2">
        <v>9.1673999999999989</v>
      </c>
      <c r="I3681" s="2">
        <v>27.78</v>
      </c>
    </row>
    <row r="3682" spans="2:9" x14ac:dyDescent="0.3">
      <c r="E3682" t="s">
        <v>18</v>
      </c>
      <c r="F3682">
        <v>3</v>
      </c>
      <c r="G3682">
        <v>0</v>
      </c>
      <c r="H3682" s="2">
        <v>9.120000000000001</v>
      </c>
      <c r="I3682" s="2">
        <v>18.240000000000002</v>
      </c>
    </row>
    <row r="3683" spans="2:9" x14ac:dyDescent="0.3">
      <c r="E3683" t="s">
        <v>16</v>
      </c>
      <c r="F3683">
        <v>2</v>
      </c>
      <c r="G3683">
        <v>0</v>
      </c>
      <c r="H3683" s="2">
        <v>6.2375999999999996</v>
      </c>
      <c r="I3683" s="2">
        <v>13.56</v>
      </c>
    </row>
    <row r="3684" spans="2:9" x14ac:dyDescent="0.3">
      <c r="E3684" t="s">
        <v>14</v>
      </c>
      <c r="F3684">
        <v>2</v>
      </c>
      <c r="G3684">
        <v>0</v>
      </c>
      <c r="H3684" s="2">
        <v>93.698800000000006</v>
      </c>
      <c r="I3684" s="2">
        <v>360.38</v>
      </c>
    </row>
    <row r="3685" spans="2:9" x14ac:dyDescent="0.3">
      <c r="B3685" t="s">
        <v>387</v>
      </c>
      <c r="C3685" t="s">
        <v>7</v>
      </c>
      <c r="D3685" t="s">
        <v>15</v>
      </c>
      <c r="E3685" t="s">
        <v>9</v>
      </c>
      <c r="F3685">
        <v>3</v>
      </c>
      <c r="G3685">
        <v>0</v>
      </c>
      <c r="H3685" s="2">
        <v>6.63</v>
      </c>
      <c r="I3685" s="2">
        <v>25.5</v>
      </c>
    </row>
    <row r="3686" spans="2:9" x14ac:dyDescent="0.3">
      <c r="C3686" t="s">
        <v>22</v>
      </c>
      <c r="D3686" t="s">
        <v>8</v>
      </c>
      <c r="E3686" t="s">
        <v>16</v>
      </c>
      <c r="F3686">
        <v>2</v>
      </c>
      <c r="G3686">
        <v>0</v>
      </c>
      <c r="H3686" s="2">
        <v>21.012799999999999</v>
      </c>
      <c r="I3686" s="2">
        <v>45.68</v>
      </c>
    </row>
    <row r="3687" spans="2:9" x14ac:dyDescent="0.3">
      <c r="B3687" t="s">
        <v>388</v>
      </c>
      <c r="C3687" t="s">
        <v>27</v>
      </c>
      <c r="D3687" t="s">
        <v>17</v>
      </c>
      <c r="E3687" t="s">
        <v>38</v>
      </c>
      <c r="F3687">
        <v>3</v>
      </c>
      <c r="G3687">
        <v>0</v>
      </c>
      <c r="H3687" s="2">
        <v>11.230799999999999</v>
      </c>
      <c r="I3687" s="2">
        <v>22.919999999999998</v>
      </c>
    </row>
    <row r="3688" spans="2:9" x14ac:dyDescent="0.3">
      <c r="E3688" t="s">
        <v>21</v>
      </c>
      <c r="F3688">
        <v>2</v>
      </c>
      <c r="G3688">
        <v>0</v>
      </c>
      <c r="H3688" s="2">
        <v>1.597999999999999</v>
      </c>
      <c r="I3688" s="2">
        <v>31.96</v>
      </c>
    </row>
    <row r="3689" spans="2:9" x14ac:dyDescent="0.3">
      <c r="E3689" t="s">
        <v>16</v>
      </c>
      <c r="F3689">
        <v>1</v>
      </c>
      <c r="G3689">
        <v>0</v>
      </c>
      <c r="H3689" s="2">
        <v>22.991999999999997</v>
      </c>
      <c r="I3689" s="2">
        <v>47.9</v>
      </c>
    </row>
    <row r="3690" spans="2:9" x14ac:dyDescent="0.3">
      <c r="E3690" t="s">
        <v>14</v>
      </c>
      <c r="F3690">
        <v>3</v>
      </c>
      <c r="G3690">
        <v>0</v>
      </c>
      <c r="H3690" s="2">
        <v>222.58799999999991</v>
      </c>
      <c r="I3690" s="2">
        <v>1112.94</v>
      </c>
    </row>
    <row r="3691" spans="2:9" x14ac:dyDescent="0.3">
      <c r="C3691" t="s">
        <v>7</v>
      </c>
      <c r="D3691" t="s">
        <v>8</v>
      </c>
      <c r="E3691" t="s">
        <v>23</v>
      </c>
      <c r="F3691">
        <v>5</v>
      </c>
      <c r="G3691">
        <v>0</v>
      </c>
      <c r="H3691" s="2">
        <v>29.032499999999999</v>
      </c>
      <c r="I3691" s="2">
        <v>82.95</v>
      </c>
    </row>
    <row r="3692" spans="2:9" x14ac:dyDescent="0.3">
      <c r="C3692" t="s">
        <v>22</v>
      </c>
      <c r="D3692" t="s">
        <v>8</v>
      </c>
      <c r="E3692" t="s">
        <v>21</v>
      </c>
      <c r="F3692">
        <v>3</v>
      </c>
      <c r="G3692">
        <v>0</v>
      </c>
      <c r="H3692" s="2">
        <v>21.751499999999986</v>
      </c>
      <c r="I3692" s="2">
        <v>127.94999999999999</v>
      </c>
    </row>
    <row r="3693" spans="2:9" x14ac:dyDescent="0.3">
      <c r="D3693" t="s">
        <v>15</v>
      </c>
      <c r="E3693" t="s">
        <v>19</v>
      </c>
      <c r="F3693">
        <v>5</v>
      </c>
      <c r="G3693">
        <v>0</v>
      </c>
      <c r="H3693" s="2">
        <v>25.792000000000002</v>
      </c>
      <c r="I3693" s="2">
        <v>99.2</v>
      </c>
    </row>
    <row r="3694" spans="2:9" x14ac:dyDescent="0.3">
      <c r="E3694" t="s">
        <v>20</v>
      </c>
      <c r="F3694">
        <v>9</v>
      </c>
      <c r="G3694">
        <v>0.4</v>
      </c>
      <c r="H3694" s="2">
        <v>11.472899999999999</v>
      </c>
      <c r="I3694" s="2">
        <v>32.28</v>
      </c>
    </row>
    <row r="3695" spans="2:9" x14ac:dyDescent="0.3">
      <c r="B3695" t="s">
        <v>389</v>
      </c>
      <c r="C3695" t="s">
        <v>11</v>
      </c>
      <c r="D3695" t="s">
        <v>15</v>
      </c>
      <c r="E3695" t="s">
        <v>23</v>
      </c>
      <c r="F3695">
        <v>7</v>
      </c>
      <c r="G3695">
        <v>0.2</v>
      </c>
      <c r="H3695" s="2">
        <v>23.262400000000003</v>
      </c>
      <c r="I3695" s="2">
        <v>116.312</v>
      </c>
    </row>
    <row r="3696" spans="2:9" x14ac:dyDescent="0.3">
      <c r="B3696" t="s">
        <v>390</v>
      </c>
      <c r="C3696" t="s">
        <v>11</v>
      </c>
      <c r="D3696" t="s">
        <v>15</v>
      </c>
      <c r="E3696" t="s">
        <v>20</v>
      </c>
      <c r="F3696">
        <v>5</v>
      </c>
      <c r="G3696">
        <v>0.7</v>
      </c>
      <c r="H3696" s="2">
        <v>-6.8669999999999973</v>
      </c>
      <c r="I3696" s="2">
        <v>9.8100000000000023</v>
      </c>
    </row>
    <row r="3697" spans="2:9" x14ac:dyDescent="0.3">
      <c r="E3697" t="s">
        <v>21</v>
      </c>
      <c r="F3697">
        <v>5</v>
      </c>
      <c r="G3697">
        <v>0.4</v>
      </c>
      <c r="H3697" s="2">
        <v>21.359199999999994</v>
      </c>
      <c r="I3697" s="2">
        <v>232.73600000000002</v>
      </c>
    </row>
    <row r="3698" spans="2:9" x14ac:dyDescent="0.3">
      <c r="C3698" t="s">
        <v>22</v>
      </c>
      <c r="D3698" t="s">
        <v>8</v>
      </c>
      <c r="E3698" t="s">
        <v>38</v>
      </c>
      <c r="F3698">
        <v>4</v>
      </c>
      <c r="G3698">
        <v>0.2</v>
      </c>
      <c r="H3698" s="2">
        <v>8.8623999999999992</v>
      </c>
      <c r="I3698" s="2">
        <v>24.448</v>
      </c>
    </row>
    <row r="3699" spans="2:9" x14ac:dyDescent="0.3">
      <c r="D3699" t="s">
        <v>15</v>
      </c>
      <c r="E3699" t="s">
        <v>20</v>
      </c>
      <c r="F3699">
        <v>6</v>
      </c>
      <c r="G3699">
        <v>0.7</v>
      </c>
      <c r="H3699" s="2">
        <v>-5.6993999999999971</v>
      </c>
      <c r="I3699" s="2">
        <v>7.4340000000000011</v>
      </c>
    </row>
    <row r="3700" spans="2:9" x14ac:dyDescent="0.3">
      <c r="B3700" t="s">
        <v>391</v>
      </c>
      <c r="C3700" t="s">
        <v>22</v>
      </c>
      <c r="D3700" t="s">
        <v>8</v>
      </c>
      <c r="E3700" t="s">
        <v>16</v>
      </c>
      <c r="F3700">
        <v>9</v>
      </c>
      <c r="G3700">
        <v>0.2</v>
      </c>
      <c r="H3700" s="2">
        <v>48.551399999999994</v>
      </c>
      <c r="I3700" s="2">
        <v>143.85600000000002</v>
      </c>
    </row>
    <row r="3701" spans="2:9" x14ac:dyDescent="0.3">
      <c r="D3701" t="s">
        <v>17</v>
      </c>
      <c r="E3701" t="s">
        <v>21</v>
      </c>
      <c r="F3701">
        <v>7</v>
      </c>
      <c r="G3701">
        <v>0.6</v>
      </c>
      <c r="H3701" s="2">
        <v>-312.06139999999994</v>
      </c>
      <c r="I3701" s="2">
        <v>254.74400000000003</v>
      </c>
    </row>
    <row r="3702" spans="2:9" x14ac:dyDescent="0.3">
      <c r="E3702" t="s">
        <v>24</v>
      </c>
      <c r="F3702">
        <v>1</v>
      </c>
      <c r="G3702">
        <v>0.2</v>
      </c>
      <c r="H3702" s="2">
        <v>25.060000000000016</v>
      </c>
      <c r="I3702" s="2">
        <v>286.40000000000003</v>
      </c>
    </row>
    <row r="3703" spans="2:9" x14ac:dyDescent="0.3">
      <c r="B3703" t="s">
        <v>392</v>
      </c>
      <c r="C3703" t="s">
        <v>22</v>
      </c>
      <c r="D3703" t="s">
        <v>8</v>
      </c>
      <c r="E3703" t="s">
        <v>34</v>
      </c>
      <c r="F3703">
        <v>7</v>
      </c>
      <c r="G3703">
        <v>0.7</v>
      </c>
      <c r="H3703" s="2">
        <v>-183.6323999999999</v>
      </c>
      <c r="I3703" s="2">
        <v>102.01800000000001</v>
      </c>
    </row>
    <row r="3704" spans="2:9" x14ac:dyDescent="0.3">
      <c r="E3704" t="s">
        <v>21</v>
      </c>
      <c r="F3704">
        <v>5</v>
      </c>
      <c r="G3704">
        <v>0.2</v>
      </c>
      <c r="H3704" s="2">
        <v>4.0080000000000009</v>
      </c>
      <c r="I3704" s="2">
        <v>13.360000000000001</v>
      </c>
    </row>
    <row r="3705" spans="2:9" x14ac:dyDescent="0.3">
      <c r="E3705" t="s">
        <v>14</v>
      </c>
      <c r="F3705">
        <v>2</v>
      </c>
      <c r="G3705">
        <v>0.2</v>
      </c>
      <c r="H3705" s="2">
        <v>-17.607599999999998</v>
      </c>
      <c r="I3705" s="2">
        <v>78.256</v>
      </c>
    </row>
    <row r="3706" spans="2:9" x14ac:dyDescent="0.3">
      <c r="D3706" t="s">
        <v>15</v>
      </c>
      <c r="E3706" t="s">
        <v>20</v>
      </c>
      <c r="F3706">
        <v>7</v>
      </c>
      <c r="G3706">
        <v>2.0999999999999996</v>
      </c>
      <c r="H3706" s="2">
        <v>-28.942399999999996</v>
      </c>
      <c r="I3706" s="2">
        <v>39.948000000000008</v>
      </c>
    </row>
    <row r="3707" spans="2:9" x14ac:dyDescent="0.3">
      <c r="E3707" t="s">
        <v>33</v>
      </c>
      <c r="F3707">
        <v>2</v>
      </c>
      <c r="G3707">
        <v>0.2</v>
      </c>
      <c r="H3707" s="2">
        <v>50.097999999999985</v>
      </c>
      <c r="I3707" s="2">
        <v>801.5680000000001</v>
      </c>
    </row>
    <row r="3708" spans="2:9" x14ac:dyDescent="0.3">
      <c r="E3708" t="s">
        <v>16</v>
      </c>
      <c r="F3708">
        <v>1</v>
      </c>
      <c r="G3708">
        <v>0.2</v>
      </c>
      <c r="H3708" s="2">
        <v>11.8871</v>
      </c>
      <c r="I3708" s="2">
        <v>32.792000000000002</v>
      </c>
    </row>
    <row r="3709" spans="2:9" x14ac:dyDescent="0.3">
      <c r="B3709" t="s">
        <v>393</v>
      </c>
      <c r="C3709" t="s">
        <v>11</v>
      </c>
      <c r="D3709" t="s">
        <v>8</v>
      </c>
      <c r="E3709" t="s">
        <v>33</v>
      </c>
      <c r="F3709">
        <v>2</v>
      </c>
      <c r="G3709">
        <v>0.3</v>
      </c>
      <c r="H3709" s="2">
        <v>-7.8588000000000022</v>
      </c>
      <c r="I3709" s="2">
        <v>183.37199999999999</v>
      </c>
    </row>
    <row r="3710" spans="2:9" x14ac:dyDescent="0.3">
      <c r="E3710" t="s">
        <v>16</v>
      </c>
      <c r="F3710">
        <v>2</v>
      </c>
      <c r="G3710">
        <v>0.2</v>
      </c>
      <c r="H3710" s="2">
        <v>2.8884000000000007</v>
      </c>
      <c r="I3710" s="2">
        <v>7.9680000000000009</v>
      </c>
    </row>
    <row r="3711" spans="2:9" x14ac:dyDescent="0.3">
      <c r="C3711" t="s">
        <v>7</v>
      </c>
      <c r="D3711" t="s">
        <v>17</v>
      </c>
      <c r="E3711" t="s">
        <v>38</v>
      </c>
      <c r="F3711">
        <v>2</v>
      </c>
      <c r="G3711">
        <v>0.2</v>
      </c>
      <c r="H3711" s="2">
        <v>19.989999999999995</v>
      </c>
      <c r="I3711" s="2">
        <v>63.967999999999996</v>
      </c>
    </row>
    <row r="3712" spans="2:9" x14ac:dyDescent="0.3">
      <c r="C3712" t="s">
        <v>22</v>
      </c>
      <c r="D3712" t="s">
        <v>8</v>
      </c>
      <c r="E3712" t="s">
        <v>12</v>
      </c>
      <c r="F3712">
        <v>2</v>
      </c>
      <c r="G3712">
        <v>0.2</v>
      </c>
      <c r="H3712" s="2">
        <v>33.028800000000004</v>
      </c>
      <c r="I3712" s="2">
        <v>110.096</v>
      </c>
    </row>
    <row r="3713" spans="2:9" x14ac:dyDescent="0.3">
      <c r="E3713" t="s">
        <v>19</v>
      </c>
      <c r="F3713">
        <v>2</v>
      </c>
      <c r="G3713">
        <v>0.2</v>
      </c>
      <c r="H3713" s="2">
        <v>0.59039999999999915</v>
      </c>
      <c r="I3713" s="2">
        <v>5.2480000000000002</v>
      </c>
    </row>
    <row r="3714" spans="2:9" x14ac:dyDescent="0.3">
      <c r="E3714" t="s">
        <v>33</v>
      </c>
      <c r="F3714">
        <v>18</v>
      </c>
      <c r="G3714">
        <v>0.89999999999999991</v>
      </c>
      <c r="H3714" s="2">
        <v>-33.907800000000151</v>
      </c>
      <c r="I3714" s="2">
        <v>3461.248</v>
      </c>
    </row>
    <row r="3715" spans="2:9" x14ac:dyDescent="0.3">
      <c r="E3715" t="s">
        <v>18</v>
      </c>
      <c r="F3715">
        <v>6</v>
      </c>
      <c r="G3715">
        <v>0.2</v>
      </c>
      <c r="H3715" s="2">
        <v>5.4443999999999999</v>
      </c>
      <c r="I3715" s="2">
        <v>16.752000000000002</v>
      </c>
    </row>
    <row r="3716" spans="2:9" x14ac:dyDescent="0.3">
      <c r="E3716" t="s">
        <v>16</v>
      </c>
      <c r="F3716">
        <v>6</v>
      </c>
      <c r="G3716">
        <v>0.2</v>
      </c>
      <c r="H3716" s="2">
        <v>10.8864</v>
      </c>
      <c r="I3716" s="2">
        <v>31.104000000000006</v>
      </c>
    </row>
    <row r="3717" spans="2:9" x14ac:dyDescent="0.3">
      <c r="B3717" t="s">
        <v>394</v>
      </c>
      <c r="C3717" t="s">
        <v>11</v>
      </c>
      <c r="D3717" t="s">
        <v>8</v>
      </c>
      <c r="E3717" t="s">
        <v>12</v>
      </c>
      <c r="F3717">
        <v>2</v>
      </c>
      <c r="G3717">
        <v>0</v>
      </c>
      <c r="H3717" s="2">
        <v>5.6628000000000007</v>
      </c>
      <c r="I3717" s="2">
        <v>21.78</v>
      </c>
    </row>
    <row r="3718" spans="2:9" x14ac:dyDescent="0.3">
      <c r="E3718" t="s">
        <v>20</v>
      </c>
      <c r="F3718">
        <v>4</v>
      </c>
      <c r="G3718">
        <v>1</v>
      </c>
      <c r="H3718" s="2">
        <v>-4.6642000000000037</v>
      </c>
      <c r="I3718" s="2">
        <v>24.639999999999997</v>
      </c>
    </row>
    <row r="3719" spans="2:9" x14ac:dyDescent="0.3">
      <c r="E3719" t="s">
        <v>33</v>
      </c>
      <c r="F3719">
        <v>4</v>
      </c>
      <c r="G3719">
        <v>0.4</v>
      </c>
      <c r="H3719" s="2">
        <v>-73.113600000000048</v>
      </c>
      <c r="I3719" s="2">
        <v>595.13600000000008</v>
      </c>
    </row>
    <row r="3720" spans="2:9" x14ac:dyDescent="0.3">
      <c r="E3720" t="s">
        <v>16</v>
      </c>
      <c r="F3720">
        <v>7</v>
      </c>
      <c r="G3720">
        <v>0</v>
      </c>
      <c r="H3720" s="2">
        <v>22.444800000000001</v>
      </c>
      <c r="I3720" s="2">
        <v>46.76</v>
      </c>
    </row>
    <row r="3721" spans="2:9" x14ac:dyDescent="0.3">
      <c r="E3721" t="s">
        <v>14</v>
      </c>
      <c r="F3721">
        <v>7</v>
      </c>
      <c r="G3721">
        <v>0</v>
      </c>
      <c r="H3721" s="2">
        <v>18.015599999999992</v>
      </c>
      <c r="I3721" s="2">
        <v>193.86</v>
      </c>
    </row>
    <row r="3722" spans="2:9" x14ac:dyDescent="0.3">
      <c r="D3722" t="s">
        <v>15</v>
      </c>
      <c r="E3722" t="s">
        <v>23</v>
      </c>
      <c r="F3722">
        <v>2</v>
      </c>
      <c r="G3722">
        <v>0.2</v>
      </c>
      <c r="H3722" s="2">
        <v>43.995600000000003</v>
      </c>
      <c r="I3722" s="2">
        <v>159.98400000000001</v>
      </c>
    </row>
    <row r="3723" spans="2:9" x14ac:dyDescent="0.3">
      <c r="E3723" t="s">
        <v>33</v>
      </c>
      <c r="F3723">
        <v>6</v>
      </c>
      <c r="G3723">
        <v>0.3</v>
      </c>
      <c r="H3723" s="2">
        <v>-29.277599999999893</v>
      </c>
      <c r="I3723" s="2">
        <v>1024.7159999999999</v>
      </c>
    </row>
    <row r="3724" spans="2:9" x14ac:dyDescent="0.3">
      <c r="E3724" t="s">
        <v>16</v>
      </c>
      <c r="F3724">
        <v>4</v>
      </c>
      <c r="G3724">
        <v>0.2</v>
      </c>
      <c r="H3724" s="2">
        <v>7.2576000000000001</v>
      </c>
      <c r="I3724" s="2">
        <v>20.736000000000004</v>
      </c>
    </row>
    <row r="3725" spans="2:9" x14ac:dyDescent="0.3">
      <c r="C3725" t="s">
        <v>7</v>
      </c>
      <c r="D3725" t="s">
        <v>8</v>
      </c>
      <c r="E3725" t="s">
        <v>20</v>
      </c>
      <c r="F3725">
        <v>6</v>
      </c>
      <c r="G3725">
        <v>0.2</v>
      </c>
      <c r="H3725" s="2">
        <v>30.185999999999996</v>
      </c>
      <c r="I3725" s="2">
        <v>92.88000000000001</v>
      </c>
    </row>
    <row r="3726" spans="2:9" x14ac:dyDescent="0.3">
      <c r="E3726" t="s">
        <v>21</v>
      </c>
      <c r="F3726">
        <v>9</v>
      </c>
      <c r="G3726">
        <v>0</v>
      </c>
      <c r="H3726" s="2">
        <v>34.510200000000005</v>
      </c>
      <c r="I3726" s="2">
        <v>90.5</v>
      </c>
    </row>
    <row r="3727" spans="2:9" x14ac:dyDescent="0.3">
      <c r="D3727" t="s">
        <v>15</v>
      </c>
      <c r="E3727" t="s">
        <v>19</v>
      </c>
      <c r="F3727">
        <v>5</v>
      </c>
      <c r="G3727">
        <v>0.2</v>
      </c>
      <c r="H3727" s="2">
        <v>2.3219999999999974</v>
      </c>
      <c r="I3727" s="2">
        <v>20.64</v>
      </c>
    </row>
    <row r="3728" spans="2:9" x14ac:dyDescent="0.3">
      <c r="C3728" t="s">
        <v>22</v>
      </c>
      <c r="D3728" t="s">
        <v>8</v>
      </c>
      <c r="E3728" t="s">
        <v>23</v>
      </c>
      <c r="F3728">
        <v>11</v>
      </c>
      <c r="G3728">
        <v>0.2</v>
      </c>
      <c r="H3728" s="2">
        <v>-5.2977000000000132</v>
      </c>
      <c r="I3728" s="2">
        <v>367.90200000000004</v>
      </c>
    </row>
    <row r="3729" spans="4:9" x14ac:dyDescent="0.3">
      <c r="E3729" t="s">
        <v>12</v>
      </c>
      <c r="F3729">
        <v>3</v>
      </c>
      <c r="G3729">
        <v>0</v>
      </c>
      <c r="H3729" s="2">
        <v>15.8256</v>
      </c>
      <c r="I3729" s="2">
        <v>56.519999999999996</v>
      </c>
    </row>
    <row r="3730" spans="4:9" x14ac:dyDescent="0.3">
      <c r="E3730" t="s">
        <v>19</v>
      </c>
      <c r="F3730">
        <v>9</v>
      </c>
      <c r="G3730">
        <v>0.2</v>
      </c>
      <c r="H3730" s="2">
        <v>18.736400000000003</v>
      </c>
      <c r="I3730" s="2">
        <v>86.9</v>
      </c>
    </row>
    <row r="3731" spans="4:9" x14ac:dyDescent="0.3">
      <c r="E3731" t="s">
        <v>33</v>
      </c>
      <c r="F3731">
        <v>3</v>
      </c>
      <c r="G3731">
        <v>0.2</v>
      </c>
      <c r="H3731" s="2">
        <v>-17.035200000000003</v>
      </c>
      <c r="I3731" s="2">
        <v>170.35200000000003</v>
      </c>
    </row>
    <row r="3732" spans="4:9" x14ac:dyDescent="0.3">
      <c r="E3732" t="s">
        <v>21</v>
      </c>
      <c r="F3732">
        <v>6</v>
      </c>
      <c r="G3732">
        <v>0</v>
      </c>
      <c r="H3732" s="2">
        <v>122.76479999999999</v>
      </c>
      <c r="I3732" s="2">
        <v>383.64</v>
      </c>
    </row>
    <row r="3733" spans="4:9" x14ac:dyDescent="0.3">
      <c r="E3733" t="s">
        <v>24</v>
      </c>
      <c r="F3733">
        <v>7</v>
      </c>
      <c r="G3733">
        <v>0.2</v>
      </c>
      <c r="H3733" s="2">
        <v>52.492999999999967</v>
      </c>
      <c r="I3733" s="2">
        <v>419.94399999999996</v>
      </c>
    </row>
    <row r="3734" spans="4:9" x14ac:dyDescent="0.3">
      <c r="E3734" t="s">
        <v>14</v>
      </c>
      <c r="F3734">
        <v>7</v>
      </c>
      <c r="G3734">
        <v>0</v>
      </c>
      <c r="H3734" s="2">
        <v>20.157899999999998</v>
      </c>
      <c r="I3734" s="2">
        <v>671.93</v>
      </c>
    </row>
    <row r="3735" spans="4:9" x14ac:dyDescent="0.3">
      <c r="D3735" t="s">
        <v>15</v>
      </c>
      <c r="E3735" t="s">
        <v>12</v>
      </c>
      <c r="F3735">
        <v>2</v>
      </c>
      <c r="G3735">
        <v>0.8</v>
      </c>
      <c r="H3735" s="2">
        <v>-4.4660000000000002</v>
      </c>
      <c r="I3735" s="2">
        <v>1.6239999999999994</v>
      </c>
    </row>
    <row r="3736" spans="4:9" x14ac:dyDescent="0.3">
      <c r="E3736" t="s">
        <v>16</v>
      </c>
      <c r="F3736">
        <v>8</v>
      </c>
      <c r="G3736">
        <v>0</v>
      </c>
      <c r="H3736" s="2">
        <v>89.866799999999984</v>
      </c>
      <c r="I3736" s="2">
        <v>198.84</v>
      </c>
    </row>
    <row r="3737" spans="4:9" x14ac:dyDescent="0.3">
      <c r="E3737" t="s">
        <v>25</v>
      </c>
      <c r="F3737">
        <v>3</v>
      </c>
      <c r="G3737">
        <v>0.2</v>
      </c>
      <c r="H3737" s="2">
        <v>-6.423300000000026</v>
      </c>
      <c r="I3737" s="2">
        <v>171.28800000000001</v>
      </c>
    </row>
    <row r="3738" spans="4:9" x14ac:dyDescent="0.3">
      <c r="D3738" t="s">
        <v>17</v>
      </c>
      <c r="E3738" t="s">
        <v>12</v>
      </c>
      <c r="F3738">
        <v>1</v>
      </c>
      <c r="G3738">
        <v>0</v>
      </c>
      <c r="H3738" s="2">
        <v>2.2412000000000001</v>
      </c>
      <c r="I3738" s="2">
        <v>8.6199999999999992</v>
      </c>
    </row>
    <row r="3739" spans="4:9" x14ac:dyDescent="0.3">
      <c r="E3739" t="s">
        <v>19</v>
      </c>
      <c r="F3739">
        <v>4</v>
      </c>
      <c r="G3739">
        <v>0.2</v>
      </c>
      <c r="H3739" s="2">
        <v>2.4803999999999991</v>
      </c>
      <c r="I3739" s="2">
        <v>11.928000000000001</v>
      </c>
    </row>
    <row r="3740" spans="4:9" x14ac:dyDescent="0.3">
      <c r="E3740" t="s">
        <v>33</v>
      </c>
      <c r="F3740">
        <v>6</v>
      </c>
      <c r="G3740">
        <v>0.3</v>
      </c>
      <c r="H3740" s="2">
        <v>-18.221999999999994</v>
      </c>
      <c r="I3740" s="2">
        <v>255.108</v>
      </c>
    </row>
    <row r="3741" spans="4:9" x14ac:dyDescent="0.3">
      <c r="E3741" t="s">
        <v>38</v>
      </c>
      <c r="F3741">
        <v>4</v>
      </c>
      <c r="G3741">
        <v>0.2</v>
      </c>
      <c r="H3741" s="2">
        <v>9.4391999999999996</v>
      </c>
      <c r="I3741" s="2">
        <v>27.968000000000004</v>
      </c>
    </row>
    <row r="3742" spans="4:9" x14ac:dyDescent="0.3">
      <c r="E3742" t="s">
        <v>18</v>
      </c>
      <c r="F3742">
        <v>2</v>
      </c>
      <c r="G3742">
        <v>0</v>
      </c>
      <c r="H3742" s="2">
        <v>3.5178000000000003</v>
      </c>
      <c r="I3742" s="2">
        <v>9.02</v>
      </c>
    </row>
    <row r="3743" spans="4:9" x14ac:dyDescent="0.3">
      <c r="E3743" t="s">
        <v>21</v>
      </c>
      <c r="F3743">
        <v>10</v>
      </c>
      <c r="G3743">
        <v>1.2</v>
      </c>
      <c r="H3743" s="2">
        <v>-388.28000000000009</v>
      </c>
      <c r="I3743" s="2">
        <v>327.42</v>
      </c>
    </row>
    <row r="3744" spans="4:9" x14ac:dyDescent="0.3">
      <c r="E3744" t="s">
        <v>43</v>
      </c>
      <c r="F3744">
        <v>4</v>
      </c>
      <c r="G3744">
        <v>0.4</v>
      </c>
      <c r="H3744" s="2">
        <v>18.465199999999999</v>
      </c>
      <c r="I3744" s="2">
        <v>56.81600000000001</v>
      </c>
    </row>
    <row r="3745" spans="2:9" x14ac:dyDescent="0.3">
      <c r="E3745" t="s">
        <v>46</v>
      </c>
      <c r="F3745">
        <v>3</v>
      </c>
      <c r="G3745">
        <v>0.4</v>
      </c>
      <c r="H3745" s="2">
        <v>44.867999999999967</v>
      </c>
      <c r="I3745" s="2">
        <v>336.51</v>
      </c>
    </row>
    <row r="3746" spans="2:9" x14ac:dyDescent="0.3">
      <c r="E3746" t="s">
        <v>16</v>
      </c>
      <c r="F3746">
        <v>2</v>
      </c>
      <c r="G3746">
        <v>0.2</v>
      </c>
      <c r="H3746" s="2">
        <v>6.6311999999999989</v>
      </c>
      <c r="I3746" s="2">
        <v>19.648</v>
      </c>
    </row>
    <row r="3747" spans="2:9" x14ac:dyDescent="0.3">
      <c r="E3747" t="s">
        <v>24</v>
      </c>
      <c r="F3747">
        <v>3</v>
      </c>
      <c r="G3747">
        <v>0.2</v>
      </c>
      <c r="H3747" s="2">
        <v>49.498199999999969</v>
      </c>
      <c r="I3747" s="2">
        <v>659.97600000000011</v>
      </c>
    </row>
    <row r="3748" spans="2:9" x14ac:dyDescent="0.3">
      <c r="E3748" t="s">
        <v>14</v>
      </c>
      <c r="F3748">
        <v>2</v>
      </c>
      <c r="G3748">
        <v>0</v>
      </c>
      <c r="H3748" s="2">
        <v>15.2712</v>
      </c>
      <c r="I3748" s="2">
        <v>56.56</v>
      </c>
    </row>
    <row r="3749" spans="2:9" x14ac:dyDescent="0.3">
      <c r="B3749" t="s">
        <v>395</v>
      </c>
      <c r="C3749" t="s">
        <v>22</v>
      </c>
      <c r="D3749" t="s">
        <v>8</v>
      </c>
      <c r="E3749" t="s">
        <v>12</v>
      </c>
      <c r="F3749">
        <v>5</v>
      </c>
      <c r="G3749">
        <v>0</v>
      </c>
      <c r="H3749" s="2">
        <v>112.224</v>
      </c>
      <c r="I3749" s="2">
        <v>400.79999999999995</v>
      </c>
    </row>
    <row r="3750" spans="2:9" x14ac:dyDescent="0.3">
      <c r="E3750" t="s">
        <v>19</v>
      </c>
      <c r="F3750">
        <v>10</v>
      </c>
      <c r="G3750">
        <v>0</v>
      </c>
      <c r="H3750" s="2">
        <v>93.797999999999959</v>
      </c>
      <c r="I3750" s="2">
        <v>309.71999999999997</v>
      </c>
    </row>
    <row r="3751" spans="2:9" x14ac:dyDescent="0.3">
      <c r="E3751" t="s">
        <v>20</v>
      </c>
      <c r="F3751">
        <v>1</v>
      </c>
      <c r="G3751">
        <v>0.2</v>
      </c>
      <c r="H3751" s="2">
        <v>10.077200000000001</v>
      </c>
      <c r="I3751" s="2">
        <v>28.792000000000002</v>
      </c>
    </row>
    <row r="3752" spans="2:9" x14ac:dyDescent="0.3">
      <c r="E3752" t="s">
        <v>33</v>
      </c>
      <c r="F3752">
        <v>5</v>
      </c>
      <c r="G3752">
        <v>0.2</v>
      </c>
      <c r="H3752" s="2">
        <v>121.98999999999992</v>
      </c>
      <c r="I3752" s="2">
        <v>975.92</v>
      </c>
    </row>
    <row r="3753" spans="2:9" x14ac:dyDescent="0.3">
      <c r="E3753" t="s">
        <v>14</v>
      </c>
      <c r="F3753">
        <v>6</v>
      </c>
      <c r="G3753">
        <v>0</v>
      </c>
      <c r="H3753" s="2">
        <v>19.43519999999998</v>
      </c>
      <c r="I3753" s="2">
        <v>485.88</v>
      </c>
    </row>
    <row r="3754" spans="2:9" x14ac:dyDescent="0.3">
      <c r="B3754" t="s">
        <v>396</v>
      </c>
      <c r="C3754" t="s">
        <v>22</v>
      </c>
      <c r="D3754" t="s">
        <v>8</v>
      </c>
      <c r="E3754" t="s">
        <v>23</v>
      </c>
      <c r="F3754">
        <v>5</v>
      </c>
      <c r="G3754">
        <v>0</v>
      </c>
      <c r="H3754" s="2">
        <v>30.431999999999995</v>
      </c>
      <c r="I3754" s="2">
        <v>95.1</v>
      </c>
    </row>
    <row r="3755" spans="2:9" x14ac:dyDescent="0.3">
      <c r="E3755" t="s">
        <v>12</v>
      </c>
      <c r="F3755">
        <v>4</v>
      </c>
      <c r="G3755">
        <v>0</v>
      </c>
      <c r="H3755" s="2">
        <v>172.33840000000004</v>
      </c>
      <c r="I3755" s="2">
        <v>662.84</v>
      </c>
    </row>
    <row r="3756" spans="2:9" x14ac:dyDescent="0.3">
      <c r="E3756" t="s">
        <v>38</v>
      </c>
      <c r="F3756">
        <v>6</v>
      </c>
      <c r="G3756">
        <v>0</v>
      </c>
      <c r="H3756" s="2">
        <v>12.902400000000002</v>
      </c>
      <c r="I3756" s="2">
        <v>26.880000000000003</v>
      </c>
    </row>
    <row r="3757" spans="2:9" x14ac:dyDescent="0.3">
      <c r="E3757" t="s">
        <v>24</v>
      </c>
      <c r="F3757">
        <v>7</v>
      </c>
      <c r="G3757">
        <v>0</v>
      </c>
      <c r="H3757" s="2">
        <v>161.0642</v>
      </c>
      <c r="I3757" s="2">
        <v>602.98</v>
      </c>
    </row>
    <row r="3758" spans="2:9" x14ac:dyDescent="0.3">
      <c r="E3758" t="s">
        <v>25</v>
      </c>
      <c r="F3758">
        <v>2</v>
      </c>
      <c r="G3758">
        <v>0.3</v>
      </c>
      <c r="H3758" s="2">
        <v>-19.918399999999991</v>
      </c>
      <c r="I3758" s="2">
        <v>174.28599999999997</v>
      </c>
    </row>
    <row r="3759" spans="2:9" x14ac:dyDescent="0.3">
      <c r="B3759" t="s">
        <v>397</v>
      </c>
      <c r="C3759" t="s">
        <v>11</v>
      </c>
      <c r="D3759" t="s">
        <v>15</v>
      </c>
      <c r="E3759" t="s">
        <v>18</v>
      </c>
      <c r="F3759">
        <v>3</v>
      </c>
      <c r="G3759">
        <v>0</v>
      </c>
      <c r="H3759" s="2">
        <v>2.1581999999999999</v>
      </c>
      <c r="I3759" s="2">
        <v>6.5400000000000009</v>
      </c>
    </row>
    <row r="3760" spans="2:9" x14ac:dyDescent="0.3">
      <c r="C3760" t="s">
        <v>7</v>
      </c>
      <c r="D3760" t="s">
        <v>8</v>
      </c>
      <c r="E3760" t="s">
        <v>12</v>
      </c>
      <c r="F3760">
        <v>6</v>
      </c>
      <c r="G3760">
        <v>0</v>
      </c>
      <c r="H3760" s="2">
        <v>123.37800000000001</v>
      </c>
      <c r="I3760" s="2">
        <v>283.98</v>
      </c>
    </row>
    <row r="3761" spans="3:9" x14ac:dyDescent="0.3">
      <c r="E3761" t="s">
        <v>20</v>
      </c>
      <c r="F3761">
        <v>2</v>
      </c>
      <c r="G3761">
        <v>0</v>
      </c>
      <c r="H3761" s="2">
        <v>3.7412000000000001</v>
      </c>
      <c r="I3761" s="2">
        <v>7.96</v>
      </c>
    </row>
    <row r="3762" spans="3:9" x14ac:dyDescent="0.3">
      <c r="E3762" t="s">
        <v>33</v>
      </c>
      <c r="F3762">
        <v>2</v>
      </c>
      <c r="G3762">
        <v>0</v>
      </c>
      <c r="H3762" s="2">
        <v>20.733199999999997</v>
      </c>
      <c r="I3762" s="2">
        <v>121.96</v>
      </c>
    </row>
    <row r="3763" spans="3:9" x14ac:dyDescent="0.3">
      <c r="E3763" t="s">
        <v>16</v>
      </c>
      <c r="F3763">
        <v>2</v>
      </c>
      <c r="G3763">
        <v>0</v>
      </c>
      <c r="H3763" s="2">
        <v>27.881999999999998</v>
      </c>
      <c r="I3763" s="2">
        <v>61.96</v>
      </c>
    </row>
    <row r="3764" spans="3:9" x14ac:dyDescent="0.3">
      <c r="D3764" t="s">
        <v>15</v>
      </c>
      <c r="E3764" t="s">
        <v>21</v>
      </c>
      <c r="F3764">
        <v>2</v>
      </c>
      <c r="G3764">
        <v>0</v>
      </c>
      <c r="H3764" s="2">
        <v>2.9807999999999995</v>
      </c>
      <c r="I3764" s="2">
        <v>8.2799999999999994</v>
      </c>
    </row>
    <row r="3765" spans="3:9" x14ac:dyDescent="0.3">
      <c r="E3765" t="s">
        <v>16</v>
      </c>
      <c r="F3765">
        <v>5</v>
      </c>
      <c r="G3765">
        <v>0</v>
      </c>
      <c r="H3765" s="2">
        <v>134.65199999999999</v>
      </c>
      <c r="I3765" s="2">
        <v>274.8</v>
      </c>
    </row>
    <row r="3766" spans="3:9" x14ac:dyDescent="0.3">
      <c r="E3766" t="s">
        <v>14</v>
      </c>
      <c r="F3766">
        <v>1</v>
      </c>
      <c r="G3766">
        <v>0</v>
      </c>
      <c r="H3766" s="2">
        <v>16.788600000000002</v>
      </c>
      <c r="I3766" s="2">
        <v>62.18</v>
      </c>
    </row>
    <row r="3767" spans="3:9" x14ac:dyDescent="0.3">
      <c r="C3767" t="s">
        <v>22</v>
      </c>
      <c r="D3767" t="s">
        <v>8</v>
      </c>
      <c r="E3767" t="s">
        <v>33</v>
      </c>
      <c r="F3767">
        <v>6</v>
      </c>
      <c r="G3767">
        <v>0</v>
      </c>
      <c r="H3767" s="2">
        <v>63.731399999999979</v>
      </c>
      <c r="I3767" s="2">
        <v>485.15999999999997</v>
      </c>
    </row>
    <row r="3768" spans="3:9" x14ac:dyDescent="0.3">
      <c r="E3768" t="s">
        <v>21</v>
      </c>
      <c r="F3768">
        <v>1</v>
      </c>
      <c r="G3768">
        <v>0</v>
      </c>
      <c r="H3768" s="2">
        <v>1.5587999999999997</v>
      </c>
      <c r="I3768" s="2">
        <v>12.99</v>
      </c>
    </row>
    <row r="3769" spans="3:9" x14ac:dyDescent="0.3">
      <c r="E3769" t="s">
        <v>16</v>
      </c>
      <c r="F3769">
        <v>3</v>
      </c>
      <c r="G3769">
        <v>0</v>
      </c>
      <c r="H3769" s="2">
        <v>79.891199999999998</v>
      </c>
      <c r="I3769" s="2">
        <v>166.44</v>
      </c>
    </row>
    <row r="3770" spans="3:9" x14ac:dyDescent="0.3">
      <c r="E3770" t="s">
        <v>24</v>
      </c>
      <c r="F3770">
        <v>3</v>
      </c>
      <c r="G3770">
        <v>0</v>
      </c>
      <c r="H3770" s="2">
        <v>78.951599999999999</v>
      </c>
      <c r="I3770" s="2">
        <v>281.96999999999997</v>
      </c>
    </row>
    <row r="3771" spans="3:9" x14ac:dyDescent="0.3">
      <c r="E3771" t="s">
        <v>9</v>
      </c>
      <c r="F3771">
        <v>5</v>
      </c>
      <c r="G3771">
        <v>0</v>
      </c>
      <c r="H3771" s="2">
        <v>20.154999999999994</v>
      </c>
      <c r="I3771" s="2">
        <v>69.5</v>
      </c>
    </row>
    <row r="3772" spans="3:9" x14ac:dyDescent="0.3">
      <c r="D3772" t="s">
        <v>17</v>
      </c>
      <c r="E3772" t="s">
        <v>12</v>
      </c>
      <c r="F3772">
        <v>4</v>
      </c>
      <c r="G3772">
        <v>0</v>
      </c>
      <c r="H3772" s="2">
        <v>29.980800000000002</v>
      </c>
      <c r="I3772" s="2">
        <v>111.04</v>
      </c>
    </row>
    <row r="3773" spans="3:9" x14ac:dyDescent="0.3">
      <c r="E3773" t="s">
        <v>20</v>
      </c>
      <c r="F3773">
        <v>4</v>
      </c>
      <c r="G3773">
        <v>0</v>
      </c>
      <c r="H3773" s="2">
        <v>96.415999999999997</v>
      </c>
      <c r="I3773" s="2">
        <v>209.6</v>
      </c>
    </row>
    <row r="3774" spans="3:9" x14ac:dyDescent="0.3">
      <c r="E3774" t="s">
        <v>21</v>
      </c>
      <c r="F3774">
        <v>4</v>
      </c>
      <c r="G3774">
        <v>0</v>
      </c>
      <c r="H3774" s="2">
        <v>3.9248000000000003</v>
      </c>
      <c r="I3774" s="2">
        <v>8.92</v>
      </c>
    </row>
    <row r="3775" spans="3:9" x14ac:dyDescent="0.3">
      <c r="E3775" t="s">
        <v>43</v>
      </c>
      <c r="F3775">
        <v>3</v>
      </c>
      <c r="G3775">
        <v>0</v>
      </c>
      <c r="H3775" s="2">
        <v>14.904</v>
      </c>
      <c r="I3775" s="2">
        <v>31.049999999999997</v>
      </c>
    </row>
    <row r="3776" spans="3:9" x14ac:dyDescent="0.3">
      <c r="E3776" t="s">
        <v>16</v>
      </c>
      <c r="F3776">
        <v>6</v>
      </c>
      <c r="G3776">
        <v>0</v>
      </c>
      <c r="H3776" s="2">
        <v>18.662400000000002</v>
      </c>
      <c r="I3776" s="2">
        <v>38.880000000000003</v>
      </c>
    </row>
    <row r="3777" spans="2:9" x14ac:dyDescent="0.3">
      <c r="B3777" t="s">
        <v>398</v>
      </c>
      <c r="C3777" t="s">
        <v>11</v>
      </c>
      <c r="D3777" t="s">
        <v>8</v>
      </c>
      <c r="E3777" t="s">
        <v>24</v>
      </c>
      <c r="F3777">
        <v>3</v>
      </c>
      <c r="G3777">
        <v>0.2</v>
      </c>
      <c r="H3777" s="2">
        <v>52.917299999999955</v>
      </c>
      <c r="I3777" s="2">
        <v>470.37600000000009</v>
      </c>
    </row>
    <row r="3778" spans="2:9" x14ac:dyDescent="0.3">
      <c r="C3778" t="s">
        <v>22</v>
      </c>
      <c r="D3778" t="s">
        <v>15</v>
      </c>
      <c r="E3778" t="s">
        <v>20</v>
      </c>
      <c r="F3778">
        <v>7</v>
      </c>
      <c r="G3778">
        <v>0.8</v>
      </c>
      <c r="H3778" s="2">
        <v>-18.52620000000001</v>
      </c>
      <c r="I3778" s="2">
        <v>11.227999999999998</v>
      </c>
    </row>
    <row r="3779" spans="2:9" x14ac:dyDescent="0.3">
      <c r="E3779" t="s">
        <v>38</v>
      </c>
      <c r="F3779">
        <v>3</v>
      </c>
      <c r="G3779">
        <v>0.2</v>
      </c>
      <c r="H3779" s="2">
        <v>5.0220000000000002</v>
      </c>
      <c r="I3779" s="2">
        <v>13.392000000000001</v>
      </c>
    </row>
    <row r="3780" spans="2:9" x14ac:dyDescent="0.3">
      <c r="B3780" t="s">
        <v>399</v>
      </c>
      <c r="C3780" t="s">
        <v>22</v>
      </c>
      <c r="D3780" t="s">
        <v>8</v>
      </c>
      <c r="E3780" t="s">
        <v>23</v>
      </c>
      <c r="F3780">
        <v>6</v>
      </c>
      <c r="G3780">
        <v>0.60000000000000009</v>
      </c>
      <c r="H3780" s="2">
        <v>-7.7646000000000406</v>
      </c>
      <c r="I3780" s="2">
        <v>400.36800000000005</v>
      </c>
    </row>
    <row r="3781" spans="2:9" x14ac:dyDescent="0.3">
      <c r="E3781" t="s">
        <v>12</v>
      </c>
      <c r="F3781">
        <v>9</v>
      </c>
      <c r="G3781">
        <v>0.4</v>
      </c>
      <c r="H3781" s="2">
        <v>2.4203999999999999</v>
      </c>
      <c r="I3781" s="2">
        <v>29.672000000000001</v>
      </c>
    </row>
    <row r="3782" spans="2:9" x14ac:dyDescent="0.3">
      <c r="E3782" t="s">
        <v>20</v>
      </c>
      <c r="F3782">
        <v>14</v>
      </c>
      <c r="G3782">
        <v>2.0999999999999996</v>
      </c>
      <c r="H3782" s="2">
        <v>-12.084199999999996</v>
      </c>
      <c r="I3782" s="2">
        <v>15.942000000000002</v>
      </c>
    </row>
    <row r="3783" spans="2:9" x14ac:dyDescent="0.3">
      <c r="E3783" t="s">
        <v>34</v>
      </c>
      <c r="F3783">
        <v>2</v>
      </c>
      <c r="G3783">
        <v>0.2</v>
      </c>
      <c r="H3783" s="2">
        <v>0</v>
      </c>
      <c r="I3783" s="2">
        <v>241.56799999999998</v>
      </c>
    </row>
    <row r="3784" spans="2:9" x14ac:dyDescent="0.3">
      <c r="E3784" t="s">
        <v>43</v>
      </c>
      <c r="F3784">
        <v>2</v>
      </c>
      <c r="G3784">
        <v>0.2</v>
      </c>
      <c r="H3784" s="2">
        <v>5.7960000000000003</v>
      </c>
      <c r="I3784" s="2">
        <v>16.559999999999999</v>
      </c>
    </row>
    <row r="3785" spans="2:9" x14ac:dyDescent="0.3">
      <c r="E3785" t="s">
        <v>16</v>
      </c>
      <c r="F3785">
        <v>6</v>
      </c>
      <c r="G3785">
        <v>0.4</v>
      </c>
      <c r="H3785" s="2">
        <v>45.796799999999983</v>
      </c>
      <c r="I3785" s="2">
        <v>130.84800000000001</v>
      </c>
    </row>
    <row r="3786" spans="2:9" x14ac:dyDescent="0.3">
      <c r="E3786" t="s">
        <v>24</v>
      </c>
      <c r="F3786">
        <v>5</v>
      </c>
      <c r="G3786">
        <v>0.2</v>
      </c>
      <c r="H3786" s="2">
        <v>50.396000000000015</v>
      </c>
      <c r="I3786" s="2">
        <v>503.96000000000004</v>
      </c>
    </row>
    <row r="3787" spans="2:9" x14ac:dyDescent="0.3">
      <c r="E3787" t="s">
        <v>25</v>
      </c>
      <c r="F3787">
        <v>3</v>
      </c>
      <c r="G3787">
        <v>0.45</v>
      </c>
      <c r="H3787" s="2">
        <v>-157.00949999999997</v>
      </c>
      <c r="I3787" s="2">
        <v>375.45750000000004</v>
      </c>
    </row>
    <row r="3788" spans="2:9" x14ac:dyDescent="0.3">
      <c r="B3788" t="s">
        <v>400</v>
      </c>
      <c r="C3788" t="s">
        <v>11</v>
      </c>
      <c r="D3788" t="s">
        <v>8</v>
      </c>
      <c r="E3788" t="s">
        <v>20</v>
      </c>
      <c r="F3788">
        <v>3</v>
      </c>
      <c r="G3788">
        <v>0.7</v>
      </c>
      <c r="H3788" s="2">
        <v>-1.4760000000000004</v>
      </c>
      <c r="I3788" s="2">
        <v>2.2140000000000004</v>
      </c>
    </row>
    <row r="3789" spans="2:9" x14ac:dyDescent="0.3">
      <c r="B3789" t="s">
        <v>401</v>
      </c>
      <c r="C3789" t="s">
        <v>11</v>
      </c>
      <c r="D3789" t="s">
        <v>8</v>
      </c>
      <c r="E3789" t="s">
        <v>20</v>
      </c>
      <c r="F3789">
        <v>5</v>
      </c>
      <c r="G3789">
        <v>0.8</v>
      </c>
      <c r="H3789" s="2">
        <v>-6.5670000000000019</v>
      </c>
      <c r="I3789" s="2">
        <v>3.9799999999999991</v>
      </c>
    </row>
    <row r="3790" spans="2:9" x14ac:dyDescent="0.3">
      <c r="D3790" t="s">
        <v>17</v>
      </c>
      <c r="E3790" t="s">
        <v>19</v>
      </c>
      <c r="F3790">
        <v>6</v>
      </c>
      <c r="G3790">
        <v>0.4</v>
      </c>
      <c r="H3790" s="2">
        <v>8.5869999999999962</v>
      </c>
      <c r="I3790" s="2">
        <v>103.91200000000001</v>
      </c>
    </row>
    <row r="3791" spans="2:9" x14ac:dyDescent="0.3">
      <c r="E3791" t="s">
        <v>34</v>
      </c>
      <c r="F3791">
        <v>3</v>
      </c>
      <c r="G3791">
        <v>0.3</v>
      </c>
      <c r="H3791" s="2">
        <v>-35.905799999999999</v>
      </c>
      <c r="I3791" s="2">
        <v>359.05799999999994</v>
      </c>
    </row>
    <row r="3792" spans="2:9" x14ac:dyDescent="0.3">
      <c r="E3792" t="s">
        <v>33</v>
      </c>
      <c r="F3792">
        <v>1</v>
      </c>
      <c r="G3792">
        <v>0.2</v>
      </c>
      <c r="H3792" s="2">
        <v>35.098999999999961</v>
      </c>
      <c r="I3792" s="2">
        <v>280.79200000000003</v>
      </c>
    </row>
    <row r="3793" spans="2:9" x14ac:dyDescent="0.3">
      <c r="E3793" t="s">
        <v>14</v>
      </c>
      <c r="F3793">
        <v>7</v>
      </c>
      <c r="G3793">
        <v>0.4</v>
      </c>
      <c r="H3793" s="2">
        <v>-40.807800000000015</v>
      </c>
      <c r="I3793" s="2">
        <v>284.04000000000002</v>
      </c>
    </row>
    <row r="3794" spans="2:9" x14ac:dyDescent="0.3">
      <c r="C3794" t="s">
        <v>27</v>
      </c>
      <c r="D3794" t="s">
        <v>8</v>
      </c>
      <c r="E3794" t="s">
        <v>20</v>
      </c>
      <c r="F3794">
        <v>6</v>
      </c>
      <c r="G3794">
        <v>0.7</v>
      </c>
      <c r="H3794" s="2">
        <v>-45.239999999999995</v>
      </c>
      <c r="I3794" s="2">
        <v>67.860000000000014</v>
      </c>
    </row>
    <row r="3795" spans="2:9" x14ac:dyDescent="0.3">
      <c r="C3795" t="s">
        <v>7</v>
      </c>
      <c r="D3795" t="s">
        <v>15</v>
      </c>
      <c r="E3795" t="s">
        <v>20</v>
      </c>
      <c r="F3795">
        <v>3</v>
      </c>
      <c r="G3795">
        <v>0.8</v>
      </c>
      <c r="H3795" s="2">
        <v>-20.5623</v>
      </c>
      <c r="I3795" s="2">
        <v>12.461999999999996</v>
      </c>
    </row>
    <row r="3796" spans="2:9" x14ac:dyDescent="0.3">
      <c r="E3796" t="s">
        <v>24</v>
      </c>
      <c r="F3796">
        <v>4</v>
      </c>
      <c r="G3796">
        <v>0.4</v>
      </c>
      <c r="H3796" s="2">
        <v>-5.3643999999999998</v>
      </c>
      <c r="I3796" s="2">
        <v>174.30400000000003</v>
      </c>
    </row>
    <row r="3797" spans="2:9" x14ac:dyDescent="0.3">
      <c r="C3797" t="s">
        <v>22</v>
      </c>
      <c r="D3797" t="s">
        <v>8</v>
      </c>
      <c r="E3797" t="s">
        <v>23</v>
      </c>
      <c r="F3797">
        <v>6</v>
      </c>
      <c r="G3797">
        <v>0.4</v>
      </c>
      <c r="H3797" s="2">
        <v>-36.86400000000004</v>
      </c>
      <c r="I3797" s="2">
        <v>282.88</v>
      </c>
    </row>
    <row r="3798" spans="2:9" x14ac:dyDescent="0.3">
      <c r="E3798" t="s">
        <v>19</v>
      </c>
      <c r="F3798">
        <v>3</v>
      </c>
      <c r="G3798">
        <v>0.2</v>
      </c>
      <c r="H3798" s="2">
        <v>1.1555999999999984</v>
      </c>
      <c r="I3798" s="2">
        <v>10.272000000000002</v>
      </c>
    </row>
    <row r="3799" spans="2:9" x14ac:dyDescent="0.3">
      <c r="E3799" t="s">
        <v>16</v>
      </c>
      <c r="F3799">
        <v>7</v>
      </c>
      <c r="G3799">
        <v>0.2</v>
      </c>
      <c r="H3799" s="2">
        <v>12.700800000000001</v>
      </c>
      <c r="I3799" s="2">
        <v>36.288000000000011</v>
      </c>
    </row>
    <row r="3800" spans="2:9" x14ac:dyDescent="0.3">
      <c r="D3800" t="s">
        <v>15</v>
      </c>
      <c r="E3800" t="s">
        <v>20</v>
      </c>
      <c r="F3800">
        <v>5</v>
      </c>
      <c r="G3800">
        <v>0.8</v>
      </c>
      <c r="H3800" s="2">
        <v>-2.6880000000000015</v>
      </c>
      <c r="I3800" s="2">
        <v>1.6799999999999995</v>
      </c>
    </row>
    <row r="3801" spans="2:9" x14ac:dyDescent="0.3">
      <c r="E3801" t="s">
        <v>33</v>
      </c>
      <c r="F3801">
        <v>2</v>
      </c>
      <c r="G3801">
        <v>0.3</v>
      </c>
      <c r="H3801" s="2">
        <v>-3.2391999999999896</v>
      </c>
      <c r="I3801" s="2">
        <v>113.372</v>
      </c>
    </row>
    <row r="3802" spans="2:9" x14ac:dyDescent="0.3">
      <c r="E3802" t="s">
        <v>21</v>
      </c>
      <c r="F3802">
        <v>5</v>
      </c>
      <c r="G3802">
        <v>1.2</v>
      </c>
      <c r="H3802" s="2">
        <v>-3.7963999999999993</v>
      </c>
      <c r="I3802" s="2">
        <v>10.928000000000001</v>
      </c>
    </row>
    <row r="3803" spans="2:9" x14ac:dyDescent="0.3">
      <c r="D3803" t="s">
        <v>17</v>
      </c>
      <c r="E3803" t="s">
        <v>20</v>
      </c>
      <c r="F3803">
        <v>9</v>
      </c>
      <c r="G3803">
        <v>1.4</v>
      </c>
      <c r="H3803" s="2">
        <v>-9.430399999999997</v>
      </c>
      <c r="I3803" s="2">
        <v>13.692000000000002</v>
      </c>
    </row>
    <row r="3804" spans="2:9" x14ac:dyDescent="0.3">
      <c r="E3804" t="s">
        <v>21</v>
      </c>
      <c r="F3804">
        <v>5</v>
      </c>
      <c r="G3804">
        <v>0.2</v>
      </c>
      <c r="H3804" s="2">
        <v>20.724000000000007</v>
      </c>
      <c r="I3804" s="2">
        <v>75.36</v>
      </c>
    </row>
    <row r="3805" spans="2:9" x14ac:dyDescent="0.3">
      <c r="E3805" t="s">
        <v>16</v>
      </c>
      <c r="F3805">
        <v>3</v>
      </c>
      <c r="G3805">
        <v>0.2</v>
      </c>
      <c r="H3805" s="2">
        <v>4.3326000000000002</v>
      </c>
      <c r="I3805" s="2">
        <v>11.952000000000002</v>
      </c>
    </row>
    <row r="3806" spans="2:9" x14ac:dyDescent="0.3">
      <c r="B3806" t="s">
        <v>402</v>
      </c>
      <c r="C3806" t="s">
        <v>11</v>
      </c>
      <c r="D3806" t="s">
        <v>8</v>
      </c>
      <c r="E3806" t="s">
        <v>20</v>
      </c>
      <c r="F3806">
        <v>1</v>
      </c>
      <c r="G3806">
        <v>0</v>
      </c>
      <c r="H3806" s="2">
        <v>148.51060000000001</v>
      </c>
      <c r="I3806" s="2">
        <v>315.98</v>
      </c>
    </row>
    <row r="3807" spans="2:9" x14ac:dyDescent="0.3">
      <c r="E3807" t="s">
        <v>34</v>
      </c>
      <c r="F3807">
        <v>1</v>
      </c>
      <c r="G3807">
        <v>0</v>
      </c>
      <c r="H3807" s="2">
        <v>12.097999999999999</v>
      </c>
      <c r="I3807" s="2">
        <v>120.98</v>
      </c>
    </row>
    <row r="3808" spans="2:9" x14ac:dyDescent="0.3">
      <c r="C3808" t="s">
        <v>7</v>
      </c>
      <c r="D3808" t="s">
        <v>8</v>
      </c>
      <c r="E3808" t="s">
        <v>19</v>
      </c>
      <c r="F3808">
        <v>7</v>
      </c>
      <c r="G3808">
        <v>0</v>
      </c>
      <c r="H3808" s="2">
        <v>74.565400000000011</v>
      </c>
      <c r="I3808" s="2">
        <v>286.78999999999996</v>
      </c>
    </row>
    <row r="3809" spans="2:9" x14ac:dyDescent="0.3">
      <c r="C3809" t="s">
        <v>22</v>
      </c>
      <c r="D3809" t="s">
        <v>15</v>
      </c>
      <c r="E3809" t="s">
        <v>12</v>
      </c>
      <c r="F3809">
        <v>2</v>
      </c>
      <c r="G3809">
        <v>0</v>
      </c>
      <c r="H3809" s="2">
        <v>45.539199999999994</v>
      </c>
      <c r="I3809" s="2">
        <v>162.63999999999999</v>
      </c>
    </row>
    <row r="3810" spans="2:9" x14ac:dyDescent="0.3">
      <c r="E3810" t="s">
        <v>16</v>
      </c>
      <c r="F3810">
        <v>1</v>
      </c>
      <c r="G3810">
        <v>0</v>
      </c>
      <c r="H3810" s="2">
        <v>26.630399999999998</v>
      </c>
      <c r="I3810" s="2">
        <v>55.48</v>
      </c>
    </row>
    <row r="3811" spans="2:9" x14ac:dyDescent="0.3">
      <c r="E3811" t="s">
        <v>24</v>
      </c>
      <c r="F3811">
        <v>3</v>
      </c>
      <c r="G3811">
        <v>0</v>
      </c>
      <c r="H3811" s="2">
        <v>280.59000000000003</v>
      </c>
      <c r="I3811" s="2">
        <v>597</v>
      </c>
    </row>
    <row r="3812" spans="2:9" x14ac:dyDescent="0.3">
      <c r="D3812" t="s">
        <v>17</v>
      </c>
      <c r="E3812" t="s">
        <v>16</v>
      </c>
      <c r="F3812">
        <v>2</v>
      </c>
      <c r="G3812">
        <v>0</v>
      </c>
      <c r="H3812" s="2">
        <v>5.7623999999999995</v>
      </c>
      <c r="I3812" s="2">
        <v>11.76</v>
      </c>
    </row>
    <row r="3813" spans="2:9" x14ac:dyDescent="0.3">
      <c r="E3813" t="s">
        <v>14</v>
      </c>
      <c r="F3813">
        <v>5</v>
      </c>
      <c r="G3813">
        <v>0</v>
      </c>
      <c r="H3813" s="2">
        <v>39.947999999999993</v>
      </c>
      <c r="I3813" s="2">
        <v>166.45</v>
      </c>
    </row>
    <row r="3814" spans="2:9" x14ac:dyDescent="0.3">
      <c r="B3814" t="s">
        <v>403</v>
      </c>
      <c r="C3814" t="s">
        <v>22</v>
      </c>
      <c r="D3814" t="s">
        <v>8</v>
      </c>
      <c r="E3814" t="s">
        <v>25</v>
      </c>
      <c r="F3814">
        <v>4</v>
      </c>
      <c r="G3814">
        <v>0.3</v>
      </c>
      <c r="H3814" s="2">
        <v>-21.3264</v>
      </c>
      <c r="I3814" s="2">
        <v>124.404</v>
      </c>
    </row>
    <row r="3815" spans="2:9" x14ac:dyDescent="0.3">
      <c r="D3815" t="s">
        <v>17</v>
      </c>
      <c r="E3815" t="s">
        <v>23</v>
      </c>
      <c r="F3815">
        <v>7</v>
      </c>
      <c r="G3815">
        <v>0.2</v>
      </c>
      <c r="H3815" s="2">
        <v>-33.319999999999965</v>
      </c>
      <c r="I3815" s="2">
        <v>666.4</v>
      </c>
    </row>
    <row r="3816" spans="2:9" x14ac:dyDescent="0.3">
      <c r="E3816" t="s">
        <v>21</v>
      </c>
      <c r="F3816">
        <v>3</v>
      </c>
      <c r="G3816">
        <v>0.6</v>
      </c>
      <c r="H3816" s="2">
        <v>-10.173599999999997</v>
      </c>
      <c r="I3816" s="2">
        <v>22.608000000000001</v>
      </c>
    </row>
    <row r="3817" spans="2:9" x14ac:dyDescent="0.3">
      <c r="E3817" t="s">
        <v>14</v>
      </c>
      <c r="F3817">
        <v>8</v>
      </c>
      <c r="G3817">
        <v>0.2</v>
      </c>
      <c r="H3817" s="2">
        <v>-172.73280000000005</v>
      </c>
      <c r="I3817" s="2">
        <v>727.29600000000005</v>
      </c>
    </row>
    <row r="3818" spans="2:9" x14ac:dyDescent="0.3">
      <c r="B3818" t="s">
        <v>404</v>
      </c>
      <c r="C3818" t="s">
        <v>11</v>
      </c>
      <c r="D3818" t="s">
        <v>8</v>
      </c>
      <c r="E3818" t="s">
        <v>23</v>
      </c>
      <c r="F3818">
        <v>19</v>
      </c>
      <c r="G3818">
        <v>1.4</v>
      </c>
      <c r="H3818" s="2">
        <v>169.43659999999986</v>
      </c>
      <c r="I3818" s="2">
        <v>1582.1280000000002</v>
      </c>
    </row>
    <row r="3819" spans="2:9" x14ac:dyDescent="0.3">
      <c r="E3819" t="s">
        <v>12</v>
      </c>
      <c r="F3819">
        <v>18</v>
      </c>
      <c r="G3819">
        <v>1</v>
      </c>
      <c r="H3819" s="2">
        <v>368.19619999999992</v>
      </c>
      <c r="I3819" s="2">
        <v>2485.2799999999997</v>
      </c>
    </row>
    <row r="3820" spans="2:9" x14ac:dyDescent="0.3">
      <c r="E3820" t="s">
        <v>19</v>
      </c>
      <c r="F3820">
        <v>11</v>
      </c>
      <c r="G3820">
        <v>0.60000000000000009</v>
      </c>
      <c r="H3820" s="2">
        <v>4.9539999999999997</v>
      </c>
      <c r="I3820" s="2">
        <v>29.135999999999996</v>
      </c>
    </row>
    <row r="3821" spans="2:9" x14ac:dyDescent="0.3">
      <c r="E3821" t="s">
        <v>20</v>
      </c>
      <c r="F3821">
        <v>27</v>
      </c>
      <c r="G3821">
        <v>6.3000000000000007</v>
      </c>
      <c r="H3821" s="2">
        <v>-472.16009999999989</v>
      </c>
      <c r="I3821" s="2">
        <v>620.42100000000016</v>
      </c>
    </row>
    <row r="3822" spans="2:9" x14ac:dyDescent="0.3">
      <c r="E3822" t="s">
        <v>34</v>
      </c>
      <c r="F3822">
        <v>3</v>
      </c>
      <c r="G3822">
        <v>0.5</v>
      </c>
      <c r="H3822" s="2">
        <v>-45.349200000000003</v>
      </c>
      <c r="I3822" s="2">
        <v>87.210000000000008</v>
      </c>
    </row>
    <row r="3823" spans="2:9" x14ac:dyDescent="0.3">
      <c r="E3823" t="s">
        <v>33</v>
      </c>
      <c r="F3823">
        <v>20</v>
      </c>
      <c r="G3823">
        <v>1.2</v>
      </c>
      <c r="H3823" s="2">
        <v>-376.24920000000031</v>
      </c>
      <c r="I3823" s="2">
        <v>2320.92</v>
      </c>
    </row>
    <row r="3824" spans="2:9" x14ac:dyDescent="0.3">
      <c r="E3824" t="s">
        <v>45</v>
      </c>
      <c r="F3824">
        <v>5</v>
      </c>
      <c r="G3824">
        <v>0.4</v>
      </c>
      <c r="H3824" s="2">
        <v>239.99600000000009</v>
      </c>
      <c r="I3824" s="2">
        <v>1799.9699999999998</v>
      </c>
    </row>
    <row r="3825" spans="4:9" x14ac:dyDescent="0.3">
      <c r="E3825" t="s">
        <v>21</v>
      </c>
      <c r="F3825">
        <v>48</v>
      </c>
      <c r="G3825">
        <v>1.7999999999999998</v>
      </c>
      <c r="H3825" s="2">
        <v>111.79829999999994</v>
      </c>
      <c r="I3825" s="2">
        <v>1027.8720000000003</v>
      </c>
    </row>
    <row r="3826" spans="4:9" x14ac:dyDescent="0.3">
      <c r="E3826" t="s">
        <v>43</v>
      </c>
      <c r="F3826">
        <v>27</v>
      </c>
      <c r="G3826">
        <v>0.8</v>
      </c>
      <c r="H3826" s="2">
        <v>52.075799999999987</v>
      </c>
      <c r="I3826" s="2">
        <v>154.67200000000003</v>
      </c>
    </row>
    <row r="3827" spans="4:9" x14ac:dyDescent="0.3">
      <c r="E3827" t="s">
        <v>46</v>
      </c>
      <c r="F3827">
        <v>3</v>
      </c>
      <c r="G3827">
        <v>1.4</v>
      </c>
      <c r="H3827" s="2">
        <v>-186.8574999999999</v>
      </c>
      <c r="I3827" s="2">
        <v>253.75500000000002</v>
      </c>
    </row>
    <row r="3828" spans="4:9" x14ac:dyDescent="0.3">
      <c r="E3828" t="s">
        <v>16</v>
      </c>
      <c r="F3828">
        <v>10</v>
      </c>
      <c r="G3828">
        <v>0.8</v>
      </c>
      <c r="H3828" s="2">
        <v>17.155200000000001</v>
      </c>
      <c r="I3828" s="2">
        <v>49.920000000000016</v>
      </c>
    </row>
    <row r="3829" spans="4:9" x14ac:dyDescent="0.3">
      <c r="E3829" t="s">
        <v>24</v>
      </c>
      <c r="F3829">
        <v>7</v>
      </c>
      <c r="G3829">
        <v>1.2000000000000002</v>
      </c>
      <c r="H3829" s="2">
        <v>-202.87120000000007</v>
      </c>
      <c r="I3829" s="2">
        <v>1058.874</v>
      </c>
    </row>
    <row r="3830" spans="4:9" x14ac:dyDescent="0.3">
      <c r="E3830" t="s">
        <v>14</v>
      </c>
      <c r="F3830">
        <v>15</v>
      </c>
      <c r="G3830">
        <v>1</v>
      </c>
      <c r="H3830" s="2">
        <v>26.517099999999971</v>
      </c>
      <c r="I3830" s="2">
        <v>567.16</v>
      </c>
    </row>
    <row r="3831" spans="4:9" x14ac:dyDescent="0.3">
      <c r="E3831" t="s">
        <v>9</v>
      </c>
      <c r="F3831">
        <v>7</v>
      </c>
      <c r="G3831">
        <v>0.4</v>
      </c>
      <c r="H3831" s="2">
        <v>7.272799999999993</v>
      </c>
      <c r="I3831" s="2">
        <v>67.232000000000014</v>
      </c>
    </row>
    <row r="3832" spans="4:9" x14ac:dyDescent="0.3">
      <c r="D3832" t="s">
        <v>15</v>
      </c>
      <c r="E3832" t="s">
        <v>12</v>
      </c>
      <c r="F3832">
        <v>2</v>
      </c>
      <c r="G3832">
        <v>0.2</v>
      </c>
      <c r="H3832" s="2">
        <v>12.409999999999989</v>
      </c>
      <c r="I3832" s="2">
        <v>99.28</v>
      </c>
    </row>
    <row r="3833" spans="4:9" x14ac:dyDescent="0.3">
      <c r="E3833" t="s">
        <v>19</v>
      </c>
      <c r="F3833">
        <v>9</v>
      </c>
      <c r="G3833">
        <v>0.4</v>
      </c>
      <c r="H3833" s="2">
        <v>10.326399999999994</v>
      </c>
      <c r="I3833" s="2">
        <v>115.65600000000001</v>
      </c>
    </row>
    <row r="3834" spans="4:9" x14ac:dyDescent="0.3">
      <c r="E3834" t="s">
        <v>20</v>
      </c>
      <c r="F3834">
        <v>7</v>
      </c>
      <c r="G3834">
        <v>2.0999999999999996</v>
      </c>
      <c r="H3834" s="2">
        <v>-8.5051999999999985</v>
      </c>
      <c r="I3834" s="2">
        <v>11.208000000000002</v>
      </c>
    </row>
    <row r="3835" spans="4:9" x14ac:dyDescent="0.3">
      <c r="E3835" t="s">
        <v>34</v>
      </c>
      <c r="F3835">
        <v>4</v>
      </c>
      <c r="G3835">
        <v>0.5</v>
      </c>
      <c r="H3835" s="2">
        <v>-53.285600000000009</v>
      </c>
      <c r="I3835" s="2">
        <v>61.96</v>
      </c>
    </row>
    <row r="3836" spans="4:9" x14ac:dyDescent="0.3">
      <c r="E3836" t="s">
        <v>33</v>
      </c>
      <c r="F3836">
        <v>7</v>
      </c>
      <c r="G3836">
        <v>0.3</v>
      </c>
      <c r="H3836" s="2">
        <v>0</v>
      </c>
      <c r="I3836" s="2">
        <v>422.62499999999994</v>
      </c>
    </row>
    <row r="3837" spans="4:9" x14ac:dyDescent="0.3">
      <c r="E3837" t="s">
        <v>38</v>
      </c>
      <c r="F3837">
        <v>7</v>
      </c>
      <c r="G3837">
        <v>0.2</v>
      </c>
      <c r="H3837" s="2">
        <v>117.61469999999996</v>
      </c>
      <c r="I3837" s="2">
        <v>348.488</v>
      </c>
    </row>
    <row r="3838" spans="4:9" x14ac:dyDescent="0.3">
      <c r="E3838" t="s">
        <v>21</v>
      </c>
      <c r="F3838">
        <v>19</v>
      </c>
      <c r="G3838">
        <v>1</v>
      </c>
      <c r="H3838" s="2">
        <v>49.727899999999941</v>
      </c>
      <c r="I3838" s="2">
        <v>557.08000000000004</v>
      </c>
    </row>
    <row r="3839" spans="4:9" x14ac:dyDescent="0.3">
      <c r="E3839" t="s">
        <v>43</v>
      </c>
      <c r="F3839">
        <v>11</v>
      </c>
      <c r="G3839">
        <v>0.4</v>
      </c>
      <c r="H3839" s="2">
        <v>12.1533</v>
      </c>
      <c r="I3839" s="2">
        <v>36.6</v>
      </c>
    </row>
    <row r="3840" spans="4:9" x14ac:dyDescent="0.3">
      <c r="E3840" t="s">
        <v>16</v>
      </c>
      <c r="F3840">
        <v>2</v>
      </c>
      <c r="G3840">
        <v>0.2</v>
      </c>
      <c r="H3840" s="2">
        <v>2.4359999999999995</v>
      </c>
      <c r="I3840" s="2">
        <v>6.7200000000000006</v>
      </c>
    </row>
    <row r="3841" spans="3:9" x14ac:dyDescent="0.3">
      <c r="E3841" t="s">
        <v>14</v>
      </c>
      <c r="F3841">
        <v>11</v>
      </c>
      <c r="G3841">
        <v>1</v>
      </c>
      <c r="H3841" s="2">
        <v>-2.4615000000000347</v>
      </c>
      <c r="I3841" s="2">
        <v>655.12799999999993</v>
      </c>
    </row>
    <row r="3842" spans="3:9" x14ac:dyDescent="0.3">
      <c r="D3842" t="s">
        <v>17</v>
      </c>
      <c r="E3842" t="s">
        <v>23</v>
      </c>
      <c r="F3842">
        <v>4</v>
      </c>
      <c r="G3842">
        <v>0.4</v>
      </c>
      <c r="H3842" s="2">
        <v>18.80299999999999</v>
      </c>
      <c r="I3842" s="2">
        <v>152.14400000000001</v>
      </c>
    </row>
    <row r="3843" spans="3:9" x14ac:dyDescent="0.3">
      <c r="E3843" t="s">
        <v>19</v>
      </c>
      <c r="F3843">
        <v>3</v>
      </c>
      <c r="G3843">
        <v>0.2</v>
      </c>
      <c r="H3843" s="2">
        <v>1.0268999999999999</v>
      </c>
      <c r="I3843" s="2">
        <v>11.736000000000001</v>
      </c>
    </row>
    <row r="3844" spans="3:9" x14ac:dyDescent="0.3">
      <c r="E3844" t="s">
        <v>20</v>
      </c>
      <c r="F3844">
        <v>5</v>
      </c>
      <c r="G3844">
        <v>0.7</v>
      </c>
      <c r="H3844" s="2">
        <v>-760.98000000000025</v>
      </c>
      <c r="I3844" s="2">
        <v>1141.4700000000003</v>
      </c>
    </row>
    <row r="3845" spans="3:9" x14ac:dyDescent="0.3">
      <c r="E3845" t="s">
        <v>18</v>
      </c>
      <c r="F3845">
        <v>2</v>
      </c>
      <c r="G3845">
        <v>0.2</v>
      </c>
      <c r="H3845" s="2">
        <v>-0.71279999999999988</v>
      </c>
      <c r="I3845" s="2">
        <v>3.1680000000000001</v>
      </c>
    </row>
    <row r="3846" spans="3:9" x14ac:dyDescent="0.3">
      <c r="E3846" t="s">
        <v>21</v>
      </c>
      <c r="F3846">
        <v>3</v>
      </c>
      <c r="G3846">
        <v>0.2</v>
      </c>
      <c r="H3846" s="2">
        <v>3.8447999999999967</v>
      </c>
      <c r="I3846" s="2">
        <v>25.632000000000001</v>
      </c>
    </row>
    <row r="3847" spans="3:9" x14ac:dyDescent="0.3">
      <c r="E3847" t="s">
        <v>43</v>
      </c>
      <c r="F3847">
        <v>11</v>
      </c>
      <c r="G3847">
        <v>0.4</v>
      </c>
      <c r="H3847" s="2">
        <v>8.7474999999999987</v>
      </c>
      <c r="I3847" s="2">
        <v>25.736000000000004</v>
      </c>
    </row>
    <row r="3848" spans="3:9" x14ac:dyDescent="0.3">
      <c r="E3848" t="s">
        <v>16</v>
      </c>
      <c r="F3848">
        <v>3</v>
      </c>
      <c r="G3848">
        <v>0.2</v>
      </c>
      <c r="H3848" s="2">
        <v>4.1151</v>
      </c>
      <c r="I3848" s="2">
        <v>11.352000000000002</v>
      </c>
    </row>
    <row r="3849" spans="3:9" x14ac:dyDescent="0.3">
      <c r="E3849" t="s">
        <v>24</v>
      </c>
      <c r="F3849">
        <v>3</v>
      </c>
      <c r="G3849">
        <v>0.4</v>
      </c>
      <c r="H3849" s="2">
        <v>-46.797000000000025</v>
      </c>
      <c r="I3849" s="2">
        <v>280.78200000000004</v>
      </c>
    </row>
    <row r="3850" spans="3:9" x14ac:dyDescent="0.3">
      <c r="E3850" t="s">
        <v>9</v>
      </c>
      <c r="F3850">
        <v>1</v>
      </c>
      <c r="G3850">
        <v>0.2</v>
      </c>
      <c r="H3850" s="2">
        <v>-2.1896000000000004</v>
      </c>
      <c r="I3850" s="2">
        <v>10.304000000000002</v>
      </c>
    </row>
    <row r="3851" spans="3:9" x14ac:dyDescent="0.3">
      <c r="E3851" t="s">
        <v>25</v>
      </c>
      <c r="F3851">
        <v>5</v>
      </c>
      <c r="G3851">
        <v>0.8</v>
      </c>
      <c r="H3851" s="2">
        <v>-119.98680000000004</v>
      </c>
      <c r="I3851" s="2">
        <v>469.29599999999999</v>
      </c>
    </row>
    <row r="3852" spans="3:9" x14ac:dyDescent="0.3">
      <c r="C3852" t="s">
        <v>27</v>
      </c>
      <c r="D3852" t="s">
        <v>8</v>
      </c>
      <c r="E3852" t="s">
        <v>20</v>
      </c>
      <c r="F3852">
        <v>3</v>
      </c>
      <c r="G3852">
        <v>1.4</v>
      </c>
      <c r="H3852" s="2">
        <v>-2.6585999999999999</v>
      </c>
      <c r="I3852" s="2">
        <v>3.7980000000000009</v>
      </c>
    </row>
    <row r="3853" spans="3:9" x14ac:dyDescent="0.3">
      <c r="E3853" t="s">
        <v>16</v>
      </c>
      <c r="F3853">
        <v>11</v>
      </c>
      <c r="G3853">
        <v>0.60000000000000009</v>
      </c>
      <c r="H3853" s="2">
        <v>22.755899999999997</v>
      </c>
      <c r="I3853" s="2">
        <v>61.75200000000001</v>
      </c>
    </row>
    <row r="3854" spans="3:9" x14ac:dyDescent="0.3">
      <c r="D3854" t="s">
        <v>15</v>
      </c>
      <c r="E3854" t="s">
        <v>23</v>
      </c>
      <c r="F3854">
        <v>14</v>
      </c>
      <c r="G3854">
        <v>0.2</v>
      </c>
      <c r="H3854" s="2">
        <v>209.97899999999993</v>
      </c>
      <c r="I3854" s="2">
        <v>1119.8880000000001</v>
      </c>
    </row>
    <row r="3855" spans="3:9" x14ac:dyDescent="0.3">
      <c r="E3855" t="s">
        <v>33</v>
      </c>
      <c r="F3855">
        <v>7</v>
      </c>
      <c r="G3855">
        <v>0.3</v>
      </c>
      <c r="H3855" s="2">
        <v>-2.693600000000032</v>
      </c>
      <c r="I3855" s="2">
        <v>188.55199999999996</v>
      </c>
    </row>
    <row r="3856" spans="3:9" x14ac:dyDescent="0.3">
      <c r="E3856" t="s">
        <v>18</v>
      </c>
      <c r="F3856">
        <v>5</v>
      </c>
      <c r="G3856">
        <v>0.2</v>
      </c>
      <c r="H3856" s="2">
        <v>2.3699999999999983</v>
      </c>
      <c r="I3856" s="2">
        <v>15.8</v>
      </c>
    </row>
    <row r="3857" spans="3:9" x14ac:dyDescent="0.3">
      <c r="E3857" t="s">
        <v>21</v>
      </c>
      <c r="F3857">
        <v>9</v>
      </c>
      <c r="G3857">
        <v>0.4</v>
      </c>
      <c r="H3857" s="2">
        <v>16.279599999999988</v>
      </c>
      <c r="I3857" s="2">
        <v>84.816000000000003</v>
      </c>
    </row>
    <row r="3858" spans="3:9" x14ac:dyDescent="0.3">
      <c r="E3858" t="s">
        <v>46</v>
      </c>
      <c r="F3858">
        <v>3</v>
      </c>
      <c r="G3858">
        <v>0.7</v>
      </c>
      <c r="H3858" s="2">
        <v>-319.19159999999999</v>
      </c>
      <c r="I3858" s="2">
        <v>341.99100000000004</v>
      </c>
    </row>
    <row r="3859" spans="3:9" x14ac:dyDescent="0.3">
      <c r="E3859" t="s">
        <v>16</v>
      </c>
      <c r="F3859">
        <v>8</v>
      </c>
      <c r="G3859">
        <v>0.4</v>
      </c>
      <c r="H3859" s="2">
        <v>42.684999999999995</v>
      </c>
      <c r="I3859" s="2">
        <v>136.59200000000001</v>
      </c>
    </row>
    <row r="3860" spans="3:9" x14ac:dyDescent="0.3">
      <c r="D3860" t="s">
        <v>17</v>
      </c>
      <c r="E3860" t="s">
        <v>20</v>
      </c>
      <c r="F3860">
        <v>3</v>
      </c>
      <c r="G3860">
        <v>0.7</v>
      </c>
      <c r="H3860" s="2">
        <v>-3.3893999999999984</v>
      </c>
      <c r="I3860" s="2">
        <v>4.8420000000000005</v>
      </c>
    </row>
    <row r="3861" spans="3:9" x14ac:dyDescent="0.3">
      <c r="E3861" t="s">
        <v>21</v>
      </c>
      <c r="F3861">
        <v>4</v>
      </c>
      <c r="G3861">
        <v>0.2</v>
      </c>
      <c r="H3861" s="2">
        <v>9.48</v>
      </c>
      <c r="I3861" s="2">
        <v>30.336000000000002</v>
      </c>
    </row>
    <row r="3862" spans="3:9" x14ac:dyDescent="0.3">
      <c r="E3862" t="s">
        <v>43</v>
      </c>
      <c r="F3862">
        <v>2</v>
      </c>
      <c r="G3862">
        <v>0.2</v>
      </c>
      <c r="H3862" s="2">
        <v>1.9925999999999999</v>
      </c>
      <c r="I3862" s="2">
        <v>5.9039999999999999</v>
      </c>
    </row>
    <row r="3863" spans="3:9" x14ac:dyDescent="0.3">
      <c r="C3863" t="s">
        <v>7</v>
      </c>
      <c r="D3863" t="s">
        <v>8</v>
      </c>
      <c r="E3863" t="s">
        <v>23</v>
      </c>
      <c r="F3863">
        <v>17</v>
      </c>
      <c r="G3863">
        <v>1.2</v>
      </c>
      <c r="H3863" s="2">
        <v>26.334199999999992</v>
      </c>
      <c r="I3863" s="2">
        <v>295.81600000000003</v>
      </c>
    </row>
    <row r="3864" spans="3:9" x14ac:dyDescent="0.3">
      <c r="E3864" t="s">
        <v>19</v>
      </c>
      <c r="F3864">
        <v>5</v>
      </c>
      <c r="G3864">
        <v>0.2</v>
      </c>
      <c r="H3864" s="2">
        <v>5.3010000000000002</v>
      </c>
      <c r="I3864" s="2">
        <v>22.32</v>
      </c>
    </row>
    <row r="3865" spans="3:9" x14ac:dyDescent="0.3">
      <c r="E3865" t="s">
        <v>20</v>
      </c>
      <c r="F3865">
        <v>29</v>
      </c>
      <c r="G3865">
        <v>4.9000000000000004</v>
      </c>
      <c r="H3865" s="2">
        <v>-213.8321</v>
      </c>
      <c r="I3865" s="2">
        <v>275.74200000000008</v>
      </c>
    </row>
    <row r="3866" spans="3:9" x14ac:dyDescent="0.3">
      <c r="E3866" t="s">
        <v>34</v>
      </c>
      <c r="F3866">
        <v>7</v>
      </c>
      <c r="G3866">
        <v>0.5</v>
      </c>
      <c r="H3866" s="2">
        <v>-216.97830000000002</v>
      </c>
      <c r="I3866" s="2">
        <v>349.96499999999997</v>
      </c>
    </row>
    <row r="3867" spans="3:9" x14ac:dyDescent="0.3">
      <c r="E3867" t="s">
        <v>33</v>
      </c>
      <c r="F3867">
        <v>17</v>
      </c>
      <c r="G3867">
        <v>1.2</v>
      </c>
      <c r="H3867" s="2">
        <v>-716.99570000000006</v>
      </c>
      <c r="I3867" s="2">
        <v>5754.875</v>
      </c>
    </row>
    <row r="3868" spans="3:9" x14ac:dyDescent="0.3">
      <c r="E3868" t="s">
        <v>45</v>
      </c>
      <c r="F3868">
        <v>4</v>
      </c>
      <c r="G3868">
        <v>0.4</v>
      </c>
      <c r="H3868" s="2">
        <v>179.99639999999999</v>
      </c>
      <c r="I3868" s="2">
        <v>1199.9759999999999</v>
      </c>
    </row>
    <row r="3869" spans="3:9" x14ac:dyDescent="0.3">
      <c r="E3869" t="s">
        <v>21</v>
      </c>
      <c r="F3869">
        <v>31</v>
      </c>
      <c r="G3869">
        <v>1.5999999999999999</v>
      </c>
      <c r="H3869" s="2">
        <v>76.722999999999971</v>
      </c>
      <c r="I3869" s="2">
        <v>370.5440000000001</v>
      </c>
    </row>
    <row r="3870" spans="3:9" x14ac:dyDescent="0.3">
      <c r="E3870" t="s">
        <v>43</v>
      </c>
      <c r="F3870">
        <v>3</v>
      </c>
      <c r="G3870">
        <v>0.2</v>
      </c>
      <c r="H3870" s="2">
        <v>10.149299999999997</v>
      </c>
      <c r="I3870" s="2">
        <v>30.072000000000003</v>
      </c>
    </row>
    <row r="3871" spans="3:9" x14ac:dyDescent="0.3">
      <c r="E3871" t="s">
        <v>16</v>
      </c>
      <c r="F3871">
        <v>23</v>
      </c>
      <c r="G3871">
        <v>1</v>
      </c>
      <c r="H3871" s="2">
        <v>38.681999999999988</v>
      </c>
      <c r="I3871" s="2">
        <v>118.56000000000002</v>
      </c>
    </row>
    <row r="3872" spans="3:9" x14ac:dyDescent="0.3">
      <c r="E3872" t="s">
        <v>24</v>
      </c>
      <c r="F3872">
        <v>16</v>
      </c>
      <c r="G3872">
        <v>3.1999999999999997</v>
      </c>
      <c r="H3872" s="2">
        <v>-213.22690000000003</v>
      </c>
      <c r="I3872" s="2">
        <v>1408.3679999999999</v>
      </c>
    </row>
    <row r="3873" spans="4:9" x14ac:dyDescent="0.3">
      <c r="E3873" t="s">
        <v>14</v>
      </c>
      <c r="F3873">
        <v>5</v>
      </c>
      <c r="G3873">
        <v>0.2</v>
      </c>
      <c r="H3873" s="2">
        <v>-25.992000000000004</v>
      </c>
      <c r="I3873" s="2">
        <v>259.92000000000007</v>
      </c>
    </row>
    <row r="3874" spans="4:9" x14ac:dyDescent="0.3">
      <c r="E3874" t="s">
        <v>9</v>
      </c>
      <c r="F3874">
        <v>10</v>
      </c>
      <c r="G3874">
        <v>0.4</v>
      </c>
      <c r="H3874" s="2">
        <v>-1045.0934999999999</v>
      </c>
      <c r="I3874" s="2">
        <v>4701.4880000000012</v>
      </c>
    </row>
    <row r="3875" spans="4:9" x14ac:dyDescent="0.3">
      <c r="E3875" t="s">
        <v>25</v>
      </c>
      <c r="F3875">
        <v>1</v>
      </c>
      <c r="G3875">
        <v>0.4</v>
      </c>
      <c r="H3875" s="2">
        <v>-34.646999999999991</v>
      </c>
      <c r="I3875" s="2">
        <v>138.58799999999999</v>
      </c>
    </row>
    <row r="3876" spans="4:9" x14ac:dyDescent="0.3">
      <c r="D3876" t="s">
        <v>15</v>
      </c>
      <c r="E3876" t="s">
        <v>23</v>
      </c>
      <c r="F3876">
        <v>5</v>
      </c>
      <c r="G3876">
        <v>0.2</v>
      </c>
      <c r="H3876" s="2">
        <v>47.494999999999919</v>
      </c>
      <c r="I3876" s="2">
        <v>379.96000000000004</v>
      </c>
    </row>
    <row r="3877" spans="4:9" x14ac:dyDescent="0.3">
      <c r="E3877" t="s">
        <v>12</v>
      </c>
      <c r="F3877">
        <v>6</v>
      </c>
      <c r="G3877">
        <v>0.4</v>
      </c>
      <c r="H3877" s="2">
        <v>105.11519999999999</v>
      </c>
      <c r="I3877" s="2">
        <v>597.55200000000002</v>
      </c>
    </row>
    <row r="3878" spans="4:9" x14ac:dyDescent="0.3">
      <c r="E3878" t="s">
        <v>19</v>
      </c>
      <c r="F3878">
        <v>13</v>
      </c>
      <c r="G3878">
        <v>0.60000000000000009</v>
      </c>
      <c r="H3878" s="2">
        <v>2.4207999999999985</v>
      </c>
      <c r="I3878" s="2">
        <v>34.112000000000002</v>
      </c>
    </row>
    <row r="3879" spans="4:9" x14ac:dyDescent="0.3">
      <c r="E3879" t="s">
        <v>20</v>
      </c>
      <c r="F3879">
        <v>20</v>
      </c>
      <c r="G3879">
        <v>4.2</v>
      </c>
      <c r="H3879" s="2">
        <v>-476.06339999999989</v>
      </c>
      <c r="I3879" s="2">
        <v>599.07000000000005</v>
      </c>
    </row>
    <row r="3880" spans="4:9" x14ac:dyDescent="0.3">
      <c r="E3880" t="s">
        <v>33</v>
      </c>
      <c r="F3880">
        <v>9</v>
      </c>
      <c r="G3880">
        <v>0.6</v>
      </c>
      <c r="H3880" s="2">
        <v>-113.79020000000004</v>
      </c>
      <c r="I3880" s="2">
        <v>832.48199999999997</v>
      </c>
    </row>
    <row r="3881" spans="4:9" x14ac:dyDescent="0.3">
      <c r="E3881" t="s">
        <v>18</v>
      </c>
      <c r="F3881">
        <v>13</v>
      </c>
      <c r="G3881">
        <v>0.2</v>
      </c>
      <c r="H3881" s="2">
        <v>10.072399999999996</v>
      </c>
      <c r="I3881" s="2">
        <v>30.991999999999997</v>
      </c>
    </row>
    <row r="3882" spans="4:9" x14ac:dyDescent="0.3">
      <c r="E3882" t="s">
        <v>21</v>
      </c>
      <c r="F3882">
        <v>6</v>
      </c>
      <c r="G3882">
        <v>0.4</v>
      </c>
      <c r="H3882" s="2">
        <v>-14.612399999999994</v>
      </c>
      <c r="I3882" s="2">
        <v>415.63200000000006</v>
      </c>
    </row>
    <row r="3883" spans="4:9" x14ac:dyDescent="0.3">
      <c r="E3883" t="s">
        <v>46</v>
      </c>
      <c r="F3883">
        <v>3</v>
      </c>
      <c r="G3883">
        <v>0.7</v>
      </c>
      <c r="H3883" s="2">
        <v>-643.70999999999981</v>
      </c>
      <c r="I3883" s="2">
        <v>449.1</v>
      </c>
    </row>
    <row r="3884" spans="4:9" x14ac:dyDescent="0.3">
      <c r="E3884" t="s">
        <v>16</v>
      </c>
      <c r="F3884">
        <v>19</v>
      </c>
      <c r="G3884">
        <v>1</v>
      </c>
      <c r="H3884" s="2">
        <v>65.831299999999985</v>
      </c>
      <c r="I3884" s="2">
        <v>202.29600000000002</v>
      </c>
    </row>
    <row r="3885" spans="4:9" x14ac:dyDescent="0.3">
      <c r="E3885" t="s">
        <v>24</v>
      </c>
      <c r="F3885">
        <v>30</v>
      </c>
      <c r="G3885">
        <v>1.6</v>
      </c>
      <c r="H3885" s="2">
        <v>-316.92000000000007</v>
      </c>
      <c r="I3885" s="2">
        <v>1592.748</v>
      </c>
    </row>
    <row r="3886" spans="4:9" x14ac:dyDescent="0.3">
      <c r="E3886" t="s">
        <v>14</v>
      </c>
      <c r="F3886">
        <v>18</v>
      </c>
      <c r="G3886">
        <v>0.8</v>
      </c>
      <c r="H3886" s="2">
        <v>-496.59000000000003</v>
      </c>
      <c r="I3886" s="2">
        <v>2557.5119999999997</v>
      </c>
    </row>
    <row r="3887" spans="4:9" x14ac:dyDescent="0.3">
      <c r="E3887" t="s">
        <v>25</v>
      </c>
      <c r="F3887">
        <v>3</v>
      </c>
      <c r="G3887">
        <v>0.4</v>
      </c>
      <c r="H3887" s="2">
        <v>-192.04680000000008</v>
      </c>
      <c r="I3887" s="2">
        <v>523.76400000000001</v>
      </c>
    </row>
    <row r="3888" spans="4:9" x14ac:dyDescent="0.3">
      <c r="D3888" t="s">
        <v>17</v>
      </c>
      <c r="E3888" t="s">
        <v>23</v>
      </c>
      <c r="F3888">
        <v>2</v>
      </c>
      <c r="G3888">
        <v>0.2</v>
      </c>
      <c r="H3888" s="2">
        <v>91.995400000000018</v>
      </c>
      <c r="I3888" s="2">
        <v>319.98400000000004</v>
      </c>
    </row>
    <row r="3889" spans="3:9" x14ac:dyDescent="0.3">
      <c r="E3889" t="s">
        <v>19</v>
      </c>
      <c r="F3889">
        <v>4</v>
      </c>
      <c r="G3889">
        <v>0.2</v>
      </c>
      <c r="H3889" s="2">
        <v>2.7984000000000027</v>
      </c>
      <c r="I3889" s="2">
        <v>37.312000000000005</v>
      </c>
    </row>
    <row r="3890" spans="3:9" x14ac:dyDescent="0.3">
      <c r="E3890" t="s">
        <v>16</v>
      </c>
      <c r="F3890">
        <v>3</v>
      </c>
      <c r="G3890">
        <v>0.4</v>
      </c>
      <c r="H3890" s="2">
        <v>4.8729000000000005</v>
      </c>
      <c r="I3890" s="2">
        <v>13.848000000000001</v>
      </c>
    </row>
    <row r="3891" spans="3:9" x14ac:dyDescent="0.3">
      <c r="E3891" t="s">
        <v>24</v>
      </c>
      <c r="F3891">
        <v>2</v>
      </c>
      <c r="G3891">
        <v>0.4</v>
      </c>
      <c r="H3891" s="2">
        <v>-123.9980000000001</v>
      </c>
      <c r="I3891" s="2">
        <v>743.98799999999994</v>
      </c>
    </row>
    <row r="3892" spans="3:9" x14ac:dyDescent="0.3">
      <c r="E3892" t="s">
        <v>25</v>
      </c>
      <c r="F3892">
        <v>9</v>
      </c>
      <c r="G3892">
        <v>0.4</v>
      </c>
      <c r="H3892" s="2">
        <v>-339.7050000000001</v>
      </c>
      <c r="I3892" s="2">
        <v>815.29199999999992</v>
      </c>
    </row>
    <row r="3893" spans="3:9" x14ac:dyDescent="0.3">
      <c r="C3893" t="s">
        <v>22</v>
      </c>
      <c r="D3893" t="s">
        <v>8</v>
      </c>
      <c r="E3893" t="s">
        <v>23</v>
      </c>
      <c r="F3893">
        <v>44</v>
      </c>
      <c r="G3893">
        <v>2.8000000000000003</v>
      </c>
      <c r="H3893" s="2">
        <v>3.3034999999999339</v>
      </c>
      <c r="I3893" s="2">
        <v>1015.8719999999996</v>
      </c>
    </row>
    <row r="3894" spans="3:9" x14ac:dyDescent="0.3">
      <c r="E3894" t="s">
        <v>12</v>
      </c>
      <c r="F3894">
        <v>28</v>
      </c>
      <c r="G3894">
        <v>1.7999999999999998</v>
      </c>
      <c r="H3894" s="2">
        <v>144.91369999999995</v>
      </c>
      <c r="I3894" s="2">
        <v>829.5200000000001</v>
      </c>
    </row>
    <row r="3895" spans="3:9" x14ac:dyDescent="0.3">
      <c r="E3895" t="s">
        <v>19</v>
      </c>
      <c r="F3895">
        <v>45</v>
      </c>
      <c r="G3895">
        <v>1.9999999999999998</v>
      </c>
      <c r="H3895" s="2">
        <v>61.501999999999974</v>
      </c>
      <c r="I3895" s="2">
        <v>446.16</v>
      </c>
    </row>
    <row r="3896" spans="3:9" x14ac:dyDescent="0.3">
      <c r="E3896" t="s">
        <v>20</v>
      </c>
      <c r="F3896">
        <v>88</v>
      </c>
      <c r="G3896">
        <v>18.199999999999992</v>
      </c>
      <c r="H3896" s="2">
        <v>-1102.0373000000002</v>
      </c>
      <c r="I3896" s="2">
        <v>1425.6720000000003</v>
      </c>
    </row>
    <row r="3897" spans="3:9" x14ac:dyDescent="0.3">
      <c r="E3897" t="s">
        <v>34</v>
      </c>
      <c r="F3897">
        <v>12</v>
      </c>
      <c r="G3897">
        <v>1.5</v>
      </c>
      <c r="H3897" s="2">
        <v>-1959.1181999999999</v>
      </c>
      <c r="I3897" s="2">
        <v>3515.88</v>
      </c>
    </row>
    <row r="3898" spans="3:9" x14ac:dyDescent="0.3">
      <c r="E3898" t="s">
        <v>33</v>
      </c>
      <c r="F3898">
        <v>41</v>
      </c>
      <c r="G3898">
        <v>3.5999999999999992</v>
      </c>
      <c r="H3898" s="2">
        <v>-414.92829999999987</v>
      </c>
      <c r="I3898" s="2">
        <v>5358.3669999999993</v>
      </c>
    </row>
    <row r="3899" spans="3:9" x14ac:dyDescent="0.3">
      <c r="E3899" t="s">
        <v>45</v>
      </c>
      <c r="F3899">
        <v>13</v>
      </c>
      <c r="G3899">
        <v>1.2000000000000002</v>
      </c>
      <c r="H3899" s="2">
        <v>1315.990499999999</v>
      </c>
      <c r="I3899" s="2">
        <v>10079.921999999999</v>
      </c>
    </row>
    <row r="3900" spans="3:9" x14ac:dyDescent="0.3">
      <c r="E3900" t="s">
        <v>38</v>
      </c>
      <c r="F3900">
        <v>24</v>
      </c>
      <c r="G3900">
        <v>1.5999999999999999</v>
      </c>
      <c r="H3900" s="2">
        <v>114.09349999999998</v>
      </c>
      <c r="I3900" s="2">
        <v>333.22400000000005</v>
      </c>
    </row>
    <row r="3901" spans="3:9" x14ac:dyDescent="0.3">
      <c r="E3901" t="s">
        <v>18</v>
      </c>
      <c r="F3901">
        <v>9</v>
      </c>
      <c r="G3901">
        <v>0.4</v>
      </c>
      <c r="H3901" s="2">
        <v>-3.7277999999999993</v>
      </c>
      <c r="I3901" s="2">
        <v>16.568000000000001</v>
      </c>
    </row>
    <row r="3902" spans="3:9" x14ac:dyDescent="0.3">
      <c r="E3902" t="s">
        <v>21</v>
      </c>
      <c r="F3902">
        <v>33</v>
      </c>
      <c r="G3902">
        <v>2.1999999999999997</v>
      </c>
      <c r="H3902" s="2">
        <v>31.553499999999957</v>
      </c>
      <c r="I3902" s="2">
        <v>733.91200000000003</v>
      </c>
    </row>
    <row r="3903" spans="3:9" x14ac:dyDescent="0.3">
      <c r="E3903" t="s">
        <v>43</v>
      </c>
      <c r="F3903">
        <v>17</v>
      </c>
      <c r="G3903">
        <v>1</v>
      </c>
      <c r="H3903" s="2">
        <v>22.867000000000004</v>
      </c>
      <c r="I3903" s="2">
        <v>68.28</v>
      </c>
    </row>
    <row r="3904" spans="3:9" x14ac:dyDescent="0.3">
      <c r="E3904" t="s">
        <v>46</v>
      </c>
      <c r="F3904">
        <v>3</v>
      </c>
      <c r="G3904">
        <v>0.7</v>
      </c>
      <c r="H3904" s="2">
        <v>-172.49250000000001</v>
      </c>
      <c r="I3904" s="2">
        <v>206.99100000000004</v>
      </c>
    </row>
    <row r="3905" spans="4:9" x14ac:dyDescent="0.3">
      <c r="E3905" t="s">
        <v>16</v>
      </c>
      <c r="F3905">
        <v>43</v>
      </c>
      <c r="G3905">
        <v>2.8000000000000003</v>
      </c>
      <c r="H3905" s="2">
        <v>197.78949999999995</v>
      </c>
      <c r="I3905" s="2">
        <v>569.33600000000013</v>
      </c>
    </row>
    <row r="3906" spans="4:9" x14ac:dyDescent="0.3">
      <c r="E3906" t="s">
        <v>24</v>
      </c>
      <c r="F3906">
        <v>78</v>
      </c>
      <c r="G3906">
        <v>8.0000000000000018</v>
      </c>
      <c r="H3906" s="2">
        <v>-609.69510000000014</v>
      </c>
      <c r="I3906" s="2">
        <v>4632.4139999999998</v>
      </c>
    </row>
    <row r="3907" spans="4:9" x14ac:dyDescent="0.3">
      <c r="E3907" t="s">
        <v>14</v>
      </c>
      <c r="F3907">
        <v>51</v>
      </c>
      <c r="G3907">
        <v>2.8000000000000003</v>
      </c>
      <c r="H3907" s="2">
        <v>-209.53320000000011</v>
      </c>
      <c r="I3907" s="2">
        <v>2968.2160000000008</v>
      </c>
    </row>
    <row r="3908" spans="4:9" x14ac:dyDescent="0.3">
      <c r="E3908" t="s">
        <v>9</v>
      </c>
      <c r="F3908">
        <v>9</v>
      </c>
      <c r="G3908">
        <v>0.8</v>
      </c>
      <c r="H3908" s="2">
        <v>-311.47939999999994</v>
      </c>
      <c r="I3908" s="2">
        <v>1450.4560000000001</v>
      </c>
    </row>
    <row r="3909" spans="4:9" x14ac:dyDescent="0.3">
      <c r="E3909" t="s">
        <v>25</v>
      </c>
      <c r="F3909">
        <v>18</v>
      </c>
      <c r="G3909">
        <v>1.2000000000000002</v>
      </c>
      <c r="H3909" s="2">
        <v>-847.83520000000044</v>
      </c>
      <c r="I3909" s="2">
        <v>2456.1480000000001</v>
      </c>
    </row>
    <row r="3910" spans="4:9" x14ac:dyDescent="0.3">
      <c r="D3910" t="s">
        <v>15</v>
      </c>
      <c r="E3910" t="s">
        <v>23</v>
      </c>
      <c r="F3910">
        <v>24</v>
      </c>
      <c r="G3910">
        <v>1.5999999999999999</v>
      </c>
      <c r="H3910" s="2">
        <v>317.6898999999998</v>
      </c>
      <c r="I3910" s="2">
        <v>2171.0159999999996</v>
      </c>
    </row>
    <row r="3911" spans="4:9" x14ac:dyDescent="0.3">
      <c r="E3911" t="s">
        <v>12</v>
      </c>
      <c r="F3911">
        <v>11</v>
      </c>
      <c r="G3911">
        <v>0.60000000000000009</v>
      </c>
      <c r="H3911" s="2">
        <v>10.895699999999998</v>
      </c>
      <c r="I3911" s="2">
        <v>96.360000000000014</v>
      </c>
    </row>
    <row r="3912" spans="4:9" x14ac:dyDescent="0.3">
      <c r="E3912" t="s">
        <v>19</v>
      </c>
      <c r="F3912">
        <v>32</v>
      </c>
      <c r="G3912">
        <v>2.1999999999999997</v>
      </c>
      <c r="H3912" s="2">
        <v>22.511799999999997</v>
      </c>
      <c r="I3912" s="2">
        <v>193.38399999999999</v>
      </c>
    </row>
    <row r="3913" spans="4:9" x14ac:dyDescent="0.3">
      <c r="E3913" t="s">
        <v>20</v>
      </c>
      <c r="F3913">
        <v>60</v>
      </c>
      <c r="G3913">
        <v>14.699999999999994</v>
      </c>
      <c r="H3913" s="2">
        <v>-227.88910000000001</v>
      </c>
      <c r="I3913" s="2">
        <v>309.45300000000003</v>
      </c>
    </row>
    <row r="3914" spans="4:9" x14ac:dyDescent="0.3">
      <c r="E3914" t="s">
        <v>34</v>
      </c>
      <c r="F3914">
        <v>4</v>
      </c>
      <c r="G3914">
        <v>0.5</v>
      </c>
      <c r="H3914" s="2">
        <v>-81.94</v>
      </c>
      <c r="I3914" s="2">
        <v>163.88</v>
      </c>
    </row>
    <row r="3915" spans="4:9" x14ac:dyDescent="0.3">
      <c r="E3915" t="s">
        <v>33</v>
      </c>
      <c r="F3915">
        <v>22</v>
      </c>
      <c r="G3915">
        <v>1.2</v>
      </c>
      <c r="H3915" s="2">
        <v>-107.37959999999997</v>
      </c>
      <c r="I3915" s="2">
        <v>857.19200000000001</v>
      </c>
    </row>
    <row r="3916" spans="4:9" x14ac:dyDescent="0.3">
      <c r="E3916" t="s">
        <v>38</v>
      </c>
      <c r="F3916">
        <v>21</v>
      </c>
      <c r="G3916">
        <v>1.2</v>
      </c>
      <c r="H3916" s="2">
        <v>84.376899999999992</v>
      </c>
      <c r="I3916" s="2">
        <v>237.83200000000002</v>
      </c>
    </row>
    <row r="3917" spans="4:9" x14ac:dyDescent="0.3">
      <c r="E3917" t="s">
        <v>18</v>
      </c>
      <c r="F3917">
        <v>33</v>
      </c>
      <c r="G3917">
        <v>1.2</v>
      </c>
      <c r="H3917" s="2">
        <v>14.305199999999999</v>
      </c>
      <c r="I3917" s="2">
        <v>68.44</v>
      </c>
    </row>
    <row r="3918" spans="4:9" x14ac:dyDescent="0.3">
      <c r="E3918" t="s">
        <v>21</v>
      </c>
      <c r="F3918">
        <v>22</v>
      </c>
      <c r="G3918">
        <v>1.9999999999999998</v>
      </c>
      <c r="H3918" s="2">
        <v>-20.973800000000068</v>
      </c>
      <c r="I3918" s="2">
        <v>1079.4880000000001</v>
      </c>
    </row>
    <row r="3919" spans="4:9" x14ac:dyDescent="0.3">
      <c r="E3919" t="s">
        <v>43</v>
      </c>
      <c r="F3919">
        <v>17</v>
      </c>
      <c r="G3919">
        <v>0.60000000000000009</v>
      </c>
      <c r="H3919" s="2">
        <v>32.633099999999992</v>
      </c>
      <c r="I3919" s="2">
        <v>97.823999999999998</v>
      </c>
    </row>
    <row r="3920" spans="4:9" x14ac:dyDescent="0.3">
      <c r="E3920" t="s">
        <v>46</v>
      </c>
      <c r="F3920">
        <v>8</v>
      </c>
      <c r="G3920">
        <v>1.4</v>
      </c>
      <c r="H3920" s="2">
        <v>-896.99399999999969</v>
      </c>
      <c r="I3920" s="2">
        <v>881.88000000000011</v>
      </c>
    </row>
    <row r="3921" spans="4:9" x14ac:dyDescent="0.3">
      <c r="E3921" t="s">
        <v>16</v>
      </c>
      <c r="F3921">
        <v>46</v>
      </c>
      <c r="G3921">
        <v>2.6</v>
      </c>
      <c r="H3921" s="2">
        <v>116.17189999999997</v>
      </c>
      <c r="I3921" s="2">
        <v>357.73599999999999</v>
      </c>
    </row>
    <row r="3922" spans="4:9" x14ac:dyDescent="0.3">
      <c r="E3922" t="s">
        <v>24</v>
      </c>
      <c r="F3922">
        <v>52</v>
      </c>
      <c r="G3922">
        <v>4.8</v>
      </c>
      <c r="H3922" s="2">
        <v>-1221.9744999999998</v>
      </c>
      <c r="I3922" s="2">
        <v>6009.4679999999989</v>
      </c>
    </row>
    <row r="3923" spans="4:9" x14ac:dyDescent="0.3">
      <c r="E3923" t="s">
        <v>14</v>
      </c>
      <c r="F3923">
        <v>30</v>
      </c>
      <c r="G3923">
        <v>1.9999999999999998</v>
      </c>
      <c r="H3923" s="2">
        <v>-464.80240000000003</v>
      </c>
      <c r="I3923" s="2">
        <v>2520.2719999999999</v>
      </c>
    </row>
    <row r="3924" spans="4:9" x14ac:dyDescent="0.3">
      <c r="E3924" t="s">
        <v>25</v>
      </c>
      <c r="F3924">
        <v>14</v>
      </c>
      <c r="G3924">
        <v>2</v>
      </c>
      <c r="H3924" s="2">
        <v>-388.50780000000003</v>
      </c>
      <c r="I3924" s="2">
        <v>1429.0139999999997</v>
      </c>
    </row>
    <row r="3925" spans="4:9" x14ac:dyDescent="0.3">
      <c r="D3925" t="s">
        <v>17</v>
      </c>
      <c r="E3925" t="s">
        <v>23</v>
      </c>
      <c r="F3925">
        <v>8</v>
      </c>
      <c r="G3925">
        <v>0.8</v>
      </c>
      <c r="H3925" s="2">
        <v>10.129699999999996</v>
      </c>
      <c r="I3925" s="2">
        <v>240.74400000000003</v>
      </c>
    </row>
    <row r="3926" spans="4:9" x14ac:dyDescent="0.3">
      <c r="E3926" t="s">
        <v>12</v>
      </c>
      <c r="F3926">
        <v>9</v>
      </c>
      <c r="G3926">
        <v>0.4</v>
      </c>
      <c r="H3926" s="2">
        <v>51.973199999999977</v>
      </c>
      <c r="I3926" s="2">
        <v>545.80799999999999</v>
      </c>
    </row>
    <row r="3927" spans="4:9" x14ac:dyDescent="0.3">
      <c r="E3927" t="s">
        <v>19</v>
      </c>
      <c r="F3927">
        <v>14</v>
      </c>
      <c r="G3927">
        <v>0.60000000000000009</v>
      </c>
      <c r="H3927" s="2">
        <v>5.6003999999999987</v>
      </c>
      <c r="I3927" s="2">
        <v>35.936</v>
      </c>
    </row>
    <row r="3928" spans="4:9" x14ac:dyDescent="0.3">
      <c r="E3928" t="s">
        <v>20</v>
      </c>
      <c r="F3928">
        <v>42</v>
      </c>
      <c r="G3928">
        <v>7.7000000000000011</v>
      </c>
      <c r="H3928" s="2">
        <v>-117.7188</v>
      </c>
      <c r="I3928" s="2">
        <v>160.48500000000004</v>
      </c>
    </row>
    <row r="3929" spans="4:9" x14ac:dyDescent="0.3">
      <c r="E3929" t="s">
        <v>34</v>
      </c>
      <c r="F3929">
        <v>5</v>
      </c>
      <c r="G3929">
        <v>0.5</v>
      </c>
      <c r="H3929" s="2">
        <v>-211.47</v>
      </c>
      <c r="I3929" s="2">
        <v>352.45</v>
      </c>
    </row>
    <row r="3930" spans="4:9" x14ac:dyDescent="0.3">
      <c r="E3930" t="s">
        <v>33</v>
      </c>
      <c r="F3930">
        <v>16</v>
      </c>
      <c r="G3930">
        <v>0.89999999999999991</v>
      </c>
      <c r="H3930" s="2">
        <v>-231.33640000000003</v>
      </c>
      <c r="I3930" s="2">
        <v>1272.9569999999999</v>
      </c>
    </row>
    <row r="3931" spans="4:9" x14ac:dyDescent="0.3">
      <c r="E3931" t="s">
        <v>38</v>
      </c>
      <c r="F3931">
        <v>5</v>
      </c>
      <c r="G3931">
        <v>0.2</v>
      </c>
      <c r="H3931" s="2">
        <v>35.329499999999996</v>
      </c>
      <c r="I3931" s="2">
        <v>104.68000000000002</v>
      </c>
    </row>
    <row r="3932" spans="4:9" x14ac:dyDescent="0.3">
      <c r="E3932" t="s">
        <v>18</v>
      </c>
      <c r="F3932">
        <v>11</v>
      </c>
      <c r="G3932">
        <v>0.60000000000000009</v>
      </c>
      <c r="H3932" s="2">
        <v>7.0152000000000001</v>
      </c>
      <c r="I3932" s="2">
        <v>19.744</v>
      </c>
    </row>
    <row r="3933" spans="4:9" x14ac:dyDescent="0.3">
      <c r="E3933" t="s">
        <v>21</v>
      </c>
      <c r="F3933">
        <v>35</v>
      </c>
      <c r="G3933">
        <v>1.5999999999999999</v>
      </c>
      <c r="H3933" s="2">
        <v>29.32179999999995</v>
      </c>
      <c r="I3933" s="2">
        <v>2578.7280000000001</v>
      </c>
    </row>
    <row r="3934" spans="4:9" x14ac:dyDescent="0.3">
      <c r="E3934" t="s">
        <v>43</v>
      </c>
      <c r="F3934">
        <v>10</v>
      </c>
      <c r="G3934">
        <v>0.60000000000000009</v>
      </c>
      <c r="H3934" s="2">
        <v>11.290999999999997</v>
      </c>
      <c r="I3934" s="2">
        <v>34.160000000000004</v>
      </c>
    </row>
    <row r="3935" spans="4:9" x14ac:dyDescent="0.3">
      <c r="E3935" t="s">
        <v>16</v>
      </c>
      <c r="F3935">
        <v>57</v>
      </c>
      <c r="G3935">
        <v>2.6</v>
      </c>
      <c r="H3935" s="2">
        <v>178.04919999999998</v>
      </c>
      <c r="I3935" s="2">
        <v>505.49599999999998</v>
      </c>
    </row>
    <row r="3936" spans="4:9" x14ac:dyDescent="0.3">
      <c r="E3936" t="s">
        <v>24</v>
      </c>
      <c r="F3936">
        <v>38</v>
      </c>
      <c r="G3936">
        <v>3.5999999999999996</v>
      </c>
      <c r="H3936" s="2">
        <v>-819.55710000000022</v>
      </c>
      <c r="I3936" s="2">
        <v>3705.5399999999995</v>
      </c>
    </row>
    <row r="3937" spans="2:9" x14ac:dyDescent="0.3">
      <c r="E3937" t="s">
        <v>14</v>
      </c>
      <c r="F3937">
        <v>23</v>
      </c>
      <c r="G3937">
        <v>1.2</v>
      </c>
      <c r="H3937" s="2">
        <v>8.9437999999999533</v>
      </c>
      <c r="I3937" s="2">
        <v>1102.96</v>
      </c>
    </row>
    <row r="3938" spans="2:9" x14ac:dyDescent="0.3">
      <c r="E3938" t="s">
        <v>25</v>
      </c>
      <c r="F3938">
        <v>15</v>
      </c>
      <c r="G3938">
        <v>0.8</v>
      </c>
      <c r="H3938" s="2">
        <v>-666.02520000000015</v>
      </c>
      <c r="I3938" s="2">
        <v>2220.0840000000003</v>
      </c>
    </row>
    <row r="3939" spans="2:9" x14ac:dyDescent="0.3">
      <c r="B3939" t="s">
        <v>405</v>
      </c>
      <c r="C3939" t="s">
        <v>11</v>
      </c>
      <c r="D3939" t="s">
        <v>8</v>
      </c>
      <c r="E3939" t="s">
        <v>20</v>
      </c>
      <c r="F3939">
        <v>7</v>
      </c>
      <c r="G3939">
        <v>1.4</v>
      </c>
      <c r="H3939" s="2">
        <v>-41.530799999999992</v>
      </c>
      <c r="I3939" s="2">
        <v>56.817000000000007</v>
      </c>
    </row>
    <row r="3940" spans="2:9" x14ac:dyDescent="0.3">
      <c r="D3940" t="s">
        <v>15</v>
      </c>
      <c r="E3940" t="s">
        <v>19</v>
      </c>
      <c r="F3940">
        <v>2</v>
      </c>
      <c r="G3940">
        <v>0.2</v>
      </c>
      <c r="H3940" s="2">
        <v>0.90999999999999981</v>
      </c>
      <c r="I3940" s="2">
        <v>2.9120000000000004</v>
      </c>
    </row>
    <row r="3941" spans="2:9" x14ac:dyDescent="0.3">
      <c r="E3941" t="s">
        <v>34</v>
      </c>
      <c r="F3941">
        <v>7</v>
      </c>
      <c r="G3941">
        <v>0.7</v>
      </c>
      <c r="H3941" s="2">
        <v>-356.96429999999998</v>
      </c>
      <c r="I3941" s="2">
        <v>209.97900000000001</v>
      </c>
    </row>
    <row r="3942" spans="2:9" x14ac:dyDescent="0.3">
      <c r="E3942" t="s">
        <v>16</v>
      </c>
      <c r="F3942">
        <v>6</v>
      </c>
      <c r="G3942">
        <v>0.4</v>
      </c>
      <c r="H3942" s="2">
        <v>10.247599999999998</v>
      </c>
      <c r="I3942" s="2">
        <v>30.304000000000006</v>
      </c>
    </row>
    <row r="3943" spans="2:9" x14ac:dyDescent="0.3">
      <c r="D3943" t="s">
        <v>17</v>
      </c>
      <c r="E3943" t="s">
        <v>20</v>
      </c>
      <c r="F3943">
        <v>3</v>
      </c>
      <c r="G3943">
        <v>0.7</v>
      </c>
      <c r="H3943" s="2">
        <v>-6.0236999999999998</v>
      </c>
      <c r="I3943" s="2">
        <v>7.857000000000002</v>
      </c>
    </row>
    <row r="3944" spans="2:9" x14ac:dyDescent="0.3">
      <c r="C3944" t="s">
        <v>27</v>
      </c>
      <c r="D3944" t="s">
        <v>8</v>
      </c>
      <c r="E3944" t="s">
        <v>20</v>
      </c>
      <c r="F3944">
        <v>3</v>
      </c>
      <c r="G3944">
        <v>0.7</v>
      </c>
      <c r="H3944" s="2">
        <v>-6.0323999999999991</v>
      </c>
      <c r="I3944" s="2">
        <v>8.2260000000000009</v>
      </c>
    </row>
    <row r="3945" spans="2:9" x14ac:dyDescent="0.3">
      <c r="C3945" t="s">
        <v>7</v>
      </c>
      <c r="D3945" t="s">
        <v>8</v>
      </c>
      <c r="E3945" t="s">
        <v>20</v>
      </c>
      <c r="F3945">
        <v>2</v>
      </c>
      <c r="G3945">
        <v>0.7</v>
      </c>
      <c r="H3945" s="2">
        <v>-3.1679999999999993</v>
      </c>
      <c r="I3945" s="2">
        <v>4.7520000000000007</v>
      </c>
    </row>
    <row r="3946" spans="2:9" x14ac:dyDescent="0.3">
      <c r="E3946" t="s">
        <v>16</v>
      </c>
      <c r="F3946">
        <v>3</v>
      </c>
      <c r="G3946">
        <v>0.2</v>
      </c>
      <c r="H3946" s="2">
        <v>5.6375999999999999</v>
      </c>
      <c r="I3946" s="2">
        <v>15.552000000000003</v>
      </c>
    </row>
    <row r="3947" spans="2:9" x14ac:dyDescent="0.3">
      <c r="E3947" t="s">
        <v>24</v>
      </c>
      <c r="F3947">
        <v>1</v>
      </c>
      <c r="G3947">
        <v>0.2</v>
      </c>
      <c r="H3947" s="2">
        <v>2.5893000000000006</v>
      </c>
      <c r="I3947" s="2">
        <v>29.592000000000002</v>
      </c>
    </row>
    <row r="3948" spans="2:9" x14ac:dyDescent="0.3">
      <c r="D3948" t="s">
        <v>15</v>
      </c>
      <c r="E3948" t="s">
        <v>23</v>
      </c>
      <c r="F3948">
        <v>2</v>
      </c>
      <c r="G3948">
        <v>0.2</v>
      </c>
      <c r="H3948" s="2">
        <v>-1.4590000000000014</v>
      </c>
      <c r="I3948" s="2">
        <v>23.344000000000001</v>
      </c>
    </row>
    <row r="3949" spans="2:9" x14ac:dyDescent="0.3">
      <c r="E3949" t="s">
        <v>12</v>
      </c>
      <c r="F3949">
        <v>6</v>
      </c>
      <c r="G3949">
        <v>0.2</v>
      </c>
      <c r="H3949" s="2">
        <v>28.492799999999988</v>
      </c>
      <c r="I3949" s="2">
        <v>325.63200000000006</v>
      </c>
    </row>
    <row r="3950" spans="2:9" x14ac:dyDescent="0.3">
      <c r="E3950" t="s">
        <v>43</v>
      </c>
      <c r="F3950">
        <v>5</v>
      </c>
      <c r="G3950">
        <v>0.2</v>
      </c>
      <c r="H3950" s="2">
        <v>5.368999999999998</v>
      </c>
      <c r="I3950" s="2">
        <v>16.520000000000003</v>
      </c>
    </row>
    <row r="3951" spans="2:9" x14ac:dyDescent="0.3">
      <c r="D3951" t="s">
        <v>17</v>
      </c>
      <c r="E3951" t="s">
        <v>33</v>
      </c>
      <c r="F3951">
        <v>7</v>
      </c>
      <c r="G3951">
        <v>0.2</v>
      </c>
      <c r="H3951" s="2">
        <v>16.797200000000004</v>
      </c>
      <c r="I3951" s="2">
        <v>191.96800000000002</v>
      </c>
    </row>
    <row r="3952" spans="2:9" x14ac:dyDescent="0.3">
      <c r="C3952" t="s">
        <v>22</v>
      </c>
      <c r="D3952" t="s">
        <v>8</v>
      </c>
      <c r="E3952" t="s">
        <v>23</v>
      </c>
      <c r="F3952">
        <v>2</v>
      </c>
      <c r="G3952">
        <v>0.2</v>
      </c>
      <c r="H3952" s="2">
        <v>4.4792000000000058</v>
      </c>
      <c r="I3952" s="2">
        <v>89.584000000000003</v>
      </c>
    </row>
    <row r="3953" spans="4:9" x14ac:dyDescent="0.3">
      <c r="E3953" t="s">
        <v>12</v>
      </c>
      <c r="F3953">
        <v>4</v>
      </c>
      <c r="G3953">
        <v>0.2</v>
      </c>
      <c r="H3953" s="2">
        <v>13.701599999999988</v>
      </c>
      <c r="I3953" s="2">
        <v>121.79200000000002</v>
      </c>
    </row>
    <row r="3954" spans="4:9" x14ac:dyDescent="0.3">
      <c r="E3954" t="s">
        <v>19</v>
      </c>
      <c r="F3954">
        <v>1</v>
      </c>
      <c r="G3954">
        <v>0.2</v>
      </c>
      <c r="H3954" s="2">
        <v>0.25919999999999999</v>
      </c>
      <c r="I3954" s="2">
        <v>2.3039999999999998</v>
      </c>
    </row>
    <row r="3955" spans="4:9" x14ac:dyDescent="0.3">
      <c r="E3955" t="s">
        <v>20</v>
      </c>
      <c r="F3955">
        <v>28</v>
      </c>
      <c r="G3955">
        <v>4.2</v>
      </c>
      <c r="H3955" s="2">
        <v>-735.52469999999994</v>
      </c>
      <c r="I3955" s="2">
        <v>1003.5270000000003</v>
      </c>
    </row>
    <row r="3956" spans="4:9" x14ac:dyDescent="0.3">
      <c r="E3956" t="s">
        <v>33</v>
      </c>
      <c r="F3956">
        <v>5</v>
      </c>
      <c r="G3956">
        <v>0.4</v>
      </c>
      <c r="H3956" s="2">
        <v>-32.798700000000004</v>
      </c>
      <c r="I3956" s="2">
        <v>473.5440000000001</v>
      </c>
    </row>
    <row r="3957" spans="4:9" x14ac:dyDescent="0.3">
      <c r="E3957" t="s">
        <v>18</v>
      </c>
      <c r="F3957">
        <v>3</v>
      </c>
      <c r="G3957">
        <v>0.2</v>
      </c>
      <c r="H3957" s="2">
        <v>-0.94859999999999989</v>
      </c>
      <c r="I3957" s="2">
        <v>4.4640000000000004</v>
      </c>
    </row>
    <row r="3958" spans="4:9" x14ac:dyDescent="0.3">
      <c r="E3958" t="s">
        <v>21</v>
      </c>
      <c r="F3958">
        <v>2</v>
      </c>
      <c r="G3958">
        <v>0.2</v>
      </c>
      <c r="H3958" s="2">
        <v>1.7352000000000005</v>
      </c>
      <c r="I3958" s="2">
        <v>7.7120000000000006</v>
      </c>
    </row>
    <row r="3959" spans="4:9" x14ac:dyDescent="0.3">
      <c r="E3959" t="s">
        <v>43</v>
      </c>
      <c r="F3959">
        <v>2</v>
      </c>
      <c r="G3959">
        <v>0.2</v>
      </c>
      <c r="H3959" s="2">
        <v>1.764</v>
      </c>
      <c r="I3959" s="2">
        <v>5.04</v>
      </c>
    </row>
    <row r="3960" spans="4:9" x14ac:dyDescent="0.3">
      <c r="E3960" t="s">
        <v>16</v>
      </c>
      <c r="F3960">
        <v>17</v>
      </c>
      <c r="G3960">
        <v>0.60000000000000009</v>
      </c>
      <c r="H3960" s="2">
        <v>148.05799999999996</v>
      </c>
      <c r="I3960" s="2">
        <v>435.35199999999998</v>
      </c>
    </row>
    <row r="3961" spans="4:9" x14ac:dyDescent="0.3">
      <c r="E3961" t="s">
        <v>24</v>
      </c>
      <c r="F3961">
        <v>10</v>
      </c>
      <c r="G3961">
        <v>0.8</v>
      </c>
      <c r="H3961" s="2">
        <v>255.68839999999977</v>
      </c>
      <c r="I3961" s="2">
        <v>2519.8559999999998</v>
      </c>
    </row>
    <row r="3962" spans="4:9" x14ac:dyDescent="0.3">
      <c r="E3962" t="s">
        <v>14</v>
      </c>
      <c r="F3962">
        <v>18</v>
      </c>
      <c r="G3962">
        <v>0.8</v>
      </c>
      <c r="H3962" s="2">
        <v>38.245999999999981</v>
      </c>
      <c r="I3962" s="2">
        <v>352.34400000000005</v>
      </c>
    </row>
    <row r="3963" spans="4:9" x14ac:dyDescent="0.3">
      <c r="E3963" t="s">
        <v>25</v>
      </c>
      <c r="F3963">
        <v>8</v>
      </c>
      <c r="G3963">
        <v>1</v>
      </c>
      <c r="H3963" s="2">
        <v>-653.34180000000003</v>
      </c>
      <c r="I3963" s="2">
        <v>1194.7649999999999</v>
      </c>
    </row>
    <row r="3964" spans="4:9" x14ac:dyDescent="0.3">
      <c r="D3964" t="s">
        <v>15</v>
      </c>
      <c r="E3964" t="s">
        <v>23</v>
      </c>
      <c r="F3964">
        <v>9</v>
      </c>
      <c r="G3964">
        <v>0.60000000000000009</v>
      </c>
      <c r="H3964" s="2">
        <v>67.917599999999979</v>
      </c>
      <c r="I3964" s="2">
        <v>417.88800000000003</v>
      </c>
    </row>
    <row r="3965" spans="4:9" x14ac:dyDescent="0.3">
      <c r="E3965" t="s">
        <v>20</v>
      </c>
      <c r="F3965">
        <v>10</v>
      </c>
      <c r="G3965">
        <v>2.0999999999999996</v>
      </c>
      <c r="H3965" s="2">
        <v>-474.1292000000002</v>
      </c>
      <c r="I3965" s="2">
        <v>570.20400000000018</v>
      </c>
    </row>
    <row r="3966" spans="4:9" x14ac:dyDescent="0.3">
      <c r="E3966" t="s">
        <v>33</v>
      </c>
      <c r="F3966">
        <v>2</v>
      </c>
      <c r="G3966">
        <v>0.2</v>
      </c>
      <c r="H3966" s="2">
        <v>4.1971999999999987</v>
      </c>
      <c r="I3966" s="2">
        <v>47.968000000000004</v>
      </c>
    </row>
    <row r="3967" spans="4:9" x14ac:dyDescent="0.3">
      <c r="E3967" t="s">
        <v>21</v>
      </c>
      <c r="F3967">
        <v>3</v>
      </c>
      <c r="G3967">
        <v>0.2</v>
      </c>
      <c r="H3967" s="2">
        <v>7.6965000000000039</v>
      </c>
      <c r="I3967" s="2">
        <v>87.960000000000008</v>
      </c>
    </row>
    <row r="3968" spans="4:9" x14ac:dyDescent="0.3">
      <c r="E3968" t="s">
        <v>46</v>
      </c>
      <c r="F3968">
        <v>2</v>
      </c>
      <c r="G3968">
        <v>0.7</v>
      </c>
      <c r="H3968" s="2">
        <v>-386.95699999999999</v>
      </c>
      <c r="I3968" s="2">
        <v>269.97000000000003</v>
      </c>
    </row>
    <row r="3969" spans="2:9" x14ac:dyDescent="0.3">
      <c r="E3969" t="s">
        <v>16</v>
      </c>
      <c r="F3969">
        <v>8</v>
      </c>
      <c r="G3969">
        <v>0.4</v>
      </c>
      <c r="H3969" s="2">
        <v>152.23319999999998</v>
      </c>
      <c r="I3969" s="2">
        <v>434.952</v>
      </c>
    </row>
    <row r="3970" spans="2:9" x14ac:dyDescent="0.3">
      <c r="E3970" t="s">
        <v>24</v>
      </c>
      <c r="F3970">
        <v>5</v>
      </c>
      <c r="G3970">
        <v>0.2</v>
      </c>
      <c r="H3970" s="2">
        <v>19.596000000000018</v>
      </c>
      <c r="I3970" s="2">
        <v>195.96000000000004</v>
      </c>
    </row>
    <row r="3971" spans="2:9" x14ac:dyDescent="0.3">
      <c r="E3971" t="s">
        <v>25</v>
      </c>
      <c r="F3971">
        <v>1</v>
      </c>
      <c r="G3971">
        <v>0.5</v>
      </c>
      <c r="H3971" s="2">
        <v>-24.102599999999995</v>
      </c>
      <c r="I3971" s="2">
        <v>35.445</v>
      </c>
    </row>
    <row r="3972" spans="2:9" x14ac:dyDescent="0.3">
      <c r="D3972" t="s">
        <v>17</v>
      </c>
      <c r="E3972" t="s">
        <v>12</v>
      </c>
      <c r="F3972">
        <v>2</v>
      </c>
      <c r="G3972">
        <v>0.2</v>
      </c>
      <c r="H3972" s="2">
        <v>5.8704000000000001</v>
      </c>
      <c r="I3972" s="2">
        <v>78.272000000000006</v>
      </c>
    </row>
    <row r="3973" spans="2:9" x14ac:dyDescent="0.3">
      <c r="E3973" t="s">
        <v>19</v>
      </c>
      <c r="F3973">
        <v>1</v>
      </c>
      <c r="G3973">
        <v>0.2</v>
      </c>
      <c r="H3973" s="2">
        <v>0.15839999999999993</v>
      </c>
      <c r="I3973" s="2">
        <v>1.4080000000000001</v>
      </c>
    </row>
    <row r="3974" spans="2:9" x14ac:dyDescent="0.3">
      <c r="E3974" t="s">
        <v>20</v>
      </c>
      <c r="F3974">
        <v>5</v>
      </c>
      <c r="G3974">
        <v>0.7</v>
      </c>
      <c r="H3974" s="2">
        <v>-20.888999999999989</v>
      </c>
      <c r="I3974" s="2">
        <v>28.484999999999999</v>
      </c>
    </row>
    <row r="3975" spans="2:9" x14ac:dyDescent="0.3">
      <c r="E3975" t="s">
        <v>21</v>
      </c>
      <c r="F3975">
        <v>14</v>
      </c>
      <c r="G3975">
        <v>0.60000000000000009</v>
      </c>
      <c r="H3975" s="2">
        <v>10.583399999999997</v>
      </c>
      <c r="I3975" s="2">
        <v>240</v>
      </c>
    </row>
    <row r="3976" spans="2:9" x14ac:dyDescent="0.3">
      <c r="E3976" t="s">
        <v>9</v>
      </c>
      <c r="F3976">
        <v>2</v>
      </c>
      <c r="G3976">
        <v>0.2</v>
      </c>
      <c r="H3976" s="2">
        <v>-34.758000000000017</v>
      </c>
      <c r="I3976" s="2">
        <v>185.376</v>
      </c>
    </row>
    <row r="3977" spans="2:9" x14ac:dyDescent="0.3">
      <c r="E3977" t="s">
        <v>25</v>
      </c>
      <c r="F3977">
        <v>6</v>
      </c>
      <c r="G3977">
        <v>0.5</v>
      </c>
      <c r="H3977" s="2">
        <v>-814.4831999999999</v>
      </c>
      <c r="I3977" s="2">
        <v>1272.6299999999999</v>
      </c>
    </row>
    <row r="3978" spans="2:9" x14ac:dyDescent="0.3">
      <c r="B3978" t="s">
        <v>406</v>
      </c>
      <c r="C3978" t="s">
        <v>11</v>
      </c>
      <c r="D3978" t="s">
        <v>17</v>
      </c>
      <c r="E3978" t="s">
        <v>21</v>
      </c>
      <c r="F3978">
        <v>5</v>
      </c>
      <c r="G3978">
        <v>0</v>
      </c>
      <c r="H3978" s="2">
        <v>62.736999999999995</v>
      </c>
      <c r="I3978" s="2">
        <v>145.9</v>
      </c>
    </row>
    <row r="3979" spans="2:9" x14ac:dyDescent="0.3">
      <c r="B3979" t="s">
        <v>407</v>
      </c>
      <c r="C3979" t="s">
        <v>7</v>
      </c>
      <c r="D3979" t="s">
        <v>8</v>
      </c>
      <c r="E3979" t="s">
        <v>23</v>
      </c>
      <c r="F3979">
        <v>5</v>
      </c>
      <c r="G3979">
        <v>0</v>
      </c>
      <c r="H3979" s="2">
        <v>63.983999999999988</v>
      </c>
      <c r="I3979" s="2">
        <v>199.95000000000002</v>
      </c>
    </row>
    <row r="3980" spans="2:9" x14ac:dyDescent="0.3">
      <c r="E3980" t="s">
        <v>16</v>
      </c>
      <c r="F3980">
        <v>2</v>
      </c>
      <c r="G3980">
        <v>0</v>
      </c>
      <c r="H3980" s="2">
        <v>6.2208000000000006</v>
      </c>
      <c r="I3980" s="2">
        <v>12.96</v>
      </c>
    </row>
    <row r="3981" spans="2:9" x14ac:dyDescent="0.3">
      <c r="B3981" t="s">
        <v>408</v>
      </c>
      <c r="C3981" t="s">
        <v>11</v>
      </c>
      <c r="D3981" t="s">
        <v>15</v>
      </c>
      <c r="E3981" t="s">
        <v>19</v>
      </c>
      <c r="F3981">
        <v>3</v>
      </c>
      <c r="G3981">
        <v>0</v>
      </c>
      <c r="H3981" s="2">
        <v>2.3025000000000002</v>
      </c>
      <c r="I3981" s="2">
        <v>9.2099999999999991</v>
      </c>
    </row>
    <row r="3982" spans="2:9" x14ac:dyDescent="0.3">
      <c r="E3982" t="s">
        <v>16</v>
      </c>
      <c r="F3982">
        <v>5</v>
      </c>
      <c r="G3982">
        <v>0</v>
      </c>
      <c r="H3982" s="2">
        <v>8.2799999999999994</v>
      </c>
      <c r="I3982" s="2">
        <v>18</v>
      </c>
    </row>
    <row r="3983" spans="2:9" x14ac:dyDescent="0.3">
      <c r="C3983" t="s">
        <v>22</v>
      </c>
      <c r="D3983" t="s">
        <v>8</v>
      </c>
      <c r="E3983" t="s">
        <v>12</v>
      </c>
      <c r="F3983">
        <v>9</v>
      </c>
      <c r="G3983">
        <v>0</v>
      </c>
      <c r="H3983" s="2">
        <v>32.035899999999998</v>
      </c>
      <c r="I3983" s="2">
        <v>120.59</v>
      </c>
    </row>
    <row r="3984" spans="2:9" x14ac:dyDescent="0.3">
      <c r="E3984" t="s">
        <v>19</v>
      </c>
      <c r="F3984">
        <v>1</v>
      </c>
      <c r="G3984">
        <v>0</v>
      </c>
      <c r="H3984" s="2">
        <v>2.1762000000000001</v>
      </c>
      <c r="I3984" s="2">
        <v>5.58</v>
      </c>
    </row>
    <row r="3985" spans="2:9" x14ac:dyDescent="0.3">
      <c r="E3985" t="s">
        <v>20</v>
      </c>
      <c r="F3985">
        <v>7</v>
      </c>
      <c r="G3985">
        <v>0</v>
      </c>
      <c r="H3985" s="2">
        <v>349.28099999999995</v>
      </c>
      <c r="I3985" s="2">
        <v>776.18000000000006</v>
      </c>
    </row>
    <row r="3986" spans="2:9" x14ac:dyDescent="0.3">
      <c r="E3986" t="s">
        <v>24</v>
      </c>
      <c r="F3986">
        <v>2</v>
      </c>
      <c r="G3986">
        <v>0</v>
      </c>
      <c r="H3986" s="2">
        <v>19.974600000000002</v>
      </c>
      <c r="I3986" s="2">
        <v>73.98</v>
      </c>
    </row>
    <row r="3987" spans="2:9" x14ac:dyDescent="0.3">
      <c r="D3987" t="s">
        <v>15</v>
      </c>
      <c r="E3987" t="s">
        <v>46</v>
      </c>
      <c r="F3987">
        <v>8</v>
      </c>
      <c r="G3987">
        <v>0</v>
      </c>
      <c r="H3987" s="2">
        <v>118.37040000000002</v>
      </c>
      <c r="I3987" s="2">
        <v>319.92</v>
      </c>
    </row>
    <row r="3988" spans="2:9" x14ac:dyDescent="0.3">
      <c r="E3988" t="s">
        <v>14</v>
      </c>
      <c r="F3988">
        <v>4</v>
      </c>
      <c r="G3988">
        <v>0</v>
      </c>
      <c r="H3988" s="2">
        <v>67.608000000000004</v>
      </c>
      <c r="I3988" s="2">
        <v>563.4</v>
      </c>
    </row>
    <row r="3989" spans="2:9" x14ac:dyDescent="0.3">
      <c r="D3989" t="s">
        <v>17</v>
      </c>
      <c r="E3989" t="s">
        <v>12</v>
      </c>
      <c r="F3989">
        <v>5</v>
      </c>
      <c r="G3989">
        <v>0</v>
      </c>
      <c r="H3989" s="2">
        <v>10.487500000000001</v>
      </c>
      <c r="I3989" s="2">
        <v>41.95</v>
      </c>
    </row>
    <row r="3990" spans="2:9" x14ac:dyDescent="0.3">
      <c r="E3990" t="s">
        <v>16</v>
      </c>
      <c r="F3990">
        <v>1</v>
      </c>
      <c r="G3990">
        <v>0</v>
      </c>
      <c r="H3990" s="2">
        <v>3.1752000000000002</v>
      </c>
      <c r="I3990" s="2">
        <v>6.48</v>
      </c>
    </row>
    <row r="3991" spans="2:9" x14ac:dyDescent="0.3">
      <c r="E3991" t="s">
        <v>14</v>
      </c>
      <c r="F3991">
        <v>4</v>
      </c>
      <c r="G3991">
        <v>0</v>
      </c>
      <c r="H3991" s="2">
        <v>621.97440000000006</v>
      </c>
      <c r="I3991" s="2">
        <v>2591.56</v>
      </c>
    </row>
    <row r="3992" spans="2:9" x14ac:dyDescent="0.3">
      <c r="B3992" t="s">
        <v>409</v>
      </c>
      <c r="C3992" t="s">
        <v>11</v>
      </c>
      <c r="D3992" t="s">
        <v>8</v>
      </c>
      <c r="E3992" t="s">
        <v>16</v>
      </c>
      <c r="F3992">
        <v>2</v>
      </c>
      <c r="G3992">
        <v>0.2</v>
      </c>
      <c r="H3992" s="2">
        <v>3.6288</v>
      </c>
      <c r="I3992" s="2">
        <v>10.368000000000002</v>
      </c>
    </row>
    <row r="3993" spans="2:9" x14ac:dyDescent="0.3">
      <c r="C3993" t="s">
        <v>7</v>
      </c>
      <c r="D3993" t="s">
        <v>17</v>
      </c>
      <c r="E3993" t="s">
        <v>23</v>
      </c>
      <c r="F3993">
        <v>2</v>
      </c>
      <c r="G3993">
        <v>0.2</v>
      </c>
      <c r="H3993" s="2">
        <v>3.5742000000000012</v>
      </c>
      <c r="I3993" s="2">
        <v>13.616</v>
      </c>
    </row>
    <row r="3994" spans="2:9" x14ac:dyDescent="0.3">
      <c r="C3994" t="s">
        <v>22</v>
      </c>
      <c r="D3994" t="s">
        <v>8</v>
      </c>
      <c r="E3994" t="s">
        <v>20</v>
      </c>
      <c r="F3994">
        <v>4</v>
      </c>
      <c r="G3994">
        <v>0.8</v>
      </c>
      <c r="H3994" s="2">
        <v>-5.088000000000001</v>
      </c>
      <c r="I3994" s="2">
        <v>3.3919999999999995</v>
      </c>
    </row>
    <row r="3995" spans="2:9" x14ac:dyDescent="0.3">
      <c r="E3995" t="s">
        <v>34</v>
      </c>
      <c r="F3995">
        <v>4</v>
      </c>
      <c r="G3995">
        <v>0.32</v>
      </c>
      <c r="H3995" s="2">
        <v>-19.874399999999994</v>
      </c>
      <c r="I3995" s="2">
        <v>193.06559999999999</v>
      </c>
    </row>
    <row r="3996" spans="2:9" x14ac:dyDescent="0.3">
      <c r="E3996" t="s">
        <v>43</v>
      </c>
      <c r="F3996">
        <v>4</v>
      </c>
      <c r="G3996">
        <v>0.2</v>
      </c>
      <c r="H3996" s="2">
        <v>4.2951999999999995</v>
      </c>
      <c r="I3996" s="2">
        <v>13.216000000000001</v>
      </c>
    </row>
    <row r="3997" spans="2:9" x14ac:dyDescent="0.3">
      <c r="E3997" t="s">
        <v>46</v>
      </c>
      <c r="F3997">
        <v>2</v>
      </c>
      <c r="G3997">
        <v>0.4</v>
      </c>
      <c r="H3997" s="2">
        <v>-97.71999999999997</v>
      </c>
      <c r="I3997" s="2">
        <v>418.8</v>
      </c>
    </row>
    <row r="3998" spans="2:9" x14ac:dyDescent="0.3">
      <c r="E3998" t="s">
        <v>16</v>
      </c>
      <c r="F3998">
        <v>5</v>
      </c>
      <c r="G3998">
        <v>0.4</v>
      </c>
      <c r="H3998" s="2">
        <v>9.52</v>
      </c>
      <c r="I3998" s="2">
        <v>27.200000000000003</v>
      </c>
    </row>
    <row r="3999" spans="2:9" x14ac:dyDescent="0.3">
      <c r="E3999" t="s">
        <v>24</v>
      </c>
      <c r="F3999">
        <v>7</v>
      </c>
      <c r="G3999">
        <v>0.60000000000000009</v>
      </c>
      <c r="H3999" s="2">
        <v>92.74560000000001</v>
      </c>
      <c r="I3999" s="2">
        <v>465.54400000000004</v>
      </c>
    </row>
    <row r="4000" spans="2:9" x14ac:dyDescent="0.3">
      <c r="E4000" t="s">
        <v>14</v>
      </c>
      <c r="F4000">
        <v>7</v>
      </c>
      <c r="G4000">
        <v>0.2</v>
      </c>
      <c r="H4000" s="2">
        <v>-127.37200000000001</v>
      </c>
      <c r="I4000" s="2">
        <v>509.48800000000006</v>
      </c>
    </row>
    <row r="4001" spans="2:9" x14ac:dyDescent="0.3">
      <c r="E4001" t="s">
        <v>25</v>
      </c>
      <c r="F4001">
        <v>7</v>
      </c>
      <c r="G4001">
        <v>0.6</v>
      </c>
      <c r="H4001" s="2">
        <v>-250.21439999999996</v>
      </c>
      <c r="I4001" s="2">
        <v>1865.8289999999997</v>
      </c>
    </row>
    <row r="4002" spans="2:9" x14ac:dyDescent="0.3">
      <c r="D4002" t="s">
        <v>15</v>
      </c>
      <c r="E4002" t="s">
        <v>43</v>
      </c>
      <c r="F4002">
        <v>4</v>
      </c>
      <c r="G4002">
        <v>0.2</v>
      </c>
      <c r="H4002" s="2">
        <v>3.4495999999999993</v>
      </c>
      <c r="I4002" s="2">
        <v>9.8560000000000016</v>
      </c>
    </row>
    <row r="4003" spans="2:9" x14ac:dyDescent="0.3">
      <c r="B4003" t="s">
        <v>410</v>
      </c>
      <c r="C4003" t="s">
        <v>27</v>
      </c>
      <c r="D4003" t="s">
        <v>8</v>
      </c>
      <c r="E4003" t="s">
        <v>23</v>
      </c>
      <c r="F4003">
        <v>7</v>
      </c>
      <c r="G4003">
        <v>0.2</v>
      </c>
      <c r="H4003" s="2">
        <v>89.588799999999992</v>
      </c>
      <c r="I4003" s="2">
        <v>447.94399999999996</v>
      </c>
    </row>
    <row r="4004" spans="2:9" x14ac:dyDescent="0.3">
      <c r="E4004" t="s">
        <v>14</v>
      </c>
      <c r="F4004">
        <v>9</v>
      </c>
      <c r="G4004">
        <v>0.2</v>
      </c>
      <c r="H4004" s="2">
        <v>-33.841799999999999</v>
      </c>
      <c r="I4004" s="2">
        <v>150.40799999999999</v>
      </c>
    </row>
    <row r="4005" spans="2:9" x14ac:dyDescent="0.3">
      <c r="C4005" t="s">
        <v>22</v>
      </c>
      <c r="D4005" t="s">
        <v>15</v>
      </c>
      <c r="E4005" t="s">
        <v>19</v>
      </c>
      <c r="F4005">
        <v>5</v>
      </c>
      <c r="G4005">
        <v>0.2</v>
      </c>
      <c r="H4005" s="2">
        <v>1.3229999999999991</v>
      </c>
      <c r="I4005" s="2">
        <v>11.76</v>
      </c>
    </row>
    <row r="4006" spans="2:9" x14ac:dyDescent="0.3">
      <c r="E4006" t="s">
        <v>20</v>
      </c>
      <c r="F4006">
        <v>5</v>
      </c>
      <c r="G4006">
        <v>1.4</v>
      </c>
      <c r="H4006" s="2">
        <v>-7.7454000000000001</v>
      </c>
      <c r="I4006" s="2">
        <v>9.9000000000000021</v>
      </c>
    </row>
    <row r="4007" spans="2:9" x14ac:dyDescent="0.3">
      <c r="E4007" t="s">
        <v>33</v>
      </c>
      <c r="F4007">
        <v>8</v>
      </c>
      <c r="G4007">
        <v>0.4</v>
      </c>
      <c r="H4007" s="2">
        <v>-55.598700000000058</v>
      </c>
      <c r="I4007" s="2">
        <v>670.05600000000004</v>
      </c>
    </row>
    <row r="4008" spans="2:9" x14ac:dyDescent="0.3">
      <c r="E4008" t="s">
        <v>38</v>
      </c>
      <c r="F4008">
        <v>3</v>
      </c>
      <c r="G4008">
        <v>0.2</v>
      </c>
      <c r="H4008" s="2">
        <v>2.9322000000000004</v>
      </c>
      <c r="I4008" s="2">
        <v>8.6880000000000006</v>
      </c>
    </row>
    <row r="4009" spans="2:9" x14ac:dyDescent="0.3">
      <c r="E4009" t="s">
        <v>21</v>
      </c>
      <c r="F4009">
        <v>7</v>
      </c>
      <c r="G4009">
        <v>0.4</v>
      </c>
      <c r="H4009" s="2">
        <v>5.3017999999999974</v>
      </c>
      <c r="I4009" s="2">
        <v>37.288000000000004</v>
      </c>
    </row>
    <row r="4010" spans="2:9" x14ac:dyDescent="0.3">
      <c r="E4010" t="s">
        <v>24</v>
      </c>
      <c r="F4010">
        <v>1</v>
      </c>
      <c r="G4010">
        <v>0.2</v>
      </c>
      <c r="H4010" s="2">
        <v>10.079200000000007</v>
      </c>
      <c r="I4010" s="2">
        <v>100.792</v>
      </c>
    </row>
    <row r="4011" spans="2:9" x14ac:dyDescent="0.3">
      <c r="B4011" t="s">
        <v>411</v>
      </c>
      <c r="C4011" t="s">
        <v>7</v>
      </c>
      <c r="D4011" t="s">
        <v>8</v>
      </c>
      <c r="E4011" t="s">
        <v>12</v>
      </c>
      <c r="F4011">
        <v>3</v>
      </c>
      <c r="G4011">
        <v>0</v>
      </c>
      <c r="H4011" s="2">
        <v>305.13000000000011</v>
      </c>
      <c r="I4011" s="2">
        <v>1089.75</v>
      </c>
    </row>
    <row r="4012" spans="2:9" x14ac:dyDescent="0.3">
      <c r="E4012" t="s">
        <v>19</v>
      </c>
      <c r="F4012">
        <v>5</v>
      </c>
      <c r="G4012">
        <v>0</v>
      </c>
      <c r="H4012" s="2">
        <v>4.2639999999999993</v>
      </c>
      <c r="I4012" s="2">
        <v>16.399999999999999</v>
      </c>
    </row>
    <row r="4013" spans="2:9" x14ac:dyDescent="0.3">
      <c r="E4013" t="s">
        <v>20</v>
      </c>
      <c r="F4013">
        <v>1</v>
      </c>
      <c r="G4013">
        <v>0.2</v>
      </c>
      <c r="H4013" s="2">
        <v>4.7792000000000003</v>
      </c>
      <c r="I4013" s="2">
        <v>13.184000000000001</v>
      </c>
    </row>
    <row r="4014" spans="2:9" x14ac:dyDescent="0.3">
      <c r="E4014" t="s">
        <v>16</v>
      </c>
      <c r="F4014">
        <v>8</v>
      </c>
      <c r="G4014">
        <v>0</v>
      </c>
      <c r="H4014" s="2">
        <v>219.44159999999999</v>
      </c>
      <c r="I4014" s="2">
        <v>447.84</v>
      </c>
    </row>
    <row r="4015" spans="2:9" x14ac:dyDescent="0.3">
      <c r="E4015" t="s">
        <v>24</v>
      </c>
      <c r="F4015">
        <v>5</v>
      </c>
      <c r="G4015">
        <v>0.2</v>
      </c>
      <c r="H4015" s="2">
        <v>34.996499999999969</v>
      </c>
      <c r="I4015" s="2">
        <v>399.96000000000004</v>
      </c>
    </row>
    <row r="4016" spans="2:9" x14ac:dyDescent="0.3">
      <c r="E4016" t="s">
        <v>14</v>
      </c>
      <c r="F4016">
        <v>5</v>
      </c>
      <c r="G4016">
        <v>0</v>
      </c>
      <c r="H4016" s="2">
        <v>7.9449999999999932</v>
      </c>
      <c r="I4016" s="2">
        <v>158.9</v>
      </c>
    </row>
    <row r="4017" spans="2:9" x14ac:dyDescent="0.3">
      <c r="D4017" t="s">
        <v>15</v>
      </c>
      <c r="E4017" t="s">
        <v>20</v>
      </c>
      <c r="F4017">
        <v>3</v>
      </c>
      <c r="G4017">
        <v>0.2</v>
      </c>
      <c r="H4017" s="2">
        <v>4.0985999999999994</v>
      </c>
      <c r="I4017" s="2">
        <v>12.144</v>
      </c>
    </row>
    <row r="4018" spans="2:9" x14ac:dyDescent="0.3">
      <c r="B4018" t="s">
        <v>412</v>
      </c>
      <c r="C4018" t="s">
        <v>11</v>
      </c>
      <c r="D4018" t="s">
        <v>8</v>
      </c>
      <c r="E4018" t="s">
        <v>21</v>
      </c>
      <c r="F4018">
        <v>4</v>
      </c>
      <c r="G4018">
        <v>0</v>
      </c>
      <c r="H4018" s="2">
        <v>14.700000000000003</v>
      </c>
      <c r="I4018" s="2">
        <v>35</v>
      </c>
    </row>
    <row r="4019" spans="2:9" x14ac:dyDescent="0.3">
      <c r="E4019" t="s">
        <v>24</v>
      </c>
      <c r="F4019">
        <v>3</v>
      </c>
      <c r="G4019">
        <v>0.2</v>
      </c>
      <c r="H4019" s="2">
        <v>22.678200000000018</v>
      </c>
      <c r="I4019" s="2">
        <v>302.37599999999998</v>
      </c>
    </row>
    <row r="4020" spans="2:9" x14ac:dyDescent="0.3">
      <c r="E4020" t="s">
        <v>14</v>
      </c>
      <c r="F4020">
        <v>5</v>
      </c>
      <c r="G4020">
        <v>0</v>
      </c>
      <c r="H4020" s="2">
        <v>28.628999999999962</v>
      </c>
      <c r="I4020" s="2">
        <v>477.15000000000003</v>
      </c>
    </row>
    <row r="4021" spans="2:9" x14ac:dyDescent="0.3">
      <c r="C4021" t="s">
        <v>7</v>
      </c>
      <c r="D4021" t="s">
        <v>8</v>
      </c>
      <c r="E4021" t="s">
        <v>20</v>
      </c>
      <c r="F4021">
        <v>3</v>
      </c>
      <c r="G4021">
        <v>0.2</v>
      </c>
      <c r="H4021" s="2">
        <v>5.5379999999999985</v>
      </c>
      <c r="I4021" s="2">
        <v>17.04</v>
      </c>
    </row>
    <row r="4022" spans="2:9" x14ac:dyDescent="0.3">
      <c r="E4022" t="s">
        <v>21</v>
      </c>
      <c r="F4022">
        <v>4</v>
      </c>
      <c r="G4022">
        <v>0</v>
      </c>
      <c r="H4022" s="2">
        <v>92.393599999999992</v>
      </c>
      <c r="I4022" s="2">
        <v>355.36</v>
      </c>
    </row>
    <row r="4023" spans="2:9" x14ac:dyDescent="0.3">
      <c r="E4023" t="s">
        <v>16</v>
      </c>
      <c r="F4023">
        <v>3</v>
      </c>
      <c r="G4023">
        <v>0</v>
      </c>
      <c r="H4023" s="2">
        <v>8.6435999999999993</v>
      </c>
      <c r="I4023" s="2">
        <v>17.64</v>
      </c>
    </row>
    <row r="4024" spans="2:9" x14ac:dyDescent="0.3">
      <c r="E4024" t="s">
        <v>24</v>
      </c>
      <c r="F4024">
        <v>3</v>
      </c>
      <c r="G4024">
        <v>0.2</v>
      </c>
      <c r="H4024" s="2">
        <v>8.7735000000000056</v>
      </c>
      <c r="I4024" s="2">
        <v>140.376</v>
      </c>
    </row>
    <row r="4025" spans="2:9" x14ac:dyDescent="0.3">
      <c r="B4025" t="s">
        <v>413</v>
      </c>
      <c r="C4025" t="s">
        <v>11</v>
      </c>
      <c r="D4025" t="s">
        <v>8</v>
      </c>
      <c r="E4025" t="s">
        <v>23</v>
      </c>
      <c r="F4025">
        <v>2</v>
      </c>
      <c r="G4025">
        <v>0</v>
      </c>
      <c r="H4025" s="2">
        <v>34.992999999999995</v>
      </c>
      <c r="I4025" s="2">
        <v>99.98</v>
      </c>
    </row>
    <row r="4026" spans="2:9" x14ac:dyDescent="0.3">
      <c r="C4026" t="s">
        <v>27</v>
      </c>
      <c r="D4026" t="s">
        <v>8</v>
      </c>
      <c r="E4026" t="s">
        <v>21</v>
      </c>
      <c r="F4026">
        <v>3</v>
      </c>
      <c r="G4026">
        <v>0</v>
      </c>
      <c r="H4026" s="2">
        <v>10.4148</v>
      </c>
      <c r="I4026" s="2">
        <v>31.56</v>
      </c>
    </row>
    <row r="4027" spans="2:9" x14ac:dyDescent="0.3">
      <c r="C4027" t="s">
        <v>7</v>
      </c>
      <c r="D4027" t="s">
        <v>8</v>
      </c>
      <c r="E4027" t="s">
        <v>43</v>
      </c>
      <c r="F4027">
        <v>5</v>
      </c>
      <c r="G4027">
        <v>0</v>
      </c>
      <c r="H4027" s="2">
        <v>9</v>
      </c>
      <c r="I4027" s="2">
        <v>18.75</v>
      </c>
    </row>
    <row r="4028" spans="2:9" x14ac:dyDescent="0.3">
      <c r="C4028" t="s">
        <v>22</v>
      </c>
      <c r="D4028" t="s">
        <v>8</v>
      </c>
      <c r="E4028" t="s">
        <v>23</v>
      </c>
      <c r="F4028">
        <v>4</v>
      </c>
      <c r="G4028">
        <v>0</v>
      </c>
      <c r="H4028" s="2">
        <v>69.98599999999999</v>
      </c>
      <c r="I4028" s="2">
        <v>199.96</v>
      </c>
    </row>
    <row r="4029" spans="2:9" x14ac:dyDescent="0.3">
      <c r="E4029" t="s">
        <v>25</v>
      </c>
      <c r="F4029">
        <v>3</v>
      </c>
      <c r="G4029">
        <v>0.2</v>
      </c>
      <c r="H4029" s="2">
        <v>-97.739399999999989</v>
      </c>
      <c r="I4029" s="2">
        <v>710.83200000000011</v>
      </c>
    </row>
    <row r="4030" spans="2:9" x14ac:dyDescent="0.3">
      <c r="D4030" t="s">
        <v>15</v>
      </c>
      <c r="E4030" t="s">
        <v>19</v>
      </c>
      <c r="F4030">
        <v>17</v>
      </c>
      <c r="G4030">
        <v>0</v>
      </c>
      <c r="H4030" s="2">
        <v>123.64459999999995</v>
      </c>
      <c r="I4030" s="2">
        <v>421.42</v>
      </c>
    </row>
    <row r="4031" spans="2:9" x14ac:dyDescent="0.3">
      <c r="B4031" t="s">
        <v>414</v>
      </c>
      <c r="C4031" t="s">
        <v>22</v>
      </c>
      <c r="D4031" t="s">
        <v>15</v>
      </c>
      <c r="E4031" t="s">
        <v>23</v>
      </c>
      <c r="F4031">
        <v>3</v>
      </c>
      <c r="G4031">
        <v>0.2</v>
      </c>
      <c r="H4031" s="2">
        <v>0.74249999999999994</v>
      </c>
      <c r="I4031" s="2">
        <v>2.3760000000000003</v>
      </c>
    </row>
    <row r="4032" spans="2:9" x14ac:dyDescent="0.3">
      <c r="E4032" t="s">
        <v>12</v>
      </c>
      <c r="F4032">
        <v>1</v>
      </c>
      <c r="G4032">
        <v>0.2</v>
      </c>
      <c r="H4032" s="2">
        <v>8.0479999999999983</v>
      </c>
      <c r="I4032" s="2">
        <v>64.384</v>
      </c>
    </row>
    <row r="4033" spans="2:9" x14ac:dyDescent="0.3">
      <c r="E4033" t="s">
        <v>21</v>
      </c>
      <c r="F4033">
        <v>8</v>
      </c>
      <c r="G4033">
        <v>0.2</v>
      </c>
      <c r="H4033" s="2">
        <v>6.216000000000002</v>
      </c>
      <c r="I4033" s="2">
        <v>23.680000000000003</v>
      </c>
    </row>
    <row r="4034" spans="2:9" x14ac:dyDescent="0.3">
      <c r="B4034" t="s">
        <v>415</v>
      </c>
      <c r="C4034" t="s">
        <v>7</v>
      </c>
      <c r="D4034" t="s">
        <v>15</v>
      </c>
      <c r="E4034" t="s">
        <v>34</v>
      </c>
      <c r="F4034">
        <v>2</v>
      </c>
      <c r="G4034">
        <v>0.32</v>
      </c>
      <c r="H4034" s="2">
        <v>-76.011599999999973</v>
      </c>
      <c r="I4034" s="2">
        <v>246.13279999999997</v>
      </c>
    </row>
    <row r="4035" spans="2:9" x14ac:dyDescent="0.3">
      <c r="E4035" t="s">
        <v>45</v>
      </c>
      <c r="F4035">
        <v>1</v>
      </c>
      <c r="G4035">
        <v>0.2</v>
      </c>
      <c r="H4035" s="2">
        <v>164.99700000000001</v>
      </c>
      <c r="I4035" s="2">
        <v>439.99200000000002</v>
      </c>
    </row>
    <row r="4036" spans="2:9" x14ac:dyDescent="0.3">
      <c r="E4036" t="s">
        <v>43</v>
      </c>
      <c r="F4036">
        <v>2</v>
      </c>
      <c r="G4036">
        <v>0.2</v>
      </c>
      <c r="H4036" s="2">
        <v>3.9473999999999996</v>
      </c>
      <c r="I4036" s="2">
        <v>11.696</v>
      </c>
    </row>
    <row r="4037" spans="2:9" x14ac:dyDescent="0.3">
      <c r="C4037" t="s">
        <v>22</v>
      </c>
      <c r="D4037" t="s">
        <v>8</v>
      </c>
      <c r="E4037" t="s">
        <v>16</v>
      </c>
      <c r="F4037">
        <v>6</v>
      </c>
      <c r="G4037">
        <v>0.4</v>
      </c>
      <c r="H4037" s="2">
        <v>11.0288</v>
      </c>
      <c r="I4037" s="2">
        <v>34.048000000000002</v>
      </c>
    </row>
    <row r="4038" spans="2:9" x14ac:dyDescent="0.3">
      <c r="D4038" t="s">
        <v>15</v>
      </c>
      <c r="E4038" t="s">
        <v>16</v>
      </c>
      <c r="F4038">
        <v>1</v>
      </c>
      <c r="G4038">
        <v>0.2</v>
      </c>
      <c r="H4038" s="2">
        <v>1.8144</v>
      </c>
      <c r="I4038" s="2">
        <v>5.1840000000000011</v>
      </c>
    </row>
    <row r="4039" spans="2:9" x14ac:dyDescent="0.3">
      <c r="B4039" t="s">
        <v>416</v>
      </c>
      <c r="C4039" t="s">
        <v>7</v>
      </c>
      <c r="D4039" t="s">
        <v>8</v>
      </c>
      <c r="E4039" t="s">
        <v>38</v>
      </c>
      <c r="F4039">
        <v>1</v>
      </c>
      <c r="G4039">
        <v>0.2</v>
      </c>
      <c r="H4039" s="2">
        <v>2.9339999999999997</v>
      </c>
      <c r="I4039" s="2">
        <v>7.8239999999999998</v>
      </c>
    </row>
    <row r="4040" spans="2:9" x14ac:dyDescent="0.3">
      <c r="B4040" t="s">
        <v>417</v>
      </c>
      <c r="C4040" t="s">
        <v>7</v>
      </c>
      <c r="D4040" t="s">
        <v>8</v>
      </c>
      <c r="E4040" t="s">
        <v>12</v>
      </c>
      <c r="F4040">
        <v>4</v>
      </c>
      <c r="G4040">
        <v>0.2</v>
      </c>
      <c r="H4040" s="2">
        <v>0.89599999999999991</v>
      </c>
      <c r="I4040" s="2">
        <v>14.336000000000002</v>
      </c>
    </row>
    <row r="4041" spans="2:9" x14ac:dyDescent="0.3">
      <c r="D4041" t="s">
        <v>15</v>
      </c>
      <c r="E4041" t="s">
        <v>34</v>
      </c>
      <c r="F4041">
        <v>5</v>
      </c>
      <c r="G4041">
        <v>0.2</v>
      </c>
      <c r="H4041" s="2">
        <v>5.7980000000000018</v>
      </c>
      <c r="I4041" s="2">
        <v>231.92000000000002</v>
      </c>
    </row>
    <row r="4042" spans="2:9" x14ac:dyDescent="0.3">
      <c r="C4042" t="s">
        <v>22</v>
      </c>
      <c r="D4042" t="s">
        <v>8</v>
      </c>
      <c r="E4042" t="s">
        <v>20</v>
      </c>
      <c r="F4042">
        <v>2</v>
      </c>
      <c r="G4042">
        <v>0.7</v>
      </c>
      <c r="H4042" s="2">
        <v>-2.2450000000000001</v>
      </c>
      <c r="I4042" s="2">
        <v>2.6940000000000004</v>
      </c>
    </row>
    <row r="4043" spans="2:9" x14ac:dyDescent="0.3">
      <c r="B4043" t="s">
        <v>418</v>
      </c>
      <c r="C4043" t="s">
        <v>27</v>
      </c>
      <c r="D4043" t="s">
        <v>8</v>
      </c>
      <c r="E4043" t="s">
        <v>19</v>
      </c>
      <c r="F4043">
        <v>2</v>
      </c>
      <c r="G4043">
        <v>0</v>
      </c>
      <c r="H4043" s="2">
        <v>6.5120000000000005</v>
      </c>
      <c r="I4043" s="2">
        <v>16.28</v>
      </c>
    </row>
    <row r="4044" spans="2:9" x14ac:dyDescent="0.3">
      <c r="B4044" t="s">
        <v>419</v>
      </c>
      <c r="C4044" t="s">
        <v>11</v>
      </c>
      <c r="D4044" t="s">
        <v>8</v>
      </c>
      <c r="E4044" t="s">
        <v>19</v>
      </c>
      <c r="F4044">
        <v>3</v>
      </c>
      <c r="G4044">
        <v>0.2</v>
      </c>
      <c r="H4044" s="2">
        <v>0.71520000000000028</v>
      </c>
      <c r="I4044" s="2">
        <v>7.1519999999999992</v>
      </c>
    </row>
    <row r="4045" spans="2:9" x14ac:dyDescent="0.3">
      <c r="E4045" t="s">
        <v>20</v>
      </c>
      <c r="F4045">
        <v>7</v>
      </c>
      <c r="G4045">
        <v>0.7</v>
      </c>
      <c r="H4045" s="2">
        <v>-3.4649999999999999</v>
      </c>
      <c r="I4045" s="2">
        <v>4.1580000000000004</v>
      </c>
    </row>
    <row r="4046" spans="2:9" x14ac:dyDescent="0.3">
      <c r="E4046" t="s">
        <v>46</v>
      </c>
      <c r="F4046">
        <v>3</v>
      </c>
      <c r="G4046">
        <v>0.7</v>
      </c>
      <c r="H4046" s="2">
        <v>-251.98739999999992</v>
      </c>
      <c r="I4046" s="2">
        <v>179.99100000000004</v>
      </c>
    </row>
    <row r="4047" spans="2:9" x14ac:dyDescent="0.3">
      <c r="E4047" t="s">
        <v>24</v>
      </c>
      <c r="F4047">
        <v>4</v>
      </c>
      <c r="G4047">
        <v>0.4</v>
      </c>
      <c r="H4047" s="2">
        <v>88.899200000000022</v>
      </c>
      <c r="I4047" s="2">
        <v>917.50400000000013</v>
      </c>
    </row>
    <row r="4048" spans="2:9" x14ac:dyDescent="0.3">
      <c r="D4048" t="s">
        <v>17</v>
      </c>
      <c r="E4048" t="s">
        <v>33</v>
      </c>
      <c r="F4048">
        <v>5</v>
      </c>
      <c r="G4048">
        <v>0.2</v>
      </c>
      <c r="H4048" s="2">
        <v>25.245000000000019</v>
      </c>
      <c r="I4048" s="2">
        <v>403.92</v>
      </c>
    </row>
    <row r="4049" spans="2:9" x14ac:dyDescent="0.3">
      <c r="C4049" t="s">
        <v>7</v>
      </c>
      <c r="D4049" t="s">
        <v>8</v>
      </c>
      <c r="E4049" t="s">
        <v>19</v>
      </c>
      <c r="F4049">
        <v>4</v>
      </c>
      <c r="G4049">
        <v>0.2</v>
      </c>
      <c r="H4049" s="2">
        <v>9.0575999999999972</v>
      </c>
      <c r="I4049" s="2">
        <v>120.76800000000001</v>
      </c>
    </row>
    <row r="4050" spans="2:9" x14ac:dyDescent="0.3">
      <c r="E4050" t="s">
        <v>16</v>
      </c>
      <c r="F4050">
        <v>5</v>
      </c>
      <c r="G4050">
        <v>0.2</v>
      </c>
      <c r="H4050" s="2">
        <v>9.0719999999999992</v>
      </c>
      <c r="I4050" s="2">
        <v>25.920000000000005</v>
      </c>
    </row>
    <row r="4051" spans="2:9" x14ac:dyDescent="0.3">
      <c r="E4051" t="s">
        <v>24</v>
      </c>
      <c r="F4051">
        <v>4</v>
      </c>
      <c r="G4051">
        <v>0.2</v>
      </c>
      <c r="H4051" s="2">
        <v>35.996399999999952</v>
      </c>
      <c r="I4051" s="2">
        <v>319.96800000000002</v>
      </c>
    </row>
    <row r="4052" spans="2:9" x14ac:dyDescent="0.3">
      <c r="C4052" t="s">
        <v>22</v>
      </c>
      <c r="D4052" t="s">
        <v>8</v>
      </c>
      <c r="E4052" t="s">
        <v>23</v>
      </c>
      <c r="F4052">
        <v>12</v>
      </c>
      <c r="G4052">
        <v>0.4</v>
      </c>
      <c r="H4052" s="2">
        <v>128.44390000000001</v>
      </c>
      <c r="I4052" s="2">
        <v>519.74400000000003</v>
      </c>
    </row>
    <row r="4053" spans="2:9" x14ac:dyDescent="0.3">
      <c r="E4053" t="s">
        <v>20</v>
      </c>
      <c r="F4053">
        <v>2</v>
      </c>
      <c r="G4053">
        <v>0.7</v>
      </c>
      <c r="H4053" s="2">
        <v>-0.79200000000000004</v>
      </c>
      <c r="I4053" s="2">
        <v>1.0800000000000003</v>
      </c>
    </row>
    <row r="4054" spans="2:9" x14ac:dyDescent="0.3">
      <c r="E4054" t="s">
        <v>34</v>
      </c>
      <c r="F4054">
        <v>1</v>
      </c>
      <c r="G4054">
        <v>0.7</v>
      </c>
      <c r="H4054" s="2">
        <v>-103.86059999999998</v>
      </c>
      <c r="I4054" s="2">
        <v>66.294000000000011</v>
      </c>
    </row>
    <row r="4055" spans="2:9" x14ac:dyDescent="0.3">
      <c r="E4055" t="s">
        <v>33</v>
      </c>
      <c r="F4055">
        <v>4</v>
      </c>
      <c r="G4055">
        <v>0.2</v>
      </c>
      <c r="H4055" s="2">
        <v>-14.558399999999978</v>
      </c>
      <c r="I4055" s="2">
        <v>291.16800000000001</v>
      </c>
    </row>
    <row r="4056" spans="2:9" x14ac:dyDescent="0.3">
      <c r="E4056" t="s">
        <v>16</v>
      </c>
      <c r="F4056">
        <v>11</v>
      </c>
      <c r="G4056">
        <v>0.4</v>
      </c>
      <c r="H4056" s="2">
        <v>58.730399999999996</v>
      </c>
      <c r="I4056" s="2">
        <v>172.864</v>
      </c>
    </row>
    <row r="4057" spans="2:9" x14ac:dyDescent="0.3">
      <c r="E4057" t="s">
        <v>24</v>
      </c>
      <c r="F4057">
        <v>3</v>
      </c>
      <c r="G4057">
        <v>0.2</v>
      </c>
      <c r="H4057" s="2">
        <v>54.5916</v>
      </c>
      <c r="I4057" s="2">
        <v>155.976</v>
      </c>
    </row>
    <row r="4058" spans="2:9" x14ac:dyDescent="0.3">
      <c r="E4058" t="s">
        <v>14</v>
      </c>
      <c r="F4058">
        <v>8</v>
      </c>
      <c r="G4058">
        <v>0.4</v>
      </c>
      <c r="H4058" s="2">
        <v>-91.977999999999966</v>
      </c>
      <c r="I4058" s="2">
        <v>481.6</v>
      </c>
    </row>
    <row r="4059" spans="2:9" x14ac:dyDescent="0.3">
      <c r="D4059" t="s">
        <v>15</v>
      </c>
      <c r="E4059" t="s">
        <v>12</v>
      </c>
      <c r="F4059">
        <v>1</v>
      </c>
      <c r="G4059">
        <v>0.2</v>
      </c>
      <c r="H4059" s="2">
        <v>0.8382000000000005</v>
      </c>
      <c r="I4059" s="2">
        <v>11.176000000000002</v>
      </c>
    </row>
    <row r="4060" spans="2:9" x14ac:dyDescent="0.3">
      <c r="E4060" t="s">
        <v>33</v>
      </c>
      <c r="F4060">
        <v>3</v>
      </c>
      <c r="G4060">
        <v>0.2</v>
      </c>
      <c r="H4060" s="2">
        <v>23.027999999999992</v>
      </c>
      <c r="I4060" s="2">
        <v>230.28000000000003</v>
      </c>
    </row>
    <row r="4061" spans="2:9" x14ac:dyDescent="0.3">
      <c r="E4061" t="s">
        <v>16</v>
      </c>
      <c r="F4061">
        <v>11</v>
      </c>
      <c r="G4061">
        <v>0.4</v>
      </c>
      <c r="H4061" s="2">
        <v>45.569199999999995</v>
      </c>
      <c r="I4061" s="2">
        <v>136.624</v>
      </c>
    </row>
    <row r="4062" spans="2:9" x14ac:dyDescent="0.3">
      <c r="D4062" t="s">
        <v>17</v>
      </c>
      <c r="E4062" t="s">
        <v>20</v>
      </c>
      <c r="F4062">
        <v>1</v>
      </c>
      <c r="G4062">
        <v>0.7</v>
      </c>
      <c r="H4062" s="2">
        <v>-3.7880000000000003</v>
      </c>
      <c r="I4062" s="2">
        <v>5.6820000000000013</v>
      </c>
    </row>
    <row r="4063" spans="2:9" x14ac:dyDescent="0.3">
      <c r="B4063" t="s">
        <v>420</v>
      </c>
      <c r="C4063" t="s">
        <v>11</v>
      </c>
      <c r="D4063" t="s">
        <v>8</v>
      </c>
      <c r="E4063" t="s">
        <v>16</v>
      </c>
      <c r="F4063">
        <v>7</v>
      </c>
      <c r="G4063">
        <v>0</v>
      </c>
      <c r="H4063" s="2">
        <v>26.555199999999999</v>
      </c>
      <c r="I4063" s="2">
        <v>56.86</v>
      </c>
    </row>
    <row r="4064" spans="2:9" x14ac:dyDescent="0.3">
      <c r="E4064" t="s">
        <v>14</v>
      </c>
      <c r="F4064">
        <v>2</v>
      </c>
      <c r="G4064">
        <v>0</v>
      </c>
      <c r="H4064" s="2">
        <v>17.379999999999995</v>
      </c>
      <c r="I4064" s="2">
        <v>69.52</v>
      </c>
    </row>
    <row r="4065" spans="3:9" x14ac:dyDescent="0.3">
      <c r="D4065" t="s">
        <v>15</v>
      </c>
      <c r="E4065" t="s">
        <v>23</v>
      </c>
      <c r="F4065">
        <v>2</v>
      </c>
      <c r="G4065">
        <v>0</v>
      </c>
      <c r="H4065" s="2">
        <v>4.8986000000000018</v>
      </c>
      <c r="I4065" s="2">
        <v>69.98</v>
      </c>
    </row>
    <row r="4066" spans="3:9" x14ac:dyDescent="0.3">
      <c r="D4066" t="s">
        <v>17</v>
      </c>
      <c r="E4066" t="s">
        <v>20</v>
      </c>
      <c r="F4066">
        <v>3</v>
      </c>
      <c r="G4066">
        <v>0</v>
      </c>
      <c r="H4066" s="2">
        <v>23.774400000000004</v>
      </c>
      <c r="I4066" s="2">
        <v>49.53</v>
      </c>
    </row>
    <row r="4067" spans="3:9" x14ac:dyDescent="0.3">
      <c r="E4067" t="s">
        <v>33</v>
      </c>
      <c r="F4067">
        <v>4</v>
      </c>
      <c r="G4067">
        <v>0</v>
      </c>
      <c r="H4067" s="2">
        <v>244.24959999999999</v>
      </c>
      <c r="I4067" s="2">
        <v>872.32</v>
      </c>
    </row>
    <row r="4068" spans="3:9" x14ac:dyDescent="0.3">
      <c r="E4068" t="s">
        <v>16</v>
      </c>
      <c r="F4068">
        <v>3</v>
      </c>
      <c r="G4068">
        <v>0</v>
      </c>
      <c r="H4068" s="2">
        <v>7.6679999999999993</v>
      </c>
      <c r="I4068" s="2">
        <v>17.04</v>
      </c>
    </row>
    <row r="4069" spans="3:9" x14ac:dyDescent="0.3">
      <c r="E4069" t="s">
        <v>14</v>
      </c>
      <c r="F4069">
        <v>9</v>
      </c>
      <c r="G4069">
        <v>0</v>
      </c>
      <c r="H4069" s="2">
        <v>481.86899999999986</v>
      </c>
      <c r="I4069" s="2">
        <v>1606.23</v>
      </c>
    </row>
    <row r="4070" spans="3:9" x14ac:dyDescent="0.3">
      <c r="C4070" t="s">
        <v>7</v>
      </c>
      <c r="D4070" t="s">
        <v>8</v>
      </c>
      <c r="E4070" t="s">
        <v>20</v>
      </c>
      <c r="F4070">
        <v>5</v>
      </c>
      <c r="G4070">
        <v>0</v>
      </c>
      <c r="H4070" s="2">
        <v>13.365</v>
      </c>
      <c r="I4070" s="2">
        <v>29.700000000000003</v>
      </c>
    </row>
    <row r="4071" spans="3:9" x14ac:dyDescent="0.3">
      <c r="E4071" t="s">
        <v>16</v>
      </c>
      <c r="F4071">
        <v>4</v>
      </c>
      <c r="G4071">
        <v>0</v>
      </c>
      <c r="H4071" s="2">
        <v>17.981999999999999</v>
      </c>
      <c r="I4071" s="2">
        <v>39.96</v>
      </c>
    </row>
    <row r="4072" spans="3:9" x14ac:dyDescent="0.3">
      <c r="D4072" t="s">
        <v>15</v>
      </c>
      <c r="E4072" t="s">
        <v>34</v>
      </c>
      <c r="F4072">
        <v>1</v>
      </c>
      <c r="G4072">
        <v>0</v>
      </c>
      <c r="H4072" s="2">
        <v>50.825400000000002</v>
      </c>
      <c r="I4072" s="2">
        <v>220.98</v>
      </c>
    </row>
    <row r="4073" spans="3:9" x14ac:dyDescent="0.3">
      <c r="E4073" t="s">
        <v>9</v>
      </c>
      <c r="F4073">
        <v>6</v>
      </c>
      <c r="G4073">
        <v>0</v>
      </c>
      <c r="H4073" s="2">
        <v>34.757999999999953</v>
      </c>
      <c r="I4073" s="2">
        <v>695.16</v>
      </c>
    </row>
    <row r="4074" spans="3:9" x14ac:dyDescent="0.3">
      <c r="D4074" t="s">
        <v>17</v>
      </c>
      <c r="E4074" t="s">
        <v>23</v>
      </c>
      <c r="F4074">
        <v>2</v>
      </c>
      <c r="G4074">
        <v>0</v>
      </c>
      <c r="H4074" s="2">
        <v>83.991600000000005</v>
      </c>
      <c r="I4074" s="2">
        <v>199.98</v>
      </c>
    </row>
    <row r="4075" spans="3:9" x14ac:dyDescent="0.3">
      <c r="E4075" t="s">
        <v>33</v>
      </c>
      <c r="F4075">
        <v>1</v>
      </c>
      <c r="G4075">
        <v>0</v>
      </c>
      <c r="H4075" s="2">
        <v>15.537199999999999</v>
      </c>
      <c r="I4075" s="2">
        <v>110.98</v>
      </c>
    </row>
    <row r="4076" spans="3:9" x14ac:dyDescent="0.3">
      <c r="E4076" t="s">
        <v>16</v>
      </c>
      <c r="F4076">
        <v>2</v>
      </c>
      <c r="G4076">
        <v>0</v>
      </c>
      <c r="H4076" s="2">
        <v>4.1159999999999997</v>
      </c>
      <c r="I4076" s="2">
        <v>8.4</v>
      </c>
    </row>
    <row r="4077" spans="3:9" x14ac:dyDescent="0.3">
      <c r="E4077" t="s">
        <v>24</v>
      </c>
      <c r="F4077">
        <v>3</v>
      </c>
      <c r="G4077">
        <v>0</v>
      </c>
      <c r="H4077" s="2">
        <v>3.8654999999999973</v>
      </c>
      <c r="I4077" s="2">
        <v>128.85000000000002</v>
      </c>
    </row>
    <row r="4078" spans="3:9" x14ac:dyDescent="0.3">
      <c r="C4078" t="s">
        <v>22</v>
      </c>
      <c r="D4078" t="s">
        <v>8</v>
      </c>
      <c r="E4078" t="s">
        <v>14</v>
      </c>
      <c r="F4078">
        <v>5</v>
      </c>
      <c r="G4078">
        <v>0</v>
      </c>
      <c r="H4078" s="2">
        <v>1.0429999999999984</v>
      </c>
      <c r="I4078" s="2">
        <v>14.9</v>
      </c>
    </row>
    <row r="4079" spans="3:9" x14ac:dyDescent="0.3">
      <c r="D4079" t="s">
        <v>15</v>
      </c>
      <c r="E4079" t="s">
        <v>16</v>
      </c>
      <c r="F4079">
        <v>2</v>
      </c>
      <c r="G4079">
        <v>0</v>
      </c>
      <c r="H4079" s="2">
        <v>6.2208000000000006</v>
      </c>
      <c r="I4079" s="2">
        <v>12.96</v>
      </c>
    </row>
    <row r="4080" spans="3:9" x14ac:dyDescent="0.3">
      <c r="E4080" t="s">
        <v>24</v>
      </c>
      <c r="F4080">
        <v>2</v>
      </c>
      <c r="G4080">
        <v>0</v>
      </c>
      <c r="H4080" s="2">
        <v>1.0597999999999956</v>
      </c>
      <c r="I4080" s="2">
        <v>105.98</v>
      </c>
    </row>
    <row r="4081" spans="2:9" x14ac:dyDescent="0.3">
      <c r="E4081" t="s">
        <v>25</v>
      </c>
      <c r="F4081">
        <v>7</v>
      </c>
      <c r="G4081">
        <v>0.3</v>
      </c>
      <c r="H4081" s="2">
        <v>-28.22399999999999</v>
      </c>
      <c r="I4081" s="2">
        <v>493.9199999999999</v>
      </c>
    </row>
    <row r="4082" spans="2:9" x14ac:dyDescent="0.3">
      <c r="D4082" t="s">
        <v>17</v>
      </c>
      <c r="E4082" t="s">
        <v>23</v>
      </c>
      <c r="F4082">
        <v>4</v>
      </c>
      <c r="G4082">
        <v>0</v>
      </c>
      <c r="H4082" s="2">
        <v>742.63200000000006</v>
      </c>
      <c r="I4082" s="2">
        <v>1687.8</v>
      </c>
    </row>
    <row r="4083" spans="2:9" x14ac:dyDescent="0.3">
      <c r="E4083" t="s">
        <v>20</v>
      </c>
      <c r="F4083">
        <v>1</v>
      </c>
      <c r="G4083">
        <v>0</v>
      </c>
      <c r="H4083" s="2">
        <v>13.983999999999998</v>
      </c>
      <c r="I4083" s="2">
        <v>30.4</v>
      </c>
    </row>
    <row r="4084" spans="2:9" x14ac:dyDescent="0.3">
      <c r="E4084" t="s">
        <v>34</v>
      </c>
      <c r="F4084">
        <v>2</v>
      </c>
      <c r="G4084">
        <v>0</v>
      </c>
      <c r="H4084" s="2">
        <v>78.650800000000004</v>
      </c>
      <c r="I4084" s="2">
        <v>341.96</v>
      </c>
    </row>
    <row r="4085" spans="2:9" x14ac:dyDescent="0.3">
      <c r="E4085" t="s">
        <v>33</v>
      </c>
      <c r="F4085">
        <v>6</v>
      </c>
      <c r="G4085">
        <v>0</v>
      </c>
      <c r="H4085" s="2">
        <v>151.47000000000003</v>
      </c>
      <c r="I4085" s="2">
        <v>605.88</v>
      </c>
    </row>
    <row r="4086" spans="2:9" x14ac:dyDescent="0.3">
      <c r="E4086" t="s">
        <v>45</v>
      </c>
      <c r="F4086">
        <v>9</v>
      </c>
      <c r="G4086">
        <v>0</v>
      </c>
      <c r="H4086" s="2">
        <v>2591.9567999999999</v>
      </c>
      <c r="I4086" s="2">
        <v>5399.91</v>
      </c>
    </row>
    <row r="4087" spans="2:9" x14ac:dyDescent="0.3">
      <c r="E4087" t="s">
        <v>21</v>
      </c>
      <c r="F4087">
        <v>6</v>
      </c>
      <c r="G4087">
        <v>0</v>
      </c>
      <c r="H4087" s="2">
        <v>23.898600000000002</v>
      </c>
      <c r="I4087" s="2">
        <v>72.42</v>
      </c>
    </row>
    <row r="4088" spans="2:9" x14ac:dyDescent="0.3">
      <c r="E4088" t="s">
        <v>16</v>
      </c>
      <c r="F4088">
        <v>7</v>
      </c>
      <c r="G4088">
        <v>0</v>
      </c>
      <c r="H4088" s="2">
        <v>98.972599999999986</v>
      </c>
      <c r="I4088" s="2">
        <v>210.57999999999998</v>
      </c>
    </row>
    <row r="4089" spans="2:9" x14ac:dyDescent="0.3">
      <c r="E4089" t="s">
        <v>24</v>
      </c>
      <c r="F4089">
        <v>5</v>
      </c>
      <c r="G4089">
        <v>0</v>
      </c>
      <c r="H4089" s="2">
        <v>176.38600000000002</v>
      </c>
      <c r="I4089" s="2">
        <v>629.94999999999993</v>
      </c>
    </row>
    <row r="4090" spans="2:9" x14ac:dyDescent="0.3">
      <c r="E4090" t="s">
        <v>14</v>
      </c>
      <c r="F4090">
        <v>8</v>
      </c>
      <c r="G4090">
        <v>0</v>
      </c>
      <c r="H4090" s="2">
        <v>616.77099999999996</v>
      </c>
      <c r="I4090" s="2">
        <v>2198.5</v>
      </c>
    </row>
    <row r="4091" spans="2:9" x14ac:dyDescent="0.3">
      <c r="B4091" t="s">
        <v>421</v>
      </c>
      <c r="C4091" t="s">
        <v>7</v>
      </c>
      <c r="D4091" t="s">
        <v>15</v>
      </c>
      <c r="E4091" t="s">
        <v>20</v>
      </c>
      <c r="F4091">
        <v>8</v>
      </c>
      <c r="G4091">
        <v>0.60000000000000009</v>
      </c>
      <c r="H4091" s="2">
        <v>16.728299999999997</v>
      </c>
      <c r="I4091" s="2">
        <v>48.144000000000005</v>
      </c>
    </row>
    <row r="4092" spans="2:9" x14ac:dyDescent="0.3">
      <c r="E4092" t="s">
        <v>34</v>
      </c>
      <c r="F4092">
        <v>3</v>
      </c>
      <c r="G4092">
        <v>0</v>
      </c>
      <c r="H4092" s="2">
        <v>77.576399999999921</v>
      </c>
      <c r="I4092" s="2">
        <v>1292.94</v>
      </c>
    </row>
    <row r="4093" spans="2:9" x14ac:dyDescent="0.3">
      <c r="E4093" t="s">
        <v>43</v>
      </c>
      <c r="F4093">
        <v>5</v>
      </c>
      <c r="G4093">
        <v>0</v>
      </c>
      <c r="H4093" s="2">
        <v>7.056</v>
      </c>
      <c r="I4093" s="2">
        <v>14.399999999999999</v>
      </c>
    </row>
    <row r="4094" spans="2:9" x14ac:dyDescent="0.3">
      <c r="E4094" t="s">
        <v>16</v>
      </c>
      <c r="F4094">
        <v>10</v>
      </c>
      <c r="G4094">
        <v>0</v>
      </c>
      <c r="H4094" s="2">
        <v>90.682199999999995</v>
      </c>
      <c r="I4094" s="2">
        <v>186.85999999999999</v>
      </c>
    </row>
    <row r="4095" spans="2:9" x14ac:dyDescent="0.3">
      <c r="E4095" t="s">
        <v>14</v>
      </c>
      <c r="F4095">
        <v>2</v>
      </c>
      <c r="G4095">
        <v>0</v>
      </c>
      <c r="H4095" s="2">
        <v>65.435000000000002</v>
      </c>
      <c r="I4095" s="2">
        <v>261.74</v>
      </c>
    </row>
    <row r="4096" spans="2:9" x14ac:dyDescent="0.3">
      <c r="C4096" t="s">
        <v>22</v>
      </c>
      <c r="D4096" t="s">
        <v>8</v>
      </c>
      <c r="E4096" t="s">
        <v>25</v>
      </c>
      <c r="F4096">
        <v>5</v>
      </c>
      <c r="G4096">
        <v>0</v>
      </c>
      <c r="H4096" s="2">
        <v>118.65750000000006</v>
      </c>
      <c r="I4096" s="2">
        <v>912.75</v>
      </c>
    </row>
    <row r="4097" spans="2:9" x14ac:dyDescent="0.3">
      <c r="D4097" t="s">
        <v>17</v>
      </c>
      <c r="E4097" t="s">
        <v>9</v>
      </c>
      <c r="F4097">
        <v>5</v>
      </c>
      <c r="G4097">
        <v>0</v>
      </c>
      <c r="H4097" s="2">
        <v>12.432000000000002</v>
      </c>
      <c r="I4097" s="2">
        <v>44.400000000000006</v>
      </c>
    </row>
    <row r="4098" spans="2:9" x14ac:dyDescent="0.3">
      <c r="B4098" t="s">
        <v>422</v>
      </c>
      <c r="C4098" t="s">
        <v>11</v>
      </c>
      <c r="D4098" t="s">
        <v>15</v>
      </c>
      <c r="E4098" t="s">
        <v>19</v>
      </c>
      <c r="F4098">
        <v>1</v>
      </c>
      <c r="G4098">
        <v>0.2</v>
      </c>
      <c r="H4098" s="2">
        <v>0.89459999999999995</v>
      </c>
      <c r="I4098" s="2">
        <v>3.4079999999999999</v>
      </c>
    </row>
    <row r="4099" spans="2:9" x14ac:dyDescent="0.3">
      <c r="D4099" t="s">
        <v>17</v>
      </c>
      <c r="E4099" t="s">
        <v>23</v>
      </c>
      <c r="F4099">
        <v>5</v>
      </c>
      <c r="G4099">
        <v>0.2</v>
      </c>
      <c r="H4099" s="2">
        <v>0.84950000000000259</v>
      </c>
      <c r="I4099" s="2">
        <v>67.959999999999994</v>
      </c>
    </row>
    <row r="4100" spans="2:9" x14ac:dyDescent="0.3">
      <c r="E4100" t="s">
        <v>20</v>
      </c>
      <c r="F4100">
        <v>8</v>
      </c>
      <c r="G4100">
        <v>1.4</v>
      </c>
      <c r="H4100" s="2">
        <v>-24.101600000000001</v>
      </c>
      <c r="I4100" s="2">
        <v>29.880000000000006</v>
      </c>
    </row>
    <row r="4101" spans="2:9" x14ac:dyDescent="0.3">
      <c r="E4101" t="s">
        <v>46</v>
      </c>
      <c r="F4101">
        <v>6</v>
      </c>
      <c r="G4101">
        <v>0.7</v>
      </c>
      <c r="H4101" s="2">
        <v>-938.28</v>
      </c>
      <c r="I4101" s="2">
        <v>703.71</v>
      </c>
    </row>
    <row r="4102" spans="2:9" x14ac:dyDescent="0.3">
      <c r="C4102" t="s">
        <v>27</v>
      </c>
      <c r="D4102" t="s">
        <v>8</v>
      </c>
      <c r="E4102" t="s">
        <v>20</v>
      </c>
      <c r="F4102">
        <v>9</v>
      </c>
      <c r="G4102">
        <v>1.4</v>
      </c>
      <c r="H4102" s="2">
        <v>-24.907199999999996</v>
      </c>
      <c r="I4102" s="2">
        <v>36.252000000000002</v>
      </c>
    </row>
    <row r="4103" spans="2:9" x14ac:dyDescent="0.3">
      <c r="C4103" t="s">
        <v>22</v>
      </c>
      <c r="D4103" t="s">
        <v>8</v>
      </c>
      <c r="E4103" t="s">
        <v>12</v>
      </c>
      <c r="F4103">
        <v>13</v>
      </c>
      <c r="G4103">
        <v>0.2</v>
      </c>
      <c r="H4103" s="2">
        <v>84.572799999999944</v>
      </c>
      <c r="I4103" s="2">
        <v>845.72799999999995</v>
      </c>
    </row>
    <row r="4104" spans="2:9" x14ac:dyDescent="0.3">
      <c r="B4104" t="s">
        <v>423</v>
      </c>
      <c r="C4104" t="s">
        <v>11</v>
      </c>
      <c r="D4104" t="s">
        <v>8</v>
      </c>
      <c r="E4104" t="s">
        <v>20</v>
      </c>
      <c r="F4104">
        <v>2</v>
      </c>
      <c r="G4104">
        <v>0.8</v>
      </c>
      <c r="H4104" s="2">
        <v>-3.2406000000000006</v>
      </c>
      <c r="I4104" s="2">
        <v>1.9639999999999995</v>
      </c>
    </row>
    <row r="4105" spans="2:9" x14ac:dyDescent="0.3">
      <c r="D4105" t="s">
        <v>15</v>
      </c>
      <c r="E4105" t="s">
        <v>20</v>
      </c>
      <c r="F4105">
        <v>9</v>
      </c>
      <c r="G4105">
        <v>0.8</v>
      </c>
      <c r="H4105" s="2">
        <v>-5.1840000000000011</v>
      </c>
      <c r="I4105" s="2">
        <v>3.2399999999999993</v>
      </c>
    </row>
    <row r="4106" spans="2:9" x14ac:dyDescent="0.3">
      <c r="E4106" t="s">
        <v>43</v>
      </c>
      <c r="F4106">
        <v>4</v>
      </c>
      <c r="G4106">
        <v>0.2</v>
      </c>
      <c r="H4106" s="2">
        <v>17.759999999999998</v>
      </c>
      <c r="I4106" s="2">
        <v>47.360000000000007</v>
      </c>
    </row>
    <row r="4107" spans="2:9" x14ac:dyDescent="0.3">
      <c r="E4107" t="s">
        <v>16</v>
      </c>
      <c r="F4107">
        <v>4</v>
      </c>
      <c r="G4107">
        <v>0.2</v>
      </c>
      <c r="H4107" s="2">
        <v>30.979999999999993</v>
      </c>
      <c r="I4107" s="2">
        <v>99.13600000000001</v>
      </c>
    </row>
    <row r="4108" spans="2:9" x14ac:dyDescent="0.3">
      <c r="E4108" t="s">
        <v>14</v>
      </c>
      <c r="F4108">
        <v>2</v>
      </c>
      <c r="G4108">
        <v>0.2</v>
      </c>
      <c r="H4108" s="2">
        <v>2.4009999999999998</v>
      </c>
      <c r="I4108" s="2">
        <v>27.439999999999998</v>
      </c>
    </row>
    <row r="4109" spans="2:9" x14ac:dyDescent="0.3">
      <c r="C4109" t="s">
        <v>27</v>
      </c>
      <c r="D4109" t="s">
        <v>17</v>
      </c>
      <c r="E4109" t="s">
        <v>21</v>
      </c>
      <c r="F4109">
        <v>2</v>
      </c>
      <c r="G4109">
        <v>0</v>
      </c>
      <c r="H4109" s="2">
        <v>14.500999999999991</v>
      </c>
      <c r="I4109" s="2">
        <v>85.3</v>
      </c>
    </row>
    <row r="4110" spans="2:9" x14ac:dyDescent="0.3">
      <c r="C4110" t="s">
        <v>7</v>
      </c>
      <c r="D4110" t="s">
        <v>8</v>
      </c>
      <c r="E4110" t="s">
        <v>20</v>
      </c>
      <c r="F4110">
        <v>5</v>
      </c>
      <c r="G4110">
        <v>0</v>
      </c>
      <c r="H4110" s="2">
        <v>13.919999999999998</v>
      </c>
      <c r="I4110" s="2">
        <v>29</v>
      </c>
    </row>
    <row r="4111" spans="2:9" x14ac:dyDescent="0.3">
      <c r="E4111" t="s">
        <v>18</v>
      </c>
      <c r="F4111">
        <v>4</v>
      </c>
      <c r="G4111">
        <v>0</v>
      </c>
      <c r="H4111" s="2">
        <v>5.2559999999999993</v>
      </c>
      <c r="I4111" s="2">
        <v>11.68</v>
      </c>
    </row>
    <row r="4112" spans="2:9" x14ac:dyDescent="0.3">
      <c r="E4112" t="s">
        <v>16</v>
      </c>
      <c r="F4112">
        <v>12</v>
      </c>
      <c r="G4112">
        <v>0</v>
      </c>
      <c r="H4112" s="2">
        <v>96.948300000000003</v>
      </c>
      <c r="I4112" s="2">
        <v>204.51</v>
      </c>
    </row>
    <row r="4113" spans="2:9" x14ac:dyDescent="0.3">
      <c r="E4113" t="s">
        <v>24</v>
      </c>
      <c r="F4113">
        <v>3</v>
      </c>
      <c r="G4113">
        <v>0</v>
      </c>
      <c r="H4113" s="2">
        <v>28.785599999999995</v>
      </c>
      <c r="I4113" s="2">
        <v>59.97</v>
      </c>
    </row>
    <row r="4114" spans="2:9" x14ac:dyDescent="0.3">
      <c r="E4114" t="s">
        <v>25</v>
      </c>
      <c r="F4114">
        <v>1</v>
      </c>
      <c r="G4114">
        <v>0.3</v>
      </c>
      <c r="H4114" s="2">
        <v>20.966999999999999</v>
      </c>
      <c r="I4114" s="2">
        <v>244.61499999999998</v>
      </c>
    </row>
    <row r="4115" spans="2:9" x14ac:dyDescent="0.3">
      <c r="C4115" t="s">
        <v>22</v>
      </c>
      <c r="D4115" t="s">
        <v>8</v>
      </c>
      <c r="E4115" t="s">
        <v>23</v>
      </c>
      <c r="F4115">
        <v>4</v>
      </c>
      <c r="G4115">
        <v>0.2</v>
      </c>
      <c r="H4115" s="2">
        <v>2.7191999999999901</v>
      </c>
      <c r="I4115" s="2">
        <v>108.76800000000001</v>
      </c>
    </row>
    <row r="4116" spans="2:9" x14ac:dyDescent="0.3">
      <c r="E4116" t="s">
        <v>19</v>
      </c>
      <c r="F4116">
        <v>5</v>
      </c>
      <c r="G4116">
        <v>0.2</v>
      </c>
      <c r="H4116" s="2">
        <v>1.7115</v>
      </c>
      <c r="I4116" s="2">
        <v>19.559999999999999</v>
      </c>
    </row>
    <row r="4117" spans="2:9" x14ac:dyDescent="0.3">
      <c r="E4117" t="s">
        <v>20</v>
      </c>
      <c r="F4117">
        <v>4</v>
      </c>
      <c r="G4117">
        <v>0.8</v>
      </c>
      <c r="H4117" s="2">
        <v>-4.4880000000000013</v>
      </c>
      <c r="I4117" s="2">
        <v>2.9919999999999995</v>
      </c>
    </row>
    <row r="4118" spans="2:9" x14ac:dyDescent="0.3">
      <c r="E4118" t="s">
        <v>43</v>
      </c>
      <c r="F4118">
        <v>6</v>
      </c>
      <c r="G4118">
        <v>0.2</v>
      </c>
      <c r="H4118" s="2">
        <v>6.4427999999999992</v>
      </c>
      <c r="I4118" s="2">
        <v>19.824000000000002</v>
      </c>
    </row>
    <row r="4119" spans="2:9" x14ac:dyDescent="0.3">
      <c r="E4119" t="s">
        <v>16</v>
      </c>
      <c r="F4119">
        <v>5</v>
      </c>
      <c r="G4119">
        <v>0</v>
      </c>
      <c r="H4119" s="2">
        <v>12.863800000000001</v>
      </c>
      <c r="I4119" s="2">
        <v>27.64</v>
      </c>
    </row>
    <row r="4120" spans="2:9" x14ac:dyDescent="0.3">
      <c r="D4120" t="s">
        <v>17</v>
      </c>
      <c r="E4120" t="s">
        <v>23</v>
      </c>
      <c r="F4120">
        <v>10</v>
      </c>
      <c r="G4120">
        <v>0</v>
      </c>
      <c r="H4120" s="2">
        <v>93.203999999999994</v>
      </c>
      <c r="I4120" s="2">
        <v>258.89999999999998</v>
      </c>
    </row>
    <row r="4121" spans="2:9" x14ac:dyDescent="0.3">
      <c r="E4121" t="s">
        <v>16</v>
      </c>
      <c r="F4121">
        <v>2</v>
      </c>
      <c r="G4121">
        <v>0</v>
      </c>
      <c r="H4121" s="2">
        <v>11.543199999999999</v>
      </c>
      <c r="I4121" s="2">
        <v>24.56</v>
      </c>
    </row>
    <row r="4122" spans="2:9" x14ac:dyDescent="0.3">
      <c r="B4122" t="s">
        <v>424</v>
      </c>
      <c r="C4122" t="s">
        <v>11</v>
      </c>
      <c r="D4122" t="s">
        <v>15</v>
      </c>
      <c r="E4122" t="s">
        <v>12</v>
      </c>
      <c r="F4122">
        <v>4</v>
      </c>
      <c r="G4122">
        <v>0.2</v>
      </c>
      <c r="H4122" s="2">
        <v>94.278400000000033</v>
      </c>
      <c r="I4122" s="2">
        <v>942.78400000000011</v>
      </c>
    </row>
    <row r="4123" spans="2:9" x14ac:dyDescent="0.3">
      <c r="E4123" t="s">
        <v>20</v>
      </c>
      <c r="F4123">
        <v>2</v>
      </c>
      <c r="G4123">
        <v>0.7</v>
      </c>
      <c r="H4123" s="2">
        <v>-2.3136000000000001</v>
      </c>
      <c r="I4123" s="2">
        <v>2.8920000000000008</v>
      </c>
    </row>
    <row r="4124" spans="2:9" x14ac:dyDescent="0.3">
      <c r="E4124" t="s">
        <v>21</v>
      </c>
      <c r="F4124">
        <v>10</v>
      </c>
      <c r="G4124">
        <v>0.2</v>
      </c>
      <c r="H4124" s="2">
        <v>45.954000000000008</v>
      </c>
      <c r="I4124" s="2">
        <v>159.84000000000003</v>
      </c>
    </row>
    <row r="4125" spans="2:9" x14ac:dyDescent="0.3">
      <c r="E4125" t="s">
        <v>16</v>
      </c>
      <c r="F4125">
        <v>5</v>
      </c>
      <c r="G4125">
        <v>0.4</v>
      </c>
      <c r="H4125" s="2">
        <v>26.522199999999991</v>
      </c>
      <c r="I4125" s="2">
        <v>83.744</v>
      </c>
    </row>
    <row r="4126" spans="2:9" x14ac:dyDescent="0.3">
      <c r="E4126" t="s">
        <v>24</v>
      </c>
      <c r="F4126">
        <v>1</v>
      </c>
      <c r="G4126">
        <v>0.2</v>
      </c>
      <c r="H4126" s="2">
        <v>8.3519999999999932</v>
      </c>
      <c r="I4126" s="2">
        <v>74.239999999999995</v>
      </c>
    </row>
    <row r="4127" spans="2:9" x14ac:dyDescent="0.3">
      <c r="C4127" t="s">
        <v>27</v>
      </c>
      <c r="D4127" t="s">
        <v>8</v>
      </c>
      <c r="E4127" t="s">
        <v>24</v>
      </c>
      <c r="F4127">
        <v>9</v>
      </c>
      <c r="G4127">
        <v>0.2</v>
      </c>
      <c r="H4127" s="2">
        <v>86.392799999999994</v>
      </c>
      <c r="I4127" s="2">
        <v>863.928</v>
      </c>
    </row>
    <row r="4128" spans="2:9" x14ac:dyDescent="0.3">
      <c r="C4128" t="s">
        <v>7</v>
      </c>
      <c r="D4128" t="s">
        <v>8</v>
      </c>
      <c r="E4128" t="s">
        <v>33</v>
      </c>
      <c r="F4128">
        <v>4</v>
      </c>
      <c r="G4128">
        <v>0.2</v>
      </c>
      <c r="H4128" s="2">
        <v>12.177999999999983</v>
      </c>
      <c r="I4128" s="2">
        <v>194.84800000000001</v>
      </c>
    </row>
    <row r="4129" spans="2:9" x14ac:dyDescent="0.3">
      <c r="E4129" t="s">
        <v>43</v>
      </c>
      <c r="F4129">
        <v>2</v>
      </c>
      <c r="G4129">
        <v>0.2</v>
      </c>
      <c r="H4129" s="2">
        <v>1.6704000000000001</v>
      </c>
      <c r="I4129" s="2">
        <v>4.6079999999999997</v>
      </c>
    </row>
    <row r="4130" spans="2:9" x14ac:dyDescent="0.3">
      <c r="D4130" t="s">
        <v>17</v>
      </c>
      <c r="E4130" t="s">
        <v>21</v>
      </c>
      <c r="F4130">
        <v>8</v>
      </c>
      <c r="G4130">
        <v>0.2</v>
      </c>
      <c r="H4130" s="2">
        <v>6.2855999999999987</v>
      </c>
      <c r="I4130" s="2">
        <v>18.624000000000002</v>
      </c>
    </row>
    <row r="4131" spans="2:9" x14ac:dyDescent="0.3">
      <c r="E4131" t="s">
        <v>24</v>
      </c>
      <c r="F4131">
        <v>6</v>
      </c>
      <c r="G4131">
        <v>0.60000000000000009</v>
      </c>
      <c r="H4131" s="2">
        <v>160.53139999999979</v>
      </c>
      <c r="I4131" s="2">
        <v>1636.6880000000001</v>
      </c>
    </row>
    <row r="4132" spans="2:9" x14ac:dyDescent="0.3">
      <c r="C4132" t="s">
        <v>22</v>
      </c>
      <c r="D4132" t="s">
        <v>8</v>
      </c>
      <c r="E4132" t="s">
        <v>23</v>
      </c>
      <c r="F4132">
        <v>2</v>
      </c>
      <c r="G4132">
        <v>0.2</v>
      </c>
      <c r="H4132" s="2">
        <v>13.195600000000001</v>
      </c>
      <c r="I4132" s="2">
        <v>47.984000000000002</v>
      </c>
    </row>
    <row r="4133" spans="2:9" x14ac:dyDescent="0.3">
      <c r="E4133" t="s">
        <v>19</v>
      </c>
      <c r="F4133">
        <v>3</v>
      </c>
      <c r="G4133">
        <v>0.2</v>
      </c>
      <c r="H4133" s="2">
        <v>5.9519999999999946</v>
      </c>
      <c r="I4133" s="2">
        <v>47.616</v>
      </c>
    </row>
    <row r="4134" spans="2:9" x14ac:dyDescent="0.3">
      <c r="E4134" t="s">
        <v>20</v>
      </c>
      <c r="F4134">
        <v>7</v>
      </c>
      <c r="G4134">
        <v>0.7</v>
      </c>
      <c r="H4134" s="2">
        <v>-24.662400000000005</v>
      </c>
      <c r="I4134" s="2">
        <v>30.828000000000007</v>
      </c>
    </row>
    <row r="4135" spans="2:9" x14ac:dyDescent="0.3">
      <c r="E4135" t="s">
        <v>21</v>
      </c>
      <c r="F4135">
        <v>3</v>
      </c>
      <c r="G4135">
        <v>0.2</v>
      </c>
      <c r="H4135" s="2">
        <v>12.114900000000002</v>
      </c>
      <c r="I4135" s="2">
        <v>46.152000000000001</v>
      </c>
    </row>
    <row r="4136" spans="2:9" x14ac:dyDescent="0.3">
      <c r="E4136" t="s">
        <v>16</v>
      </c>
      <c r="F4136">
        <v>1</v>
      </c>
      <c r="G4136">
        <v>0.2</v>
      </c>
      <c r="H4136" s="2">
        <v>1.6762000000000001</v>
      </c>
      <c r="I4136" s="2">
        <v>4.6240000000000006</v>
      </c>
    </row>
    <row r="4137" spans="2:9" x14ac:dyDescent="0.3">
      <c r="E4137" t="s">
        <v>24</v>
      </c>
      <c r="F4137">
        <v>5</v>
      </c>
      <c r="G4137">
        <v>0.4</v>
      </c>
      <c r="H4137" s="2">
        <v>30.844899999999981</v>
      </c>
      <c r="I4137" s="2">
        <v>286.26400000000001</v>
      </c>
    </row>
    <row r="4138" spans="2:9" x14ac:dyDescent="0.3">
      <c r="D4138" t="s">
        <v>15</v>
      </c>
      <c r="E4138" t="s">
        <v>12</v>
      </c>
      <c r="F4138">
        <v>1</v>
      </c>
      <c r="G4138">
        <v>0.2</v>
      </c>
      <c r="H4138" s="2">
        <v>3.6587999999999976</v>
      </c>
      <c r="I4138" s="2">
        <v>48.783999999999999</v>
      </c>
    </row>
    <row r="4139" spans="2:9" x14ac:dyDescent="0.3">
      <c r="E4139" t="s">
        <v>20</v>
      </c>
      <c r="F4139">
        <v>4</v>
      </c>
      <c r="G4139">
        <v>0.7</v>
      </c>
      <c r="H4139" s="2">
        <v>-10.037199999999999</v>
      </c>
      <c r="I4139" s="2">
        <v>13.092000000000002</v>
      </c>
    </row>
    <row r="4140" spans="2:9" x14ac:dyDescent="0.3">
      <c r="B4140" t="s">
        <v>425</v>
      </c>
      <c r="C4140" t="s">
        <v>7</v>
      </c>
      <c r="D4140" t="s">
        <v>8</v>
      </c>
      <c r="E4140" t="s">
        <v>12</v>
      </c>
      <c r="F4140">
        <v>3</v>
      </c>
      <c r="G4140">
        <v>0</v>
      </c>
      <c r="H4140" s="2">
        <v>41.293800000000005</v>
      </c>
      <c r="I4140" s="2">
        <v>152.94</v>
      </c>
    </row>
    <row r="4141" spans="2:9" x14ac:dyDescent="0.3">
      <c r="C4141" t="s">
        <v>22</v>
      </c>
      <c r="D4141" t="s">
        <v>8</v>
      </c>
      <c r="E4141" t="s">
        <v>20</v>
      </c>
      <c r="F4141">
        <v>3</v>
      </c>
      <c r="G4141">
        <v>0.2</v>
      </c>
      <c r="H4141" s="2">
        <v>11.138399999999999</v>
      </c>
      <c r="I4141" s="2">
        <v>34.271999999999998</v>
      </c>
    </row>
    <row r="4142" spans="2:9" x14ac:dyDescent="0.3">
      <c r="E4142" t="s">
        <v>16</v>
      </c>
      <c r="F4142">
        <v>6</v>
      </c>
      <c r="G4142">
        <v>0</v>
      </c>
      <c r="H4142" s="2">
        <v>18.662400000000002</v>
      </c>
      <c r="I4142" s="2">
        <v>38.880000000000003</v>
      </c>
    </row>
    <row r="4143" spans="2:9" x14ac:dyDescent="0.3">
      <c r="D4143" t="s">
        <v>15</v>
      </c>
      <c r="E4143" t="s">
        <v>43</v>
      </c>
      <c r="F4143">
        <v>2</v>
      </c>
      <c r="G4143">
        <v>0</v>
      </c>
      <c r="H4143" s="2">
        <v>2.6495999999999995</v>
      </c>
      <c r="I4143" s="2">
        <v>5.76</v>
      </c>
    </row>
    <row r="4144" spans="2:9" x14ac:dyDescent="0.3">
      <c r="B4144" t="s">
        <v>426</v>
      </c>
      <c r="C4144" t="s">
        <v>11</v>
      </c>
      <c r="D4144" t="s">
        <v>15</v>
      </c>
      <c r="E4144" t="s">
        <v>20</v>
      </c>
      <c r="F4144">
        <v>2</v>
      </c>
      <c r="G4144">
        <v>0</v>
      </c>
      <c r="H4144" s="2">
        <v>5.0195999999999996</v>
      </c>
      <c r="I4144" s="2">
        <v>10.68</v>
      </c>
    </row>
    <row r="4145" spans="2:9" x14ac:dyDescent="0.3">
      <c r="E4145" t="s">
        <v>34</v>
      </c>
      <c r="F4145">
        <v>2</v>
      </c>
      <c r="G4145">
        <v>0</v>
      </c>
      <c r="H4145" s="2">
        <v>39.748800000000003</v>
      </c>
      <c r="I4145" s="2">
        <v>141.96</v>
      </c>
    </row>
    <row r="4146" spans="2:9" x14ac:dyDescent="0.3">
      <c r="B4146" t="s">
        <v>427</v>
      </c>
      <c r="C4146" t="s">
        <v>7</v>
      </c>
      <c r="D4146" t="s">
        <v>8</v>
      </c>
      <c r="E4146" t="s">
        <v>38</v>
      </c>
      <c r="F4146">
        <v>3</v>
      </c>
      <c r="G4146">
        <v>0.2</v>
      </c>
      <c r="H4146" s="2">
        <v>2.8781999999999992</v>
      </c>
      <c r="I4146" s="2">
        <v>8.8559999999999999</v>
      </c>
    </row>
    <row r="4147" spans="2:9" x14ac:dyDescent="0.3">
      <c r="E4147" t="s">
        <v>21</v>
      </c>
      <c r="F4147">
        <v>5</v>
      </c>
      <c r="G4147">
        <v>0.2</v>
      </c>
      <c r="H4147" s="2">
        <v>-30.392000000000024</v>
      </c>
      <c r="I4147" s="2">
        <v>303.92</v>
      </c>
    </row>
    <row r="4148" spans="2:9" x14ac:dyDescent="0.3">
      <c r="D4148" t="s">
        <v>15</v>
      </c>
      <c r="E4148" t="s">
        <v>34</v>
      </c>
      <c r="F4148">
        <v>4</v>
      </c>
      <c r="G4148">
        <v>0.5</v>
      </c>
      <c r="H4148" s="2">
        <v>-250.54079999999999</v>
      </c>
      <c r="I4148" s="2">
        <v>521.96</v>
      </c>
    </row>
    <row r="4149" spans="2:9" x14ac:dyDescent="0.3">
      <c r="E4149" t="s">
        <v>21</v>
      </c>
      <c r="F4149">
        <v>2</v>
      </c>
      <c r="G4149">
        <v>0.2</v>
      </c>
      <c r="H4149" s="2">
        <v>7.7896000000000001</v>
      </c>
      <c r="I4149" s="2">
        <v>23.968000000000004</v>
      </c>
    </row>
    <row r="4150" spans="2:9" x14ac:dyDescent="0.3">
      <c r="C4150" t="s">
        <v>22</v>
      </c>
      <c r="D4150" t="s">
        <v>15</v>
      </c>
      <c r="E4150" t="s">
        <v>14</v>
      </c>
      <c r="F4150">
        <v>2</v>
      </c>
      <c r="G4150">
        <v>0.2</v>
      </c>
      <c r="H4150" s="2">
        <v>1.5007999999999999</v>
      </c>
      <c r="I4150" s="2">
        <v>15.008000000000003</v>
      </c>
    </row>
    <row r="4151" spans="2:9" x14ac:dyDescent="0.3">
      <c r="B4151" t="s">
        <v>428</v>
      </c>
      <c r="C4151" t="s">
        <v>22</v>
      </c>
      <c r="D4151" t="s">
        <v>8</v>
      </c>
      <c r="E4151" t="s">
        <v>24</v>
      </c>
      <c r="F4151">
        <v>3</v>
      </c>
      <c r="G4151">
        <v>0.2</v>
      </c>
      <c r="H4151" s="2">
        <v>25.018199999999993</v>
      </c>
      <c r="I4151" s="2">
        <v>333.57600000000002</v>
      </c>
    </row>
    <row r="4152" spans="2:9" x14ac:dyDescent="0.3">
      <c r="B4152" t="s">
        <v>429</v>
      </c>
      <c r="C4152" t="s">
        <v>27</v>
      </c>
      <c r="D4152" t="s">
        <v>8</v>
      </c>
      <c r="E4152" t="s">
        <v>19</v>
      </c>
      <c r="F4152">
        <v>8</v>
      </c>
      <c r="G4152">
        <v>0</v>
      </c>
      <c r="H4152" s="2">
        <v>14.712000000000002</v>
      </c>
      <c r="I4152" s="2">
        <v>40.44</v>
      </c>
    </row>
    <row r="4153" spans="2:9" x14ac:dyDescent="0.3">
      <c r="E4153" t="s">
        <v>20</v>
      </c>
      <c r="F4153">
        <v>3</v>
      </c>
      <c r="G4153">
        <v>0.2</v>
      </c>
      <c r="H4153" s="2">
        <v>124.48499999999999</v>
      </c>
      <c r="I4153" s="2">
        <v>398.35199999999998</v>
      </c>
    </row>
    <row r="4154" spans="2:9" x14ac:dyDescent="0.3">
      <c r="E4154" t="s">
        <v>34</v>
      </c>
      <c r="F4154">
        <v>1</v>
      </c>
      <c r="G4154">
        <v>0.15</v>
      </c>
      <c r="H4154" s="2">
        <v>20.03919999999998</v>
      </c>
      <c r="I4154" s="2">
        <v>425.83300000000003</v>
      </c>
    </row>
    <row r="4155" spans="2:9" x14ac:dyDescent="0.3">
      <c r="E4155" t="s">
        <v>33</v>
      </c>
      <c r="F4155">
        <v>4</v>
      </c>
      <c r="G4155">
        <v>0.2</v>
      </c>
      <c r="H4155" s="2">
        <v>20.196000000000012</v>
      </c>
      <c r="I4155" s="2">
        <v>323.13600000000002</v>
      </c>
    </row>
    <row r="4156" spans="2:9" x14ac:dyDescent="0.3">
      <c r="E4156" t="s">
        <v>18</v>
      </c>
      <c r="F4156">
        <v>5</v>
      </c>
      <c r="G4156">
        <v>0</v>
      </c>
      <c r="H4156" s="2">
        <v>8.0269999999999992</v>
      </c>
      <c r="I4156" s="2">
        <v>17.450000000000003</v>
      </c>
    </row>
    <row r="4157" spans="2:9" x14ac:dyDescent="0.3">
      <c r="E4157" t="s">
        <v>43</v>
      </c>
      <c r="F4157">
        <v>3</v>
      </c>
      <c r="G4157">
        <v>0</v>
      </c>
      <c r="H4157" s="2">
        <v>3.6017999999999999</v>
      </c>
      <c r="I4157" s="2">
        <v>7.83</v>
      </c>
    </row>
    <row r="4158" spans="2:9" x14ac:dyDescent="0.3">
      <c r="E4158" t="s">
        <v>16</v>
      </c>
      <c r="F4158">
        <v>6</v>
      </c>
      <c r="G4158">
        <v>0</v>
      </c>
      <c r="H4158" s="2">
        <v>22.845599999999997</v>
      </c>
      <c r="I4158" s="2">
        <v>49.88</v>
      </c>
    </row>
    <row r="4159" spans="2:9" x14ac:dyDescent="0.3">
      <c r="E4159" t="s">
        <v>24</v>
      </c>
      <c r="F4159">
        <v>4</v>
      </c>
      <c r="G4159">
        <v>0.2</v>
      </c>
      <c r="H4159" s="2">
        <v>145.78199999999993</v>
      </c>
      <c r="I4159" s="2">
        <v>1295.8400000000001</v>
      </c>
    </row>
    <row r="4160" spans="2:9" x14ac:dyDescent="0.3">
      <c r="E4160" t="s">
        <v>14</v>
      </c>
      <c r="F4160">
        <v>5</v>
      </c>
      <c r="G4160">
        <v>0</v>
      </c>
      <c r="H4160" s="2">
        <v>26.5383</v>
      </c>
      <c r="I4160" s="2">
        <v>98.289999999999992</v>
      </c>
    </row>
    <row r="4161" spans="2:9" x14ac:dyDescent="0.3">
      <c r="E4161" t="s">
        <v>9</v>
      </c>
      <c r="F4161">
        <v>3</v>
      </c>
      <c r="G4161">
        <v>0</v>
      </c>
      <c r="H4161" s="2">
        <v>8.0190000000000001</v>
      </c>
      <c r="I4161" s="2">
        <v>29.700000000000003</v>
      </c>
    </row>
    <row r="4162" spans="2:9" x14ac:dyDescent="0.3">
      <c r="C4162" t="s">
        <v>22</v>
      </c>
      <c r="D4162" t="s">
        <v>8</v>
      </c>
      <c r="E4162" t="s">
        <v>19</v>
      </c>
      <c r="F4162">
        <v>9</v>
      </c>
      <c r="G4162">
        <v>0</v>
      </c>
      <c r="H4162" s="2">
        <v>48.964500000000001</v>
      </c>
      <c r="I4162" s="2">
        <v>181.35</v>
      </c>
    </row>
    <row r="4163" spans="2:9" x14ac:dyDescent="0.3">
      <c r="E4163" t="s">
        <v>43</v>
      </c>
      <c r="F4163">
        <v>3</v>
      </c>
      <c r="G4163">
        <v>0</v>
      </c>
      <c r="H4163" s="2">
        <v>4.2336</v>
      </c>
      <c r="I4163" s="2">
        <v>8.64</v>
      </c>
    </row>
    <row r="4164" spans="2:9" x14ac:dyDescent="0.3">
      <c r="D4164" t="s">
        <v>15</v>
      </c>
      <c r="E4164" t="s">
        <v>38</v>
      </c>
      <c r="F4164">
        <v>7</v>
      </c>
      <c r="G4164">
        <v>0</v>
      </c>
      <c r="H4164" s="2">
        <v>6.7115999999999989</v>
      </c>
      <c r="I4164" s="2">
        <v>14.280000000000001</v>
      </c>
    </row>
    <row r="4165" spans="2:9" x14ac:dyDescent="0.3">
      <c r="B4165" t="s">
        <v>430</v>
      </c>
      <c r="C4165" t="s">
        <v>11</v>
      </c>
      <c r="D4165" t="s">
        <v>15</v>
      </c>
      <c r="E4165" t="s">
        <v>20</v>
      </c>
      <c r="F4165">
        <v>7</v>
      </c>
      <c r="G4165">
        <v>0.7</v>
      </c>
      <c r="H4165" s="2">
        <v>-58.71599999999998</v>
      </c>
      <c r="I4165" s="2">
        <v>88.074000000000012</v>
      </c>
    </row>
    <row r="4166" spans="2:9" x14ac:dyDescent="0.3">
      <c r="C4166" t="s">
        <v>22</v>
      </c>
      <c r="D4166" t="s">
        <v>8</v>
      </c>
      <c r="E4166" t="s">
        <v>23</v>
      </c>
      <c r="F4166">
        <v>1</v>
      </c>
      <c r="G4166">
        <v>0</v>
      </c>
      <c r="H4166" s="2">
        <v>6.796599999999998</v>
      </c>
      <c r="I4166" s="2">
        <v>19.989999999999998</v>
      </c>
    </row>
    <row r="4167" spans="2:9" x14ac:dyDescent="0.3">
      <c r="E4167" t="s">
        <v>12</v>
      </c>
      <c r="F4167">
        <v>4</v>
      </c>
      <c r="G4167">
        <v>0.2</v>
      </c>
      <c r="H4167" s="2">
        <v>15.015599999999985</v>
      </c>
      <c r="I4167" s="2">
        <v>133.47200000000001</v>
      </c>
    </row>
    <row r="4168" spans="2:9" x14ac:dyDescent="0.3">
      <c r="E4168" t="s">
        <v>20</v>
      </c>
      <c r="F4168">
        <v>15</v>
      </c>
      <c r="G4168">
        <v>0.89999999999999991</v>
      </c>
      <c r="H4168" s="2">
        <v>-17.033999999999992</v>
      </c>
      <c r="I4168" s="2">
        <v>54.24</v>
      </c>
    </row>
    <row r="4169" spans="2:9" x14ac:dyDescent="0.3">
      <c r="E4169" t="s">
        <v>21</v>
      </c>
      <c r="F4169">
        <v>5</v>
      </c>
      <c r="G4169">
        <v>0.4</v>
      </c>
      <c r="H4169" s="2">
        <v>7.949600000000002</v>
      </c>
      <c r="I4169" s="2">
        <v>34.624000000000002</v>
      </c>
    </row>
    <row r="4170" spans="2:9" x14ac:dyDescent="0.3">
      <c r="E4170" t="s">
        <v>24</v>
      </c>
      <c r="F4170">
        <v>11</v>
      </c>
      <c r="G4170">
        <v>0.4</v>
      </c>
      <c r="H4170" s="2">
        <v>6.869800000000005</v>
      </c>
      <c r="I4170" s="2">
        <v>578.31200000000013</v>
      </c>
    </row>
    <row r="4171" spans="2:9" x14ac:dyDescent="0.3">
      <c r="D4171" t="s">
        <v>15</v>
      </c>
      <c r="E4171" t="s">
        <v>25</v>
      </c>
      <c r="F4171">
        <v>5</v>
      </c>
      <c r="G4171">
        <v>0.5</v>
      </c>
      <c r="H4171" s="2">
        <v>-120.51299999999998</v>
      </c>
      <c r="I4171" s="2">
        <v>177.22499999999999</v>
      </c>
    </row>
    <row r="4172" spans="2:9" x14ac:dyDescent="0.3">
      <c r="D4172" t="s">
        <v>17</v>
      </c>
      <c r="E4172" t="s">
        <v>43</v>
      </c>
      <c r="F4172">
        <v>4</v>
      </c>
      <c r="G4172">
        <v>0</v>
      </c>
      <c r="H4172" s="2">
        <v>5.9135999999999997</v>
      </c>
      <c r="I4172" s="2">
        <v>12.32</v>
      </c>
    </row>
    <row r="4173" spans="2:9" x14ac:dyDescent="0.3">
      <c r="B4173" t="s">
        <v>431</v>
      </c>
      <c r="C4173" t="s">
        <v>11</v>
      </c>
      <c r="D4173" t="s">
        <v>8</v>
      </c>
      <c r="E4173" t="s">
        <v>20</v>
      </c>
      <c r="F4173">
        <v>2</v>
      </c>
      <c r="G4173">
        <v>0.2</v>
      </c>
      <c r="H4173" s="2">
        <v>3.9419999999999993</v>
      </c>
      <c r="I4173" s="2">
        <v>11.68</v>
      </c>
    </row>
    <row r="4174" spans="2:9" x14ac:dyDescent="0.3">
      <c r="E4174" t="s">
        <v>18</v>
      </c>
      <c r="F4174">
        <v>2</v>
      </c>
      <c r="G4174">
        <v>0</v>
      </c>
      <c r="H4174" s="2">
        <v>1.7876000000000003</v>
      </c>
      <c r="I4174" s="2">
        <v>4.3600000000000003</v>
      </c>
    </row>
    <row r="4175" spans="2:9" x14ac:dyDescent="0.3">
      <c r="E4175" t="s">
        <v>16</v>
      </c>
      <c r="F4175">
        <v>2</v>
      </c>
      <c r="G4175">
        <v>0</v>
      </c>
      <c r="H4175" s="2">
        <v>46.118399999999994</v>
      </c>
      <c r="I4175" s="2">
        <v>96.08</v>
      </c>
    </row>
    <row r="4176" spans="2:9" x14ac:dyDescent="0.3">
      <c r="C4176" t="s">
        <v>22</v>
      </c>
      <c r="D4176" t="s">
        <v>8</v>
      </c>
      <c r="E4176" t="s">
        <v>38</v>
      </c>
      <c r="F4176">
        <v>1</v>
      </c>
      <c r="G4176">
        <v>0</v>
      </c>
      <c r="H4176" s="2">
        <v>3.7435999999999998</v>
      </c>
      <c r="I4176" s="2">
        <v>7.64</v>
      </c>
    </row>
    <row r="4177" spans="2:9" x14ac:dyDescent="0.3">
      <c r="D4177" t="s">
        <v>15</v>
      </c>
      <c r="E4177" t="s">
        <v>20</v>
      </c>
      <c r="F4177">
        <v>7</v>
      </c>
      <c r="G4177">
        <v>0.2</v>
      </c>
      <c r="H4177" s="2">
        <v>6.5569000000000006</v>
      </c>
      <c r="I4177" s="2">
        <v>18.088000000000001</v>
      </c>
    </row>
    <row r="4178" spans="2:9" x14ac:dyDescent="0.3">
      <c r="E4178" t="s">
        <v>34</v>
      </c>
      <c r="F4178">
        <v>3</v>
      </c>
      <c r="G4178">
        <v>0.15</v>
      </c>
      <c r="H4178" s="2">
        <v>-18.146999999999998</v>
      </c>
      <c r="I4178" s="2">
        <v>308.49900000000002</v>
      </c>
    </row>
    <row r="4179" spans="2:9" x14ac:dyDescent="0.3">
      <c r="E4179" t="s">
        <v>24</v>
      </c>
      <c r="F4179">
        <v>18</v>
      </c>
      <c r="G4179">
        <v>0.4</v>
      </c>
      <c r="H4179" s="2">
        <v>132.42739999999995</v>
      </c>
      <c r="I4179" s="2">
        <v>1513.4560000000001</v>
      </c>
    </row>
    <row r="4180" spans="2:9" x14ac:dyDescent="0.3">
      <c r="B4180" t="s">
        <v>432</v>
      </c>
      <c r="C4180" t="s">
        <v>22</v>
      </c>
      <c r="D4180" t="s">
        <v>15</v>
      </c>
      <c r="E4180" t="s">
        <v>20</v>
      </c>
      <c r="F4180">
        <v>6</v>
      </c>
      <c r="G4180">
        <v>0.2</v>
      </c>
      <c r="H4180" s="2">
        <v>14.142599999999996</v>
      </c>
      <c r="I4180" s="2">
        <v>41.904000000000003</v>
      </c>
    </row>
    <row r="4181" spans="2:9" x14ac:dyDescent="0.3">
      <c r="B4181" t="s">
        <v>433</v>
      </c>
      <c r="C4181" t="s">
        <v>27</v>
      </c>
      <c r="D4181" t="s">
        <v>17</v>
      </c>
      <c r="E4181" t="s">
        <v>24</v>
      </c>
      <c r="F4181">
        <v>7</v>
      </c>
      <c r="G4181">
        <v>0.2</v>
      </c>
      <c r="H4181" s="2">
        <v>59.492999999999952</v>
      </c>
      <c r="I4181" s="2">
        <v>475.94400000000002</v>
      </c>
    </row>
    <row r="4182" spans="2:9" x14ac:dyDescent="0.3">
      <c r="C4182" t="s">
        <v>22</v>
      </c>
      <c r="D4182" t="s">
        <v>15</v>
      </c>
      <c r="E4182" t="s">
        <v>19</v>
      </c>
      <c r="F4182">
        <v>2</v>
      </c>
      <c r="G4182">
        <v>0</v>
      </c>
      <c r="H4182" s="2">
        <v>1.6379999999999999</v>
      </c>
      <c r="I4182" s="2">
        <v>3.64</v>
      </c>
    </row>
    <row r="4183" spans="2:9" x14ac:dyDescent="0.3">
      <c r="E4183" t="s">
        <v>20</v>
      </c>
      <c r="F4183">
        <v>7</v>
      </c>
      <c r="G4183">
        <v>0.2</v>
      </c>
      <c r="H4183" s="2">
        <v>53.921700000000008</v>
      </c>
      <c r="I4183" s="2">
        <v>159.768</v>
      </c>
    </row>
    <row r="4184" spans="2:9" x14ac:dyDescent="0.3">
      <c r="D4184" t="s">
        <v>17</v>
      </c>
      <c r="E4184" t="s">
        <v>18</v>
      </c>
      <c r="F4184">
        <v>1</v>
      </c>
      <c r="G4184">
        <v>0</v>
      </c>
      <c r="H4184" s="2">
        <v>0</v>
      </c>
      <c r="I4184" s="2">
        <v>4.71</v>
      </c>
    </row>
    <row r="4185" spans="2:9" x14ac:dyDescent="0.3">
      <c r="B4185" t="s">
        <v>434</v>
      </c>
      <c r="C4185" t="s">
        <v>22</v>
      </c>
      <c r="D4185" t="s">
        <v>8</v>
      </c>
      <c r="E4185" t="s">
        <v>20</v>
      </c>
      <c r="F4185">
        <v>5</v>
      </c>
      <c r="G4185">
        <v>0.2</v>
      </c>
      <c r="H4185" s="2">
        <v>56.55</v>
      </c>
      <c r="I4185" s="2">
        <v>150.80000000000001</v>
      </c>
    </row>
    <row r="4186" spans="2:9" x14ac:dyDescent="0.3">
      <c r="E4186" t="s">
        <v>46</v>
      </c>
      <c r="F4186">
        <v>1</v>
      </c>
      <c r="G4186">
        <v>0.2</v>
      </c>
      <c r="H4186" s="2">
        <v>103.99920000000003</v>
      </c>
      <c r="I4186" s="2">
        <v>1039.992</v>
      </c>
    </row>
    <row r="4187" spans="2:9" x14ac:dyDescent="0.3">
      <c r="E4187" t="s">
        <v>16</v>
      </c>
      <c r="F4187">
        <v>8</v>
      </c>
      <c r="G4187">
        <v>0</v>
      </c>
      <c r="H4187" s="2">
        <v>24.883200000000002</v>
      </c>
      <c r="I4187" s="2">
        <v>51.84</v>
      </c>
    </row>
    <row r="4188" spans="2:9" x14ac:dyDescent="0.3">
      <c r="B4188" t="s">
        <v>435</v>
      </c>
      <c r="C4188" t="s">
        <v>22</v>
      </c>
      <c r="D4188" t="s">
        <v>15</v>
      </c>
      <c r="E4188" t="s">
        <v>12</v>
      </c>
      <c r="F4188">
        <v>2</v>
      </c>
      <c r="G4188">
        <v>0</v>
      </c>
      <c r="H4188" s="2">
        <v>16.1096</v>
      </c>
      <c r="I4188" s="2">
        <v>61.96</v>
      </c>
    </row>
    <row r="4189" spans="2:9" x14ac:dyDescent="0.3">
      <c r="E4189" t="s">
        <v>20</v>
      </c>
      <c r="F4189">
        <v>2</v>
      </c>
      <c r="G4189">
        <v>0</v>
      </c>
      <c r="H4189" s="2">
        <v>3.0575999999999999</v>
      </c>
      <c r="I4189" s="2">
        <v>6.24</v>
      </c>
    </row>
    <row r="4190" spans="2:9" x14ac:dyDescent="0.3">
      <c r="E4190" t="s">
        <v>34</v>
      </c>
      <c r="F4190">
        <v>2</v>
      </c>
      <c r="G4190">
        <v>0</v>
      </c>
      <c r="H4190" s="2">
        <v>83.25079999999997</v>
      </c>
      <c r="I4190" s="2">
        <v>361.96</v>
      </c>
    </row>
    <row r="4191" spans="2:9" x14ac:dyDescent="0.3">
      <c r="E4191" t="s">
        <v>16</v>
      </c>
      <c r="F4191">
        <v>9</v>
      </c>
      <c r="G4191">
        <v>0</v>
      </c>
      <c r="H4191" s="2">
        <v>125.46899999999999</v>
      </c>
      <c r="I4191" s="2">
        <v>278.82</v>
      </c>
    </row>
    <row r="4192" spans="2:9" x14ac:dyDescent="0.3">
      <c r="E4192" t="s">
        <v>14</v>
      </c>
      <c r="F4192">
        <v>4</v>
      </c>
      <c r="G4192">
        <v>0</v>
      </c>
      <c r="H4192" s="2">
        <v>2.6783999999999963</v>
      </c>
      <c r="I4192" s="2">
        <v>66.959999999999994</v>
      </c>
    </row>
    <row r="4193" spans="2:9" x14ac:dyDescent="0.3">
      <c r="D4193" t="s">
        <v>17</v>
      </c>
      <c r="E4193" t="s">
        <v>20</v>
      </c>
      <c r="F4193">
        <v>2</v>
      </c>
      <c r="G4193">
        <v>0</v>
      </c>
      <c r="H4193" s="2">
        <v>18.940000000000001</v>
      </c>
      <c r="I4193" s="2">
        <v>37.880000000000003</v>
      </c>
    </row>
    <row r="4194" spans="2:9" x14ac:dyDescent="0.3">
      <c r="E4194" t="s">
        <v>16</v>
      </c>
      <c r="F4194">
        <v>3</v>
      </c>
      <c r="G4194">
        <v>0</v>
      </c>
      <c r="H4194" s="2">
        <v>9.3312000000000008</v>
      </c>
      <c r="I4194" s="2">
        <v>19.440000000000001</v>
      </c>
    </row>
    <row r="4195" spans="2:9" x14ac:dyDescent="0.3">
      <c r="B4195" t="s">
        <v>436</v>
      </c>
      <c r="C4195" t="s">
        <v>11</v>
      </c>
      <c r="D4195" t="s">
        <v>15</v>
      </c>
      <c r="E4195" t="s">
        <v>21</v>
      </c>
      <c r="F4195">
        <v>5</v>
      </c>
      <c r="G4195">
        <v>0.6</v>
      </c>
      <c r="H4195" s="2">
        <v>-147.96300000000002</v>
      </c>
      <c r="I4195" s="2">
        <v>190.92</v>
      </c>
    </row>
    <row r="4196" spans="2:9" x14ac:dyDescent="0.3">
      <c r="E4196" t="s">
        <v>24</v>
      </c>
      <c r="F4196">
        <v>7</v>
      </c>
      <c r="G4196">
        <v>0.2</v>
      </c>
      <c r="H4196" s="2">
        <v>123.47369999999989</v>
      </c>
      <c r="I4196" s="2">
        <v>1097.5440000000003</v>
      </c>
    </row>
    <row r="4197" spans="2:9" x14ac:dyDescent="0.3">
      <c r="B4197" t="s">
        <v>437</v>
      </c>
      <c r="C4197" t="s">
        <v>11</v>
      </c>
      <c r="D4197" t="s">
        <v>8</v>
      </c>
      <c r="E4197" t="s">
        <v>12</v>
      </c>
      <c r="F4197">
        <v>4</v>
      </c>
      <c r="G4197">
        <v>0</v>
      </c>
      <c r="H4197" s="2">
        <v>56.352799999999974</v>
      </c>
      <c r="I4197" s="2">
        <v>194.32</v>
      </c>
    </row>
    <row r="4198" spans="2:9" x14ac:dyDescent="0.3">
      <c r="E4198" t="s">
        <v>21</v>
      </c>
      <c r="F4198">
        <v>4</v>
      </c>
      <c r="G4198">
        <v>0</v>
      </c>
      <c r="H4198" s="2">
        <v>11.177600000000002</v>
      </c>
      <c r="I4198" s="2">
        <v>39.92</v>
      </c>
    </row>
    <row r="4199" spans="2:9" x14ac:dyDescent="0.3">
      <c r="D4199" t="s">
        <v>15</v>
      </c>
      <c r="E4199" t="s">
        <v>16</v>
      </c>
      <c r="F4199">
        <v>3</v>
      </c>
      <c r="G4199">
        <v>0</v>
      </c>
      <c r="H4199" s="2">
        <v>16.670400000000001</v>
      </c>
      <c r="I4199" s="2">
        <v>36.24</v>
      </c>
    </row>
    <row r="4200" spans="2:9" x14ac:dyDescent="0.3">
      <c r="D4200" t="s">
        <v>17</v>
      </c>
      <c r="E4200" t="s">
        <v>23</v>
      </c>
      <c r="F4200">
        <v>2</v>
      </c>
      <c r="G4200">
        <v>0</v>
      </c>
      <c r="H4200" s="2">
        <v>4.3623999999999974</v>
      </c>
      <c r="I4200" s="2">
        <v>22.96</v>
      </c>
    </row>
    <row r="4201" spans="2:9" x14ac:dyDescent="0.3">
      <c r="E4201" t="s">
        <v>20</v>
      </c>
      <c r="F4201">
        <v>3</v>
      </c>
      <c r="G4201">
        <v>0</v>
      </c>
      <c r="H4201" s="2">
        <v>7.1345999999999989</v>
      </c>
      <c r="I4201" s="2">
        <v>15.18</v>
      </c>
    </row>
    <row r="4202" spans="2:9" x14ac:dyDescent="0.3">
      <c r="E4202" t="s">
        <v>33</v>
      </c>
      <c r="F4202">
        <v>1</v>
      </c>
      <c r="G4202">
        <v>0</v>
      </c>
      <c r="H4202" s="2">
        <v>9.1637999999999984</v>
      </c>
      <c r="I4202" s="2">
        <v>33.94</v>
      </c>
    </row>
    <row r="4203" spans="2:9" x14ac:dyDescent="0.3">
      <c r="E4203" t="s">
        <v>38</v>
      </c>
      <c r="F4203">
        <v>5</v>
      </c>
      <c r="G4203">
        <v>0</v>
      </c>
      <c r="H4203" s="2">
        <v>17.472000000000001</v>
      </c>
      <c r="I4203" s="2">
        <v>36.4</v>
      </c>
    </row>
    <row r="4204" spans="2:9" x14ac:dyDescent="0.3">
      <c r="E4204" t="s">
        <v>43</v>
      </c>
      <c r="F4204">
        <v>8</v>
      </c>
      <c r="G4204">
        <v>0</v>
      </c>
      <c r="H4204" s="2">
        <v>14.399999999999999</v>
      </c>
      <c r="I4204" s="2">
        <v>30</v>
      </c>
    </row>
    <row r="4205" spans="2:9" x14ac:dyDescent="0.3">
      <c r="E4205" t="s">
        <v>14</v>
      </c>
      <c r="F4205">
        <v>11</v>
      </c>
      <c r="G4205">
        <v>0</v>
      </c>
      <c r="H4205" s="2">
        <v>10.543200000000024</v>
      </c>
      <c r="I4205" s="2">
        <v>421.18</v>
      </c>
    </row>
    <row r="4206" spans="2:9" x14ac:dyDescent="0.3">
      <c r="E4206" t="s">
        <v>9</v>
      </c>
      <c r="F4206">
        <v>2</v>
      </c>
      <c r="G4206">
        <v>0</v>
      </c>
      <c r="H4206" s="2">
        <v>10.517999999999997</v>
      </c>
      <c r="I4206" s="2">
        <v>35.06</v>
      </c>
    </row>
    <row r="4207" spans="2:9" x14ac:dyDescent="0.3">
      <c r="C4207" t="s">
        <v>7</v>
      </c>
      <c r="D4207" t="s">
        <v>8</v>
      </c>
      <c r="E4207" t="s">
        <v>23</v>
      </c>
      <c r="F4207">
        <v>5</v>
      </c>
      <c r="G4207">
        <v>0</v>
      </c>
      <c r="H4207" s="2">
        <v>48.328499999999991</v>
      </c>
      <c r="I4207" s="2">
        <v>146.44999999999999</v>
      </c>
    </row>
    <row r="4208" spans="2:9" x14ac:dyDescent="0.3">
      <c r="E4208" t="s">
        <v>12</v>
      </c>
      <c r="F4208">
        <v>5</v>
      </c>
      <c r="G4208">
        <v>0</v>
      </c>
      <c r="H4208" s="2">
        <v>62.32099999999997</v>
      </c>
      <c r="I4208" s="2">
        <v>214.89999999999998</v>
      </c>
    </row>
    <row r="4209" spans="3:9" x14ac:dyDescent="0.3">
      <c r="E4209" t="s">
        <v>19</v>
      </c>
      <c r="F4209">
        <v>2</v>
      </c>
      <c r="G4209">
        <v>0</v>
      </c>
      <c r="H4209" s="2">
        <v>1.9023999999999992</v>
      </c>
      <c r="I4209" s="2">
        <v>6.56</v>
      </c>
    </row>
    <row r="4210" spans="3:9" x14ac:dyDescent="0.3">
      <c r="E4210" t="s">
        <v>20</v>
      </c>
      <c r="F4210">
        <v>12</v>
      </c>
      <c r="G4210">
        <v>0</v>
      </c>
      <c r="H4210" s="2">
        <v>35.434400000000004</v>
      </c>
      <c r="I4210" s="2">
        <v>74.400000000000006</v>
      </c>
    </row>
    <row r="4211" spans="3:9" x14ac:dyDescent="0.3">
      <c r="E4211" t="s">
        <v>45</v>
      </c>
      <c r="F4211">
        <v>2</v>
      </c>
      <c r="G4211">
        <v>0</v>
      </c>
      <c r="H4211" s="2">
        <v>629.99099999999999</v>
      </c>
      <c r="I4211" s="2">
        <v>1399.98</v>
      </c>
    </row>
    <row r="4212" spans="3:9" x14ac:dyDescent="0.3">
      <c r="E4212" t="s">
        <v>43</v>
      </c>
      <c r="F4212">
        <v>4</v>
      </c>
      <c r="G4212">
        <v>0</v>
      </c>
      <c r="H4212" s="2">
        <v>6.4491999999999994</v>
      </c>
      <c r="I4212" s="2">
        <v>14.02</v>
      </c>
    </row>
    <row r="4213" spans="3:9" x14ac:dyDescent="0.3">
      <c r="E4213" t="s">
        <v>16</v>
      </c>
      <c r="F4213">
        <v>9</v>
      </c>
      <c r="G4213">
        <v>0</v>
      </c>
      <c r="H4213" s="2">
        <v>23.896599999999999</v>
      </c>
      <c r="I4213" s="2">
        <v>51.62</v>
      </c>
    </row>
    <row r="4214" spans="3:9" x14ac:dyDescent="0.3">
      <c r="E4214" t="s">
        <v>24</v>
      </c>
      <c r="F4214">
        <v>5</v>
      </c>
      <c r="G4214">
        <v>0</v>
      </c>
      <c r="H4214" s="2">
        <v>55.647000000000006</v>
      </c>
      <c r="I4214" s="2">
        <v>206.1</v>
      </c>
    </row>
    <row r="4215" spans="3:9" x14ac:dyDescent="0.3">
      <c r="E4215" t="s">
        <v>14</v>
      </c>
      <c r="F4215">
        <v>4</v>
      </c>
      <c r="G4215">
        <v>0</v>
      </c>
      <c r="H4215" s="2">
        <v>10.593800000000019</v>
      </c>
      <c r="I4215" s="2">
        <v>348.08</v>
      </c>
    </row>
    <row r="4216" spans="3:9" x14ac:dyDescent="0.3">
      <c r="E4216" t="s">
        <v>25</v>
      </c>
      <c r="F4216">
        <v>2</v>
      </c>
      <c r="G4216">
        <v>0</v>
      </c>
      <c r="H4216" s="2">
        <v>58.419999999999987</v>
      </c>
      <c r="I4216" s="2">
        <v>292.10000000000002</v>
      </c>
    </row>
    <row r="4217" spans="3:9" x14ac:dyDescent="0.3">
      <c r="D4217" t="s">
        <v>15</v>
      </c>
      <c r="E4217" t="s">
        <v>23</v>
      </c>
      <c r="F4217">
        <v>2</v>
      </c>
      <c r="G4217">
        <v>0</v>
      </c>
      <c r="H4217" s="2">
        <v>14.172800000000002</v>
      </c>
      <c r="I4217" s="2">
        <v>32.96</v>
      </c>
    </row>
    <row r="4218" spans="3:9" x14ac:dyDescent="0.3">
      <c r="E4218" t="s">
        <v>12</v>
      </c>
      <c r="F4218">
        <v>10</v>
      </c>
      <c r="G4218">
        <v>0</v>
      </c>
      <c r="H4218" s="2">
        <v>732.65909999999985</v>
      </c>
      <c r="I4218" s="2">
        <v>2251.3099999999995</v>
      </c>
    </row>
    <row r="4219" spans="3:9" x14ac:dyDescent="0.3">
      <c r="E4219" t="s">
        <v>16</v>
      </c>
      <c r="F4219">
        <v>13</v>
      </c>
      <c r="G4219">
        <v>0</v>
      </c>
      <c r="H4219" s="2">
        <v>102.18579999999999</v>
      </c>
      <c r="I4219" s="2">
        <v>218.54</v>
      </c>
    </row>
    <row r="4220" spans="3:9" x14ac:dyDescent="0.3">
      <c r="E4220" t="s">
        <v>24</v>
      </c>
      <c r="F4220">
        <v>3</v>
      </c>
      <c r="G4220">
        <v>0</v>
      </c>
      <c r="H4220" s="2">
        <v>164.63160000000005</v>
      </c>
      <c r="I4220" s="2">
        <v>587.97</v>
      </c>
    </row>
    <row r="4221" spans="3:9" x14ac:dyDescent="0.3">
      <c r="E4221" t="s">
        <v>14</v>
      </c>
      <c r="F4221">
        <v>5</v>
      </c>
      <c r="G4221">
        <v>0</v>
      </c>
      <c r="H4221" s="2">
        <v>207.14699999999993</v>
      </c>
      <c r="I4221" s="2">
        <v>714.30000000000007</v>
      </c>
    </row>
    <row r="4222" spans="3:9" x14ac:dyDescent="0.3">
      <c r="E4222" t="s">
        <v>9</v>
      </c>
      <c r="F4222">
        <v>5</v>
      </c>
      <c r="G4222">
        <v>0</v>
      </c>
      <c r="H4222" s="2">
        <v>11.802999999999999</v>
      </c>
      <c r="I4222" s="2">
        <v>40.700000000000003</v>
      </c>
    </row>
    <row r="4223" spans="3:9" x14ac:dyDescent="0.3">
      <c r="C4223" t="s">
        <v>22</v>
      </c>
      <c r="D4223" t="s">
        <v>8</v>
      </c>
      <c r="E4223" t="s">
        <v>12</v>
      </c>
      <c r="F4223">
        <v>16</v>
      </c>
      <c r="G4223">
        <v>0</v>
      </c>
      <c r="H4223" s="2">
        <v>78.397199999999998</v>
      </c>
      <c r="I4223" s="2">
        <v>275.14</v>
      </c>
    </row>
    <row r="4224" spans="3:9" x14ac:dyDescent="0.3">
      <c r="E4224" t="s">
        <v>20</v>
      </c>
      <c r="F4224">
        <v>22</v>
      </c>
      <c r="G4224">
        <v>0</v>
      </c>
      <c r="H4224" s="2">
        <v>155.21940000000001</v>
      </c>
      <c r="I4224" s="2">
        <v>327.35000000000002</v>
      </c>
    </row>
    <row r="4225" spans="4:9" x14ac:dyDescent="0.3">
      <c r="E4225" t="s">
        <v>33</v>
      </c>
      <c r="F4225">
        <v>9</v>
      </c>
      <c r="G4225">
        <v>0</v>
      </c>
      <c r="H4225" s="2">
        <v>318.2328</v>
      </c>
      <c r="I4225" s="2">
        <v>1300.3</v>
      </c>
    </row>
    <row r="4226" spans="4:9" x14ac:dyDescent="0.3">
      <c r="E4226" t="s">
        <v>21</v>
      </c>
      <c r="F4226">
        <v>13</v>
      </c>
      <c r="G4226">
        <v>0</v>
      </c>
      <c r="H4226" s="2">
        <v>52.777999999999992</v>
      </c>
      <c r="I4226" s="2">
        <v>170.81</v>
      </c>
    </row>
    <row r="4227" spans="4:9" x14ac:dyDescent="0.3">
      <c r="E4227" t="s">
        <v>43</v>
      </c>
      <c r="F4227">
        <v>3</v>
      </c>
      <c r="G4227">
        <v>0</v>
      </c>
      <c r="H4227" s="2">
        <v>144.51570000000001</v>
      </c>
      <c r="I4227" s="2">
        <v>294.93</v>
      </c>
    </row>
    <row r="4228" spans="4:9" x14ac:dyDescent="0.3">
      <c r="E4228" t="s">
        <v>16</v>
      </c>
      <c r="F4228">
        <v>8</v>
      </c>
      <c r="G4228">
        <v>0</v>
      </c>
      <c r="H4228" s="2">
        <v>26.472000000000001</v>
      </c>
      <c r="I4228" s="2">
        <v>54.240000000000009</v>
      </c>
    </row>
    <row r="4229" spans="4:9" x14ac:dyDescent="0.3">
      <c r="E4229" t="s">
        <v>24</v>
      </c>
      <c r="F4229">
        <v>17</v>
      </c>
      <c r="G4229">
        <v>0</v>
      </c>
      <c r="H4229" s="2">
        <v>374.22560000000004</v>
      </c>
      <c r="I4229" s="2">
        <v>1204.83</v>
      </c>
    </row>
    <row r="4230" spans="4:9" x14ac:dyDescent="0.3">
      <c r="E4230" t="s">
        <v>14</v>
      </c>
      <c r="F4230">
        <v>6</v>
      </c>
      <c r="G4230">
        <v>0</v>
      </c>
      <c r="H4230" s="2">
        <v>52.101900000000008</v>
      </c>
      <c r="I4230" s="2">
        <v>192.96999999999997</v>
      </c>
    </row>
    <row r="4231" spans="4:9" x14ac:dyDescent="0.3">
      <c r="E4231" t="s">
        <v>25</v>
      </c>
      <c r="F4231">
        <v>2</v>
      </c>
      <c r="G4231">
        <v>0</v>
      </c>
      <c r="H4231" s="2">
        <v>104.75279999999998</v>
      </c>
      <c r="I4231" s="2">
        <v>581.96</v>
      </c>
    </row>
    <row r="4232" spans="4:9" x14ac:dyDescent="0.3">
      <c r="D4232" t="s">
        <v>15</v>
      </c>
      <c r="E4232" t="s">
        <v>23</v>
      </c>
      <c r="F4232">
        <v>3</v>
      </c>
      <c r="G4232">
        <v>0</v>
      </c>
      <c r="H4232" s="2">
        <v>22.4316</v>
      </c>
      <c r="I4232" s="2">
        <v>62.31</v>
      </c>
    </row>
    <row r="4233" spans="4:9" x14ac:dyDescent="0.3">
      <c r="E4233" t="s">
        <v>19</v>
      </c>
      <c r="F4233">
        <v>6</v>
      </c>
      <c r="G4233">
        <v>0</v>
      </c>
      <c r="H4233" s="2">
        <v>3.1097999999999999</v>
      </c>
      <c r="I4233" s="2">
        <v>11.1</v>
      </c>
    </row>
    <row r="4234" spans="4:9" x14ac:dyDescent="0.3">
      <c r="E4234" t="s">
        <v>20</v>
      </c>
      <c r="F4234">
        <v>16</v>
      </c>
      <c r="G4234">
        <v>0</v>
      </c>
      <c r="H4234" s="2">
        <v>77.971599999999995</v>
      </c>
      <c r="I4234" s="2">
        <v>161.97999999999999</v>
      </c>
    </row>
    <row r="4235" spans="4:9" x14ac:dyDescent="0.3">
      <c r="E4235" t="s">
        <v>38</v>
      </c>
      <c r="F4235">
        <v>6</v>
      </c>
      <c r="G4235">
        <v>0</v>
      </c>
      <c r="H4235" s="2">
        <v>29.449199999999998</v>
      </c>
      <c r="I4235" s="2">
        <v>64.02</v>
      </c>
    </row>
    <row r="4236" spans="4:9" x14ac:dyDescent="0.3">
      <c r="E4236" t="s">
        <v>21</v>
      </c>
      <c r="F4236">
        <v>4</v>
      </c>
      <c r="G4236">
        <v>0</v>
      </c>
      <c r="H4236" s="2">
        <v>6.9087999999999994</v>
      </c>
      <c r="I4236" s="2">
        <v>20.32</v>
      </c>
    </row>
    <row r="4237" spans="4:9" x14ac:dyDescent="0.3">
      <c r="E4237" t="s">
        <v>16</v>
      </c>
      <c r="F4237">
        <v>10</v>
      </c>
      <c r="G4237">
        <v>0</v>
      </c>
      <c r="H4237" s="2">
        <v>310.92919999999998</v>
      </c>
      <c r="I4237" s="2">
        <v>648.49999999999989</v>
      </c>
    </row>
    <row r="4238" spans="4:9" x14ac:dyDescent="0.3">
      <c r="E4238" t="s">
        <v>24</v>
      </c>
      <c r="F4238">
        <v>1</v>
      </c>
      <c r="G4238">
        <v>0</v>
      </c>
      <c r="H4238" s="2">
        <v>9.9873000000000012</v>
      </c>
      <c r="I4238" s="2">
        <v>36.99</v>
      </c>
    </row>
    <row r="4239" spans="4:9" x14ac:dyDescent="0.3">
      <c r="E4239" t="s">
        <v>14</v>
      </c>
      <c r="F4239">
        <v>5</v>
      </c>
      <c r="G4239">
        <v>0</v>
      </c>
      <c r="H4239" s="2">
        <v>29.163099999999986</v>
      </c>
      <c r="I4239" s="2">
        <v>263.47000000000003</v>
      </c>
    </row>
    <row r="4240" spans="4:9" x14ac:dyDescent="0.3">
      <c r="D4240" t="s">
        <v>17</v>
      </c>
      <c r="E4240" t="s">
        <v>23</v>
      </c>
      <c r="F4240">
        <v>8</v>
      </c>
      <c r="G4240">
        <v>0</v>
      </c>
      <c r="H4240" s="2">
        <v>72.857200000000006</v>
      </c>
      <c r="I4240" s="2">
        <v>171.92000000000002</v>
      </c>
    </row>
    <row r="4241" spans="2:9" x14ac:dyDescent="0.3">
      <c r="E4241" t="s">
        <v>19</v>
      </c>
      <c r="F4241">
        <v>1</v>
      </c>
      <c r="G4241">
        <v>0</v>
      </c>
      <c r="H4241" s="2">
        <v>2.6416000000000004</v>
      </c>
      <c r="I4241" s="2">
        <v>10.16</v>
      </c>
    </row>
    <row r="4242" spans="2:9" x14ac:dyDescent="0.3">
      <c r="E4242" t="s">
        <v>20</v>
      </c>
      <c r="F4242">
        <v>1</v>
      </c>
      <c r="G4242">
        <v>0</v>
      </c>
      <c r="H4242" s="2">
        <v>1.4112</v>
      </c>
      <c r="I4242" s="2">
        <v>2.88</v>
      </c>
    </row>
    <row r="4243" spans="2:9" x14ac:dyDescent="0.3">
      <c r="E4243" t="s">
        <v>33</v>
      </c>
      <c r="F4243">
        <v>3</v>
      </c>
      <c r="G4243">
        <v>0</v>
      </c>
      <c r="H4243" s="2">
        <v>240.29399999999995</v>
      </c>
      <c r="I4243" s="2">
        <v>828.59999999999991</v>
      </c>
    </row>
    <row r="4244" spans="2:9" x14ac:dyDescent="0.3">
      <c r="E4244" t="s">
        <v>38</v>
      </c>
      <c r="F4244">
        <v>6</v>
      </c>
      <c r="G4244">
        <v>0</v>
      </c>
      <c r="H4244" s="2">
        <v>50.94</v>
      </c>
      <c r="I4244" s="2">
        <v>101.88</v>
      </c>
    </row>
    <row r="4245" spans="2:9" x14ac:dyDescent="0.3">
      <c r="E4245" t="s">
        <v>18</v>
      </c>
      <c r="F4245">
        <v>2</v>
      </c>
      <c r="G4245">
        <v>0</v>
      </c>
      <c r="H4245" s="2">
        <v>0.1008</v>
      </c>
      <c r="I4245" s="2">
        <v>2.52</v>
      </c>
    </row>
    <row r="4246" spans="2:9" x14ac:dyDescent="0.3">
      <c r="E4246" t="s">
        <v>21</v>
      </c>
      <c r="F4246">
        <v>4</v>
      </c>
      <c r="G4246">
        <v>0</v>
      </c>
      <c r="H4246" s="2">
        <v>18.4176</v>
      </c>
      <c r="I4246" s="2">
        <v>46.42</v>
      </c>
    </row>
    <row r="4247" spans="2:9" x14ac:dyDescent="0.3">
      <c r="E4247" t="s">
        <v>16</v>
      </c>
      <c r="F4247">
        <v>1</v>
      </c>
      <c r="G4247">
        <v>0</v>
      </c>
      <c r="H4247" s="2">
        <v>5.5565999999999995</v>
      </c>
      <c r="I4247" s="2">
        <v>11.34</v>
      </c>
    </row>
    <row r="4248" spans="2:9" x14ac:dyDescent="0.3">
      <c r="E4248" t="s">
        <v>24</v>
      </c>
      <c r="F4248">
        <v>10</v>
      </c>
      <c r="G4248">
        <v>0</v>
      </c>
      <c r="H4248" s="2">
        <v>589.73479999999972</v>
      </c>
      <c r="I4248" s="2">
        <v>2037.74</v>
      </c>
    </row>
    <row r="4249" spans="2:9" x14ac:dyDescent="0.3">
      <c r="E4249" t="s">
        <v>14</v>
      </c>
      <c r="F4249">
        <v>19</v>
      </c>
      <c r="G4249">
        <v>0</v>
      </c>
      <c r="H4249" s="2">
        <v>398.20639999999992</v>
      </c>
      <c r="I4249" s="2">
        <v>1530.1200000000001</v>
      </c>
    </row>
    <row r="4250" spans="2:9" x14ac:dyDescent="0.3">
      <c r="E4250" t="s">
        <v>25</v>
      </c>
      <c r="F4250">
        <v>3</v>
      </c>
      <c r="G4250">
        <v>0</v>
      </c>
      <c r="H4250" s="2">
        <v>67.064400000000006</v>
      </c>
      <c r="I4250" s="2">
        <v>257.94</v>
      </c>
    </row>
    <row r="4251" spans="2:9" x14ac:dyDescent="0.3">
      <c r="B4251" t="s">
        <v>438</v>
      </c>
      <c r="C4251" t="s">
        <v>22</v>
      </c>
      <c r="D4251" t="s">
        <v>8</v>
      </c>
      <c r="E4251" t="s">
        <v>33</v>
      </c>
      <c r="F4251">
        <v>7</v>
      </c>
      <c r="G4251">
        <v>0.4</v>
      </c>
      <c r="H4251" s="2">
        <v>119.58779999999994</v>
      </c>
      <c r="I4251" s="2">
        <v>1114.192</v>
      </c>
    </row>
    <row r="4252" spans="2:9" x14ac:dyDescent="0.3">
      <c r="B4252" t="s">
        <v>439</v>
      </c>
      <c r="C4252" t="s">
        <v>11</v>
      </c>
      <c r="D4252" t="s">
        <v>8</v>
      </c>
      <c r="E4252" t="s">
        <v>20</v>
      </c>
      <c r="F4252">
        <v>1</v>
      </c>
      <c r="G4252">
        <v>0.2</v>
      </c>
      <c r="H4252" s="2">
        <v>1.3944000000000001</v>
      </c>
      <c r="I4252" s="2">
        <v>3.9840000000000004</v>
      </c>
    </row>
    <row r="4253" spans="2:9" x14ac:dyDescent="0.3">
      <c r="D4253" t="s">
        <v>15</v>
      </c>
      <c r="E4253" t="s">
        <v>23</v>
      </c>
      <c r="F4253">
        <v>2</v>
      </c>
      <c r="G4253">
        <v>0</v>
      </c>
      <c r="H4253" s="2">
        <v>15.098399999999998</v>
      </c>
      <c r="I4253" s="2">
        <v>41.94</v>
      </c>
    </row>
    <row r="4254" spans="2:9" x14ac:dyDescent="0.3">
      <c r="E4254" t="s">
        <v>19</v>
      </c>
      <c r="F4254">
        <v>4</v>
      </c>
      <c r="G4254">
        <v>0</v>
      </c>
      <c r="H4254" s="2">
        <v>3.8047999999999984</v>
      </c>
      <c r="I4254" s="2">
        <v>13.12</v>
      </c>
    </row>
    <row r="4255" spans="2:9" x14ac:dyDescent="0.3">
      <c r="E4255" t="s">
        <v>16</v>
      </c>
      <c r="F4255">
        <v>2</v>
      </c>
      <c r="G4255">
        <v>0</v>
      </c>
      <c r="H4255" s="2">
        <v>5.8604000000000003</v>
      </c>
      <c r="I4255" s="2">
        <v>11.96</v>
      </c>
    </row>
    <row r="4256" spans="2:9" x14ac:dyDescent="0.3">
      <c r="E4256" t="s">
        <v>14</v>
      </c>
      <c r="F4256">
        <v>3</v>
      </c>
      <c r="G4256">
        <v>0</v>
      </c>
      <c r="H4256" s="2">
        <v>160.62299999999993</v>
      </c>
      <c r="I4256" s="2">
        <v>535.41</v>
      </c>
    </row>
    <row r="4257" spans="2:9" x14ac:dyDescent="0.3">
      <c r="C4257" t="s">
        <v>27</v>
      </c>
      <c r="D4257" t="s">
        <v>15</v>
      </c>
      <c r="E4257" t="s">
        <v>12</v>
      </c>
      <c r="F4257">
        <v>2</v>
      </c>
      <c r="G4257">
        <v>0</v>
      </c>
      <c r="H4257" s="2">
        <v>13.787999999999997</v>
      </c>
      <c r="I4257" s="2">
        <v>45.96</v>
      </c>
    </row>
    <row r="4258" spans="2:9" x14ac:dyDescent="0.3">
      <c r="E4258" t="s">
        <v>16</v>
      </c>
      <c r="F4258">
        <v>2</v>
      </c>
      <c r="G4258">
        <v>0</v>
      </c>
      <c r="H4258" s="2">
        <v>6.2208000000000006</v>
      </c>
      <c r="I4258" s="2">
        <v>12.96</v>
      </c>
    </row>
    <row r="4259" spans="2:9" x14ac:dyDescent="0.3">
      <c r="E4259" t="s">
        <v>24</v>
      </c>
      <c r="F4259">
        <v>2</v>
      </c>
      <c r="G4259">
        <v>0.2</v>
      </c>
      <c r="H4259" s="2">
        <v>90.976200000000063</v>
      </c>
      <c r="I4259" s="2">
        <v>1039.7280000000001</v>
      </c>
    </row>
    <row r="4260" spans="2:9" x14ac:dyDescent="0.3">
      <c r="D4260" t="s">
        <v>17</v>
      </c>
      <c r="E4260" t="s">
        <v>19</v>
      </c>
      <c r="F4260">
        <v>3</v>
      </c>
      <c r="G4260">
        <v>0</v>
      </c>
      <c r="H4260" s="2">
        <v>2.1060000000000008</v>
      </c>
      <c r="I4260" s="2">
        <v>7.8000000000000007</v>
      </c>
    </row>
    <row r="4261" spans="2:9" x14ac:dyDescent="0.3">
      <c r="C4261" t="s">
        <v>22</v>
      </c>
      <c r="D4261" t="s">
        <v>8</v>
      </c>
      <c r="E4261" t="s">
        <v>19</v>
      </c>
      <c r="F4261">
        <v>3</v>
      </c>
      <c r="G4261">
        <v>0</v>
      </c>
      <c r="H4261" s="2">
        <v>3.2471999999999994</v>
      </c>
      <c r="I4261" s="2">
        <v>9.84</v>
      </c>
    </row>
    <row r="4262" spans="2:9" x14ac:dyDescent="0.3">
      <c r="E4262" t="s">
        <v>16</v>
      </c>
      <c r="F4262">
        <v>3</v>
      </c>
      <c r="G4262">
        <v>0</v>
      </c>
      <c r="H4262" s="2">
        <v>11.230799999999999</v>
      </c>
      <c r="I4262" s="2">
        <v>22.919999999999998</v>
      </c>
    </row>
    <row r="4263" spans="2:9" x14ac:dyDescent="0.3">
      <c r="D4263" t="s">
        <v>15</v>
      </c>
      <c r="E4263" t="s">
        <v>12</v>
      </c>
      <c r="F4263">
        <v>4</v>
      </c>
      <c r="G4263">
        <v>0</v>
      </c>
      <c r="H4263" s="2">
        <v>34.964799999999997</v>
      </c>
      <c r="I4263" s="2">
        <v>134.47999999999999</v>
      </c>
    </row>
    <row r="4264" spans="2:9" x14ac:dyDescent="0.3">
      <c r="E4264" t="s">
        <v>16</v>
      </c>
      <c r="F4264">
        <v>2</v>
      </c>
      <c r="G4264">
        <v>0</v>
      </c>
      <c r="H4264" s="2">
        <v>6.2208000000000006</v>
      </c>
      <c r="I4264" s="2">
        <v>12.96</v>
      </c>
    </row>
    <row r="4265" spans="2:9" x14ac:dyDescent="0.3">
      <c r="D4265" t="s">
        <v>17</v>
      </c>
      <c r="E4265" t="s">
        <v>20</v>
      </c>
      <c r="F4265">
        <v>7</v>
      </c>
      <c r="G4265">
        <v>0.2</v>
      </c>
      <c r="H4265" s="2">
        <v>19.193999999999999</v>
      </c>
      <c r="I4265" s="2">
        <v>51.184000000000012</v>
      </c>
    </row>
    <row r="4266" spans="2:9" x14ac:dyDescent="0.3">
      <c r="B4266" t="s">
        <v>440</v>
      </c>
      <c r="C4266" t="s">
        <v>11</v>
      </c>
      <c r="D4266" t="s">
        <v>8</v>
      </c>
      <c r="E4266" t="s">
        <v>19</v>
      </c>
      <c r="F4266">
        <v>2</v>
      </c>
      <c r="G4266">
        <v>0</v>
      </c>
      <c r="H4266" s="2">
        <v>4.9431999999999992</v>
      </c>
      <c r="I4266" s="2">
        <v>13.36</v>
      </c>
    </row>
    <row r="4267" spans="2:9" x14ac:dyDescent="0.3">
      <c r="E4267" t="s">
        <v>20</v>
      </c>
      <c r="F4267">
        <v>2</v>
      </c>
      <c r="G4267">
        <v>0.2</v>
      </c>
      <c r="H4267" s="2">
        <v>89.954799999999992</v>
      </c>
      <c r="I4267" s="2">
        <v>276.78400000000005</v>
      </c>
    </row>
    <row r="4268" spans="2:9" x14ac:dyDescent="0.3">
      <c r="E4268" t="s">
        <v>16</v>
      </c>
      <c r="F4268">
        <v>2</v>
      </c>
      <c r="G4268">
        <v>0</v>
      </c>
      <c r="H4268" s="2">
        <v>6.2208000000000006</v>
      </c>
      <c r="I4268" s="2">
        <v>12.96</v>
      </c>
    </row>
    <row r="4269" spans="2:9" x14ac:dyDescent="0.3">
      <c r="E4269" t="s">
        <v>24</v>
      </c>
      <c r="F4269">
        <v>7</v>
      </c>
      <c r="G4269">
        <v>0</v>
      </c>
      <c r="H4269" s="2">
        <v>172.06080000000003</v>
      </c>
      <c r="I4269" s="2">
        <v>623.92999999999995</v>
      </c>
    </row>
    <row r="4270" spans="2:9" x14ac:dyDescent="0.3">
      <c r="E4270" t="s">
        <v>14</v>
      </c>
      <c r="F4270">
        <v>3</v>
      </c>
      <c r="G4270">
        <v>0</v>
      </c>
      <c r="H4270" s="2">
        <v>5.8409999999999869</v>
      </c>
      <c r="I4270" s="2">
        <v>116.82</v>
      </c>
    </row>
    <row r="4271" spans="2:9" x14ac:dyDescent="0.3">
      <c r="D4271" t="s">
        <v>15</v>
      </c>
      <c r="E4271" t="s">
        <v>43</v>
      </c>
      <c r="F4271">
        <v>7</v>
      </c>
      <c r="G4271">
        <v>0</v>
      </c>
      <c r="H4271" s="2">
        <v>10.348799999999999</v>
      </c>
      <c r="I4271" s="2">
        <v>21.560000000000002</v>
      </c>
    </row>
    <row r="4272" spans="2:9" x14ac:dyDescent="0.3">
      <c r="E4272" t="s">
        <v>16</v>
      </c>
      <c r="F4272">
        <v>9</v>
      </c>
      <c r="G4272">
        <v>0</v>
      </c>
      <c r="H4272" s="2">
        <v>69.959999999999994</v>
      </c>
      <c r="I4272" s="2">
        <v>145.75</v>
      </c>
    </row>
    <row r="4273" spans="3:9" x14ac:dyDescent="0.3">
      <c r="C4273" t="s">
        <v>27</v>
      </c>
      <c r="D4273" t="s">
        <v>8</v>
      </c>
      <c r="E4273" t="s">
        <v>20</v>
      </c>
      <c r="F4273">
        <v>5</v>
      </c>
      <c r="G4273">
        <v>0</v>
      </c>
      <c r="H4273" s="2">
        <v>71.858500000000006</v>
      </c>
      <c r="I4273" s="2">
        <v>146.65</v>
      </c>
    </row>
    <row r="4274" spans="3:9" x14ac:dyDescent="0.3">
      <c r="E4274" t="s">
        <v>18</v>
      </c>
      <c r="F4274">
        <v>2</v>
      </c>
      <c r="G4274">
        <v>0</v>
      </c>
      <c r="H4274" s="2">
        <v>2.5279999999999996</v>
      </c>
      <c r="I4274" s="2">
        <v>7.9</v>
      </c>
    </row>
    <row r="4275" spans="3:9" x14ac:dyDescent="0.3">
      <c r="E4275" t="s">
        <v>14</v>
      </c>
      <c r="F4275">
        <v>4</v>
      </c>
      <c r="G4275">
        <v>0</v>
      </c>
      <c r="H4275" s="2">
        <v>57.501599999999996</v>
      </c>
      <c r="I4275" s="2">
        <v>221.16</v>
      </c>
    </row>
    <row r="4276" spans="3:9" x14ac:dyDescent="0.3">
      <c r="D4276" t="s">
        <v>15</v>
      </c>
      <c r="E4276" t="s">
        <v>21</v>
      </c>
      <c r="F4276">
        <v>5</v>
      </c>
      <c r="G4276">
        <v>0</v>
      </c>
      <c r="H4276" s="2">
        <v>75.679999999999978</v>
      </c>
      <c r="I4276" s="2">
        <v>756.80000000000007</v>
      </c>
    </row>
    <row r="4277" spans="3:9" x14ac:dyDescent="0.3">
      <c r="C4277" t="s">
        <v>7</v>
      </c>
      <c r="D4277" t="s">
        <v>8</v>
      </c>
      <c r="E4277" t="s">
        <v>23</v>
      </c>
      <c r="F4277">
        <v>1</v>
      </c>
      <c r="G4277">
        <v>0</v>
      </c>
      <c r="H4277" s="2">
        <v>2.2364999999999995</v>
      </c>
      <c r="I4277" s="2">
        <v>31.95</v>
      </c>
    </row>
    <row r="4278" spans="3:9" x14ac:dyDescent="0.3">
      <c r="E4278" t="s">
        <v>20</v>
      </c>
      <c r="F4278">
        <v>3</v>
      </c>
      <c r="G4278">
        <v>0.2</v>
      </c>
      <c r="H4278" s="2">
        <v>3.6791999999999998</v>
      </c>
      <c r="I4278" s="2">
        <v>10.512</v>
      </c>
    </row>
    <row r="4279" spans="3:9" x14ac:dyDescent="0.3">
      <c r="E4279" t="s">
        <v>16</v>
      </c>
      <c r="F4279">
        <v>4</v>
      </c>
      <c r="G4279">
        <v>0</v>
      </c>
      <c r="H4279" s="2">
        <v>11.720800000000001</v>
      </c>
      <c r="I4279" s="2">
        <v>23.92</v>
      </c>
    </row>
    <row r="4280" spans="3:9" x14ac:dyDescent="0.3">
      <c r="E4280" t="s">
        <v>14</v>
      </c>
      <c r="F4280">
        <v>2</v>
      </c>
      <c r="G4280">
        <v>0</v>
      </c>
      <c r="H4280" s="2">
        <v>5.8707999999999991</v>
      </c>
      <c r="I4280" s="2">
        <v>22.58</v>
      </c>
    </row>
    <row r="4281" spans="3:9" x14ac:dyDescent="0.3">
      <c r="E4281" t="s">
        <v>25</v>
      </c>
      <c r="F4281">
        <v>1</v>
      </c>
      <c r="G4281">
        <v>0.4</v>
      </c>
      <c r="H4281" s="2">
        <v>-13.978000000000009</v>
      </c>
      <c r="I4281" s="2">
        <v>209.67</v>
      </c>
    </row>
    <row r="4282" spans="3:9" x14ac:dyDescent="0.3">
      <c r="C4282" t="s">
        <v>22</v>
      </c>
      <c r="D4282" t="s">
        <v>8</v>
      </c>
      <c r="E4282" t="s">
        <v>23</v>
      </c>
      <c r="F4282">
        <v>7</v>
      </c>
      <c r="G4282">
        <v>0</v>
      </c>
      <c r="H4282" s="2">
        <v>180.76659999999998</v>
      </c>
      <c r="I4282" s="2">
        <v>562.74</v>
      </c>
    </row>
    <row r="4283" spans="3:9" x14ac:dyDescent="0.3">
      <c r="E4283" t="s">
        <v>12</v>
      </c>
      <c r="F4283">
        <v>3</v>
      </c>
      <c r="G4283">
        <v>0</v>
      </c>
      <c r="H4283" s="2">
        <v>8.4942000000000011</v>
      </c>
      <c r="I4283" s="2">
        <v>32.67</v>
      </c>
    </row>
    <row r="4284" spans="3:9" x14ac:dyDescent="0.3">
      <c r="E4284" t="s">
        <v>19</v>
      </c>
      <c r="F4284">
        <v>5</v>
      </c>
      <c r="G4284">
        <v>0</v>
      </c>
      <c r="H4284" s="2">
        <v>2.5519999999999996</v>
      </c>
      <c r="I4284" s="2">
        <v>8.8000000000000007</v>
      </c>
    </row>
    <row r="4285" spans="3:9" x14ac:dyDescent="0.3">
      <c r="E4285" t="s">
        <v>20</v>
      </c>
      <c r="F4285">
        <v>22</v>
      </c>
      <c r="G4285">
        <v>0.60000000000000009</v>
      </c>
      <c r="H4285" s="2">
        <v>481.98470000000003</v>
      </c>
      <c r="I4285" s="2">
        <v>1278.508</v>
      </c>
    </row>
    <row r="4286" spans="3:9" x14ac:dyDescent="0.3">
      <c r="E4286" t="s">
        <v>33</v>
      </c>
      <c r="F4286">
        <v>3</v>
      </c>
      <c r="G4286">
        <v>0</v>
      </c>
      <c r="H4286" s="2">
        <v>51.294299999999964</v>
      </c>
      <c r="I4286" s="2">
        <v>269.96999999999997</v>
      </c>
    </row>
    <row r="4287" spans="3:9" x14ac:dyDescent="0.3">
      <c r="E4287" t="s">
        <v>38</v>
      </c>
      <c r="F4287">
        <v>3</v>
      </c>
      <c r="G4287">
        <v>0</v>
      </c>
      <c r="H4287" s="2">
        <v>5.0921999999999992</v>
      </c>
      <c r="I4287" s="2">
        <v>11.07</v>
      </c>
    </row>
    <row r="4288" spans="3:9" x14ac:dyDescent="0.3">
      <c r="E4288" t="s">
        <v>21</v>
      </c>
      <c r="F4288">
        <v>2</v>
      </c>
      <c r="G4288">
        <v>0</v>
      </c>
      <c r="H4288" s="2">
        <v>5.936399999999999</v>
      </c>
      <c r="I4288" s="2">
        <v>17.46</v>
      </c>
    </row>
    <row r="4289" spans="2:9" x14ac:dyDescent="0.3">
      <c r="E4289" t="s">
        <v>43</v>
      </c>
      <c r="F4289">
        <v>2</v>
      </c>
      <c r="G4289">
        <v>0</v>
      </c>
      <c r="H4289" s="2">
        <v>2.9567999999999999</v>
      </c>
      <c r="I4289" s="2">
        <v>6.16</v>
      </c>
    </row>
    <row r="4290" spans="2:9" x14ac:dyDescent="0.3">
      <c r="E4290" t="s">
        <v>16</v>
      </c>
      <c r="F4290">
        <v>7</v>
      </c>
      <c r="G4290">
        <v>0</v>
      </c>
      <c r="H4290" s="2">
        <v>21.772800000000004</v>
      </c>
      <c r="I4290" s="2">
        <v>45.36</v>
      </c>
    </row>
    <row r="4291" spans="2:9" x14ac:dyDescent="0.3">
      <c r="E4291" t="s">
        <v>24</v>
      </c>
      <c r="F4291">
        <v>2</v>
      </c>
      <c r="G4291">
        <v>0</v>
      </c>
      <c r="H4291" s="2">
        <v>201.13409999999996</v>
      </c>
      <c r="I4291" s="2">
        <v>671.98</v>
      </c>
    </row>
    <row r="4292" spans="2:9" x14ac:dyDescent="0.3">
      <c r="E4292" t="s">
        <v>14</v>
      </c>
      <c r="F4292">
        <v>10</v>
      </c>
      <c r="G4292">
        <v>0</v>
      </c>
      <c r="H4292" s="2">
        <v>177.39599999999993</v>
      </c>
      <c r="I4292" s="2">
        <v>1015.7199999999999</v>
      </c>
    </row>
    <row r="4293" spans="2:9" x14ac:dyDescent="0.3">
      <c r="E4293" t="s">
        <v>25</v>
      </c>
      <c r="F4293">
        <v>2</v>
      </c>
      <c r="G4293">
        <v>0</v>
      </c>
      <c r="H4293" s="2">
        <v>97.203200000000038</v>
      </c>
      <c r="I4293" s="2">
        <v>607.52</v>
      </c>
    </row>
    <row r="4294" spans="2:9" x14ac:dyDescent="0.3">
      <c r="D4294" t="s">
        <v>15</v>
      </c>
      <c r="E4294" t="s">
        <v>20</v>
      </c>
      <c r="F4294">
        <v>1</v>
      </c>
      <c r="G4294">
        <v>0.2</v>
      </c>
      <c r="H4294" s="2">
        <v>2.3570999999999991</v>
      </c>
      <c r="I4294" s="2">
        <v>6.9840000000000009</v>
      </c>
    </row>
    <row r="4295" spans="2:9" x14ac:dyDescent="0.3">
      <c r="E4295" t="s">
        <v>21</v>
      </c>
      <c r="F4295">
        <v>14</v>
      </c>
      <c r="G4295">
        <v>0</v>
      </c>
      <c r="H4295" s="2">
        <v>38.797800000000002</v>
      </c>
      <c r="I4295" s="2">
        <v>113.16999999999999</v>
      </c>
    </row>
    <row r="4296" spans="2:9" x14ac:dyDescent="0.3">
      <c r="E4296" t="s">
        <v>16</v>
      </c>
      <c r="F4296">
        <v>11</v>
      </c>
      <c r="G4296">
        <v>0</v>
      </c>
      <c r="H4296" s="2">
        <v>37.9696</v>
      </c>
      <c r="I4296" s="2">
        <v>81.28</v>
      </c>
    </row>
    <row r="4297" spans="2:9" x14ac:dyDescent="0.3">
      <c r="E4297" t="s">
        <v>24</v>
      </c>
      <c r="F4297">
        <v>3</v>
      </c>
      <c r="G4297">
        <v>0</v>
      </c>
      <c r="H4297" s="2">
        <v>10.046400000000002</v>
      </c>
      <c r="I4297" s="2">
        <v>35.880000000000003</v>
      </c>
    </row>
    <row r="4298" spans="2:9" x14ac:dyDescent="0.3">
      <c r="E4298" t="s">
        <v>25</v>
      </c>
      <c r="F4298">
        <v>3</v>
      </c>
      <c r="G4298">
        <v>0.4</v>
      </c>
      <c r="H4298" s="2">
        <v>-213.55740000000006</v>
      </c>
      <c r="I4298" s="2">
        <v>376.86599999999999</v>
      </c>
    </row>
    <row r="4299" spans="2:9" x14ac:dyDescent="0.3">
      <c r="D4299" t="s">
        <v>17</v>
      </c>
      <c r="E4299" t="s">
        <v>19</v>
      </c>
      <c r="F4299">
        <v>3</v>
      </c>
      <c r="G4299">
        <v>0</v>
      </c>
      <c r="H4299" s="2">
        <v>6.0147000000000004</v>
      </c>
      <c r="I4299" s="2">
        <v>14.669999999999998</v>
      </c>
    </row>
    <row r="4300" spans="2:9" x14ac:dyDescent="0.3">
      <c r="E4300" t="s">
        <v>20</v>
      </c>
      <c r="F4300">
        <v>4</v>
      </c>
      <c r="G4300">
        <v>0.2</v>
      </c>
      <c r="H4300" s="2">
        <v>10.429999999999998</v>
      </c>
      <c r="I4300" s="2">
        <v>33.375999999999998</v>
      </c>
    </row>
    <row r="4301" spans="2:9" x14ac:dyDescent="0.3">
      <c r="E4301" t="s">
        <v>14</v>
      </c>
      <c r="F4301">
        <v>4</v>
      </c>
      <c r="G4301">
        <v>0</v>
      </c>
      <c r="H4301" s="2">
        <v>38.350800000000007</v>
      </c>
      <c r="I4301" s="2">
        <v>142.04</v>
      </c>
    </row>
    <row r="4302" spans="2:9" x14ac:dyDescent="0.3">
      <c r="B4302" t="s">
        <v>441</v>
      </c>
      <c r="C4302" t="s">
        <v>22</v>
      </c>
      <c r="D4302" t="s">
        <v>8</v>
      </c>
      <c r="E4302" t="s">
        <v>23</v>
      </c>
      <c r="F4302">
        <v>4</v>
      </c>
      <c r="G4302">
        <v>0</v>
      </c>
      <c r="H4302" s="2">
        <v>54.333200000000005</v>
      </c>
      <c r="I4302" s="2">
        <v>132.52000000000001</v>
      </c>
    </row>
    <row r="4303" spans="2:9" x14ac:dyDescent="0.3">
      <c r="B4303" t="s">
        <v>442</v>
      </c>
      <c r="C4303" t="s">
        <v>27</v>
      </c>
      <c r="D4303" t="s">
        <v>8</v>
      </c>
      <c r="E4303" t="s">
        <v>18</v>
      </c>
      <c r="F4303">
        <v>3</v>
      </c>
      <c r="G4303">
        <v>0</v>
      </c>
      <c r="H4303" s="2">
        <v>3.7919999999999994</v>
      </c>
      <c r="I4303" s="2">
        <v>11.850000000000001</v>
      </c>
    </row>
    <row r="4304" spans="2:9" x14ac:dyDescent="0.3">
      <c r="B4304" t="s">
        <v>443</v>
      </c>
      <c r="C4304" t="s">
        <v>11</v>
      </c>
      <c r="D4304" t="s">
        <v>8</v>
      </c>
      <c r="E4304" t="s">
        <v>20</v>
      </c>
      <c r="F4304">
        <v>8</v>
      </c>
      <c r="G4304">
        <v>0.8</v>
      </c>
      <c r="H4304" s="2">
        <v>-53.708800000000025</v>
      </c>
      <c r="I4304" s="2">
        <v>33.567999999999991</v>
      </c>
    </row>
    <row r="4305" spans="2:9" x14ac:dyDescent="0.3">
      <c r="D4305" t="s">
        <v>15</v>
      </c>
      <c r="E4305" t="s">
        <v>20</v>
      </c>
      <c r="F4305">
        <v>7</v>
      </c>
      <c r="G4305">
        <v>0.8</v>
      </c>
      <c r="H4305" s="2">
        <v>-729.91380000000004</v>
      </c>
      <c r="I4305" s="2">
        <v>442.37199999999996</v>
      </c>
    </row>
    <row r="4306" spans="2:9" x14ac:dyDescent="0.3">
      <c r="C4306" t="s">
        <v>7</v>
      </c>
      <c r="D4306" t="s">
        <v>15</v>
      </c>
      <c r="E4306" t="s">
        <v>20</v>
      </c>
      <c r="F4306">
        <v>4</v>
      </c>
      <c r="G4306">
        <v>0.8</v>
      </c>
      <c r="H4306" s="2">
        <v>-22.144000000000005</v>
      </c>
      <c r="I4306" s="2">
        <v>13.839999999999998</v>
      </c>
    </row>
    <row r="4307" spans="2:9" x14ac:dyDescent="0.3">
      <c r="E4307" t="s">
        <v>16</v>
      </c>
      <c r="F4307">
        <v>4</v>
      </c>
      <c r="G4307">
        <v>0.2</v>
      </c>
      <c r="H4307" s="2">
        <v>63.753599999999992</v>
      </c>
      <c r="I4307" s="2">
        <v>175.87200000000001</v>
      </c>
    </row>
    <row r="4308" spans="2:9" x14ac:dyDescent="0.3">
      <c r="C4308" t="s">
        <v>22</v>
      </c>
      <c r="D4308" t="s">
        <v>8</v>
      </c>
      <c r="E4308" t="s">
        <v>19</v>
      </c>
      <c r="F4308">
        <v>7</v>
      </c>
      <c r="G4308">
        <v>0.2</v>
      </c>
      <c r="H4308" s="2">
        <v>12.874400000000001</v>
      </c>
      <c r="I4308" s="2">
        <v>128.744</v>
      </c>
    </row>
    <row r="4309" spans="2:9" x14ac:dyDescent="0.3">
      <c r="E4309" t="s">
        <v>20</v>
      </c>
      <c r="F4309">
        <v>3</v>
      </c>
      <c r="G4309">
        <v>0.8</v>
      </c>
      <c r="H4309" s="2">
        <v>-2.678399999999999</v>
      </c>
      <c r="I4309" s="2">
        <v>1.7279999999999995</v>
      </c>
    </row>
    <row r="4310" spans="2:9" x14ac:dyDescent="0.3">
      <c r="E4310" t="s">
        <v>24</v>
      </c>
      <c r="F4310">
        <v>4</v>
      </c>
      <c r="G4310">
        <v>0.2</v>
      </c>
      <c r="H4310" s="2">
        <v>143.99680000000006</v>
      </c>
      <c r="I4310" s="2">
        <v>1439.9680000000001</v>
      </c>
    </row>
    <row r="4311" spans="2:9" x14ac:dyDescent="0.3">
      <c r="E4311" t="s">
        <v>25</v>
      </c>
      <c r="F4311">
        <v>3</v>
      </c>
      <c r="G4311">
        <v>0.5</v>
      </c>
      <c r="H4311" s="2">
        <v>-538.44600000000003</v>
      </c>
      <c r="I4311" s="2">
        <v>626.09999999999991</v>
      </c>
    </row>
    <row r="4312" spans="2:9" x14ac:dyDescent="0.3">
      <c r="D4312" t="s">
        <v>15</v>
      </c>
      <c r="E4312" t="s">
        <v>16</v>
      </c>
      <c r="F4312">
        <v>6</v>
      </c>
      <c r="G4312">
        <v>0.2</v>
      </c>
      <c r="H4312" s="2">
        <v>13.780799999999996</v>
      </c>
      <c r="I4312" s="2">
        <v>38.016000000000005</v>
      </c>
    </row>
    <row r="4313" spans="2:9" x14ac:dyDescent="0.3">
      <c r="D4313" t="s">
        <v>17</v>
      </c>
      <c r="E4313" t="s">
        <v>20</v>
      </c>
      <c r="F4313">
        <v>4</v>
      </c>
      <c r="G4313">
        <v>0.8</v>
      </c>
      <c r="H4313" s="2">
        <v>-18.836400000000005</v>
      </c>
      <c r="I4313" s="2">
        <v>11.415999999999997</v>
      </c>
    </row>
    <row r="4314" spans="2:9" x14ac:dyDescent="0.3">
      <c r="E4314" t="s">
        <v>33</v>
      </c>
      <c r="F4314">
        <v>14</v>
      </c>
      <c r="G4314">
        <v>0.3</v>
      </c>
      <c r="H4314" s="2">
        <v>-18.185999999999993</v>
      </c>
      <c r="I4314" s="2">
        <v>254.60399999999998</v>
      </c>
    </row>
    <row r="4315" spans="2:9" x14ac:dyDescent="0.3">
      <c r="B4315" t="s">
        <v>444</v>
      </c>
      <c r="C4315" t="s">
        <v>7</v>
      </c>
      <c r="D4315" t="s">
        <v>8</v>
      </c>
      <c r="E4315" t="s">
        <v>20</v>
      </c>
      <c r="F4315">
        <v>1</v>
      </c>
      <c r="G4315">
        <v>0</v>
      </c>
      <c r="H4315" s="2">
        <v>3.6162000000000001</v>
      </c>
      <c r="I4315" s="2">
        <v>7.38</v>
      </c>
    </row>
    <row r="4316" spans="2:9" x14ac:dyDescent="0.3">
      <c r="E4316" t="s">
        <v>16</v>
      </c>
      <c r="F4316">
        <v>3</v>
      </c>
      <c r="G4316">
        <v>0</v>
      </c>
      <c r="H4316" s="2">
        <v>9.3312000000000008</v>
      </c>
      <c r="I4316" s="2">
        <v>19.440000000000001</v>
      </c>
    </row>
    <row r="4317" spans="2:9" x14ac:dyDescent="0.3">
      <c r="C4317" t="s">
        <v>22</v>
      </c>
      <c r="D4317" t="s">
        <v>8</v>
      </c>
      <c r="E4317" t="s">
        <v>33</v>
      </c>
      <c r="F4317">
        <v>2</v>
      </c>
      <c r="G4317">
        <v>0</v>
      </c>
      <c r="H4317" s="2">
        <v>51.749999999999986</v>
      </c>
      <c r="I4317" s="2">
        <v>172.5</v>
      </c>
    </row>
    <row r="4318" spans="2:9" x14ac:dyDescent="0.3">
      <c r="E4318" t="s">
        <v>24</v>
      </c>
      <c r="F4318">
        <v>5</v>
      </c>
      <c r="G4318">
        <v>0</v>
      </c>
      <c r="H4318" s="2">
        <v>68.517300000000006</v>
      </c>
      <c r="I4318" s="2">
        <v>270.45</v>
      </c>
    </row>
    <row r="4319" spans="2:9" x14ac:dyDescent="0.3">
      <c r="B4319" t="s">
        <v>445</v>
      </c>
      <c r="C4319" t="s">
        <v>22</v>
      </c>
      <c r="D4319" t="s">
        <v>8</v>
      </c>
      <c r="E4319" t="s">
        <v>20</v>
      </c>
      <c r="F4319">
        <v>9</v>
      </c>
      <c r="G4319">
        <v>0</v>
      </c>
      <c r="H4319" s="2">
        <v>18.5886</v>
      </c>
      <c r="I4319" s="2">
        <v>40.410000000000004</v>
      </c>
    </row>
    <row r="4320" spans="2:9" x14ac:dyDescent="0.3">
      <c r="B4320" t="s">
        <v>446</v>
      </c>
      <c r="C4320" t="s">
        <v>22</v>
      </c>
      <c r="D4320" t="s">
        <v>8</v>
      </c>
      <c r="E4320" t="s">
        <v>19</v>
      </c>
      <c r="F4320">
        <v>10</v>
      </c>
      <c r="G4320">
        <v>0</v>
      </c>
      <c r="H4320" s="2">
        <v>9.1601999999999997</v>
      </c>
      <c r="I4320" s="2">
        <v>35.01</v>
      </c>
    </row>
    <row r="4321" spans="2:9" x14ac:dyDescent="0.3">
      <c r="D4321" t="s">
        <v>15</v>
      </c>
      <c r="E4321" t="s">
        <v>33</v>
      </c>
      <c r="F4321">
        <v>1</v>
      </c>
      <c r="G4321">
        <v>0.1</v>
      </c>
      <c r="H4321" s="2">
        <v>15.147000000000004</v>
      </c>
      <c r="I4321" s="2">
        <v>90.882000000000005</v>
      </c>
    </row>
    <row r="4322" spans="2:9" x14ac:dyDescent="0.3">
      <c r="D4322" t="s">
        <v>17</v>
      </c>
      <c r="E4322" t="s">
        <v>21</v>
      </c>
      <c r="F4322">
        <v>4</v>
      </c>
      <c r="G4322">
        <v>0</v>
      </c>
      <c r="H4322" s="2">
        <v>14.459599999999998</v>
      </c>
      <c r="I4322" s="2">
        <v>39.08</v>
      </c>
    </row>
    <row r="4323" spans="2:9" x14ac:dyDescent="0.3">
      <c r="E4323" t="s">
        <v>16</v>
      </c>
      <c r="F4323">
        <v>5</v>
      </c>
      <c r="G4323">
        <v>0</v>
      </c>
      <c r="H4323" s="2">
        <v>47.952000000000005</v>
      </c>
      <c r="I4323" s="2">
        <v>99.9</v>
      </c>
    </row>
    <row r="4324" spans="2:9" x14ac:dyDescent="0.3">
      <c r="E4324" t="s">
        <v>24</v>
      </c>
      <c r="F4324">
        <v>2</v>
      </c>
      <c r="G4324">
        <v>0</v>
      </c>
      <c r="H4324" s="2">
        <v>67.495000000000005</v>
      </c>
      <c r="I4324" s="2">
        <v>269.98</v>
      </c>
    </row>
    <row r="4325" spans="2:9" x14ac:dyDescent="0.3">
      <c r="B4325" t="s">
        <v>447</v>
      </c>
      <c r="C4325" t="s">
        <v>7</v>
      </c>
      <c r="D4325" t="s">
        <v>8</v>
      </c>
      <c r="E4325" t="s">
        <v>20</v>
      </c>
      <c r="F4325">
        <v>2</v>
      </c>
      <c r="G4325">
        <v>0.8</v>
      </c>
      <c r="H4325" s="2">
        <v>-14.770800000000001</v>
      </c>
      <c r="I4325" s="2">
        <v>8.9519999999999982</v>
      </c>
    </row>
    <row r="4326" spans="2:9" x14ac:dyDescent="0.3">
      <c r="B4326" t="s">
        <v>448</v>
      </c>
      <c r="C4326" t="s">
        <v>11</v>
      </c>
      <c r="D4326" t="s">
        <v>8</v>
      </c>
      <c r="E4326" t="s">
        <v>20</v>
      </c>
      <c r="F4326">
        <v>5</v>
      </c>
      <c r="G4326">
        <v>0.2</v>
      </c>
      <c r="H4326" s="2">
        <v>2.8079999999999998</v>
      </c>
      <c r="I4326" s="2">
        <v>8.32</v>
      </c>
    </row>
    <row r="4327" spans="2:9" x14ac:dyDescent="0.3">
      <c r="E4327" t="s">
        <v>9</v>
      </c>
      <c r="F4327">
        <v>2</v>
      </c>
      <c r="G4327">
        <v>0</v>
      </c>
      <c r="H4327" s="2">
        <v>0.17439999999999944</v>
      </c>
      <c r="I4327" s="2">
        <v>4.3600000000000003</v>
      </c>
    </row>
    <row r="4328" spans="2:9" x14ac:dyDescent="0.3">
      <c r="C4328" t="s">
        <v>27</v>
      </c>
      <c r="D4328" t="s">
        <v>17</v>
      </c>
      <c r="E4328" t="s">
        <v>20</v>
      </c>
      <c r="F4328">
        <v>1</v>
      </c>
      <c r="G4328">
        <v>0</v>
      </c>
      <c r="H4328" s="2">
        <v>3.7693999999999992</v>
      </c>
      <c r="I4328" s="2">
        <v>8.02</v>
      </c>
    </row>
    <row r="4329" spans="2:9" x14ac:dyDescent="0.3">
      <c r="E4329" t="s">
        <v>16</v>
      </c>
      <c r="F4329">
        <v>9</v>
      </c>
      <c r="G4329">
        <v>0</v>
      </c>
      <c r="H4329" s="2">
        <v>180.76590000000002</v>
      </c>
      <c r="I4329" s="2">
        <v>368.91</v>
      </c>
    </row>
    <row r="4330" spans="2:9" x14ac:dyDescent="0.3">
      <c r="E4330" t="s">
        <v>14</v>
      </c>
      <c r="F4330">
        <v>4</v>
      </c>
      <c r="G4330">
        <v>0</v>
      </c>
      <c r="H4330" s="2">
        <v>44.470399999999998</v>
      </c>
      <c r="I4330" s="2">
        <v>171.04</v>
      </c>
    </row>
    <row r="4331" spans="2:9" x14ac:dyDescent="0.3">
      <c r="C4331" t="s">
        <v>22</v>
      </c>
      <c r="D4331" t="s">
        <v>8</v>
      </c>
      <c r="E4331" t="s">
        <v>19</v>
      </c>
      <c r="F4331">
        <v>7</v>
      </c>
      <c r="G4331">
        <v>0</v>
      </c>
      <c r="H4331" s="2">
        <v>5.5307999999999993</v>
      </c>
      <c r="I4331" s="2">
        <v>19.5</v>
      </c>
    </row>
    <row r="4332" spans="2:9" x14ac:dyDescent="0.3">
      <c r="E4332" t="s">
        <v>20</v>
      </c>
      <c r="F4332">
        <v>3</v>
      </c>
      <c r="G4332">
        <v>0.2</v>
      </c>
      <c r="H4332" s="2">
        <v>26.661599999999996</v>
      </c>
      <c r="I4332" s="2">
        <v>76.176000000000002</v>
      </c>
    </row>
    <row r="4333" spans="2:9" x14ac:dyDescent="0.3">
      <c r="E4333" t="s">
        <v>38</v>
      </c>
      <c r="F4333">
        <v>2</v>
      </c>
      <c r="G4333">
        <v>0</v>
      </c>
      <c r="H4333" s="2">
        <v>8.2156000000000002</v>
      </c>
      <c r="I4333" s="2">
        <v>17.48</v>
      </c>
    </row>
    <row r="4334" spans="2:9" x14ac:dyDescent="0.3">
      <c r="E4334" t="s">
        <v>18</v>
      </c>
      <c r="F4334">
        <v>2</v>
      </c>
      <c r="G4334">
        <v>0</v>
      </c>
      <c r="H4334" s="2">
        <v>1.9697999999999998</v>
      </c>
      <c r="I4334" s="2">
        <v>4.0199999999999996</v>
      </c>
    </row>
    <row r="4335" spans="2:9" x14ac:dyDescent="0.3">
      <c r="E4335" t="s">
        <v>21</v>
      </c>
      <c r="F4335">
        <v>17</v>
      </c>
      <c r="G4335">
        <v>0</v>
      </c>
      <c r="H4335" s="2">
        <v>25.890599999999999</v>
      </c>
      <c r="I4335" s="2">
        <v>60.430000000000007</v>
      </c>
    </row>
    <row r="4336" spans="2:9" x14ac:dyDescent="0.3">
      <c r="E4336" t="s">
        <v>16</v>
      </c>
      <c r="F4336">
        <v>7</v>
      </c>
      <c r="G4336">
        <v>0</v>
      </c>
      <c r="H4336" s="2">
        <v>35.607199999999999</v>
      </c>
      <c r="I4336" s="2">
        <v>74.92</v>
      </c>
    </row>
    <row r="4337" spans="2:9" x14ac:dyDescent="0.3">
      <c r="E4337" t="s">
        <v>9</v>
      </c>
      <c r="F4337">
        <v>6</v>
      </c>
      <c r="G4337">
        <v>0</v>
      </c>
      <c r="H4337" s="2">
        <v>18.446400000000004</v>
      </c>
      <c r="I4337" s="2">
        <v>65.88</v>
      </c>
    </row>
    <row r="4338" spans="2:9" x14ac:dyDescent="0.3">
      <c r="D4338" t="s">
        <v>15</v>
      </c>
      <c r="E4338" t="s">
        <v>38</v>
      </c>
      <c r="F4338">
        <v>5</v>
      </c>
      <c r="G4338">
        <v>0</v>
      </c>
      <c r="H4338" s="2">
        <v>197.35299999999998</v>
      </c>
      <c r="I4338" s="2">
        <v>419.90000000000003</v>
      </c>
    </row>
    <row r="4339" spans="2:9" x14ac:dyDescent="0.3">
      <c r="E4339" t="s">
        <v>43</v>
      </c>
      <c r="F4339">
        <v>9</v>
      </c>
      <c r="G4339">
        <v>0</v>
      </c>
      <c r="H4339" s="2">
        <v>24.695999999999998</v>
      </c>
      <c r="I4339" s="2">
        <v>53.55</v>
      </c>
    </row>
    <row r="4340" spans="2:9" x14ac:dyDescent="0.3">
      <c r="E4340" t="s">
        <v>16</v>
      </c>
      <c r="F4340">
        <v>3</v>
      </c>
      <c r="G4340">
        <v>0</v>
      </c>
      <c r="H4340" s="2">
        <v>31.519199999999998</v>
      </c>
      <c r="I4340" s="2">
        <v>68.52</v>
      </c>
    </row>
    <row r="4341" spans="2:9" x14ac:dyDescent="0.3">
      <c r="D4341" t="s">
        <v>17</v>
      </c>
      <c r="E4341" t="s">
        <v>12</v>
      </c>
      <c r="F4341">
        <v>2</v>
      </c>
      <c r="G4341">
        <v>0</v>
      </c>
      <c r="H4341" s="2">
        <v>178.90999999999997</v>
      </c>
      <c r="I4341" s="2">
        <v>715.64</v>
      </c>
    </row>
    <row r="4342" spans="2:9" x14ac:dyDescent="0.3">
      <c r="E4342" t="s">
        <v>20</v>
      </c>
      <c r="F4342">
        <v>3</v>
      </c>
      <c r="G4342">
        <v>0</v>
      </c>
      <c r="H4342" s="2">
        <v>34.389600000000002</v>
      </c>
      <c r="I4342" s="2">
        <v>74.760000000000005</v>
      </c>
    </row>
    <row r="4343" spans="2:9" x14ac:dyDescent="0.3">
      <c r="E4343" t="s">
        <v>45</v>
      </c>
      <c r="F4343">
        <v>1</v>
      </c>
      <c r="G4343">
        <v>0</v>
      </c>
      <c r="H4343" s="2">
        <v>274.995</v>
      </c>
      <c r="I4343" s="2">
        <v>549.99</v>
      </c>
    </row>
    <row r="4344" spans="2:9" x14ac:dyDescent="0.3">
      <c r="E4344" t="s">
        <v>18</v>
      </c>
      <c r="F4344">
        <v>2</v>
      </c>
      <c r="G4344">
        <v>0</v>
      </c>
      <c r="H4344" s="2">
        <v>1.1656</v>
      </c>
      <c r="I4344" s="2">
        <v>2.48</v>
      </c>
    </row>
    <row r="4345" spans="2:9" x14ac:dyDescent="0.3">
      <c r="E4345" t="s">
        <v>21</v>
      </c>
      <c r="F4345">
        <v>3</v>
      </c>
      <c r="G4345">
        <v>0</v>
      </c>
      <c r="H4345" s="2">
        <v>12.856800000000002</v>
      </c>
      <c r="I4345" s="2">
        <v>29.22</v>
      </c>
    </row>
    <row r="4346" spans="2:9" x14ac:dyDescent="0.3">
      <c r="E4346" t="s">
        <v>14</v>
      </c>
      <c r="F4346">
        <v>3</v>
      </c>
      <c r="G4346">
        <v>0</v>
      </c>
      <c r="H4346" s="2">
        <v>143.19179999999994</v>
      </c>
      <c r="I4346" s="2">
        <v>795.51</v>
      </c>
    </row>
    <row r="4347" spans="2:9" x14ac:dyDescent="0.3">
      <c r="B4347" t="s">
        <v>449</v>
      </c>
      <c r="C4347" t="s">
        <v>11</v>
      </c>
      <c r="D4347" t="s">
        <v>8</v>
      </c>
      <c r="E4347" t="s">
        <v>23</v>
      </c>
      <c r="F4347">
        <v>5</v>
      </c>
      <c r="G4347">
        <v>0</v>
      </c>
      <c r="H4347" s="2">
        <v>65.978000000000009</v>
      </c>
      <c r="I4347" s="2">
        <v>149.94999999999999</v>
      </c>
    </row>
    <row r="4348" spans="2:9" x14ac:dyDescent="0.3">
      <c r="C4348" t="s">
        <v>7</v>
      </c>
      <c r="D4348" t="s">
        <v>15</v>
      </c>
      <c r="E4348" t="s">
        <v>12</v>
      </c>
      <c r="F4348">
        <v>7</v>
      </c>
      <c r="G4348">
        <v>0</v>
      </c>
      <c r="H4348" s="2">
        <v>361.29939999999988</v>
      </c>
      <c r="I4348" s="2">
        <v>1245.8599999999999</v>
      </c>
    </row>
    <row r="4349" spans="2:9" x14ac:dyDescent="0.3">
      <c r="E4349" t="s">
        <v>38</v>
      </c>
      <c r="F4349">
        <v>3</v>
      </c>
      <c r="G4349">
        <v>0</v>
      </c>
      <c r="H4349" s="2">
        <v>8.7906000000000013</v>
      </c>
      <c r="I4349" s="2">
        <v>17.940000000000001</v>
      </c>
    </row>
    <row r="4350" spans="2:9" x14ac:dyDescent="0.3">
      <c r="D4350" t="s">
        <v>17</v>
      </c>
      <c r="E4350" t="s">
        <v>33</v>
      </c>
      <c r="F4350">
        <v>4</v>
      </c>
      <c r="G4350">
        <v>0</v>
      </c>
      <c r="H4350" s="2">
        <v>188.2192</v>
      </c>
      <c r="I4350" s="2">
        <v>723.92</v>
      </c>
    </row>
    <row r="4351" spans="2:9" x14ac:dyDescent="0.3">
      <c r="E4351" t="s">
        <v>16</v>
      </c>
      <c r="F4351">
        <v>3</v>
      </c>
      <c r="G4351">
        <v>0</v>
      </c>
      <c r="H4351" s="2">
        <v>49.970399999999991</v>
      </c>
      <c r="I4351" s="2">
        <v>106.32</v>
      </c>
    </row>
    <row r="4352" spans="2:9" x14ac:dyDescent="0.3">
      <c r="C4352" t="s">
        <v>22</v>
      </c>
      <c r="D4352" t="s">
        <v>8</v>
      </c>
      <c r="E4352" t="s">
        <v>23</v>
      </c>
      <c r="F4352">
        <v>11</v>
      </c>
      <c r="G4352">
        <v>0</v>
      </c>
      <c r="H4352" s="2">
        <v>132.99839999999995</v>
      </c>
      <c r="I4352" s="2">
        <v>721.88999999999987</v>
      </c>
    </row>
    <row r="4353" spans="2:9" x14ac:dyDescent="0.3">
      <c r="E4353" t="s">
        <v>19</v>
      </c>
      <c r="F4353">
        <v>3</v>
      </c>
      <c r="G4353">
        <v>0</v>
      </c>
      <c r="H4353" s="2">
        <v>3.1520000000000001</v>
      </c>
      <c r="I4353" s="2">
        <v>10.34</v>
      </c>
    </row>
    <row r="4354" spans="2:9" x14ac:dyDescent="0.3">
      <c r="E4354" t="s">
        <v>38</v>
      </c>
      <c r="F4354">
        <v>2</v>
      </c>
      <c r="G4354">
        <v>0</v>
      </c>
      <c r="H4354" s="2">
        <v>7.4871999999999996</v>
      </c>
      <c r="I4354" s="2">
        <v>15.28</v>
      </c>
    </row>
    <row r="4355" spans="2:9" x14ac:dyDescent="0.3">
      <c r="E4355" t="s">
        <v>16</v>
      </c>
      <c r="F4355">
        <v>11</v>
      </c>
      <c r="G4355">
        <v>0</v>
      </c>
      <c r="H4355" s="2">
        <v>151.64180000000002</v>
      </c>
      <c r="I4355" s="2">
        <v>310.18</v>
      </c>
    </row>
    <row r="4356" spans="2:9" x14ac:dyDescent="0.3">
      <c r="E4356" t="s">
        <v>24</v>
      </c>
      <c r="F4356">
        <v>3</v>
      </c>
      <c r="G4356">
        <v>0</v>
      </c>
      <c r="H4356" s="2">
        <v>67.191599999999994</v>
      </c>
      <c r="I4356" s="2">
        <v>239.96999999999997</v>
      </c>
    </row>
    <row r="4357" spans="2:9" x14ac:dyDescent="0.3">
      <c r="E4357" t="s">
        <v>14</v>
      </c>
      <c r="F4357">
        <v>2</v>
      </c>
      <c r="G4357">
        <v>0</v>
      </c>
      <c r="H4357" s="2">
        <v>107.08199999999997</v>
      </c>
      <c r="I4357" s="2">
        <v>356.94</v>
      </c>
    </row>
    <row r="4358" spans="2:9" x14ac:dyDescent="0.3">
      <c r="D4358" t="s">
        <v>15</v>
      </c>
      <c r="E4358" t="s">
        <v>20</v>
      </c>
      <c r="F4358">
        <v>3</v>
      </c>
      <c r="G4358">
        <v>0</v>
      </c>
      <c r="H4358" s="2">
        <v>1264.7558999999999</v>
      </c>
      <c r="I4358" s="2">
        <v>2690.9700000000003</v>
      </c>
    </row>
    <row r="4359" spans="2:9" x14ac:dyDescent="0.3">
      <c r="E4359" t="s">
        <v>21</v>
      </c>
      <c r="F4359">
        <v>6</v>
      </c>
      <c r="G4359">
        <v>0</v>
      </c>
      <c r="H4359" s="2">
        <v>15.758400000000002</v>
      </c>
      <c r="I4359" s="2">
        <v>56.28</v>
      </c>
    </row>
    <row r="4360" spans="2:9" x14ac:dyDescent="0.3">
      <c r="E4360" t="s">
        <v>16</v>
      </c>
      <c r="F4360">
        <v>1</v>
      </c>
      <c r="G4360">
        <v>0</v>
      </c>
      <c r="H4360" s="2">
        <v>3.1104000000000003</v>
      </c>
      <c r="I4360" s="2">
        <v>6.48</v>
      </c>
    </row>
    <row r="4361" spans="2:9" x14ac:dyDescent="0.3">
      <c r="B4361" t="s">
        <v>450</v>
      </c>
      <c r="C4361" t="s">
        <v>7</v>
      </c>
      <c r="D4361" t="s">
        <v>15</v>
      </c>
      <c r="E4361" t="s">
        <v>21</v>
      </c>
      <c r="F4361">
        <v>5</v>
      </c>
      <c r="G4361">
        <v>0.6</v>
      </c>
      <c r="H4361" s="2">
        <v>-427.45000000000005</v>
      </c>
      <c r="I4361" s="2">
        <v>341.96</v>
      </c>
    </row>
    <row r="4362" spans="2:9" x14ac:dyDescent="0.3">
      <c r="C4362" t="s">
        <v>22</v>
      </c>
      <c r="D4362" t="s">
        <v>8</v>
      </c>
      <c r="E4362" t="s">
        <v>23</v>
      </c>
      <c r="F4362">
        <v>7</v>
      </c>
      <c r="G4362">
        <v>0.2</v>
      </c>
      <c r="H4362" s="2">
        <v>5.7364999999999977</v>
      </c>
      <c r="I4362" s="2">
        <v>41.720000000000006</v>
      </c>
    </row>
    <row r="4363" spans="2:9" x14ac:dyDescent="0.3">
      <c r="E4363" t="s">
        <v>19</v>
      </c>
      <c r="F4363">
        <v>2</v>
      </c>
      <c r="G4363">
        <v>0.2</v>
      </c>
      <c r="H4363" s="2">
        <v>2.7168000000000001</v>
      </c>
      <c r="I4363" s="2">
        <v>27.168000000000003</v>
      </c>
    </row>
    <row r="4364" spans="2:9" x14ac:dyDescent="0.3">
      <c r="E4364" t="s">
        <v>34</v>
      </c>
      <c r="F4364">
        <v>2</v>
      </c>
      <c r="G4364">
        <v>0.32</v>
      </c>
      <c r="H4364" s="2">
        <v>-11.595999999999997</v>
      </c>
      <c r="I4364" s="2">
        <v>78.852799999999988</v>
      </c>
    </row>
    <row r="4365" spans="2:9" x14ac:dyDescent="0.3">
      <c r="E4365" t="s">
        <v>18</v>
      </c>
      <c r="F4365">
        <v>1</v>
      </c>
      <c r="G4365">
        <v>0.2</v>
      </c>
      <c r="H4365" s="2">
        <v>0.77759999999999996</v>
      </c>
      <c r="I4365" s="2">
        <v>2.3039999999999998</v>
      </c>
    </row>
    <row r="4366" spans="2:9" x14ac:dyDescent="0.3">
      <c r="E4366" t="s">
        <v>24</v>
      </c>
      <c r="F4366">
        <v>3</v>
      </c>
      <c r="G4366">
        <v>0.2</v>
      </c>
      <c r="H4366" s="2">
        <v>32.398200000000017</v>
      </c>
      <c r="I4366" s="2">
        <v>431.97600000000006</v>
      </c>
    </row>
    <row r="4367" spans="2:9" x14ac:dyDescent="0.3">
      <c r="E4367" t="s">
        <v>9</v>
      </c>
      <c r="F4367">
        <v>3</v>
      </c>
      <c r="G4367">
        <v>0.2</v>
      </c>
      <c r="H4367" s="2">
        <v>-786.01440000000025</v>
      </c>
      <c r="I4367" s="2">
        <v>3930.0720000000001</v>
      </c>
    </row>
    <row r="4368" spans="2:9" x14ac:dyDescent="0.3">
      <c r="B4368" t="s">
        <v>451</v>
      </c>
      <c r="C4368" t="s">
        <v>22</v>
      </c>
      <c r="D4368" t="s">
        <v>8</v>
      </c>
      <c r="E4368" t="s">
        <v>16</v>
      </c>
      <c r="F4368">
        <v>4</v>
      </c>
      <c r="G4368">
        <v>0</v>
      </c>
      <c r="H4368" s="2">
        <v>16.963200000000001</v>
      </c>
      <c r="I4368" s="2">
        <v>35.340000000000003</v>
      </c>
    </row>
    <row r="4369" spans="2:9" x14ac:dyDescent="0.3">
      <c r="B4369" t="s">
        <v>452</v>
      </c>
      <c r="C4369" t="s">
        <v>7</v>
      </c>
      <c r="D4369" t="s">
        <v>8</v>
      </c>
      <c r="E4369" t="s">
        <v>33</v>
      </c>
      <c r="F4369">
        <v>1</v>
      </c>
      <c r="G4369">
        <v>0.2</v>
      </c>
      <c r="H4369" s="2">
        <v>-18.106799999999993</v>
      </c>
      <c r="I4369" s="2">
        <v>120.71199999999999</v>
      </c>
    </row>
    <row r="4370" spans="2:9" x14ac:dyDescent="0.3">
      <c r="D4370" t="s">
        <v>15</v>
      </c>
      <c r="E4370" t="s">
        <v>20</v>
      </c>
      <c r="F4370">
        <v>6</v>
      </c>
      <c r="G4370">
        <v>0.4</v>
      </c>
      <c r="H4370" s="2">
        <v>11.048399999999997</v>
      </c>
      <c r="I4370" s="2">
        <v>32.736000000000004</v>
      </c>
    </row>
    <row r="4371" spans="2:9" x14ac:dyDescent="0.3">
      <c r="E4371" t="s">
        <v>24</v>
      </c>
      <c r="F4371">
        <v>2</v>
      </c>
      <c r="G4371">
        <v>0.2</v>
      </c>
      <c r="H4371" s="2">
        <v>30.238400000000013</v>
      </c>
      <c r="I4371" s="2">
        <v>302.38400000000001</v>
      </c>
    </row>
    <row r="4372" spans="2:9" x14ac:dyDescent="0.3">
      <c r="C4372" t="s">
        <v>22</v>
      </c>
      <c r="D4372" t="s">
        <v>8</v>
      </c>
      <c r="E4372" t="s">
        <v>14</v>
      </c>
      <c r="F4372">
        <v>1</v>
      </c>
      <c r="G4372">
        <v>0</v>
      </c>
      <c r="H4372" s="2">
        <v>4.068699999999998</v>
      </c>
      <c r="I4372" s="2">
        <v>14.03</v>
      </c>
    </row>
    <row r="4373" spans="2:9" x14ac:dyDescent="0.3">
      <c r="E4373" t="s">
        <v>9</v>
      </c>
      <c r="F4373">
        <v>2</v>
      </c>
      <c r="G4373">
        <v>0</v>
      </c>
      <c r="H4373" s="2">
        <v>7.2696000000000005</v>
      </c>
      <c r="I4373" s="2">
        <v>27.96</v>
      </c>
    </row>
    <row r="4374" spans="2:9" x14ac:dyDescent="0.3">
      <c r="D4374" t="s">
        <v>15</v>
      </c>
      <c r="E4374" t="s">
        <v>23</v>
      </c>
      <c r="F4374">
        <v>6</v>
      </c>
      <c r="G4374">
        <v>0</v>
      </c>
      <c r="H4374" s="2">
        <v>39.888599999999997</v>
      </c>
      <c r="I4374" s="2">
        <v>209.94</v>
      </c>
    </row>
    <row r="4375" spans="2:9" x14ac:dyDescent="0.3">
      <c r="E4375" t="s">
        <v>20</v>
      </c>
      <c r="F4375">
        <v>7</v>
      </c>
      <c r="G4375">
        <v>0.4</v>
      </c>
      <c r="H4375" s="2">
        <v>1910.8157999999999</v>
      </c>
      <c r="I4375" s="2">
        <v>5096.7920000000004</v>
      </c>
    </row>
    <row r="4376" spans="2:9" x14ac:dyDescent="0.3">
      <c r="E4376" t="s">
        <v>33</v>
      </c>
      <c r="F4376">
        <v>5</v>
      </c>
      <c r="G4376">
        <v>0.2</v>
      </c>
      <c r="H4376" s="2">
        <v>70.196000000000026</v>
      </c>
      <c r="I4376" s="2">
        <v>1403.9200000000003</v>
      </c>
    </row>
    <row r="4377" spans="2:9" x14ac:dyDescent="0.3">
      <c r="E4377" t="s">
        <v>24</v>
      </c>
      <c r="F4377">
        <v>2</v>
      </c>
      <c r="G4377">
        <v>0.2</v>
      </c>
      <c r="H4377" s="2">
        <v>-7.9959999999999996</v>
      </c>
      <c r="I4377" s="2">
        <v>31.983999999999998</v>
      </c>
    </row>
    <row r="4378" spans="2:9" x14ac:dyDescent="0.3">
      <c r="D4378" t="s">
        <v>17</v>
      </c>
      <c r="E4378" t="s">
        <v>21</v>
      </c>
      <c r="F4378">
        <v>4</v>
      </c>
      <c r="G4378">
        <v>0</v>
      </c>
      <c r="H4378" s="2">
        <v>22.263199999999998</v>
      </c>
      <c r="I4378" s="2">
        <v>70.820000000000007</v>
      </c>
    </row>
    <row r="4379" spans="2:9" x14ac:dyDescent="0.3">
      <c r="B4379" t="s">
        <v>453</v>
      </c>
      <c r="C4379" t="s">
        <v>22</v>
      </c>
      <c r="D4379" t="s">
        <v>8</v>
      </c>
      <c r="E4379" t="s">
        <v>20</v>
      </c>
      <c r="F4379">
        <v>4</v>
      </c>
      <c r="G4379">
        <v>0</v>
      </c>
      <c r="H4379" s="2">
        <v>7.4824000000000002</v>
      </c>
      <c r="I4379" s="2">
        <v>15.92</v>
      </c>
    </row>
    <row r="4380" spans="2:9" x14ac:dyDescent="0.3">
      <c r="E4380" t="s">
        <v>18</v>
      </c>
      <c r="F4380">
        <v>9</v>
      </c>
      <c r="G4380">
        <v>0</v>
      </c>
      <c r="H4380" s="2">
        <v>16.209899999999998</v>
      </c>
      <c r="I4380" s="2">
        <v>52.29</v>
      </c>
    </row>
    <row r="4381" spans="2:9" x14ac:dyDescent="0.3">
      <c r="E4381" t="s">
        <v>24</v>
      </c>
      <c r="F4381">
        <v>2</v>
      </c>
      <c r="G4381">
        <v>0</v>
      </c>
      <c r="H4381" s="2">
        <v>35.634600000000006</v>
      </c>
      <c r="I4381" s="2">
        <v>131.97999999999999</v>
      </c>
    </row>
    <row r="4382" spans="2:9" x14ac:dyDescent="0.3">
      <c r="E4382" t="s">
        <v>14</v>
      </c>
      <c r="F4382">
        <v>5</v>
      </c>
      <c r="G4382">
        <v>0</v>
      </c>
      <c r="H4382" s="2">
        <v>9.5539999999999878</v>
      </c>
      <c r="I4382" s="2">
        <v>175.91</v>
      </c>
    </row>
    <row r="4383" spans="2:9" x14ac:dyDescent="0.3">
      <c r="D4383" t="s">
        <v>17</v>
      </c>
      <c r="E4383" t="s">
        <v>21</v>
      </c>
      <c r="F4383">
        <v>4</v>
      </c>
      <c r="G4383">
        <v>0</v>
      </c>
      <c r="H4383" s="2">
        <v>8.2992000000000008</v>
      </c>
      <c r="I4383" s="2">
        <v>19.760000000000002</v>
      </c>
    </row>
    <row r="4384" spans="2:9" x14ac:dyDescent="0.3">
      <c r="B4384" t="s">
        <v>454</v>
      </c>
      <c r="C4384" t="s">
        <v>11</v>
      </c>
      <c r="D4384" t="s">
        <v>8</v>
      </c>
      <c r="E4384" t="s">
        <v>16</v>
      </c>
      <c r="F4384">
        <v>2</v>
      </c>
      <c r="G4384">
        <v>0</v>
      </c>
      <c r="H4384" s="2">
        <v>5.6644000000000005</v>
      </c>
      <c r="I4384" s="2">
        <v>11.56</v>
      </c>
    </row>
    <row r="4385" spans="2:9" x14ac:dyDescent="0.3">
      <c r="C4385" t="s">
        <v>27</v>
      </c>
      <c r="D4385" t="s">
        <v>8</v>
      </c>
      <c r="E4385" t="s">
        <v>23</v>
      </c>
      <c r="F4385">
        <v>4</v>
      </c>
      <c r="G4385">
        <v>0</v>
      </c>
      <c r="H4385" s="2">
        <v>46.543199999999999</v>
      </c>
      <c r="I4385" s="2">
        <v>113.52</v>
      </c>
    </row>
    <row r="4386" spans="2:9" x14ac:dyDescent="0.3">
      <c r="E4386" t="s">
        <v>21</v>
      </c>
      <c r="F4386">
        <v>5</v>
      </c>
      <c r="G4386">
        <v>0</v>
      </c>
      <c r="H4386" s="2">
        <v>37.883999999999993</v>
      </c>
      <c r="I4386" s="2">
        <v>135.29999999999998</v>
      </c>
    </row>
    <row r="4387" spans="2:9" x14ac:dyDescent="0.3">
      <c r="C4387" t="s">
        <v>7</v>
      </c>
      <c r="D4387" t="s">
        <v>8</v>
      </c>
      <c r="E4387" t="s">
        <v>21</v>
      </c>
      <c r="F4387">
        <v>2</v>
      </c>
      <c r="G4387">
        <v>0.6</v>
      </c>
      <c r="H4387" s="2">
        <v>-31.861200000000004</v>
      </c>
      <c r="I4387" s="2">
        <v>30.344000000000001</v>
      </c>
    </row>
    <row r="4388" spans="2:9" x14ac:dyDescent="0.3">
      <c r="D4388" t="s">
        <v>17</v>
      </c>
      <c r="E4388" t="s">
        <v>23</v>
      </c>
      <c r="F4388">
        <v>8</v>
      </c>
      <c r="G4388">
        <v>0.2</v>
      </c>
      <c r="H4388" s="2">
        <v>135.45599999999996</v>
      </c>
      <c r="I4388" s="2">
        <v>637.44000000000005</v>
      </c>
    </row>
    <row r="4389" spans="2:9" x14ac:dyDescent="0.3">
      <c r="E4389" t="s">
        <v>19</v>
      </c>
      <c r="F4389">
        <v>2</v>
      </c>
      <c r="G4389">
        <v>0.2</v>
      </c>
      <c r="H4389" s="2">
        <v>14.227200000000003</v>
      </c>
      <c r="I4389" s="2">
        <v>59.903999999999996</v>
      </c>
    </row>
    <row r="4390" spans="2:9" x14ac:dyDescent="0.3">
      <c r="E4390" t="s">
        <v>21</v>
      </c>
      <c r="F4390">
        <v>3</v>
      </c>
      <c r="G4390">
        <v>0.6</v>
      </c>
      <c r="H4390" s="2">
        <v>-33.641399999999997</v>
      </c>
      <c r="I4390" s="2">
        <v>51.756000000000007</v>
      </c>
    </row>
    <row r="4391" spans="2:9" x14ac:dyDescent="0.3">
      <c r="E4391" t="s">
        <v>46</v>
      </c>
      <c r="F4391">
        <v>2</v>
      </c>
      <c r="G4391">
        <v>0.3</v>
      </c>
      <c r="H4391" s="2">
        <v>137.26399999999995</v>
      </c>
      <c r="I4391" s="2">
        <v>600.53</v>
      </c>
    </row>
    <row r="4392" spans="2:9" x14ac:dyDescent="0.3">
      <c r="C4392" t="s">
        <v>22</v>
      </c>
      <c r="D4392" t="s">
        <v>15</v>
      </c>
      <c r="E4392" t="s">
        <v>16</v>
      </c>
      <c r="F4392">
        <v>2</v>
      </c>
      <c r="G4392">
        <v>0</v>
      </c>
      <c r="H4392" s="2">
        <v>4.7519999999999998</v>
      </c>
      <c r="I4392" s="2">
        <v>10.56</v>
      </c>
    </row>
    <row r="4393" spans="2:9" x14ac:dyDescent="0.3">
      <c r="D4393" t="s">
        <v>17</v>
      </c>
      <c r="E4393" t="s">
        <v>21</v>
      </c>
      <c r="F4393">
        <v>3</v>
      </c>
      <c r="G4393">
        <v>0.6</v>
      </c>
      <c r="H4393" s="2">
        <v>-4.804800000000002</v>
      </c>
      <c r="I4393" s="2">
        <v>8.7360000000000007</v>
      </c>
    </row>
    <row r="4394" spans="2:9" x14ac:dyDescent="0.3">
      <c r="B4394" t="s">
        <v>455</v>
      </c>
      <c r="C4394" t="s">
        <v>22</v>
      </c>
      <c r="D4394" t="s">
        <v>15</v>
      </c>
      <c r="E4394" t="s">
        <v>23</v>
      </c>
      <c r="F4394">
        <v>9</v>
      </c>
      <c r="G4394">
        <v>0</v>
      </c>
      <c r="H4394" s="2">
        <v>288.43799999999999</v>
      </c>
      <c r="I4394" s="2">
        <v>727.90000000000009</v>
      </c>
    </row>
    <row r="4395" spans="2:9" x14ac:dyDescent="0.3">
      <c r="E4395" t="s">
        <v>33</v>
      </c>
      <c r="F4395">
        <v>4</v>
      </c>
      <c r="G4395">
        <v>0</v>
      </c>
      <c r="H4395" s="2">
        <v>181.17599999999993</v>
      </c>
      <c r="I4395" s="2">
        <v>603.91999999999996</v>
      </c>
    </row>
    <row r="4396" spans="2:9" x14ac:dyDescent="0.3">
      <c r="B4396" t="s">
        <v>456</v>
      </c>
      <c r="C4396" t="s">
        <v>11</v>
      </c>
      <c r="D4396" t="s">
        <v>8</v>
      </c>
      <c r="E4396" t="s">
        <v>12</v>
      </c>
      <c r="F4396">
        <v>10</v>
      </c>
      <c r="G4396">
        <v>0</v>
      </c>
      <c r="H4396" s="2">
        <v>20.975000000000001</v>
      </c>
      <c r="I4396" s="2">
        <v>83.9</v>
      </c>
    </row>
    <row r="4397" spans="2:9" x14ac:dyDescent="0.3">
      <c r="E4397" t="s">
        <v>16</v>
      </c>
      <c r="F4397">
        <v>2</v>
      </c>
      <c r="G4397">
        <v>0</v>
      </c>
      <c r="H4397" s="2">
        <v>5.7623999999999995</v>
      </c>
      <c r="I4397" s="2">
        <v>11.76</v>
      </c>
    </row>
    <row r="4398" spans="2:9" x14ac:dyDescent="0.3">
      <c r="C4398" t="s">
        <v>7</v>
      </c>
      <c r="D4398" t="s">
        <v>8</v>
      </c>
      <c r="E4398" t="s">
        <v>23</v>
      </c>
      <c r="F4398">
        <v>7</v>
      </c>
      <c r="G4398">
        <v>0</v>
      </c>
      <c r="H4398" s="2">
        <v>43.598100000000002</v>
      </c>
      <c r="I4398" s="2">
        <v>111.79</v>
      </c>
    </row>
    <row r="4399" spans="2:9" x14ac:dyDescent="0.3">
      <c r="D4399" t="s">
        <v>15</v>
      </c>
      <c r="E4399" t="s">
        <v>16</v>
      </c>
      <c r="F4399">
        <v>4</v>
      </c>
      <c r="G4399">
        <v>0</v>
      </c>
      <c r="H4399" s="2">
        <v>12.441600000000001</v>
      </c>
      <c r="I4399" s="2">
        <v>25.92</v>
      </c>
    </row>
    <row r="4400" spans="2:9" x14ac:dyDescent="0.3">
      <c r="C4400" t="s">
        <v>22</v>
      </c>
      <c r="D4400" t="s">
        <v>15</v>
      </c>
      <c r="E4400" t="s">
        <v>9</v>
      </c>
      <c r="F4400">
        <v>3</v>
      </c>
      <c r="G4400">
        <v>0</v>
      </c>
      <c r="H4400" s="2">
        <v>15.776999999999996</v>
      </c>
      <c r="I4400" s="2">
        <v>52.59</v>
      </c>
    </row>
    <row r="4401" spans="2:9" x14ac:dyDescent="0.3">
      <c r="B4401" t="s">
        <v>457</v>
      </c>
      <c r="C4401" t="s">
        <v>7</v>
      </c>
      <c r="D4401" t="s">
        <v>15</v>
      </c>
      <c r="E4401" t="s">
        <v>24</v>
      </c>
      <c r="F4401">
        <v>5</v>
      </c>
      <c r="G4401">
        <v>0</v>
      </c>
      <c r="H4401" s="2">
        <v>2.2990000000000066</v>
      </c>
      <c r="I4401" s="2">
        <v>114.94999999999999</v>
      </c>
    </row>
    <row r="4402" spans="2:9" x14ac:dyDescent="0.3">
      <c r="C4402" t="s">
        <v>22</v>
      </c>
      <c r="D4402" t="s">
        <v>15</v>
      </c>
      <c r="E4402" t="s">
        <v>12</v>
      </c>
      <c r="F4402">
        <v>6</v>
      </c>
      <c r="G4402">
        <v>0</v>
      </c>
      <c r="H4402" s="2">
        <v>22.585199999999993</v>
      </c>
      <c r="I4402" s="2">
        <v>77.88</v>
      </c>
    </row>
    <row r="4403" spans="2:9" x14ac:dyDescent="0.3">
      <c r="B4403" t="s">
        <v>458</v>
      </c>
      <c r="C4403" t="s">
        <v>22</v>
      </c>
      <c r="D4403" t="s">
        <v>17</v>
      </c>
      <c r="E4403" t="s">
        <v>25</v>
      </c>
      <c r="F4403">
        <v>4</v>
      </c>
      <c r="G4403">
        <v>0</v>
      </c>
      <c r="H4403" s="2">
        <v>146.40359999999998</v>
      </c>
      <c r="I4403" s="2">
        <v>697.16</v>
      </c>
    </row>
    <row r="4404" spans="2:9" x14ac:dyDescent="0.3">
      <c r="B4404" t="s">
        <v>459</v>
      </c>
      <c r="C4404" t="s">
        <v>11</v>
      </c>
      <c r="D4404" t="s">
        <v>8</v>
      </c>
      <c r="E4404" t="s">
        <v>21</v>
      </c>
      <c r="F4404">
        <v>2</v>
      </c>
      <c r="G4404">
        <v>0.2</v>
      </c>
      <c r="H4404" s="2">
        <v>1.9989999999999979</v>
      </c>
      <c r="I4404" s="2">
        <v>31.983999999999998</v>
      </c>
    </row>
    <row r="4405" spans="2:9" x14ac:dyDescent="0.3">
      <c r="C4405" t="s">
        <v>22</v>
      </c>
      <c r="D4405" t="s">
        <v>8</v>
      </c>
      <c r="E4405" t="s">
        <v>20</v>
      </c>
      <c r="F4405">
        <v>2</v>
      </c>
      <c r="G4405">
        <v>0.7</v>
      </c>
      <c r="H4405" s="2">
        <v>-12.224</v>
      </c>
      <c r="I4405" s="2">
        <v>18.336000000000002</v>
      </c>
    </row>
    <row r="4406" spans="2:9" x14ac:dyDescent="0.3">
      <c r="E4406" t="s">
        <v>21</v>
      </c>
      <c r="F4406">
        <v>2</v>
      </c>
      <c r="G4406">
        <v>0.2</v>
      </c>
      <c r="H4406" s="2">
        <v>1.0679999999999996</v>
      </c>
      <c r="I4406" s="2">
        <v>17.088000000000001</v>
      </c>
    </row>
    <row r="4407" spans="2:9" x14ac:dyDescent="0.3">
      <c r="E4407" t="s">
        <v>24</v>
      </c>
      <c r="F4407">
        <v>5</v>
      </c>
      <c r="G4407">
        <v>0.2</v>
      </c>
      <c r="H4407" s="2">
        <v>13.571999999999996</v>
      </c>
      <c r="I4407" s="2">
        <v>180.96</v>
      </c>
    </row>
    <row r="4408" spans="2:9" x14ac:dyDescent="0.3">
      <c r="D4408" t="s">
        <v>15</v>
      </c>
      <c r="E4408" t="s">
        <v>19</v>
      </c>
      <c r="F4408">
        <v>2</v>
      </c>
      <c r="G4408">
        <v>0.2</v>
      </c>
      <c r="H4408" s="2">
        <v>0.3335999999999999</v>
      </c>
      <c r="I4408" s="2">
        <v>4.4479999999999995</v>
      </c>
    </row>
    <row r="4409" spans="2:9" x14ac:dyDescent="0.3">
      <c r="E4409" t="s">
        <v>20</v>
      </c>
      <c r="F4409">
        <v>2</v>
      </c>
      <c r="G4409">
        <v>0.7</v>
      </c>
      <c r="H4409" s="2">
        <v>-13.393599999999999</v>
      </c>
      <c r="I4409" s="2">
        <v>18.264000000000003</v>
      </c>
    </row>
    <row r="4410" spans="2:9" x14ac:dyDescent="0.3">
      <c r="E4410" t="s">
        <v>21</v>
      </c>
      <c r="F4410">
        <v>9</v>
      </c>
      <c r="G4410">
        <v>0.4</v>
      </c>
      <c r="H4410" s="2">
        <v>68.78309999999999</v>
      </c>
      <c r="I4410" s="2">
        <v>484.08800000000008</v>
      </c>
    </row>
    <row r="4411" spans="2:9" x14ac:dyDescent="0.3">
      <c r="E4411" t="s">
        <v>43</v>
      </c>
      <c r="F4411">
        <v>3</v>
      </c>
      <c r="G4411">
        <v>0.2</v>
      </c>
      <c r="H4411" s="2">
        <v>3.1499999999999995</v>
      </c>
      <c r="I4411" s="2">
        <v>9</v>
      </c>
    </row>
    <row r="4412" spans="2:9" x14ac:dyDescent="0.3">
      <c r="E4412" t="s">
        <v>16</v>
      </c>
      <c r="F4412">
        <v>20</v>
      </c>
      <c r="G4412">
        <v>0.60000000000000009</v>
      </c>
      <c r="H4412" s="2">
        <v>72.858199999999982</v>
      </c>
      <c r="I4412" s="2">
        <v>231.28000000000003</v>
      </c>
    </row>
    <row r="4413" spans="2:9" x14ac:dyDescent="0.3">
      <c r="E4413" t="s">
        <v>24</v>
      </c>
      <c r="F4413">
        <v>2</v>
      </c>
      <c r="G4413">
        <v>0.2</v>
      </c>
      <c r="H4413" s="2">
        <v>22.297999999999973</v>
      </c>
      <c r="I4413" s="2">
        <v>178.38400000000001</v>
      </c>
    </row>
    <row r="4414" spans="2:9" x14ac:dyDescent="0.3">
      <c r="E4414" t="s">
        <v>14</v>
      </c>
      <c r="F4414">
        <v>4</v>
      </c>
      <c r="G4414">
        <v>0.2</v>
      </c>
      <c r="H4414" s="2">
        <v>-6.4619999999999891</v>
      </c>
      <c r="I4414" s="2">
        <v>516.96</v>
      </c>
    </row>
    <row r="4415" spans="2:9" x14ac:dyDescent="0.3">
      <c r="B4415" t="s">
        <v>460</v>
      </c>
      <c r="C4415" t="s">
        <v>11</v>
      </c>
      <c r="D4415" t="s">
        <v>8</v>
      </c>
      <c r="E4415" t="s">
        <v>19</v>
      </c>
      <c r="F4415">
        <v>1</v>
      </c>
      <c r="G4415">
        <v>0.2</v>
      </c>
      <c r="H4415" s="2">
        <v>1.7730000000000004</v>
      </c>
      <c r="I4415" s="2">
        <v>7.88</v>
      </c>
    </row>
    <row r="4416" spans="2:9" x14ac:dyDescent="0.3">
      <c r="E4416" t="s">
        <v>33</v>
      </c>
      <c r="F4416">
        <v>2</v>
      </c>
      <c r="G4416">
        <v>0</v>
      </c>
      <c r="H4416" s="2">
        <v>168.47040000000004</v>
      </c>
      <c r="I4416" s="2">
        <v>701.96</v>
      </c>
    </row>
    <row r="4417" spans="3:9" x14ac:dyDescent="0.3">
      <c r="D4417" t="s">
        <v>17</v>
      </c>
      <c r="E4417" t="s">
        <v>23</v>
      </c>
      <c r="F4417">
        <v>3</v>
      </c>
      <c r="G4417">
        <v>0.2</v>
      </c>
      <c r="H4417" s="2">
        <v>-8.4581999999999979</v>
      </c>
      <c r="I4417" s="2">
        <v>112.77600000000001</v>
      </c>
    </row>
    <row r="4418" spans="3:9" x14ac:dyDescent="0.3">
      <c r="E4418" t="s">
        <v>19</v>
      </c>
      <c r="F4418">
        <v>5</v>
      </c>
      <c r="G4418">
        <v>0.4</v>
      </c>
      <c r="H4418" s="2">
        <v>2.8919999999999995</v>
      </c>
      <c r="I4418" s="2">
        <v>20.911999999999999</v>
      </c>
    </row>
    <row r="4419" spans="3:9" x14ac:dyDescent="0.3">
      <c r="E4419" t="s">
        <v>20</v>
      </c>
      <c r="F4419">
        <v>4</v>
      </c>
      <c r="G4419">
        <v>0.7</v>
      </c>
      <c r="H4419" s="2">
        <v>-30.159999999999997</v>
      </c>
      <c r="I4419" s="2">
        <v>45.240000000000009</v>
      </c>
    </row>
    <row r="4420" spans="3:9" x14ac:dyDescent="0.3">
      <c r="E4420" t="s">
        <v>43</v>
      </c>
      <c r="F4420">
        <v>4</v>
      </c>
      <c r="G4420">
        <v>0.2</v>
      </c>
      <c r="H4420" s="2">
        <v>5.1791999999999998</v>
      </c>
      <c r="I4420" s="2">
        <v>15.936000000000002</v>
      </c>
    </row>
    <row r="4421" spans="3:9" x14ac:dyDescent="0.3">
      <c r="E4421" t="s">
        <v>16</v>
      </c>
      <c r="F4421">
        <v>2</v>
      </c>
      <c r="G4421">
        <v>0.2</v>
      </c>
      <c r="H4421" s="2">
        <v>3.7855999999999992</v>
      </c>
      <c r="I4421" s="2">
        <v>11.648000000000001</v>
      </c>
    </row>
    <row r="4422" spans="3:9" x14ac:dyDescent="0.3">
      <c r="E4422" t="s">
        <v>24</v>
      </c>
      <c r="F4422">
        <v>3</v>
      </c>
      <c r="G4422">
        <v>0.2</v>
      </c>
      <c r="H4422" s="2">
        <v>-7.17</v>
      </c>
      <c r="I4422" s="2">
        <v>28.68</v>
      </c>
    </row>
    <row r="4423" spans="3:9" x14ac:dyDescent="0.3">
      <c r="E4423" t="s">
        <v>25</v>
      </c>
      <c r="F4423">
        <v>5</v>
      </c>
      <c r="G4423">
        <v>0.5</v>
      </c>
      <c r="H4423" s="2">
        <v>-264.21500000000003</v>
      </c>
      <c r="I4423" s="2">
        <v>377.45</v>
      </c>
    </row>
    <row r="4424" spans="3:9" x14ac:dyDescent="0.3">
      <c r="C4424" t="s">
        <v>7</v>
      </c>
      <c r="D4424" t="s">
        <v>8</v>
      </c>
      <c r="E4424" t="s">
        <v>19</v>
      </c>
      <c r="F4424">
        <v>7</v>
      </c>
      <c r="G4424">
        <v>0</v>
      </c>
      <c r="H4424" s="2">
        <v>9.1937999999999978</v>
      </c>
      <c r="I4424" s="2">
        <v>27.86</v>
      </c>
    </row>
    <row r="4425" spans="3:9" x14ac:dyDescent="0.3">
      <c r="E4425" t="s">
        <v>14</v>
      </c>
      <c r="F4425">
        <v>3</v>
      </c>
      <c r="G4425">
        <v>0.2</v>
      </c>
      <c r="H4425" s="2">
        <v>2.5641000000000034</v>
      </c>
      <c r="I4425" s="2">
        <v>29.304000000000002</v>
      </c>
    </row>
    <row r="4426" spans="3:9" x14ac:dyDescent="0.3">
      <c r="D4426" t="s">
        <v>15</v>
      </c>
      <c r="E4426" t="s">
        <v>19</v>
      </c>
      <c r="F4426">
        <v>12</v>
      </c>
      <c r="G4426">
        <v>0.4</v>
      </c>
      <c r="H4426" s="2">
        <v>18.724200000000003</v>
      </c>
      <c r="I4426" s="2">
        <v>80.960000000000008</v>
      </c>
    </row>
    <row r="4427" spans="3:9" x14ac:dyDescent="0.3">
      <c r="E4427" t="s">
        <v>24</v>
      </c>
      <c r="F4427">
        <v>5</v>
      </c>
      <c r="G4427">
        <v>0.2</v>
      </c>
      <c r="H4427" s="2">
        <v>19.796999999999997</v>
      </c>
      <c r="I4427" s="2">
        <v>263.96000000000004</v>
      </c>
    </row>
    <row r="4428" spans="3:9" x14ac:dyDescent="0.3">
      <c r="C4428" t="s">
        <v>22</v>
      </c>
      <c r="D4428" t="s">
        <v>8</v>
      </c>
      <c r="E4428" t="s">
        <v>23</v>
      </c>
      <c r="F4428">
        <v>10</v>
      </c>
      <c r="G4428">
        <v>0.2</v>
      </c>
      <c r="H4428" s="2">
        <v>-18.186000000000014</v>
      </c>
      <c r="I4428" s="2">
        <v>103.92000000000002</v>
      </c>
    </row>
    <row r="4429" spans="3:9" x14ac:dyDescent="0.3">
      <c r="E4429" t="s">
        <v>12</v>
      </c>
      <c r="F4429">
        <v>2</v>
      </c>
      <c r="G4429">
        <v>0</v>
      </c>
      <c r="H4429" s="2">
        <v>12.263999999999999</v>
      </c>
      <c r="I4429" s="2">
        <v>35.04</v>
      </c>
    </row>
    <row r="4430" spans="3:9" x14ac:dyDescent="0.3">
      <c r="E4430" t="s">
        <v>19</v>
      </c>
      <c r="F4430">
        <v>14</v>
      </c>
      <c r="G4430">
        <v>0.2</v>
      </c>
      <c r="H4430" s="2">
        <v>35.860199999999985</v>
      </c>
      <c r="I4430" s="2">
        <v>126.86799999999999</v>
      </c>
    </row>
    <row r="4431" spans="3:9" x14ac:dyDescent="0.3">
      <c r="E4431" t="s">
        <v>20</v>
      </c>
      <c r="F4431">
        <v>10</v>
      </c>
      <c r="G4431">
        <v>1.4</v>
      </c>
      <c r="H4431" s="2">
        <v>-10.244100000000001</v>
      </c>
      <c r="I4431" s="2">
        <v>38.217000000000006</v>
      </c>
    </row>
    <row r="4432" spans="3:9" x14ac:dyDescent="0.3">
      <c r="E4432" t="s">
        <v>34</v>
      </c>
      <c r="F4432">
        <v>3</v>
      </c>
      <c r="G4432">
        <v>0</v>
      </c>
      <c r="H4432" s="2">
        <v>69.67619999999998</v>
      </c>
      <c r="I4432" s="2">
        <v>302.94</v>
      </c>
    </row>
    <row r="4433" spans="2:9" x14ac:dyDescent="0.3">
      <c r="E4433" t="s">
        <v>21</v>
      </c>
      <c r="F4433">
        <v>5</v>
      </c>
      <c r="G4433">
        <v>0</v>
      </c>
      <c r="H4433" s="2">
        <v>3.8720000000000003</v>
      </c>
      <c r="I4433" s="2">
        <v>8.8000000000000007</v>
      </c>
    </row>
    <row r="4434" spans="2:9" x14ac:dyDescent="0.3">
      <c r="E4434" t="s">
        <v>43</v>
      </c>
      <c r="F4434">
        <v>12</v>
      </c>
      <c r="G4434">
        <v>0.4</v>
      </c>
      <c r="H4434" s="2">
        <v>12.807599999999997</v>
      </c>
      <c r="I4434" s="2">
        <v>39.408000000000001</v>
      </c>
    </row>
    <row r="4435" spans="2:9" x14ac:dyDescent="0.3">
      <c r="E4435" t="s">
        <v>16</v>
      </c>
      <c r="F4435">
        <v>12</v>
      </c>
      <c r="G4435">
        <v>0.60000000000000009</v>
      </c>
      <c r="H4435" s="2">
        <v>37.601599999999998</v>
      </c>
      <c r="I4435" s="2">
        <v>90.592000000000013</v>
      </c>
    </row>
    <row r="4436" spans="2:9" x14ac:dyDescent="0.3">
      <c r="E4436" t="s">
        <v>24</v>
      </c>
      <c r="F4436">
        <v>9</v>
      </c>
      <c r="G4436">
        <v>0.4</v>
      </c>
      <c r="H4436" s="2">
        <v>67.608800000000002</v>
      </c>
      <c r="I4436" s="2">
        <v>409.42399999999998</v>
      </c>
    </row>
    <row r="4437" spans="2:9" x14ac:dyDescent="0.3">
      <c r="E4437" t="s">
        <v>14</v>
      </c>
      <c r="F4437">
        <v>3</v>
      </c>
      <c r="G4437">
        <v>0.2</v>
      </c>
      <c r="H4437" s="2">
        <v>2.9304000000000023</v>
      </c>
      <c r="I4437" s="2">
        <v>39.072000000000003</v>
      </c>
    </row>
    <row r="4438" spans="2:9" x14ac:dyDescent="0.3">
      <c r="E4438" t="s">
        <v>9</v>
      </c>
      <c r="F4438">
        <v>7</v>
      </c>
      <c r="G4438">
        <v>0.2</v>
      </c>
      <c r="H4438" s="2">
        <v>8.9834999999999834</v>
      </c>
      <c r="I4438" s="2">
        <v>245.6</v>
      </c>
    </row>
    <row r="4439" spans="2:9" x14ac:dyDescent="0.3">
      <c r="D4439" t="s">
        <v>17</v>
      </c>
      <c r="E4439" t="s">
        <v>38</v>
      </c>
      <c r="F4439">
        <v>3</v>
      </c>
      <c r="G4439">
        <v>0</v>
      </c>
      <c r="H4439" s="2">
        <v>118.34129999999999</v>
      </c>
      <c r="I4439" s="2">
        <v>251.79000000000002</v>
      </c>
    </row>
    <row r="4440" spans="2:9" x14ac:dyDescent="0.3">
      <c r="E4440" t="s">
        <v>24</v>
      </c>
      <c r="F4440">
        <v>2</v>
      </c>
      <c r="G4440">
        <v>0</v>
      </c>
      <c r="H4440" s="2">
        <v>6.104000000000001</v>
      </c>
      <c r="I4440" s="2">
        <v>21.8</v>
      </c>
    </row>
    <row r="4441" spans="2:9" x14ac:dyDescent="0.3">
      <c r="E4441" t="s">
        <v>9</v>
      </c>
      <c r="F4441">
        <v>2</v>
      </c>
      <c r="G4441">
        <v>0.2</v>
      </c>
      <c r="H4441" s="2">
        <v>0.69839999999999902</v>
      </c>
      <c r="I4441" s="2">
        <v>6.2080000000000002</v>
      </c>
    </row>
    <row r="4442" spans="2:9" x14ac:dyDescent="0.3">
      <c r="B4442" t="s">
        <v>461</v>
      </c>
      <c r="C4442" t="s">
        <v>7</v>
      </c>
      <c r="D4442" t="s">
        <v>15</v>
      </c>
      <c r="E4442" t="s">
        <v>19</v>
      </c>
      <c r="F4442">
        <v>2</v>
      </c>
      <c r="G4442">
        <v>0</v>
      </c>
      <c r="H4442" s="2">
        <v>1.3416000000000001</v>
      </c>
      <c r="I4442" s="2">
        <v>5.16</v>
      </c>
    </row>
    <row r="4443" spans="2:9" x14ac:dyDescent="0.3">
      <c r="E4443" t="s">
        <v>20</v>
      </c>
      <c r="F4443">
        <v>9</v>
      </c>
      <c r="G4443">
        <v>0.60000000000000009</v>
      </c>
      <c r="H4443" s="2">
        <v>31.123099999999997</v>
      </c>
      <c r="I4443" s="2">
        <v>94.424000000000007</v>
      </c>
    </row>
    <row r="4444" spans="2:9" x14ac:dyDescent="0.3">
      <c r="E4444" t="s">
        <v>38</v>
      </c>
      <c r="F4444">
        <v>5</v>
      </c>
      <c r="G4444">
        <v>0</v>
      </c>
      <c r="H4444" s="2">
        <v>7.08</v>
      </c>
      <c r="I4444" s="2">
        <v>14.75</v>
      </c>
    </row>
    <row r="4445" spans="2:9" x14ac:dyDescent="0.3">
      <c r="E4445" t="s">
        <v>43</v>
      </c>
      <c r="F4445">
        <v>14</v>
      </c>
      <c r="G4445">
        <v>0</v>
      </c>
      <c r="H4445" s="2">
        <v>196.61320000000001</v>
      </c>
      <c r="I4445" s="2">
        <v>427.42</v>
      </c>
    </row>
    <row r="4446" spans="2:9" x14ac:dyDescent="0.3">
      <c r="E4446" t="s">
        <v>16</v>
      </c>
      <c r="F4446">
        <v>6</v>
      </c>
      <c r="G4446">
        <v>0</v>
      </c>
      <c r="H4446" s="2">
        <v>18.662400000000002</v>
      </c>
      <c r="I4446" s="2">
        <v>38.880000000000003</v>
      </c>
    </row>
    <row r="4447" spans="2:9" x14ac:dyDescent="0.3">
      <c r="D4447" t="s">
        <v>17</v>
      </c>
      <c r="E4447" t="s">
        <v>34</v>
      </c>
      <c r="F4447">
        <v>3</v>
      </c>
      <c r="G4447">
        <v>0.15</v>
      </c>
      <c r="H4447" s="2">
        <v>15.697800000000004</v>
      </c>
      <c r="I4447" s="2">
        <v>148.25700000000001</v>
      </c>
    </row>
    <row r="4448" spans="2:9" x14ac:dyDescent="0.3">
      <c r="B4448" t="s">
        <v>462</v>
      </c>
      <c r="C4448" t="s">
        <v>7</v>
      </c>
      <c r="D4448" t="s">
        <v>8</v>
      </c>
      <c r="E4448" t="s">
        <v>20</v>
      </c>
      <c r="F4448">
        <v>9</v>
      </c>
      <c r="G4448">
        <v>0.2</v>
      </c>
      <c r="H4448" s="2">
        <v>106.95779999999998</v>
      </c>
      <c r="I4448" s="2">
        <v>295.05599999999998</v>
      </c>
    </row>
    <row r="4449" spans="2:9" x14ac:dyDescent="0.3">
      <c r="D4449" t="s">
        <v>17</v>
      </c>
      <c r="E4449" t="s">
        <v>16</v>
      </c>
      <c r="F4449">
        <v>3</v>
      </c>
      <c r="G4449">
        <v>0</v>
      </c>
      <c r="H4449" s="2">
        <v>79.891199999999998</v>
      </c>
      <c r="I4449" s="2">
        <v>166.44</v>
      </c>
    </row>
    <row r="4450" spans="2:9" x14ac:dyDescent="0.3">
      <c r="C4450" t="s">
        <v>22</v>
      </c>
      <c r="D4450" t="s">
        <v>8</v>
      </c>
      <c r="E4450" t="s">
        <v>20</v>
      </c>
      <c r="F4450">
        <v>3</v>
      </c>
      <c r="G4450">
        <v>0.2</v>
      </c>
      <c r="H4450" s="2">
        <v>37.235999999999997</v>
      </c>
      <c r="I4450" s="2">
        <v>102.72</v>
      </c>
    </row>
    <row r="4451" spans="2:9" x14ac:dyDescent="0.3">
      <c r="E4451" t="s">
        <v>16</v>
      </c>
      <c r="F4451">
        <v>3</v>
      </c>
      <c r="G4451">
        <v>0</v>
      </c>
      <c r="H4451" s="2">
        <v>9.3312000000000008</v>
      </c>
      <c r="I4451" s="2">
        <v>19.440000000000001</v>
      </c>
    </row>
    <row r="4452" spans="2:9" x14ac:dyDescent="0.3">
      <c r="D4452" t="s">
        <v>17</v>
      </c>
      <c r="E4452" t="s">
        <v>20</v>
      </c>
      <c r="F4452">
        <v>5</v>
      </c>
      <c r="G4452">
        <v>0.2</v>
      </c>
      <c r="H4452" s="2">
        <v>13.037499999999998</v>
      </c>
      <c r="I4452" s="2">
        <v>41.72</v>
      </c>
    </row>
    <row r="4453" spans="2:9" x14ac:dyDescent="0.3">
      <c r="E4453" t="s">
        <v>16</v>
      </c>
      <c r="F4453">
        <v>19</v>
      </c>
      <c r="G4453">
        <v>0</v>
      </c>
      <c r="H4453" s="2">
        <v>82.806399999999996</v>
      </c>
      <c r="I4453" s="2">
        <v>177.39999999999998</v>
      </c>
    </row>
    <row r="4454" spans="2:9" x14ac:dyDescent="0.3">
      <c r="B4454" t="s">
        <v>463</v>
      </c>
      <c r="C4454" t="s">
        <v>7</v>
      </c>
      <c r="D4454" t="s">
        <v>8</v>
      </c>
      <c r="E4454" t="s">
        <v>12</v>
      </c>
      <c r="F4454">
        <v>4</v>
      </c>
      <c r="G4454">
        <v>0.8</v>
      </c>
      <c r="H4454" s="2">
        <v>-30.867200000000004</v>
      </c>
      <c r="I4454" s="2">
        <v>11.647999999999998</v>
      </c>
    </row>
    <row r="4455" spans="2:9" x14ac:dyDescent="0.3">
      <c r="E4455" t="s">
        <v>33</v>
      </c>
      <c r="F4455">
        <v>7</v>
      </c>
      <c r="G4455">
        <v>0.6</v>
      </c>
      <c r="H4455" s="2">
        <v>-18.96279999999998</v>
      </c>
      <c r="I4455" s="2">
        <v>333.67599999999999</v>
      </c>
    </row>
    <row r="4456" spans="2:9" x14ac:dyDescent="0.3">
      <c r="C4456" t="s">
        <v>22</v>
      </c>
      <c r="D4456" t="s">
        <v>15</v>
      </c>
      <c r="E4456" t="s">
        <v>33</v>
      </c>
      <c r="F4456">
        <v>2</v>
      </c>
      <c r="G4456">
        <v>0.3</v>
      </c>
      <c r="H4456" s="2">
        <v>-8.7232000000000198</v>
      </c>
      <c r="I4456" s="2">
        <v>305.31200000000001</v>
      </c>
    </row>
    <row r="4457" spans="2:9" x14ac:dyDescent="0.3">
      <c r="B4457" t="s">
        <v>464</v>
      </c>
      <c r="C4457" t="s">
        <v>11</v>
      </c>
      <c r="D4457" t="s">
        <v>8</v>
      </c>
      <c r="E4457" t="s">
        <v>33</v>
      </c>
      <c r="F4457">
        <v>3</v>
      </c>
      <c r="G4457">
        <v>0.3</v>
      </c>
      <c r="H4457" s="2">
        <v>-9.1335000000000122</v>
      </c>
      <c r="I4457" s="2">
        <v>127.869</v>
      </c>
    </row>
    <row r="4458" spans="2:9" x14ac:dyDescent="0.3">
      <c r="D4458" t="s">
        <v>15</v>
      </c>
      <c r="E4458" t="s">
        <v>23</v>
      </c>
      <c r="F4458">
        <v>5</v>
      </c>
      <c r="G4458">
        <v>0.2</v>
      </c>
      <c r="H4458" s="2">
        <v>29.798999999999999</v>
      </c>
      <c r="I4458" s="2">
        <v>113.52000000000001</v>
      </c>
    </row>
    <row r="4459" spans="2:9" x14ac:dyDescent="0.3">
      <c r="E4459" t="s">
        <v>19</v>
      </c>
      <c r="F4459">
        <v>4</v>
      </c>
      <c r="G4459">
        <v>0.2</v>
      </c>
      <c r="H4459" s="2">
        <v>8.7384000000000022</v>
      </c>
      <c r="I4459" s="2">
        <v>31.776</v>
      </c>
    </row>
    <row r="4460" spans="2:9" x14ac:dyDescent="0.3">
      <c r="E4460" t="s">
        <v>24</v>
      </c>
      <c r="F4460">
        <v>3</v>
      </c>
      <c r="G4460">
        <v>0.2</v>
      </c>
      <c r="H4460" s="2">
        <v>22.492499999999993</v>
      </c>
      <c r="I4460" s="2">
        <v>359.88</v>
      </c>
    </row>
    <row r="4461" spans="2:9" x14ac:dyDescent="0.3">
      <c r="E4461" t="s">
        <v>25</v>
      </c>
      <c r="F4461">
        <v>6</v>
      </c>
      <c r="G4461">
        <v>0.3</v>
      </c>
      <c r="H4461" s="2">
        <v>-71.811599999999999</v>
      </c>
      <c r="I4461" s="2">
        <v>718.11599999999987</v>
      </c>
    </row>
    <row r="4462" spans="2:9" x14ac:dyDescent="0.3">
      <c r="C4462" t="s">
        <v>27</v>
      </c>
      <c r="D4462" t="s">
        <v>8</v>
      </c>
      <c r="E4462" t="s">
        <v>14</v>
      </c>
      <c r="F4462">
        <v>4</v>
      </c>
      <c r="G4462">
        <v>0.2</v>
      </c>
      <c r="H4462" s="2">
        <v>4.9632000000000005</v>
      </c>
      <c r="I4462" s="2">
        <v>49.632000000000005</v>
      </c>
    </row>
    <row r="4463" spans="2:9" x14ac:dyDescent="0.3">
      <c r="D4463" t="s">
        <v>15</v>
      </c>
      <c r="E4463" t="s">
        <v>20</v>
      </c>
      <c r="F4463">
        <v>2</v>
      </c>
      <c r="G4463">
        <v>0.8</v>
      </c>
      <c r="H4463" s="2">
        <v>-336.62720000000013</v>
      </c>
      <c r="I4463" s="2">
        <v>210.39199999999997</v>
      </c>
    </row>
    <row r="4464" spans="2:9" x14ac:dyDescent="0.3">
      <c r="C4464" t="s">
        <v>7</v>
      </c>
      <c r="D4464" t="s">
        <v>8</v>
      </c>
      <c r="E4464" t="s">
        <v>19</v>
      </c>
      <c r="F4464">
        <v>3</v>
      </c>
      <c r="G4464">
        <v>0.2</v>
      </c>
      <c r="H4464" s="2">
        <v>0.89880000000000004</v>
      </c>
      <c r="I4464" s="2">
        <v>10.272000000000002</v>
      </c>
    </row>
    <row r="4465" spans="3:9" x14ac:dyDescent="0.3">
      <c r="E4465" t="s">
        <v>20</v>
      </c>
      <c r="F4465">
        <v>3</v>
      </c>
      <c r="G4465">
        <v>0.8</v>
      </c>
      <c r="H4465" s="2">
        <v>-6.2370000000000019</v>
      </c>
      <c r="I4465" s="2">
        <v>3.5639999999999992</v>
      </c>
    </row>
    <row r="4466" spans="3:9" x14ac:dyDescent="0.3">
      <c r="E4466" t="s">
        <v>33</v>
      </c>
      <c r="F4466">
        <v>6</v>
      </c>
      <c r="G4466">
        <v>0.6</v>
      </c>
      <c r="H4466" s="2">
        <v>-33.183199999999999</v>
      </c>
      <c r="I4466" s="2">
        <v>210.61599999999999</v>
      </c>
    </row>
    <row r="4467" spans="3:9" x14ac:dyDescent="0.3">
      <c r="E4467" t="s">
        <v>46</v>
      </c>
      <c r="F4467">
        <v>2</v>
      </c>
      <c r="G4467">
        <v>0.4</v>
      </c>
      <c r="H4467" s="2">
        <v>-79.908000000000015</v>
      </c>
      <c r="I4467" s="2">
        <v>399.53999999999996</v>
      </c>
    </row>
    <row r="4468" spans="3:9" x14ac:dyDescent="0.3">
      <c r="E4468" t="s">
        <v>24</v>
      </c>
      <c r="F4468">
        <v>5</v>
      </c>
      <c r="G4468">
        <v>0.2</v>
      </c>
      <c r="H4468" s="2">
        <v>51.497499999999974</v>
      </c>
      <c r="I4468" s="2">
        <v>823.96000000000015</v>
      </c>
    </row>
    <row r="4469" spans="3:9" x14ac:dyDescent="0.3">
      <c r="D4469" t="s">
        <v>15</v>
      </c>
      <c r="E4469" t="s">
        <v>21</v>
      </c>
      <c r="F4469">
        <v>2</v>
      </c>
      <c r="G4469">
        <v>0.6</v>
      </c>
      <c r="H4469" s="2">
        <v>-30.588000000000001</v>
      </c>
      <c r="I4469" s="2">
        <v>40.783999999999999</v>
      </c>
    </row>
    <row r="4470" spans="3:9" x14ac:dyDescent="0.3">
      <c r="E4470" t="s">
        <v>43</v>
      </c>
      <c r="F4470">
        <v>4</v>
      </c>
      <c r="G4470">
        <v>0.2</v>
      </c>
      <c r="H4470" s="2">
        <v>13.532399999999996</v>
      </c>
      <c r="I4470" s="2">
        <v>40.096000000000004</v>
      </c>
    </row>
    <row r="4471" spans="3:9" x14ac:dyDescent="0.3">
      <c r="C4471" t="s">
        <v>22</v>
      </c>
      <c r="D4471" t="s">
        <v>8</v>
      </c>
      <c r="E4471" t="s">
        <v>23</v>
      </c>
      <c r="F4471">
        <v>21</v>
      </c>
      <c r="G4471">
        <v>0.60000000000000009</v>
      </c>
      <c r="H4471" s="2">
        <v>11.765999999999963</v>
      </c>
      <c r="I4471" s="2">
        <v>921.16800000000012</v>
      </c>
    </row>
    <row r="4472" spans="3:9" x14ac:dyDescent="0.3">
      <c r="E4472" t="s">
        <v>12</v>
      </c>
      <c r="F4472">
        <v>15</v>
      </c>
      <c r="G4472">
        <v>2.4000000000000004</v>
      </c>
      <c r="H4472" s="2">
        <v>-1647.2214000000001</v>
      </c>
      <c r="I4472" s="2">
        <v>646.06399999999985</v>
      </c>
    </row>
    <row r="4473" spans="3:9" x14ac:dyDescent="0.3">
      <c r="E4473" t="s">
        <v>19</v>
      </c>
      <c r="F4473">
        <v>9</v>
      </c>
      <c r="G4473">
        <v>0.4</v>
      </c>
      <c r="H4473" s="2">
        <v>9.5459999999999976</v>
      </c>
      <c r="I4473" s="2">
        <v>42</v>
      </c>
    </row>
    <row r="4474" spans="3:9" x14ac:dyDescent="0.3">
      <c r="E4474" t="s">
        <v>20</v>
      </c>
      <c r="F4474">
        <v>19</v>
      </c>
      <c r="G4474">
        <v>3.2</v>
      </c>
      <c r="H4474" s="2">
        <v>-3744.2296000000019</v>
      </c>
      <c r="I4474" s="2">
        <v>2204.5199999999995</v>
      </c>
    </row>
    <row r="4475" spans="3:9" x14ac:dyDescent="0.3">
      <c r="E4475" t="s">
        <v>33</v>
      </c>
      <c r="F4475">
        <v>9</v>
      </c>
      <c r="G4475">
        <v>0.3</v>
      </c>
      <c r="H4475" s="2">
        <v>-24.858000000000175</v>
      </c>
      <c r="I4475" s="2">
        <v>1740.0599999999997</v>
      </c>
    </row>
    <row r="4476" spans="3:9" x14ac:dyDescent="0.3">
      <c r="E4476" t="s">
        <v>38</v>
      </c>
      <c r="F4476">
        <v>3</v>
      </c>
      <c r="G4476">
        <v>0.2</v>
      </c>
      <c r="H4476" s="2">
        <v>11.894999999999994</v>
      </c>
      <c r="I4476" s="2">
        <v>36.6</v>
      </c>
    </row>
    <row r="4477" spans="3:9" x14ac:dyDescent="0.3">
      <c r="E4477" t="s">
        <v>21</v>
      </c>
      <c r="F4477">
        <v>3</v>
      </c>
      <c r="G4477">
        <v>0.6</v>
      </c>
      <c r="H4477" s="2">
        <v>-10.060199999999998</v>
      </c>
      <c r="I4477" s="2">
        <v>17.496000000000002</v>
      </c>
    </row>
    <row r="4478" spans="3:9" x14ac:dyDescent="0.3">
      <c r="E4478" t="s">
        <v>46</v>
      </c>
      <c r="F4478">
        <v>11</v>
      </c>
      <c r="G4478">
        <v>0.8</v>
      </c>
      <c r="H4478" s="2">
        <v>-1326.402500000002</v>
      </c>
      <c r="I4478" s="2">
        <v>8447.8619999999992</v>
      </c>
    </row>
    <row r="4479" spans="3:9" x14ac:dyDescent="0.3">
      <c r="E4479" t="s">
        <v>16</v>
      </c>
      <c r="F4479">
        <v>5</v>
      </c>
      <c r="G4479">
        <v>0.2</v>
      </c>
      <c r="H4479" s="2">
        <v>24.527999999999995</v>
      </c>
      <c r="I4479" s="2">
        <v>70.08</v>
      </c>
    </row>
    <row r="4480" spans="3:9" x14ac:dyDescent="0.3">
      <c r="E4480" t="s">
        <v>24</v>
      </c>
      <c r="F4480">
        <v>6</v>
      </c>
      <c r="G4480">
        <v>0.4</v>
      </c>
      <c r="H4480" s="2">
        <v>56.036100000000033</v>
      </c>
      <c r="I4480" s="2">
        <v>614.35200000000009</v>
      </c>
    </row>
    <row r="4481" spans="2:9" x14ac:dyDescent="0.3">
      <c r="E4481" t="s">
        <v>14</v>
      </c>
      <c r="F4481">
        <v>6</v>
      </c>
      <c r="G4481">
        <v>0.4</v>
      </c>
      <c r="H4481" s="2">
        <v>-76.157700000000006</v>
      </c>
      <c r="I4481" s="2">
        <v>369.38400000000001</v>
      </c>
    </row>
    <row r="4482" spans="2:9" x14ac:dyDescent="0.3">
      <c r="E4482" t="s">
        <v>25</v>
      </c>
      <c r="F4482">
        <v>8</v>
      </c>
      <c r="G4482">
        <v>0.6</v>
      </c>
      <c r="H4482" s="2">
        <v>-127.57919999999996</v>
      </c>
      <c r="I4482" s="2">
        <v>1195.481</v>
      </c>
    </row>
    <row r="4483" spans="2:9" x14ac:dyDescent="0.3">
      <c r="D4483" t="s">
        <v>15</v>
      </c>
      <c r="E4483" t="s">
        <v>23</v>
      </c>
      <c r="F4483">
        <v>5</v>
      </c>
      <c r="G4483">
        <v>0.4</v>
      </c>
      <c r="H4483" s="2">
        <v>-11.474000000000014</v>
      </c>
      <c r="I4483" s="2">
        <v>195.68000000000004</v>
      </c>
    </row>
    <row r="4484" spans="2:9" x14ac:dyDescent="0.3">
      <c r="E4484" t="s">
        <v>19</v>
      </c>
      <c r="F4484">
        <v>6</v>
      </c>
      <c r="G4484">
        <v>0.2</v>
      </c>
      <c r="H4484" s="2">
        <v>0.50039999999999996</v>
      </c>
      <c r="I4484" s="2">
        <v>6.6719999999999988</v>
      </c>
    </row>
    <row r="4485" spans="2:9" x14ac:dyDescent="0.3">
      <c r="E4485" t="s">
        <v>20</v>
      </c>
      <c r="F4485">
        <v>20</v>
      </c>
      <c r="G4485">
        <v>3.2</v>
      </c>
      <c r="H4485" s="2">
        <v>-111.37600000000005</v>
      </c>
      <c r="I4485" s="2">
        <v>67.579999999999984</v>
      </c>
    </row>
    <row r="4486" spans="2:9" x14ac:dyDescent="0.3">
      <c r="E4486" t="s">
        <v>33</v>
      </c>
      <c r="F4486">
        <v>4</v>
      </c>
      <c r="G4486">
        <v>0.3</v>
      </c>
      <c r="H4486" s="2">
        <v>-56.995999999999981</v>
      </c>
      <c r="I4486" s="2">
        <v>797.94399999999996</v>
      </c>
    </row>
    <row r="4487" spans="2:9" x14ac:dyDescent="0.3">
      <c r="E4487" t="s">
        <v>18</v>
      </c>
      <c r="F4487">
        <v>3</v>
      </c>
      <c r="G4487">
        <v>0.2</v>
      </c>
      <c r="H4487" s="2">
        <v>1.2431999999999999</v>
      </c>
      <c r="I4487" s="2">
        <v>3.5519999999999996</v>
      </c>
    </row>
    <row r="4488" spans="2:9" x14ac:dyDescent="0.3">
      <c r="E4488" t="s">
        <v>16</v>
      </c>
      <c r="F4488">
        <v>19</v>
      </c>
      <c r="G4488">
        <v>0.8</v>
      </c>
      <c r="H4488" s="2">
        <v>139.70400000000001</v>
      </c>
      <c r="I4488" s="2">
        <v>403.68</v>
      </c>
    </row>
    <row r="4489" spans="2:9" x14ac:dyDescent="0.3">
      <c r="E4489" t="s">
        <v>24</v>
      </c>
      <c r="F4489">
        <v>7</v>
      </c>
      <c r="G4489">
        <v>0.4</v>
      </c>
      <c r="H4489" s="2">
        <v>52.351199999999984</v>
      </c>
      <c r="I4489" s="2">
        <v>525.66399999999999</v>
      </c>
    </row>
    <row r="4490" spans="2:9" x14ac:dyDescent="0.3">
      <c r="E4490" t="s">
        <v>14</v>
      </c>
      <c r="F4490">
        <v>2</v>
      </c>
      <c r="G4490">
        <v>0.2</v>
      </c>
      <c r="H4490" s="2">
        <v>2.3673999999999991</v>
      </c>
      <c r="I4490" s="2">
        <v>27.056000000000001</v>
      </c>
    </row>
    <row r="4491" spans="2:9" x14ac:dyDescent="0.3">
      <c r="E4491" t="s">
        <v>25</v>
      </c>
      <c r="F4491">
        <v>2</v>
      </c>
      <c r="G4491">
        <v>0.3</v>
      </c>
      <c r="H4491" s="2">
        <v>-18.556200000000018</v>
      </c>
      <c r="I4491" s="2">
        <v>99.918000000000006</v>
      </c>
    </row>
    <row r="4492" spans="2:9" x14ac:dyDescent="0.3">
      <c r="D4492" t="s">
        <v>17</v>
      </c>
      <c r="E4492" t="s">
        <v>20</v>
      </c>
      <c r="F4492">
        <v>4</v>
      </c>
      <c r="G4492">
        <v>0.8</v>
      </c>
      <c r="H4492" s="2">
        <v>-6.2860000000000031</v>
      </c>
      <c r="I4492" s="2">
        <v>3.5919999999999992</v>
      </c>
    </row>
    <row r="4493" spans="2:9" x14ac:dyDescent="0.3">
      <c r="E4493" t="s">
        <v>43</v>
      </c>
      <c r="F4493">
        <v>6</v>
      </c>
      <c r="G4493">
        <v>0.2</v>
      </c>
      <c r="H4493" s="2">
        <v>20.298599999999993</v>
      </c>
      <c r="I4493" s="2">
        <v>60.144000000000005</v>
      </c>
    </row>
    <row r="4494" spans="2:9" x14ac:dyDescent="0.3">
      <c r="E4494" t="s">
        <v>25</v>
      </c>
      <c r="F4494">
        <v>2</v>
      </c>
      <c r="G4494">
        <v>0.3</v>
      </c>
      <c r="H4494" s="2">
        <v>-32.522600000000011</v>
      </c>
      <c r="I4494" s="2">
        <v>206.96200000000002</v>
      </c>
    </row>
    <row r="4495" spans="2:9" x14ac:dyDescent="0.3">
      <c r="B4495" t="s">
        <v>465</v>
      </c>
      <c r="C4495" t="s">
        <v>22</v>
      </c>
      <c r="D4495" t="s">
        <v>8</v>
      </c>
      <c r="E4495" t="s">
        <v>20</v>
      </c>
      <c r="F4495">
        <v>6</v>
      </c>
      <c r="G4495">
        <v>0.60000000000000009</v>
      </c>
      <c r="H4495" s="2">
        <v>22.797599999999996</v>
      </c>
      <c r="I4495" s="2">
        <v>67.36</v>
      </c>
    </row>
    <row r="4496" spans="2:9" x14ac:dyDescent="0.3">
      <c r="E4496" t="s">
        <v>34</v>
      </c>
      <c r="F4496">
        <v>4</v>
      </c>
      <c r="G4496">
        <v>0.15</v>
      </c>
      <c r="H4496" s="2">
        <v>-40.196000000000055</v>
      </c>
      <c r="I4496" s="2">
        <v>683.33199999999999</v>
      </c>
    </row>
    <row r="4497" spans="2:9" x14ac:dyDescent="0.3">
      <c r="E4497" t="s">
        <v>43</v>
      </c>
      <c r="F4497">
        <v>2</v>
      </c>
      <c r="G4497">
        <v>0</v>
      </c>
      <c r="H4497" s="2">
        <v>6.8713999999999995</v>
      </c>
      <c r="I4497" s="2">
        <v>14.62</v>
      </c>
    </row>
    <row r="4498" spans="2:9" x14ac:dyDescent="0.3">
      <c r="E4498" t="s">
        <v>16</v>
      </c>
      <c r="F4498">
        <v>13</v>
      </c>
      <c r="G4498">
        <v>0</v>
      </c>
      <c r="H4498" s="2">
        <v>33.150599999999997</v>
      </c>
      <c r="I4498" s="2">
        <v>70.099999999999994</v>
      </c>
    </row>
    <row r="4499" spans="2:9" x14ac:dyDescent="0.3">
      <c r="E4499" t="s">
        <v>9</v>
      </c>
      <c r="F4499">
        <v>4</v>
      </c>
      <c r="G4499">
        <v>0</v>
      </c>
      <c r="H4499" s="2">
        <v>8.6736000000000004</v>
      </c>
      <c r="I4499" s="2">
        <v>33.36</v>
      </c>
    </row>
    <row r="4500" spans="2:9" x14ac:dyDescent="0.3">
      <c r="D4500" t="s">
        <v>17</v>
      </c>
      <c r="E4500" t="s">
        <v>20</v>
      </c>
      <c r="F4500">
        <v>4</v>
      </c>
      <c r="G4500">
        <v>0.2</v>
      </c>
      <c r="H4500" s="2">
        <v>38.684799999999996</v>
      </c>
      <c r="I4500" s="2">
        <v>110.52800000000001</v>
      </c>
    </row>
    <row r="4501" spans="2:9" x14ac:dyDescent="0.3">
      <c r="B4501" t="s">
        <v>466</v>
      </c>
      <c r="C4501" t="s">
        <v>22</v>
      </c>
      <c r="D4501" t="s">
        <v>8</v>
      </c>
      <c r="E4501" t="s">
        <v>20</v>
      </c>
      <c r="F4501">
        <v>7</v>
      </c>
      <c r="G4501">
        <v>0.2</v>
      </c>
      <c r="H4501" s="2">
        <v>6.5569000000000006</v>
      </c>
      <c r="I4501" s="2">
        <v>18.088000000000001</v>
      </c>
    </row>
    <row r="4502" spans="2:9" x14ac:dyDescent="0.3">
      <c r="E4502" t="s">
        <v>38</v>
      </c>
      <c r="F4502">
        <v>3</v>
      </c>
      <c r="G4502">
        <v>0</v>
      </c>
      <c r="H4502" s="2">
        <v>35.984999999999999</v>
      </c>
      <c r="I4502" s="2">
        <v>71.97</v>
      </c>
    </row>
    <row r="4503" spans="2:9" x14ac:dyDescent="0.3">
      <c r="B4503" t="s">
        <v>467</v>
      </c>
      <c r="C4503" t="s">
        <v>11</v>
      </c>
      <c r="D4503" t="s">
        <v>8</v>
      </c>
      <c r="E4503" t="s">
        <v>12</v>
      </c>
      <c r="F4503">
        <v>1</v>
      </c>
      <c r="G4503">
        <v>0</v>
      </c>
      <c r="H4503" s="2">
        <v>3.632200000000001</v>
      </c>
      <c r="I4503" s="2">
        <v>13.97</v>
      </c>
    </row>
    <row r="4504" spans="2:9" x14ac:dyDescent="0.3">
      <c r="E4504" t="s">
        <v>20</v>
      </c>
      <c r="F4504">
        <v>4</v>
      </c>
      <c r="G4504">
        <v>0.4</v>
      </c>
      <c r="H4504" s="2">
        <v>12.017599999999998</v>
      </c>
      <c r="I4504" s="2">
        <v>33.152000000000001</v>
      </c>
    </row>
    <row r="4505" spans="2:9" x14ac:dyDescent="0.3">
      <c r="E4505" t="s">
        <v>18</v>
      </c>
      <c r="F4505">
        <v>2</v>
      </c>
      <c r="G4505">
        <v>0</v>
      </c>
      <c r="H4505" s="2">
        <v>3.6155999999999997</v>
      </c>
      <c r="I4505" s="2">
        <v>7.86</v>
      </c>
    </row>
    <row r="4506" spans="2:9" x14ac:dyDescent="0.3">
      <c r="E4506" t="s">
        <v>21</v>
      </c>
      <c r="F4506">
        <v>7</v>
      </c>
      <c r="G4506">
        <v>0</v>
      </c>
      <c r="H4506" s="2">
        <v>42.79679999999999</v>
      </c>
      <c r="I4506" s="2">
        <v>194.74</v>
      </c>
    </row>
    <row r="4507" spans="2:9" x14ac:dyDescent="0.3">
      <c r="E4507" t="s">
        <v>16</v>
      </c>
      <c r="F4507">
        <v>5</v>
      </c>
      <c r="G4507">
        <v>0</v>
      </c>
      <c r="H4507" s="2">
        <v>60.088799999999999</v>
      </c>
      <c r="I4507" s="2">
        <v>124.77</v>
      </c>
    </row>
    <row r="4508" spans="2:9" x14ac:dyDescent="0.3">
      <c r="E4508" t="s">
        <v>14</v>
      </c>
      <c r="F4508">
        <v>4</v>
      </c>
      <c r="G4508">
        <v>0</v>
      </c>
      <c r="H4508" s="2">
        <v>8.8783999999999992</v>
      </c>
      <c r="I4508" s="2">
        <v>443.92</v>
      </c>
    </row>
    <row r="4509" spans="2:9" x14ac:dyDescent="0.3">
      <c r="D4509" t="s">
        <v>15</v>
      </c>
      <c r="E4509" t="s">
        <v>20</v>
      </c>
      <c r="F4509">
        <v>4</v>
      </c>
      <c r="G4509">
        <v>0.2</v>
      </c>
      <c r="H4509" s="2">
        <v>33.635999999999996</v>
      </c>
      <c r="I4509" s="2">
        <v>89.696000000000012</v>
      </c>
    </row>
    <row r="4510" spans="2:9" x14ac:dyDescent="0.3">
      <c r="E4510" t="s">
        <v>33</v>
      </c>
      <c r="F4510">
        <v>6</v>
      </c>
      <c r="G4510">
        <v>0.4</v>
      </c>
      <c r="H4510" s="2">
        <v>91.035799999999966</v>
      </c>
      <c r="I4510" s="2">
        <v>1684.5600000000002</v>
      </c>
    </row>
    <row r="4511" spans="2:9" x14ac:dyDescent="0.3">
      <c r="E4511" t="s">
        <v>38</v>
      </c>
      <c r="F4511">
        <v>2</v>
      </c>
      <c r="G4511">
        <v>0</v>
      </c>
      <c r="H4511" s="2">
        <v>1.9175999999999997</v>
      </c>
      <c r="I4511" s="2">
        <v>4.08</v>
      </c>
    </row>
    <row r="4512" spans="2:9" x14ac:dyDescent="0.3">
      <c r="E4512" t="s">
        <v>21</v>
      </c>
      <c r="F4512">
        <v>1</v>
      </c>
      <c r="G4512">
        <v>0</v>
      </c>
      <c r="H4512" s="2">
        <v>7.3358999999999988</v>
      </c>
      <c r="I4512" s="2">
        <v>22.23</v>
      </c>
    </row>
    <row r="4513" spans="3:9" x14ac:dyDescent="0.3">
      <c r="E4513" t="s">
        <v>43</v>
      </c>
      <c r="F4513">
        <v>10</v>
      </c>
      <c r="G4513">
        <v>0</v>
      </c>
      <c r="H4513" s="2">
        <v>40.944399999999995</v>
      </c>
      <c r="I4513" s="2">
        <v>87.919999999999987</v>
      </c>
    </row>
    <row r="4514" spans="3:9" x14ac:dyDescent="0.3">
      <c r="E4514" t="s">
        <v>24</v>
      </c>
      <c r="F4514">
        <v>2</v>
      </c>
      <c r="G4514">
        <v>0.2</v>
      </c>
      <c r="H4514" s="2">
        <v>18.897199999999991</v>
      </c>
      <c r="I4514" s="2">
        <v>215.96799999999999</v>
      </c>
    </row>
    <row r="4515" spans="3:9" x14ac:dyDescent="0.3">
      <c r="E4515" t="s">
        <v>14</v>
      </c>
      <c r="F4515">
        <v>10</v>
      </c>
      <c r="G4515">
        <v>0</v>
      </c>
      <c r="H4515" s="2">
        <v>35.047999999999995</v>
      </c>
      <c r="I4515" s="2">
        <v>134.80000000000001</v>
      </c>
    </row>
    <row r="4516" spans="3:9" x14ac:dyDescent="0.3">
      <c r="D4516" t="s">
        <v>17</v>
      </c>
      <c r="E4516" t="s">
        <v>23</v>
      </c>
      <c r="F4516">
        <v>5</v>
      </c>
      <c r="G4516">
        <v>0</v>
      </c>
      <c r="H4516" s="2">
        <v>87.890000000000015</v>
      </c>
      <c r="I4516" s="2">
        <v>199.75</v>
      </c>
    </row>
    <row r="4517" spans="3:9" x14ac:dyDescent="0.3">
      <c r="E4517" t="s">
        <v>33</v>
      </c>
      <c r="F4517">
        <v>3</v>
      </c>
      <c r="G4517">
        <v>0.2</v>
      </c>
      <c r="H4517" s="2">
        <v>73.19399999999996</v>
      </c>
      <c r="I4517" s="2">
        <v>585.55200000000002</v>
      </c>
    </row>
    <row r="4518" spans="3:9" x14ac:dyDescent="0.3">
      <c r="E4518" t="s">
        <v>16</v>
      </c>
      <c r="F4518">
        <v>3</v>
      </c>
      <c r="G4518">
        <v>0</v>
      </c>
      <c r="H4518" s="2">
        <v>9.3312000000000008</v>
      </c>
      <c r="I4518" s="2">
        <v>19.440000000000001</v>
      </c>
    </row>
    <row r="4519" spans="3:9" x14ac:dyDescent="0.3">
      <c r="E4519" t="s">
        <v>24</v>
      </c>
      <c r="F4519">
        <v>3</v>
      </c>
      <c r="G4519">
        <v>0.2</v>
      </c>
      <c r="H4519" s="2">
        <v>25.496999999999986</v>
      </c>
      <c r="I4519" s="2">
        <v>203.976</v>
      </c>
    </row>
    <row r="4520" spans="3:9" x14ac:dyDescent="0.3">
      <c r="E4520" t="s">
        <v>25</v>
      </c>
      <c r="F4520">
        <v>15</v>
      </c>
      <c r="G4520">
        <v>0.4</v>
      </c>
      <c r="H4520" s="2">
        <v>12.485399999999998</v>
      </c>
      <c r="I4520" s="2">
        <v>2347.5360000000001</v>
      </c>
    </row>
    <row r="4521" spans="3:9" x14ac:dyDescent="0.3">
      <c r="C4521" t="s">
        <v>27</v>
      </c>
      <c r="D4521" t="s">
        <v>8</v>
      </c>
      <c r="E4521" t="s">
        <v>16</v>
      </c>
      <c r="F4521">
        <v>3</v>
      </c>
      <c r="G4521">
        <v>0</v>
      </c>
      <c r="H4521" s="2">
        <v>79.891199999999998</v>
      </c>
      <c r="I4521" s="2">
        <v>166.44</v>
      </c>
    </row>
    <row r="4522" spans="3:9" x14ac:dyDescent="0.3">
      <c r="D4522" t="s">
        <v>15</v>
      </c>
      <c r="E4522" t="s">
        <v>14</v>
      </c>
      <c r="F4522">
        <v>4</v>
      </c>
      <c r="G4522">
        <v>0</v>
      </c>
      <c r="H4522" s="2">
        <v>7.1863999999999919</v>
      </c>
      <c r="I4522" s="2">
        <v>359.32</v>
      </c>
    </row>
    <row r="4523" spans="3:9" x14ac:dyDescent="0.3">
      <c r="E4523" t="s">
        <v>25</v>
      </c>
      <c r="F4523">
        <v>10</v>
      </c>
      <c r="G4523">
        <v>0.2</v>
      </c>
      <c r="H4523" s="2">
        <v>-28.355999999999952</v>
      </c>
      <c r="I4523" s="2">
        <v>567.12</v>
      </c>
    </row>
    <row r="4524" spans="3:9" x14ac:dyDescent="0.3">
      <c r="C4524" t="s">
        <v>7</v>
      </c>
      <c r="D4524" t="s">
        <v>8</v>
      </c>
      <c r="E4524" t="s">
        <v>23</v>
      </c>
      <c r="F4524">
        <v>12</v>
      </c>
      <c r="G4524">
        <v>0</v>
      </c>
      <c r="H4524" s="2">
        <v>84.545100000000005</v>
      </c>
      <c r="I4524" s="2">
        <v>201.57</v>
      </c>
    </row>
    <row r="4525" spans="3:9" x14ac:dyDescent="0.3">
      <c r="E4525" t="s">
        <v>12</v>
      </c>
      <c r="F4525">
        <v>3</v>
      </c>
      <c r="G4525">
        <v>0</v>
      </c>
      <c r="H4525" s="2">
        <v>72.431999999999988</v>
      </c>
      <c r="I4525" s="2">
        <v>241.44</v>
      </c>
    </row>
    <row r="4526" spans="3:9" x14ac:dyDescent="0.3">
      <c r="E4526" t="s">
        <v>19</v>
      </c>
      <c r="F4526">
        <v>4</v>
      </c>
      <c r="G4526">
        <v>0</v>
      </c>
      <c r="H4526" s="2">
        <v>2.7664</v>
      </c>
      <c r="I4526" s="2">
        <v>10.64</v>
      </c>
    </row>
    <row r="4527" spans="3:9" x14ac:dyDescent="0.3">
      <c r="E4527" t="s">
        <v>33</v>
      </c>
      <c r="F4527">
        <v>20</v>
      </c>
      <c r="G4527">
        <v>1</v>
      </c>
      <c r="H4527" s="2">
        <v>156.25580000000002</v>
      </c>
      <c r="I4527" s="2">
        <v>2442.1600000000003</v>
      </c>
    </row>
    <row r="4528" spans="3:9" x14ac:dyDescent="0.3">
      <c r="E4528" t="s">
        <v>45</v>
      </c>
      <c r="F4528">
        <v>5</v>
      </c>
      <c r="G4528">
        <v>0.2</v>
      </c>
      <c r="H4528" s="2">
        <v>224.99249999999995</v>
      </c>
      <c r="I4528" s="2">
        <v>1199.96</v>
      </c>
    </row>
    <row r="4529" spans="3:9" x14ac:dyDescent="0.3">
      <c r="E4529" t="s">
        <v>38</v>
      </c>
      <c r="F4529">
        <v>4</v>
      </c>
      <c r="G4529">
        <v>0</v>
      </c>
      <c r="H4529" s="2">
        <v>5.6639999999999997</v>
      </c>
      <c r="I4529" s="2">
        <v>11.8</v>
      </c>
    </row>
    <row r="4530" spans="3:9" x14ac:dyDescent="0.3">
      <c r="E4530" t="s">
        <v>21</v>
      </c>
      <c r="F4530">
        <v>5</v>
      </c>
      <c r="G4530">
        <v>0</v>
      </c>
      <c r="H4530" s="2">
        <v>11.532799999999998</v>
      </c>
      <c r="I4530" s="2">
        <v>26.08</v>
      </c>
    </row>
    <row r="4531" spans="3:9" x14ac:dyDescent="0.3">
      <c r="E4531" t="s">
        <v>46</v>
      </c>
      <c r="F4531">
        <v>4</v>
      </c>
      <c r="G4531">
        <v>0.2</v>
      </c>
      <c r="H4531" s="2">
        <v>503.63999999999965</v>
      </c>
      <c r="I4531" s="2">
        <v>4476.8</v>
      </c>
    </row>
    <row r="4532" spans="3:9" x14ac:dyDescent="0.3">
      <c r="E4532" t="s">
        <v>16</v>
      </c>
      <c r="F4532">
        <v>21</v>
      </c>
      <c r="G4532">
        <v>0</v>
      </c>
      <c r="H4532" s="2">
        <v>216.54339999999999</v>
      </c>
      <c r="I4532" s="2">
        <v>462.4</v>
      </c>
    </row>
    <row r="4533" spans="3:9" x14ac:dyDescent="0.3">
      <c r="E4533" t="s">
        <v>14</v>
      </c>
      <c r="F4533">
        <v>3</v>
      </c>
      <c r="G4533">
        <v>0</v>
      </c>
      <c r="H4533" s="2">
        <v>22.9068</v>
      </c>
      <c r="I4533" s="2">
        <v>84.84</v>
      </c>
    </row>
    <row r="4534" spans="3:9" x14ac:dyDescent="0.3">
      <c r="D4534" t="s">
        <v>17</v>
      </c>
      <c r="E4534" t="s">
        <v>23</v>
      </c>
      <c r="F4534">
        <v>3</v>
      </c>
      <c r="G4534">
        <v>0</v>
      </c>
      <c r="H4534" s="2">
        <v>66.954599999999971</v>
      </c>
      <c r="I4534" s="2">
        <v>371.96999999999997</v>
      </c>
    </row>
    <row r="4535" spans="3:9" x14ac:dyDescent="0.3">
      <c r="E4535" t="s">
        <v>20</v>
      </c>
      <c r="F4535">
        <v>2</v>
      </c>
      <c r="G4535">
        <v>0.2</v>
      </c>
      <c r="H4535" s="2">
        <v>7.4255999999999993</v>
      </c>
      <c r="I4535" s="2">
        <v>22.847999999999999</v>
      </c>
    </row>
    <row r="4536" spans="3:9" x14ac:dyDescent="0.3">
      <c r="E4536" t="s">
        <v>18</v>
      </c>
      <c r="F4536">
        <v>1</v>
      </c>
      <c r="G4536">
        <v>0</v>
      </c>
      <c r="H4536" s="2">
        <v>2.4</v>
      </c>
      <c r="I4536" s="2">
        <v>5</v>
      </c>
    </row>
    <row r="4537" spans="3:9" x14ac:dyDescent="0.3">
      <c r="E4537" t="s">
        <v>16</v>
      </c>
      <c r="F4537">
        <v>3</v>
      </c>
      <c r="G4537">
        <v>0</v>
      </c>
      <c r="H4537" s="2">
        <v>68.975999999999999</v>
      </c>
      <c r="I4537" s="2">
        <v>143.69999999999999</v>
      </c>
    </row>
    <row r="4538" spans="3:9" x14ac:dyDescent="0.3">
      <c r="C4538" t="s">
        <v>22</v>
      </c>
      <c r="D4538" t="s">
        <v>8</v>
      </c>
      <c r="E4538" t="s">
        <v>23</v>
      </c>
      <c r="F4538">
        <v>31</v>
      </c>
      <c r="G4538">
        <v>0</v>
      </c>
      <c r="H4538" s="2">
        <v>1082.7429999999997</v>
      </c>
      <c r="I4538" s="2">
        <v>5327.5199999999995</v>
      </c>
    </row>
    <row r="4539" spans="3:9" x14ac:dyDescent="0.3">
      <c r="E4539" t="s">
        <v>12</v>
      </c>
      <c r="F4539">
        <v>2</v>
      </c>
      <c r="G4539">
        <v>0</v>
      </c>
      <c r="H4539" s="2">
        <v>22.074799999999996</v>
      </c>
      <c r="I4539" s="2">
        <v>76.12</v>
      </c>
    </row>
    <row r="4540" spans="3:9" x14ac:dyDescent="0.3">
      <c r="E4540" t="s">
        <v>19</v>
      </c>
      <c r="F4540">
        <v>21</v>
      </c>
      <c r="G4540">
        <v>0</v>
      </c>
      <c r="H4540" s="2">
        <v>70.920399999999987</v>
      </c>
      <c r="I4540" s="2">
        <v>243.66999999999996</v>
      </c>
    </row>
    <row r="4541" spans="3:9" x14ac:dyDescent="0.3">
      <c r="E4541" t="s">
        <v>20</v>
      </c>
      <c r="F4541">
        <v>23</v>
      </c>
      <c r="G4541">
        <v>1.2</v>
      </c>
      <c r="H4541" s="2">
        <v>80.00739999999999</v>
      </c>
      <c r="I4541" s="2">
        <v>230.40000000000003</v>
      </c>
    </row>
    <row r="4542" spans="3:9" x14ac:dyDescent="0.3">
      <c r="E4542" t="s">
        <v>34</v>
      </c>
      <c r="F4542">
        <v>10</v>
      </c>
      <c r="G4542">
        <v>0.44999999999999996</v>
      </c>
      <c r="H4542" s="2">
        <v>-55.68260000000005</v>
      </c>
      <c r="I4542" s="2">
        <v>1217.03</v>
      </c>
    </row>
    <row r="4543" spans="3:9" x14ac:dyDescent="0.3">
      <c r="E4543" t="s">
        <v>33</v>
      </c>
      <c r="F4543">
        <v>18</v>
      </c>
      <c r="G4543">
        <v>1</v>
      </c>
      <c r="H4543" s="2">
        <v>255.55119999999985</v>
      </c>
      <c r="I4543" s="2">
        <v>2952.7040000000002</v>
      </c>
    </row>
    <row r="4544" spans="3:9" x14ac:dyDescent="0.3">
      <c r="E4544" t="s">
        <v>45</v>
      </c>
      <c r="F4544">
        <v>3</v>
      </c>
      <c r="G4544">
        <v>0.2</v>
      </c>
      <c r="H4544" s="2">
        <v>434.99130000000002</v>
      </c>
      <c r="I4544" s="2">
        <v>1199.9760000000001</v>
      </c>
    </row>
    <row r="4545" spans="4:9" x14ac:dyDescent="0.3">
      <c r="E4545" t="s">
        <v>21</v>
      </c>
      <c r="F4545">
        <v>36</v>
      </c>
      <c r="G4545">
        <v>0</v>
      </c>
      <c r="H4545" s="2">
        <v>222.00920000000008</v>
      </c>
      <c r="I4545" s="2">
        <v>714.10000000000014</v>
      </c>
    </row>
    <row r="4546" spans="4:9" x14ac:dyDescent="0.3">
      <c r="E4546" t="s">
        <v>43</v>
      </c>
      <c r="F4546">
        <v>25</v>
      </c>
      <c r="G4546">
        <v>0</v>
      </c>
      <c r="H4546" s="2">
        <v>88.167000000000002</v>
      </c>
      <c r="I4546" s="2">
        <v>185.35</v>
      </c>
    </row>
    <row r="4547" spans="4:9" x14ac:dyDescent="0.3">
      <c r="E4547" t="s">
        <v>46</v>
      </c>
      <c r="F4547">
        <v>2</v>
      </c>
      <c r="G4547">
        <v>0.2</v>
      </c>
      <c r="H4547" s="2">
        <v>77.219999999999914</v>
      </c>
      <c r="I4547" s="2">
        <v>686.40000000000009</v>
      </c>
    </row>
    <row r="4548" spans="4:9" x14ac:dyDescent="0.3">
      <c r="E4548" t="s">
        <v>16</v>
      </c>
      <c r="F4548">
        <v>27</v>
      </c>
      <c r="G4548">
        <v>0</v>
      </c>
      <c r="H4548" s="2">
        <v>208.59989999999999</v>
      </c>
      <c r="I4548" s="2">
        <v>439.68999999999994</v>
      </c>
    </row>
    <row r="4549" spans="4:9" x14ac:dyDescent="0.3">
      <c r="E4549" t="s">
        <v>24</v>
      </c>
      <c r="F4549">
        <v>32</v>
      </c>
      <c r="G4549">
        <v>1.4</v>
      </c>
      <c r="H4549" s="2">
        <v>163.5150999999999</v>
      </c>
      <c r="I4549" s="2">
        <v>2040.816</v>
      </c>
    </row>
    <row r="4550" spans="4:9" x14ac:dyDescent="0.3">
      <c r="E4550" t="s">
        <v>14</v>
      </c>
      <c r="F4550">
        <v>39</v>
      </c>
      <c r="G4550">
        <v>0</v>
      </c>
      <c r="H4550" s="2">
        <v>152.73399999999995</v>
      </c>
      <c r="I4550" s="2">
        <v>2375.36</v>
      </c>
    </row>
    <row r="4551" spans="4:9" x14ac:dyDescent="0.3">
      <c r="E4551" t="s">
        <v>9</v>
      </c>
      <c r="F4551">
        <v>6</v>
      </c>
      <c r="G4551">
        <v>0</v>
      </c>
      <c r="H4551" s="2">
        <v>9.3423000000000016</v>
      </c>
      <c r="I4551" s="2">
        <v>44.849999999999994</v>
      </c>
    </row>
    <row r="4552" spans="4:9" x14ac:dyDescent="0.3">
      <c r="E4552" t="s">
        <v>25</v>
      </c>
      <c r="F4552">
        <v>10</v>
      </c>
      <c r="G4552">
        <v>0.60000000000000009</v>
      </c>
      <c r="H4552" s="2">
        <v>-33.166600000000088</v>
      </c>
      <c r="I4552" s="2">
        <v>1517.08</v>
      </c>
    </row>
    <row r="4553" spans="4:9" x14ac:dyDescent="0.3">
      <c r="D4553" t="s">
        <v>15</v>
      </c>
      <c r="E4553" t="s">
        <v>23</v>
      </c>
      <c r="F4553">
        <v>14</v>
      </c>
      <c r="G4553">
        <v>0</v>
      </c>
      <c r="H4553" s="2">
        <v>150.66079999999999</v>
      </c>
      <c r="I4553" s="2">
        <v>391.96000000000004</v>
      </c>
    </row>
    <row r="4554" spans="4:9" x14ac:dyDescent="0.3">
      <c r="E4554" t="s">
        <v>19</v>
      </c>
      <c r="F4554">
        <v>10</v>
      </c>
      <c r="G4554">
        <v>0</v>
      </c>
      <c r="H4554" s="2">
        <v>95.233199999999968</v>
      </c>
      <c r="I4554" s="2">
        <v>325.37999999999994</v>
      </c>
    </row>
    <row r="4555" spans="4:9" x14ac:dyDescent="0.3">
      <c r="E4555" t="s">
        <v>20</v>
      </c>
      <c r="F4555">
        <v>28</v>
      </c>
      <c r="G4555">
        <v>1.5999999999999999</v>
      </c>
      <c r="H4555" s="2">
        <v>111.27899999999998</v>
      </c>
      <c r="I4555" s="2">
        <v>326.50400000000002</v>
      </c>
    </row>
    <row r="4556" spans="4:9" x14ac:dyDescent="0.3">
      <c r="E4556" t="s">
        <v>34</v>
      </c>
      <c r="F4556">
        <v>3</v>
      </c>
      <c r="G4556">
        <v>0.15</v>
      </c>
      <c r="H4556" s="2">
        <v>20.517599999999987</v>
      </c>
      <c r="I4556" s="2">
        <v>435.99900000000002</v>
      </c>
    </row>
    <row r="4557" spans="4:9" x14ac:dyDescent="0.3">
      <c r="E4557" t="s">
        <v>33</v>
      </c>
      <c r="F4557">
        <v>17</v>
      </c>
      <c r="G4557">
        <v>0.8</v>
      </c>
      <c r="H4557" s="2">
        <v>9.2088999999998897</v>
      </c>
      <c r="I4557" s="2">
        <v>2274.4240000000004</v>
      </c>
    </row>
    <row r="4558" spans="4:9" x14ac:dyDescent="0.3">
      <c r="E4558" t="s">
        <v>21</v>
      </c>
      <c r="F4558">
        <v>6</v>
      </c>
      <c r="G4558">
        <v>0</v>
      </c>
      <c r="H4558" s="2">
        <v>42.93979999999997</v>
      </c>
      <c r="I4558" s="2">
        <v>347</v>
      </c>
    </row>
    <row r="4559" spans="4:9" x14ac:dyDescent="0.3">
      <c r="E4559" t="s">
        <v>46</v>
      </c>
      <c r="F4559">
        <v>2</v>
      </c>
      <c r="G4559">
        <v>0.2</v>
      </c>
      <c r="H4559" s="2">
        <v>38.997399999999971</v>
      </c>
      <c r="I4559" s="2">
        <v>239.98400000000004</v>
      </c>
    </row>
    <row r="4560" spans="4:9" x14ac:dyDescent="0.3">
      <c r="E4560" t="s">
        <v>16</v>
      </c>
      <c r="F4560">
        <v>15</v>
      </c>
      <c r="G4560">
        <v>0</v>
      </c>
      <c r="H4560" s="2">
        <v>233.15710000000001</v>
      </c>
      <c r="I4560" s="2">
        <v>482.99</v>
      </c>
    </row>
    <row r="4561" spans="2:9" x14ac:dyDescent="0.3">
      <c r="E4561" t="s">
        <v>24</v>
      </c>
      <c r="F4561">
        <v>17</v>
      </c>
      <c r="G4561">
        <v>1.2</v>
      </c>
      <c r="H4561" s="2">
        <v>300.59669999999983</v>
      </c>
      <c r="I4561" s="2">
        <v>2420.4560000000001</v>
      </c>
    </row>
    <row r="4562" spans="2:9" x14ac:dyDescent="0.3">
      <c r="E4562" t="s">
        <v>14</v>
      </c>
      <c r="F4562">
        <v>2</v>
      </c>
      <c r="G4562">
        <v>0</v>
      </c>
      <c r="H4562" s="2">
        <v>0.40679999999999694</v>
      </c>
      <c r="I4562" s="2">
        <v>40.68</v>
      </c>
    </row>
    <row r="4563" spans="2:9" x14ac:dyDescent="0.3">
      <c r="D4563" t="s">
        <v>17</v>
      </c>
      <c r="E4563" t="s">
        <v>23</v>
      </c>
      <c r="F4563">
        <v>7</v>
      </c>
      <c r="G4563">
        <v>0</v>
      </c>
      <c r="H4563" s="2">
        <v>4.4540999999999986</v>
      </c>
      <c r="I4563" s="2">
        <v>21.209999999999997</v>
      </c>
    </row>
    <row r="4564" spans="2:9" x14ac:dyDescent="0.3">
      <c r="E4564" t="s">
        <v>19</v>
      </c>
      <c r="F4564">
        <v>9</v>
      </c>
      <c r="G4564">
        <v>0</v>
      </c>
      <c r="H4564" s="2">
        <v>15.434299999999995</v>
      </c>
      <c r="I4564" s="2">
        <v>48.83</v>
      </c>
    </row>
    <row r="4565" spans="2:9" x14ac:dyDescent="0.3">
      <c r="E4565" t="s">
        <v>20</v>
      </c>
      <c r="F4565">
        <v>17</v>
      </c>
      <c r="G4565">
        <v>0.4</v>
      </c>
      <c r="H4565" s="2">
        <v>51.749600000000001</v>
      </c>
      <c r="I4565" s="2">
        <v>147.85599999999999</v>
      </c>
    </row>
    <row r="4566" spans="2:9" x14ac:dyDescent="0.3">
      <c r="E4566" t="s">
        <v>33</v>
      </c>
      <c r="F4566">
        <v>9</v>
      </c>
      <c r="G4566">
        <v>0.2</v>
      </c>
      <c r="H4566" s="2">
        <v>267.66720000000009</v>
      </c>
      <c r="I4566" s="2">
        <v>2676.672</v>
      </c>
    </row>
    <row r="4567" spans="2:9" x14ac:dyDescent="0.3">
      <c r="E4567" t="s">
        <v>38</v>
      </c>
      <c r="F4567">
        <v>7</v>
      </c>
      <c r="G4567">
        <v>0</v>
      </c>
      <c r="H4567" s="2">
        <v>79.035199999999989</v>
      </c>
      <c r="I4567" s="2">
        <v>168.16</v>
      </c>
    </row>
    <row r="4568" spans="2:9" x14ac:dyDescent="0.3">
      <c r="E4568" t="s">
        <v>18</v>
      </c>
      <c r="F4568">
        <v>5</v>
      </c>
      <c r="G4568">
        <v>0</v>
      </c>
      <c r="H4568" s="2">
        <v>5.8045</v>
      </c>
      <c r="I4568" s="2">
        <v>12.350000000000001</v>
      </c>
    </row>
    <row r="4569" spans="2:9" x14ac:dyDescent="0.3">
      <c r="E4569" t="s">
        <v>21</v>
      </c>
      <c r="F4569">
        <v>3</v>
      </c>
      <c r="G4569">
        <v>0</v>
      </c>
      <c r="H4569" s="2">
        <v>11.025000000000002</v>
      </c>
      <c r="I4569" s="2">
        <v>26.25</v>
      </c>
    </row>
    <row r="4570" spans="2:9" x14ac:dyDescent="0.3">
      <c r="E4570" t="s">
        <v>43</v>
      </c>
      <c r="F4570">
        <v>8</v>
      </c>
      <c r="G4570">
        <v>0</v>
      </c>
      <c r="H4570" s="2">
        <v>9.6047999999999991</v>
      </c>
      <c r="I4570" s="2">
        <v>20.88</v>
      </c>
    </row>
    <row r="4571" spans="2:9" x14ac:dyDescent="0.3">
      <c r="E4571" t="s">
        <v>16</v>
      </c>
      <c r="F4571">
        <v>4</v>
      </c>
      <c r="G4571">
        <v>0</v>
      </c>
      <c r="H4571" s="2">
        <v>16.0928</v>
      </c>
      <c r="I4571" s="2">
        <v>34.24</v>
      </c>
    </row>
    <row r="4572" spans="2:9" x14ac:dyDescent="0.3">
      <c r="E4572" t="s">
        <v>24</v>
      </c>
      <c r="F4572">
        <v>5</v>
      </c>
      <c r="G4572">
        <v>0.2</v>
      </c>
      <c r="H4572" s="2">
        <v>41.697000000000003</v>
      </c>
      <c r="I4572" s="2">
        <v>555.96</v>
      </c>
    </row>
    <row r="4573" spans="2:9" x14ac:dyDescent="0.3">
      <c r="E4573" t="s">
        <v>14</v>
      </c>
      <c r="F4573">
        <v>3</v>
      </c>
      <c r="G4573">
        <v>0</v>
      </c>
      <c r="H4573" s="2">
        <v>18.609299999999998</v>
      </c>
      <c r="I4573" s="2">
        <v>64.17</v>
      </c>
    </row>
    <row r="4574" spans="2:9" x14ac:dyDescent="0.3">
      <c r="B4574" t="s">
        <v>468</v>
      </c>
      <c r="C4574" t="s">
        <v>11</v>
      </c>
      <c r="D4574" t="s">
        <v>8</v>
      </c>
      <c r="E4574" t="s">
        <v>23</v>
      </c>
      <c r="F4574">
        <v>24</v>
      </c>
      <c r="G4574">
        <v>0</v>
      </c>
      <c r="H4574" s="2">
        <v>346.66949999999997</v>
      </c>
      <c r="I4574" s="2">
        <v>989.31999999999994</v>
      </c>
    </row>
    <row r="4575" spans="2:9" x14ac:dyDescent="0.3">
      <c r="E4575" t="s">
        <v>12</v>
      </c>
      <c r="F4575">
        <v>7</v>
      </c>
      <c r="G4575">
        <v>0</v>
      </c>
      <c r="H4575" s="2">
        <v>27.188800000000001</v>
      </c>
      <c r="I4575" s="2">
        <v>88.960000000000008</v>
      </c>
    </row>
    <row r="4576" spans="2:9" x14ac:dyDescent="0.3">
      <c r="E4576" t="s">
        <v>19</v>
      </c>
      <c r="F4576">
        <v>7</v>
      </c>
      <c r="G4576">
        <v>0</v>
      </c>
      <c r="H4576" s="2">
        <v>12.551400000000001</v>
      </c>
      <c r="I4576" s="2">
        <v>36.58</v>
      </c>
    </row>
    <row r="4577" spans="4:9" x14ac:dyDescent="0.3">
      <c r="E4577" t="s">
        <v>20</v>
      </c>
      <c r="F4577">
        <v>29</v>
      </c>
      <c r="G4577">
        <v>1.7999999999999998</v>
      </c>
      <c r="H4577" s="2">
        <v>142.9006</v>
      </c>
      <c r="I4577" s="2">
        <v>407.61599999999999</v>
      </c>
    </row>
    <row r="4578" spans="4:9" x14ac:dyDescent="0.3">
      <c r="E4578" t="s">
        <v>34</v>
      </c>
      <c r="F4578">
        <v>5</v>
      </c>
      <c r="G4578">
        <v>0.15</v>
      </c>
      <c r="H4578" s="2">
        <v>225.73499999999993</v>
      </c>
      <c r="I4578" s="2">
        <v>1279.165</v>
      </c>
    </row>
    <row r="4579" spans="4:9" x14ac:dyDescent="0.3">
      <c r="E4579" t="s">
        <v>33</v>
      </c>
      <c r="F4579">
        <v>11</v>
      </c>
      <c r="G4579">
        <v>0.4</v>
      </c>
      <c r="H4579" s="2">
        <v>103.14999999999996</v>
      </c>
      <c r="I4579" s="2">
        <v>1407.808</v>
      </c>
    </row>
    <row r="4580" spans="4:9" x14ac:dyDescent="0.3">
      <c r="E4580" t="s">
        <v>38</v>
      </c>
      <c r="F4580">
        <v>5</v>
      </c>
      <c r="G4580">
        <v>0</v>
      </c>
      <c r="H4580" s="2">
        <v>23.537600000000001</v>
      </c>
      <c r="I4580" s="2">
        <v>50.08</v>
      </c>
    </row>
    <row r="4581" spans="4:9" x14ac:dyDescent="0.3">
      <c r="E4581" t="s">
        <v>21</v>
      </c>
      <c r="F4581">
        <v>24</v>
      </c>
      <c r="G4581">
        <v>0</v>
      </c>
      <c r="H4581" s="2">
        <v>45.096699999999998</v>
      </c>
      <c r="I4581" s="2">
        <v>124.21000000000001</v>
      </c>
    </row>
    <row r="4582" spans="4:9" x14ac:dyDescent="0.3">
      <c r="E4582" t="s">
        <v>43</v>
      </c>
      <c r="F4582">
        <v>9</v>
      </c>
      <c r="G4582">
        <v>0</v>
      </c>
      <c r="H4582" s="2">
        <v>12.2247</v>
      </c>
      <c r="I4582" s="2">
        <v>26.01</v>
      </c>
    </row>
    <row r="4583" spans="4:9" x14ac:dyDescent="0.3">
      <c r="E4583" t="s">
        <v>16</v>
      </c>
      <c r="F4583">
        <v>5</v>
      </c>
      <c r="G4583">
        <v>0</v>
      </c>
      <c r="H4583" s="2">
        <v>19.443899999999999</v>
      </c>
      <c r="I4583" s="2">
        <v>41.370000000000005</v>
      </c>
    </row>
    <row r="4584" spans="4:9" x14ac:dyDescent="0.3">
      <c r="E4584" t="s">
        <v>24</v>
      </c>
      <c r="F4584">
        <v>11</v>
      </c>
      <c r="G4584">
        <v>0.4</v>
      </c>
      <c r="H4584" s="2">
        <v>-5.503799999999984</v>
      </c>
      <c r="I4584" s="2">
        <v>2337.4639999999999</v>
      </c>
    </row>
    <row r="4585" spans="4:9" x14ac:dyDescent="0.3">
      <c r="E4585" t="s">
        <v>14</v>
      </c>
      <c r="F4585">
        <v>18</v>
      </c>
      <c r="G4585">
        <v>0</v>
      </c>
      <c r="H4585" s="2">
        <v>103.5527</v>
      </c>
      <c r="I4585" s="2">
        <v>446.19</v>
      </c>
    </row>
    <row r="4586" spans="4:9" x14ac:dyDescent="0.3">
      <c r="E4586" t="s">
        <v>25</v>
      </c>
      <c r="F4586">
        <v>1</v>
      </c>
      <c r="G4586">
        <v>0.2</v>
      </c>
      <c r="H4586" s="2">
        <v>2.625099999999982</v>
      </c>
      <c r="I4586" s="2">
        <v>210.00800000000001</v>
      </c>
    </row>
    <row r="4587" spans="4:9" x14ac:dyDescent="0.3">
      <c r="D4587" t="s">
        <v>15</v>
      </c>
      <c r="E4587" t="s">
        <v>23</v>
      </c>
      <c r="F4587">
        <v>3</v>
      </c>
      <c r="G4587">
        <v>0</v>
      </c>
      <c r="H4587" s="2">
        <v>23.69769999999999</v>
      </c>
      <c r="I4587" s="2">
        <v>136.49</v>
      </c>
    </row>
    <row r="4588" spans="4:9" x14ac:dyDescent="0.3">
      <c r="E4588" t="s">
        <v>12</v>
      </c>
      <c r="F4588">
        <v>10</v>
      </c>
      <c r="G4588">
        <v>0</v>
      </c>
      <c r="H4588" s="2">
        <v>280.86379999999997</v>
      </c>
      <c r="I4588" s="2">
        <v>1043.9000000000001</v>
      </c>
    </row>
    <row r="4589" spans="4:9" x14ac:dyDescent="0.3">
      <c r="E4589" t="s">
        <v>20</v>
      </c>
      <c r="F4589">
        <v>17</v>
      </c>
      <c r="G4589">
        <v>1</v>
      </c>
      <c r="H4589" s="2">
        <v>108.33410000000001</v>
      </c>
      <c r="I4589" s="2">
        <v>310.73599999999999</v>
      </c>
    </row>
    <row r="4590" spans="4:9" x14ac:dyDescent="0.3">
      <c r="E4590" t="s">
        <v>34</v>
      </c>
      <c r="F4590">
        <v>22</v>
      </c>
      <c r="G4590">
        <v>0.6</v>
      </c>
      <c r="H4590" s="2">
        <v>376.97360000000009</v>
      </c>
      <c r="I4590" s="2">
        <v>3069.826</v>
      </c>
    </row>
    <row r="4591" spans="4:9" x14ac:dyDescent="0.3">
      <c r="E4591" t="s">
        <v>33</v>
      </c>
      <c r="F4591">
        <v>4</v>
      </c>
      <c r="G4591">
        <v>0.2</v>
      </c>
      <c r="H4591" s="2">
        <v>84.501999999999953</v>
      </c>
      <c r="I4591" s="2">
        <v>1352.0320000000002</v>
      </c>
    </row>
    <row r="4592" spans="4:9" x14ac:dyDescent="0.3">
      <c r="E4592" t="s">
        <v>45</v>
      </c>
      <c r="F4592">
        <v>3</v>
      </c>
      <c r="G4592">
        <v>0.2</v>
      </c>
      <c r="H4592" s="2">
        <v>374.99249999999995</v>
      </c>
      <c r="I4592" s="2">
        <v>1199.9760000000001</v>
      </c>
    </row>
    <row r="4593" spans="4:9" x14ac:dyDescent="0.3">
      <c r="E4593" t="s">
        <v>38</v>
      </c>
      <c r="F4593">
        <v>2</v>
      </c>
      <c r="G4593">
        <v>0</v>
      </c>
      <c r="H4593" s="2">
        <v>10.94</v>
      </c>
      <c r="I4593" s="2">
        <v>21.88</v>
      </c>
    </row>
    <row r="4594" spans="4:9" x14ac:dyDescent="0.3">
      <c r="E4594" t="s">
        <v>21</v>
      </c>
      <c r="F4594">
        <v>6</v>
      </c>
      <c r="G4594">
        <v>0</v>
      </c>
      <c r="H4594" s="2">
        <v>12.145199999999997</v>
      </c>
      <c r="I4594" s="2">
        <v>41.88</v>
      </c>
    </row>
    <row r="4595" spans="4:9" x14ac:dyDescent="0.3">
      <c r="E4595" t="s">
        <v>43</v>
      </c>
      <c r="F4595">
        <v>8</v>
      </c>
      <c r="G4595">
        <v>0</v>
      </c>
      <c r="H4595" s="2">
        <v>27.485599999999998</v>
      </c>
      <c r="I4595" s="2">
        <v>58.48</v>
      </c>
    </row>
    <row r="4596" spans="4:9" x14ac:dyDescent="0.3">
      <c r="E4596" t="s">
        <v>46</v>
      </c>
      <c r="F4596">
        <v>5</v>
      </c>
      <c r="G4596">
        <v>0.4</v>
      </c>
      <c r="H4596" s="2">
        <v>440.99069999999961</v>
      </c>
      <c r="I4596" s="2">
        <v>5039.9599999999991</v>
      </c>
    </row>
    <row r="4597" spans="4:9" x14ac:dyDescent="0.3">
      <c r="E4597" t="s">
        <v>16</v>
      </c>
      <c r="F4597">
        <v>27</v>
      </c>
      <c r="G4597">
        <v>0</v>
      </c>
      <c r="H4597" s="2">
        <v>465.30800000000005</v>
      </c>
      <c r="I4597" s="2">
        <v>965.87</v>
      </c>
    </row>
    <row r="4598" spans="4:9" x14ac:dyDescent="0.3">
      <c r="E4598" t="s">
        <v>24</v>
      </c>
      <c r="F4598">
        <v>11</v>
      </c>
      <c r="G4598">
        <v>0.4</v>
      </c>
      <c r="H4598" s="2">
        <v>41.439599999999999</v>
      </c>
      <c r="I4598" s="2">
        <v>162.81600000000003</v>
      </c>
    </row>
    <row r="4599" spans="4:9" x14ac:dyDescent="0.3">
      <c r="E4599" t="s">
        <v>14</v>
      </c>
      <c r="F4599">
        <v>16</v>
      </c>
      <c r="G4599">
        <v>0</v>
      </c>
      <c r="H4599" s="2">
        <v>193.16880000000003</v>
      </c>
      <c r="I4599" s="2">
        <v>715.44</v>
      </c>
    </row>
    <row r="4600" spans="4:9" x14ac:dyDescent="0.3">
      <c r="D4600" t="s">
        <v>17</v>
      </c>
      <c r="E4600" t="s">
        <v>23</v>
      </c>
      <c r="F4600">
        <v>5</v>
      </c>
      <c r="G4600">
        <v>0</v>
      </c>
      <c r="H4600" s="2">
        <v>142.69110000000003</v>
      </c>
      <c r="I4600" s="2">
        <v>420.25</v>
      </c>
    </row>
    <row r="4601" spans="4:9" x14ac:dyDescent="0.3">
      <c r="E4601" t="s">
        <v>19</v>
      </c>
      <c r="F4601">
        <v>7</v>
      </c>
      <c r="G4601">
        <v>0</v>
      </c>
      <c r="H4601" s="2">
        <v>4.5472000000000001</v>
      </c>
      <c r="I4601" s="2">
        <v>15.68</v>
      </c>
    </row>
    <row r="4602" spans="4:9" x14ac:dyDescent="0.3">
      <c r="E4602" t="s">
        <v>20</v>
      </c>
      <c r="F4602">
        <v>14</v>
      </c>
      <c r="G4602">
        <v>0.60000000000000009</v>
      </c>
      <c r="H4602" s="2">
        <v>47.960400000000007</v>
      </c>
      <c r="I4602" s="2">
        <v>133.21600000000001</v>
      </c>
    </row>
    <row r="4603" spans="4:9" x14ac:dyDescent="0.3">
      <c r="E4603" t="s">
        <v>33</v>
      </c>
      <c r="F4603">
        <v>3</v>
      </c>
      <c r="G4603">
        <v>0.2</v>
      </c>
      <c r="H4603" s="2">
        <v>40.800600000000003</v>
      </c>
      <c r="I4603" s="2">
        <v>544.00800000000004</v>
      </c>
    </row>
    <row r="4604" spans="4:9" x14ac:dyDescent="0.3">
      <c r="E4604" t="s">
        <v>21</v>
      </c>
      <c r="F4604">
        <v>14</v>
      </c>
      <c r="G4604">
        <v>0</v>
      </c>
      <c r="H4604" s="2">
        <v>89.922599999999989</v>
      </c>
      <c r="I4604" s="2">
        <v>246.39999999999998</v>
      </c>
    </row>
    <row r="4605" spans="4:9" x14ac:dyDescent="0.3">
      <c r="E4605" t="s">
        <v>16</v>
      </c>
      <c r="F4605">
        <v>16</v>
      </c>
      <c r="G4605">
        <v>0</v>
      </c>
      <c r="H4605" s="2">
        <v>138.1618</v>
      </c>
      <c r="I4605" s="2">
        <v>285.42</v>
      </c>
    </row>
    <row r="4606" spans="4:9" x14ac:dyDescent="0.3">
      <c r="E4606" t="s">
        <v>24</v>
      </c>
      <c r="F4606">
        <v>2</v>
      </c>
      <c r="G4606">
        <v>0.2</v>
      </c>
      <c r="H4606" s="2">
        <v>4.4979999999999958</v>
      </c>
      <c r="I4606" s="2">
        <v>35.984000000000002</v>
      </c>
    </row>
    <row r="4607" spans="4:9" x14ac:dyDescent="0.3">
      <c r="E4607" t="s">
        <v>14</v>
      </c>
      <c r="F4607">
        <v>3</v>
      </c>
      <c r="G4607">
        <v>0</v>
      </c>
      <c r="H4607" s="2">
        <v>12.097800000000001</v>
      </c>
      <c r="I4607" s="2">
        <v>46.53</v>
      </c>
    </row>
    <row r="4608" spans="4:9" x14ac:dyDescent="0.3">
      <c r="E4608" t="s">
        <v>9</v>
      </c>
      <c r="F4608">
        <v>5</v>
      </c>
      <c r="G4608">
        <v>0</v>
      </c>
      <c r="H4608" s="2">
        <v>13.365</v>
      </c>
      <c r="I4608" s="2">
        <v>49.5</v>
      </c>
    </row>
    <row r="4609" spans="3:9" x14ac:dyDescent="0.3">
      <c r="C4609" t="s">
        <v>27</v>
      </c>
      <c r="D4609" t="s">
        <v>8</v>
      </c>
      <c r="E4609" t="s">
        <v>23</v>
      </c>
      <c r="F4609">
        <v>4</v>
      </c>
      <c r="G4609">
        <v>0</v>
      </c>
      <c r="H4609" s="2">
        <v>172.38130000000001</v>
      </c>
      <c r="I4609" s="2">
        <v>379.96000000000004</v>
      </c>
    </row>
    <row r="4610" spans="3:9" x14ac:dyDescent="0.3">
      <c r="E4610" t="s">
        <v>12</v>
      </c>
      <c r="F4610">
        <v>12</v>
      </c>
      <c r="G4610">
        <v>0</v>
      </c>
      <c r="H4610" s="2">
        <v>136.47129999999999</v>
      </c>
      <c r="I4610" s="2">
        <v>490.39</v>
      </c>
    </row>
    <row r="4611" spans="3:9" x14ac:dyDescent="0.3">
      <c r="E4611" t="s">
        <v>19</v>
      </c>
      <c r="F4611">
        <v>7</v>
      </c>
      <c r="G4611">
        <v>0</v>
      </c>
      <c r="H4611" s="2">
        <v>21.406400000000001</v>
      </c>
      <c r="I4611" s="2">
        <v>73</v>
      </c>
    </row>
    <row r="4612" spans="3:9" x14ac:dyDescent="0.3">
      <c r="E4612" t="s">
        <v>20</v>
      </c>
      <c r="F4612">
        <v>7</v>
      </c>
      <c r="G4612">
        <v>0.60000000000000009</v>
      </c>
      <c r="H4612" s="2">
        <v>9.9833999999999996</v>
      </c>
      <c r="I4612" s="2">
        <v>28.240000000000002</v>
      </c>
    </row>
    <row r="4613" spans="3:9" x14ac:dyDescent="0.3">
      <c r="E4613" t="s">
        <v>33</v>
      </c>
      <c r="F4613">
        <v>1</v>
      </c>
      <c r="G4613">
        <v>0.2</v>
      </c>
      <c r="H4613" s="2">
        <v>10.858800000000002</v>
      </c>
      <c r="I4613" s="2">
        <v>144.78399999999999</v>
      </c>
    </row>
    <row r="4614" spans="3:9" x14ac:dyDescent="0.3">
      <c r="E4614" t="s">
        <v>45</v>
      </c>
      <c r="F4614">
        <v>5</v>
      </c>
      <c r="G4614">
        <v>0.2</v>
      </c>
      <c r="H4614" s="2">
        <v>944.98649999999986</v>
      </c>
      <c r="I4614" s="2">
        <v>2799.9600000000005</v>
      </c>
    </row>
    <row r="4615" spans="3:9" x14ac:dyDescent="0.3">
      <c r="E4615" t="s">
        <v>21</v>
      </c>
      <c r="F4615">
        <v>7</v>
      </c>
      <c r="G4615">
        <v>0</v>
      </c>
      <c r="H4615" s="2">
        <v>20.386800000000001</v>
      </c>
      <c r="I4615" s="2">
        <v>56.629999999999995</v>
      </c>
    </row>
    <row r="4616" spans="3:9" x14ac:dyDescent="0.3">
      <c r="E4616" t="s">
        <v>16</v>
      </c>
      <c r="F4616">
        <v>1</v>
      </c>
      <c r="G4616">
        <v>0</v>
      </c>
      <c r="H4616" s="2">
        <v>3.5009999999999994</v>
      </c>
      <c r="I4616" s="2">
        <v>7.78</v>
      </c>
    </row>
    <row r="4617" spans="3:9" x14ac:dyDescent="0.3">
      <c r="E4617" t="s">
        <v>14</v>
      </c>
      <c r="F4617">
        <v>9</v>
      </c>
      <c r="G4617">
        <v>0</v>
      </c>
      <c r="H4617" s="2">
        <v>30.653799999999993</v>
      </c>
      <c r="I4617" s="2">
        <v>223.54000000000002</v>
      </c>
    </row>
    <row r="4618" spans="3:9" x14ac:dyDescent="0.3">
      <c r="E4618" t="s">
        <v>9</v>
      </c>
      <c r="F4618">
        <v>4</v>
      </c>
      <c r="G4618">
        <v>0</v>
      </c>
      <c r="H4618" s="2">
        <v>9.2567999999999984</v>
      </c>
      <c r="I4618" s="2">
        <v>31.92</v>
      </c>
    </row>
    <row r="4619" spans="3:9" x14ac:dyDescent="0.3">
      <c r="D4619" t="s">
        <v>15</v>
      </c>
      <c r="E4619" t="s">
        <v>20</v>
      </c>
      <c r="F4619">
        <v>6</v>
      </c>
      <c r="G4619">
        <v>0.4</v>
      </c>
      <c r="H4619" s="2">
        <v>319.80990000000003</v>
      </c>
      <c r="I4619" s="2">
        <v>948.21600000000012</v>
      </c>
    </row>
    <row r="4620" spans="3:9" x14ac:dyDescent="0.3">
      <c r="E4620" t="s">
        <v>33</v>
      </c>
      <c r="F4620">
        <v>9</v>
      </c>
      <c r="G4620">
        <v>0.4</v>
      </c>
      <c r="H4620" s="2">
        <v>-140.39730000000026</v>
      </c>
      <c r="I4620" s="2">
        <v>2048.8560000000002</v>
      </c>
    </row>
    <row r="4621" spans="3:9" x14ac:dyDescent="0.3">
      <c r="E4621" t="s">
        <v>38</v>
      </c>
      <c r="F4621">
        <v>6</v>
      </c>
      <c r="G4621">
        <v>0</v>
      </c>
      <c r="H4621" s="2">
        <v>33.064799999999998</v>
      </c>
      <c r="I4621" s="2">
        <v>71.88</v>
      </c>
    </row>
    <row r="4622" spans="3:9" x14ac:dyDescent="0.3">
      <c r="E4622" t="s">
        <v>21</v>
      </c>
      <c r="F4622">
        <v>11</v>
      </c>
      <c r="G4622">
        <v>0</v>
      </c>
      <c r="H4622" s="2">
        <v>38.335999999999999</v>
      </c>
      <c r="I4622" s="2">
        <v>107.72</v>
      </c>
    </row>
    <row r="4623" spans="3:9" x14ac:dyDescent="0.3">
      <c r="E4623" t="s">
        <v>46</v>
      </c>
      <c r="F4623">
        <v>3</v>
      </c>
      <c r="G4623">
        <v>0.2</v>
      </c>
      <c r="H4623" s="2">
        <v>215.99729999999977</v>
      </c>
      <c r="I4623" s="2">
        <v>1919.9760000000001</v>
      </c>
    </row>
    <row r="4624" spans="3:9" x14ac:dyDescent="0.3">
      <c r="E4624" t="s">
        <v>16</v>
      </c>
      <c r="F4624">
        <v>10</v>
      </c>
      <c r="G4624">
        <v>0</v>
      </c>
      <c r="H4624" s="2">
        <v>76.419600000000003</v>
      </c>
      <c r="I4624" s="2">
        <v>159.16</v>
      </c>
    </row>
    <row r="4625" spans="3:9" x14ac:dyDescent="0.3">
      <c r="E4625" t="s">
        <v>9</v>
      </c>
      <c r="F4625">
        <v>3</v>
      </c>
      <c r="G4625">
        <v>0</v>
      </c>
      <c r="H4625" s="2">
        <v>7.6049999999999978</v>
      </c>
      <c r="I4625" s="2">
        <v>25.349999999999998</v>
      </c>
    </row>
    <row r="4626" spans="3:9" x14ac:dyDescent="0.3">
      <c r="D4626" t="s">
        <v>17</v>
      </c>
      <c r="E4626" t="s">
        <v>23</v>
      </c>
      <c r="F4626">
        <v>1</v>
      </c>
      <c r="G4626">
        <v>0</v>
      </c>
      <c r="H4626" s="2">
        <v>1.0169999999999995</v>
      </c>
      <c r="I4626" s="2">
        <v>16.95</v>
      </c>
    </row>
    <row r="4627" spans="3:9" x14ac:dyDescent="0.3">
      <c r="E4627" t="s">
        <v>19</v>
      </c>
      <c r="F4627">
        <v>9</v>
      </c>
      <c r="G4627">
        <v>0</v>
      </c>
      <c r="H4627" s="2">
        <v>11.151</v>
      </c>
      <c r="I4627" s="2">
        <v>37.17</v>
      </c>
    </row>
    <row r="4628" spans="3:9" x14ac:dyDescent="0.3">
      <c r="E4628" t="s">
        <v>20</v>
      </c>
      <c r="F4628">
        <v>1</v>
      </c>
      <c r="G4628">
        <v>0.2</v>
      </c>
      <c r="H4628" s="2">
        <v>1.5602</v>
      </c>
      <c r="I4628" s="2">
        <v>4.3040000000000003</v>
      </c>
    </row>
    <row r="4629" spans="3:9" x14ac:dyDescent="0.3">
      <c r="E4629" t="s">
        <v>34</v>
      </c>
      <c r="F4629">
        <v>4</v>
      </c>
      <c r="G4629">
        <v>0.15</v>
      </c>
      <c r="H4629" s="2">
        <v>-4.8391999999999769</v>
      </c>
      <c r="I4629" s="2">
        <v>411.33199999999999</v>
      </c>
    </row>
    <row r="4630" spans="3:9" x14ac:dyDescent="0.3">
      <c r="E4630" t="s">
        <v>18</v>
      </c>
      <c r="F4630">
        <v>3</v>
      </c>
      <c r="G4630">
        <v>0</v>
      </c>
      <c r="H4630" s="2">
        <v>0.11340000000000017</v>
      </c>
      <c r="I4630" s="2">
        <v>5.67</v>
      </c>
    </row>
    <row r="4631" spans="3:9" x14ac:dyDescent="0.3">
      <c r="E4631" t="s">
        <v>43</v>
      </c>
      <c r="F4631">
        <v>8</v>
      </c>
      <c r="G4631">
        <v>0</v>
      </c>
      <c r="H4631" s="2">
        <v>39.744</v>
      </c>
      <c r="I4631" s="2">
        <v>82.8</v>
      </c>
    </row>
    <row r="4632" spans="3:9" x14ac:dyDescent="0.3">
      <c r="E4632" t="s">
        <v>16</v>
      </c>
      <c r="F4632">
        <v>12</v>
      </c>
      <c r="G4632">
        <v>0</v>
      </c>
      <c r="H4632" s="2">
        <v>63.0702</v>
      </c>
      <c r="I4632" s="2">
        <v>131.69999999999999</v>
      </c>
    </row>
    <row r="4633" spans="3:9" x14ac:dyDescent="0.3">
      <c r="E4633" t="s">
        <v>9</v>
      </c>
      <c r="F4633">
        <v>2</v>
      </c>
      <c r="G4633">
        <v>0</v>
      </c>
      <c r="H4633" s="2">
        <v>0.14719999999999978</v>
      </c>
      <c r="I4633" s="2">
        <v>7.36</v>
      </c>
    </row>
    <row r="4634" spans="3:9" x14ac:dyDescent="0.3">
      <c r="C4634" t="s">
        <v>7</v>
      </c>
      <c r="D4634" t="s">
        <v>8</v>
      </c>
      <c r="E4634" t="s">
        <v>23</v>
      </c>
      <c r="F4634">
        <v>6</v>
      </c>
      <c r="G4634">
        <v>0</v>
      </c>
      <c r="H4634" s="2">
        <v>98.749900000000011</v>
      </c>
      <c r="I4634" s="2">
        <v>445.96000000000004</v>
      </c>
    </row>
    <row r="4635" spans="3:9" x14ac:dyDescent="0.3">
      <c r="E4635" t="s">
        <v>12</v>
      </c>
      <c r="F4635">
        <v>4</v>
      </c>
      <c r="G4635">
        <v>0</v>
      </c>
      <c r="H4635" s="2">
        <v>22.702400000000004</v>
      </c>
      <c r="I4635" s="2">
        <v>81.08</v>
      </c>
    </row>
    <row r="4636" spans="3:9" x14ac:dyDescent="0.3">
      <c r="E4636" t="s">
        <v>19</v>
      </c>
      <c r="F4636">
        <v>12</v>
      </c>
      <c r="G4636">
        <v>0</v>
      </c>
      <c r="H4636" s="2">
        <v>10.044799999999999</v>
      </c>
      <c r="I4636" s="2">
        <v>36.760000000000005</v>
      </c>
    </row>
    <row r="4637" spans="3:9" x14ac:dyDescent="0.3">
      <c r="E4637" t="s">
        <v>20</v>
      </c>
      <c r="F4637">
        <v>19</v>
      </c>
      <c r="G4637">
        <v>0.8</v>
      </c>
      <c r="H4637" s="2">
        <v>50.498999999999981</v>
      </c>
      <c r="I4637" s="2">
        <v>156.792</v>
      </c>
    </row>
    <row r="4638" spans="3:9" x14ac:dyDescent="0.3">
      <c r="E4638" t="s">
        <v>34</v>
      </c>
      <c r="F4638">
        <v>2</v>
      </c>
      <c r="G4638">
        <v>0.15</v>
      </c>
      <c r="H4638" s="2">
        <v>10.478399999999979</v>
      </c>
      <c r="I4638" s="2">
        <v>222.66599999999997</v>
      </c>
    </row>
    <row r="4639" spans="3:9" x14ac:dyDescent="0.3">
      <c r="E4639" t="s">
        <v>33</v>
      </c>
      <c r="F4639">
        <v>7</v>
      </c>
      <c r="G4639">
        <v>0.60000000000000009</v>
      </c>
      <c r="H4639" s="2">
        <v>99.909200000000027</v>
      </c>
      <c r="I4639" s="2">
        <v>2160.8559999999998</v>
      </c>
    </row>
    <row r="4640" spans="3:9" x14ac:dyDescent="0.3">
      <c r="E4640" t="s">
        <v>18</v>
      </c>
      <c r="F4640">
        <v>1</v>
      </c>
      <c r="G4640">
        <v>0</v>
      </c>
      <c r="H4640" s="2">
        <v>1.3535999999999999</v>
      </c>
      <c r="I4640" s="2">
        <v>2.88</v>
      </c>
    </row>
    <row r="4641" spans="4:9" x14ac:dyDescent="0.3">
      <c r="E4641" t="s">
        <v>21</v>
      </c>
      <c r="F4641">
        <v>21</v>
      </c>
      <c r="G4641">
        <v>0</v>
      </c>
      <c r="H4641" s="2">
        <v>74.697200000000009</v>
      </c>
      <c r="I4641" s="2">
        <v>283</v>
      </c>
    </row>
    <row r="4642" spans="4:9" x14ac:dyDescent="0.3">
      <c r="E4642" t="s">
        <v>43</v>
      </c>
      <c r="F4642">
        <v>10</v>
      </c>
      <c r="G4642">
        <v>0</v>
      </c>
      <c r="H4642" s="2">
        <v>37.969499999999996</v>
      </c>
      <c r="I4642" s="2">
        <v>79.44</v>
      </c>
    </row>
    <row r="4643" spans="4:9" x14ac:dyDescent="0.3">
      <c r="E4643" t="s">
        <v>16</v>
      </c>
      <c r="F4643">
        <v>15</v>
      </c>
      <c r="G4643">
        <v>0</v>
      </c>
      <c r="H4643" s="2">
        <v>117.05119999999998</v>
      </c>
      <c r="I4643" s="2">
        <v>248.35999999999999</v>
      </c>
    </row>
    <row r="4644" spans="4:9" x14ac:dyDescent="0.3">
      <c r="E4644" t="s">
        <v>24</v>
      </c>
      <c r="F4644">
        <v>30</v>
      </c>
      <c r="G4644">
        <v>1.2</v>
      </c>
      <c r="H4644" s="2">
        <v>318.75269999999961</v>
      </c>
      <c r="I4644" s="2">
        <v>3179.6640000000002</v>
      </c>
    </row>
    <row r="4645" spans="4:9" x14ac:dyDescent="0.3">
      <c r="E4645" t="s">
        <v>14</v>
      </c>
      <c r="F4645">
        <v>35</v>
      </c>
      <c r="G4645">
        <v>0</v>
      </c>
      <c r="H4645" s="2">
        <v>278.25699999999995</v>
      </c>
      <c r="I4645" s="2">
        <v>1390.31</v>
      </c>
    </row>
    <row r="4646" spans="4:9" x14ac:dyDescent="0.3">
      <c r="E4646" t="s">
        <v>9</v>
      </c>
      <c r="F4646">
        <v>5</v>
      </c>
      <c r="G4646">
        <v>0</v>
      </c>
      <c r="H4646" s="2">
        <v>327.50599999999963</v>
      </c>
      <c r="I4646" s="2">
        <v>8187.65</v>
      </c>
    </row>
    <row r="4647" spans="4:9" x14ac:dyDescent="0.3">
      <c r="E4647" t="s">
        <v>25</v>
      </c>
      <c r="F4647">
        <v>13</v>
      </c>
      <c r="G4647">
        <v>0.60000000000000009</v>
      </c>
      <c r="H4647" s="2">
        <v>109.77940000000002</v>
      </c>
      <c r="I4647" s="2">
        <v>1719.712</v>
      </c>
    </row>
    <row r="4648" spans="4:9" x14ac:dyDescent="0.3">
      <c r="D4648" t="s">
        <v>15</v>
      </c>
      <c r="E4648" t="s">
        <v>23</v>
      </c>
      <c r="F4648">
        <v>4</v>
      </c>
      <c r="G4648">
        <v>0</v>
      </c>
      <c r="H4648" s="2">
        <v>21.27239999999999</v>
      </c>
      <c r="I4648" s="2">
        <v>111.96</v>
      </c>
    </row>
    <row r="4649" spans="4:9" x14ac:dyDescent="0.3">
      <c r="E4649" t="s">
        <v>12</v>
      </c>
      <c r="F4649">
        <v>6</v>
      </c>
      <c r="G4649">
        <v>0</v>
      </c>
      <c r="H4649" s="2">
        <v>61.117999999999995</v>
      </c>
      <c r="I4649" s="2">
        <v>224.38</v>
      </c>
    </row>
    <row r="4650" spans="4:9" x14ac:dyDescent="0.3">
      <c r="E4650" t="s">
        <v>19</v>
      </c>
      <c r="F4650">
        <v>2</v>
      </c>
      <c r="G4650">
        <v>0</v>
      </c>
      <c r="H4650" s="2">
        <v>0.83999999999999986</v>
      </c>
      <c r="I4650" s="2">
        <v>3.36</v>
      </c>
    </row>
    <row r="4651" spans="4:9" x14ac:dyDescent="0.3">
      <c r="E4651" t="s">
        <v>20</v>
      </c>
      <c r="F4651">
        <v>18</v>
      </c>
      <c r="G4651">
        <v>0.8</v>
      </c>
      <c r="H4651" s="2">
        <v>25.307099999999998</v>
      </c>
      <c r="I4651" s="2">
        <v>72.328000000000003</v>
      </c>
    </row>
    <row r="4652" spans="4:9" x14ac:dyDescent="0.3">
      <c r="E4652" t="s">
        <v>33</v>
      </c>
      <c r="F4652">
        <v>3</v>
      </c>
      <c r="G4652">
        <v>0.2</v>
      </c>
      <c r="H4652" s="2">
        <v>77.035199999999975</v>
      </c>
      <c r="I4652" s="2">
        <v>770.35200000000009</v>
      </c>
    </row>
    <row r="4653" spans="4:9" x14ac:dyDescent="0.3">
      <c r="E4653" t="s">
        <v>38</v>
      </c>
      <c r="F4653">
        <v>6</v>
      </c>
      <c r="G4653">
        <v>0</v>
      </c>
      <c r="H4653" s="2">
        <v>19.275199999999998</v>
      </c>
      <c r="I4653" s="2">
        <v>39.519999999999996</v>
      </c>
    </row>
    <row r="4654" spans="4:9" x14ac:dyDescent="0.3">
      <c r="E4654" t="s">
        <v>21</v>
      </c>
      <c r="F4654">
        <v>10</v>
      </c>
      <c r="G4654">
        <v>0</v>
      </c>
      <c r="H4654" s="2">
        <v>118.22280000000001</v>
      </c>
      <c r="I4654" s="2">
        <v>316.48</v>
      </c>
    </row>
    <row r="4655" spans="4:9" x14ac:dyDescent="0.3">
      <c r="E4655" t="s">
        <v>43</v>
      </c>
      <c r="F4655">
        <v>17</v>
      </c>
      <c r="G4655">
        <v>0</v>
      </c>
      <c r="H4655" s="2">
        <v>27.144000000000002</v>
      </c>
      <c r="I4655" s="2">
        <v>56.55</v>
      </c>
    </row>
    <row r="4656" spans="4:9" x14ac:dyDescent="0.3">
      <c r="E4656" t="s">
        <v>16</v>
      </c>
      <c r="F4656">
        <v>3</v>
      </c>
      <c r="G4656">
        <v>0</v>
      </c>
      <c r="H4656" s="2">
        <v>68.963099999999997</v>
      </c>
      <c r="I4656" s="2">
        <v>146.72999999999999</v>
      </c>
    </row>
    <row r="4657" spans="3:9" x14ac:dyDescent="0.3">
      <c r="E4657" t="s">
        <v>24</v>
      </c>
      <c r="F4657">
        <v>8</v>
      </c>
      <c r="G4657">
        <v>0.60000000000000009</v>
      </c>
      <c r="H4657" s="2">
        <v>61.87700000000001</v>
      </c>
      <c r="I4657" s="2">
        <v>272.33600000000001</v>
      </c>
    </row>
    <row r="4658" spans="3:9" x14ac:dyDescent="0.3">
      <c r="E4658" t="s">
        <v>14</v>
      </c>
      <c r="F4658">
        <v>11</v>
      </c>
      <c r="G4658">
        <v>0</v>
      </c>
      <c r="H4658" s="2">
        <v>234.20409999999995</v>
      </c>
      <c r="I4658" s="2">
        <v>1470.17</v>
      </c>
    </row>
    <row r="4659" spans="3:9" x14ac:dyDescent="0.3">
      <c r="E4659" t="s">
        <v>9</v>
      </c>
      <c r="F4659">
        <v>6</v>
      </c>
      <c r="G4659">
        <v>0</v>
      </c>
      <c r="H4659" s="2">
        <v>199.78859999999978</v>
      </c>
      <c r="I4659" s="2">
        <v>4923.54</v>
      </c>
    </row>
    <row r="4660" spans="3:9" x14ac:dyDescent="0.3">
      <c r="E4660" t="s">
        <v>25</v>
      </c>
      <c r="F4660">
        <v>2</v>
      </c>
      <c r="G4660">
        <v>0.2</v>
      </c>
      <c r="H4660" s="2">
        <v>-3.3506000000000018</v>
      </c>
      <c r="I4660" s="2">
        <v>24.368000000000002</v>
      </c>
    </row>
    <row r="4661" spans="3:9" x14ac:dyDescent="0.3">
      <c r="D4661" t="s">
        <v>17</v>
      </c>
      <c r="E4661" t="s">
        <v>23</v>
      </c>
      <c r="F4661">
        <v>1</v>
      </c>
      <c r="G4661">
        <v>0</v>
      </c>
      <c r="H4661" s="2">
        <v>10.895999999999997</v>
      </c>
      <c r="I4661" s="2">
        <v>36.32</v>
      </c>
    </row>
    <row r="4662" spans="3:9" x14ac:dyDescent="0.3">
      <c r="E4662" t="s">
        <v>19</v>
      </c>
      <c r="F4662">
        <v>7</v>
      </c>
      <c r="G4662">
        <v>0</v>
      </c>
      <c r="H4662" s="2">
        <v>28.791799999999999</v>
      </c>
      <c r="I4662" s="2">
        <v>97.02</v>
      </c>
    </row>
    <row r="4663" spans="3:9" x14ac:dyDescent="0.3">
      <c r="E4663" t="s">
        <v>20</v>
      </c>
      <c r="F4663">
        <v>3</v>
      </c>
      <c r="G4663">
        <v>0.2</v>
      </c>
      <c r="H4663" s="2">
        <v>4.1832000000000003</v>
      </c>
      <c r="I4663" s="2">
        <v>11.952000000000002</v>
      </c>
    </row>
    <row r="4664" spans="3:9" x14ac:dyDescent="0.3">
      <c r="E4664" t="s">
        <v>34</v>
      </c>
      <c r="F4664">
        <v>10</v>
      </c>
      <c r="G4664">
        <v>0.15</v>
      </c>
      <c r="H4664" s="2">
        <v>70.490000000000009</v>
      </c>
      <c r="I4664" s="2">
        <v>1198.33</v>
      </c>
    </row>
    <row r="4665" spans="3:9" x14ac:dyDescent="0.3">
      <c r="E4665" t="s">
        <v>33</v>
      </c>
      <c r="F4665">
        <v>12</v>
      </c>
      <c r="G4665">
        <v>0.2</v>
      </c>
      <c r="H4665" s="2">
        <v>42.588000000000022</v>
      </c>
      <c r="I4665" s="2">
        <v>681.40800000000013</v>
      </c>
    </row>
    <row r="4666" spans="3:9" x14ac:dyDescent="0.3">
      <c r="E4666" t="s">
        <v>21</v>
      </c>
      <c r="F4666">
        <v>3</v>
      </c>
      <c r="G4666">
        <v>0</v>
      </c>
      <c r="H4666" s="2">
        <v>4.8608999999999991</v>
      </c>
      <c r="I4666" s="2">
        <v>14.73</v>
      </c>
    </row>
    <row r="4667" spans="3:9" x14ac:dyDescent="0.3">
      <c r="E4667" t="s">
        <v>16</v>
      </c>
      <c r="F4667">
        <v>12</v>
      </c>
      <c r="G4667">
        <v>0</v>
      </c>
      <c r="H4667" s="2">
        <v>117.84769999999997</v>
      </c>
      <c r="I4667" s="2">
        <v>239.76999999999998</v>
      </c>
    </row>
    <row r="4668" spans="3:9" x14ac:dyDescent="0.3">
      <c r="E4668" t="s">
        <v>24</v>
      </c>
      <c r="F4668">
        <v>2</v>
      </c>
      <c r="G4668">
        <v>0.2</v>
      </c>
      <c r="H4668" s="2">
        <v>8.2781999999999982</v>
      </c>
      <c r="I4668" s="2">
        <v>73.584000000000003</v>
      </c>
    </row>
    <row r="4669" spans="3:9" x14ac:dyDescent="0.3">
      <c r="E4669" t="s">
        <v>14</v>
      </c>
      <c r="F4669">
        <v>1</v>
      </c>
      <c r="G4669">
        <v>0</v>
      </c>
      <c r="H4669" s="2">
        <v>4.3428000000000004</v>
      </c>
      <c r="I4669" s="2">
        <v>15.51</v>
      </c>
    </row>
    <row r="4670" spans="3:9" x14ac:dyDescent="0.3">
      <c r="E4670" t="s">
        <v>9</v>
      </c>
      <c r="F4670">
        <v>5</v>
      </c>
      <c r="G4670">
        <v>0</v>
      </c>
      <c r="H4670" s="2">
        <v>4.0619999999999994</v>
      </c>
      <c r="I4670" s="2">
        <v>13.54</v>
      </c>
    </row>
    <row r="4671" spans="3:9" x14ac:dyDescent="0.3">
      <c r="E4671" t="s">
        <v>25</v>
      </c>
      <c r="F4671">
        <v>1</v>
      </c>
      <c r="G4671">
        <v>0.2</v>
      </c>
      <c r="H4671" s="2">
        <v>11.283900000000017</v>
      </c>
      <c r="I4671" s="2">
        <v>300.904</v>
      </c>
    </row>
    <row r="4672" spans="3:9" x14ac:dyDescent="0.3">
      <c r="C4672" t="s">
        <v>22</v>
      </c>
      <c r="D4672" t="s">
        <v>8</v>
      </c>
      <c r="E4672" t="s">
        <v>23</v>
      </c>
      <c r="F4672">
        <v>49</v>
      </c>
      <c r="G4672">
        <v>0</v>
      </c>
      <c r="H4672" s="2">
        <v>531.74590000000001</v>
      </c>
      <c r="I4672" s="2">
        <v>1736.95</v>
      </c>
    </row>
    <row r="4673" spans="5:9" x14ac:dyDescent="0.3">
      <c r="E4673" t="s">
        <v>12</v>
      </c>
      <c r="F4673">
        <v>40</v>
      </c>
      <c r="G4673">
        <v>0</v>
      </c>
      <c r="H4673" s="2">
        <v>1163.3242999999998</v>
      </c>
      <c r="I4673" s="2">
        <v>3898.7400000000002</v>
      </c>
    </row>
    <row r="4674" spans="5:9" x14ac:dyDescent="0.3">
      <c r="E4674" t="s">
        <v>19</v>
      </c>
      <c r="F4674">
        <v>77</v>
      </c>
      <c r="G4674">
        <v>0</v>
      </c>
      <c r="H4674" s="2">
        <v>203.99540000000002</v>
      </c>
      <c r="I4674" s="2">
        <v>633.00000000000011</v>
      </c>
    </row>
    <row r="4675" spans="5:9" x14ac:dyDescent="0.3">
      <c r="E4675" t="s">
        <v>20</v>
      </c>
      <c r="F4675">
        <v>94</v>
      </c>
      <c r="G4675">
        <v>4.0000000000000009</v>
      </c>
      <c r="H4675" s="2">
        <v>1200.6141000000002</v>
      </c>
      <c r="I4675" s="2">
        <v>3470.7200000000003</v>
      </c>
    </row>
    <row r="4676" spans="5:9" x14ac:dyDescent="0.3">
      <c r="E4676" t="s">
        <v>34</v>
      </c>
      <c r="F4676">
        <v>26</v>
      </c>
      <c r="G4676">
        <v>0.9</v>
      </c>
      <c r="H4676" s="2">
        <v>-50.403799999999983</v>
      </c>
      <c r="I4676" s="2">
        <v>2903.1579999999999</v>
      </c>
    </row>
    <row r="4677" spans="5:9" x14ac:dyDescent="0.3">
      <c r="E4677" t="s">
        <v>33</v>
      </c>
      <c r="F4677">
        <v>19</v>
      </c>
      <c r="G4677">
        <v>1.4</v>
      </c>
      <c r="H4677" s="2">
        <v>5.2418999999999549</v>
      </c>
      <c r="I4677" s="2">
        <v>1402.8319999999999</v>
      </c>
    </row>
    <row r="4678" spans="5:9" x14ac:dyDescent="0.3">
      <c r="E4678" t="s">
        <v>45</v>
      </c>
      <c r="F4678">
        <v>5</v>
      </c>
      <c r="G4678">
        <v>0.4</v>
      </c>
      <c r="H4678" s="2">
        <v>812.9858999999999</v>
      </c>
      <c r="I4678" s="2">
        <v>2319.96</v>
      </c>
    </row>
    <row r="4679" spans="5:9" x14ac:dyDescent="0.3">
      <c r="E4679" t="s">
        <v>38</v>
      </c>
      <c r="F4679">
        <v>14</v>
      </c>
      <c r="G4679">
        <v>0</v>
      </c>
      <c r="H4679" s="2">
        <v>139.71610000000001</v>
      </c>
      <c r="I4679" s="2">
        <v>295.79000000000002</v>
      </c>
    </row>
    <row r="4680" spans="5:9" x14ac:dyDescent="0.3">
      <c r="E4680" t="s">
        <v>18</v>
      </c>
      <c r="F4680">
        <v>13</v>
      </c>
      <c r="G4680">
        <v>0</v>
      </c>
      <c r="H4680" s="2">
        <v>20.883199999999999</v>
      </c>
      <c r="I4680" s="2">
        <v>42.239999999999995</v>
      </c>
    </row>
    <row r="4681" spans="5:9" x14ac:dyDescent="0.3">
      <c r="E4681" t="s">
        <v>21</v>
      </c>
      <c r="F4681">
        <v>59</v>
      </c>
      <c r="G4681">
        <v>0</v>
      </c>
      <c r="H4681" s="2">
        <v>519.47320000000002</v>
      </c>
      <c r="I4681" s="2">
        <v>1909.1</v>
      </c>
    </row>
    <row r="4682" spans="5:9" x14ac:dyDescent="0.3">
      <c r="E4682" t="s">
        <v>43</v>
      </c>
      <c r="F4682">
        <v>26</v>
      </c>
      <c r="G4682">
        <v>0</v>
      </c>
      <c r="H4682" s="2">
        <v>52.045000000000002</v>
      </c>
      <c r="I4682" s="2">
        <v>109.73</v>
      </c>
    </row>
    <row r="4683" spans="5:9" x14ac:dyDescent="0.3">
      <c r="E4683" t="s">
        <v>46</v>
      </c>
      <c r="F4683">
        <v>11</v>
      </c>
      <c r="G4683">
        <v>0.2</v>
      </c>
      <c r="H4683" s="2">
        <v>32.301500000000019</v>
      </c>
      <c r="I4683" s="2">
        <v>369.16</v>
      </c>
    </row>
    <row r="4684" spans="5:9" x14ac:dyDescent="0.3">
      <c r="E4684" t="s">
        <v>16</v>
      </c>
      <c r="F4684">
        <v>87</v>
      </c>
      <c r="G4684">
        <v>0</v>
      </c>
      <c r="H4684" s="2">
        <v>349.32399999999996</v>
      </c>
      <c r="I4684" s="2">
        <v>732.54</v>
      </c>
    </row>
    <row r="4685" spans="5:9" x14ac:dyDescent="0.3">
      <c r="E4685" t="s">
        <v>24</v>
      </c>
      <c r="F4685">
        <v>31</v>
      </c>
      <c r="G4685">
        <v>1.9999999999999998</v>
      </c>
      <c r="H4685" s="2">
        <v>381.61080000000004</v>
      </c>
      <c r="I4685" s="2">
        <v>3135.3840000000009</v>
      </c>
    </row>
    <row r="4686" spans="5:9" x14ac:dyDescent="0.3">
      <c r="E4686" t="s">
        <v>14</v>
      </c>
      <c r="F4686">
        <v>39</v>
      </c>
      <c r="G4686">
        <v>0</v>
      </c>
      <c r="H4686" s="2">
        <v>504.22319999999974</v>
      </c>
      <c r="I4686" s="2">
        <v>3047.97</v>
      </c>
    </row>
    <row r="4687" spans="5:9" x14ac:dyDescent="0.3">
      <c r="E4687" t="s">
        <v>9</v>
      </c>
      <c r="F4687">
        <v>5</v>
      </c>
      <c r="G4687">
        <v>0</v>
      </c>
      <c r="H4687" s="2">
        <v>12.893399999999996</v>
      </c>
      <c r="I4687" s="2">
        <v>50.99</v>
      </c>
    </row>
    <row r="4688" spans="5:9" x14ac:dyDescent="0.3">
      <c r="E4688" t="s">
        <v>25</v>
      </c>
      <c r="F4688">
        <v>16</v>
      </c>
      <c r="G4688">
        <v>0.60000000000000009</v>
      </c>
      <c r="H4688" s="2">
        <v>-470.17170000000021</v>
      </c>
      <c r="I4688" s="2">
        <v>3260.72</v>
      </c>
    </row>
    <row r="4689" spans="4:9" x14ac:dyDescent="0.3">
      <c r="D4689" t="s">
        <v>15</v>
      </c>
      <c r="E4689" t="s">
        <v>23</v>
      </c>
      <c r="F4689">
        <v>31</v>
      </c>
      <c r="G4689">
        <v>0</v>
      </c>
      <c r="H4689" s="2">
        <v>485.08039999999994</v>
      </c>
      <c r="I4689" s="2">
        <v>1400.2600000000002</v>
      </c>
    </row>
    <row r="4690" spans="4:9" x14ac:dyDescent="0.3">
      <c r="E4690" t="s">
        <v>12</v>
      </c>
      <c r="F4690">
        <v>5</v>
      </c>
      <c r="G4690">
        <v>0</v>
      </c>
      <c r="H4690" s="2">
        <v>13.956300000000002</v>
      </c>
      <c r="I4690" s="2">
        <v>51.69</v>
      </c>
    </row>
    <row r="4691" spans="4:9" x14ac:dyDescent="0.3">
      <c r="E4691" t="s">
        <v>19</v>
      </c>
      <c r="F4691">
        <v>23</v>
      </c>
      <c r="G4691">
        <v>0</v>
      </c>
      <c r="H4691" s="2">
        <v>48.376999999999995</v>
      </c>
      <c r="I4691" s="2">
        <v>180.71</v>
      </c>
    </row>
    <row r="4692" spans="4:9" x14ac:dyDescent="0.3">
      <c r="E4692" t="s">
        <v>20</v>
      </c>
      <c r="F4692">
        <v>35</v>
      </c>
      <c r="G4692">
        <v>2.6</v>
      </c>
      <c r="H4692" s="2">
        <v>262.00509999999991</v>
      </c>
      <c r="I4692" s="2">
        <v>765.72799999999995</v>
      </c>
    </row>
    <row r="4693" spans="4:9" x14ac:dyDescent="0.3">
      <c r="E4693" t="s">
        <v>34</v>
      </c>
      <c r="F4693">
        <v>6</v>
      </c>
      <c r="G4693">
        <v>0.15</v>
      </c>
      <c r="H4693" s="2">
        <v>34.493999999999971</v>
      </c>
      <c r="I4693" s="2">
        <v>586.39800000000002</v>
      </c>
    </row>
    <row r="4694" spans="4:9" x14ac:dyDescent="0.3">
      <c r="E4694" t="s">
        <v>33</v>
      </c>
      <c r="F4694">
        <v>9</v>
      </c>
      <c r="G4694">
        <v>0.60000000000000009</v>
      </c>
      <c r="H4694" s="2">
        <v>148.43120000000002</v>
      </c>
      <c r="I4694" s="2">
        <v>2527.0560000000005</v>
      </c>
    </row>
    <row r="4695" spans="4:9" x14ac:dyDescent="0.3">
      <c r="E4695" t="s">
        <v>38</v>
      </c>
      <c r="F4695">
        <v>12</v>
      </c>
      <c r="G4695">
        <v>0</v>
      </c>
      <c r="H4695" s="2">
        <v>128.28020000000001</v>
      </c>
      <c r="I4695" s="2">
        <v>262.04000000000002</v>
      </c>
    </row>
    <row r="4696" spans="4:9" x14ac:dyDescent="0.3">
      <c r="E4696" t="s">
        <v>18</v>
      </c>
      <c r="F4696">
        <v>5</v>
      </c>
      <c r="G4696">
        <v>0</v>
      </c>
      <c r="H4696" s="2">
        <v>8.7710000000000008</v>
      </c>
      <c r="I4696" s="2">
        <v>17.899999999999999</v>
      </c>
    </row>
    <row r="4697" spans="4:9" x14ac:dyDescent="0.3">
      <c r="E4697" t="s">
        <v>21</v>
      </c>
      <c r="F4697">
        <v>27</v>
      </c>
      <c r="G4697">
        <v>0</v>
      </c>
      <c r="H4697" s="2">
        <v>105.721</v>
      </c>
      <c r="I4697" s="2">
        <v>310.58000000000004</v>
      </c>
    </row>
    <row r="4698" spans="4:9" x14ac:dyDescent="0.3">
      <c r="E4698" t="s">
        <v>43</v>
      </c>
      <c r="F4698">
        <v>9</v>
      </c>
      <c r="G4698">
        <v>0</v>
      </c>
      <c r="H4698" s="2">
        <v>126.39420000000001</v>
      </c>
      <c r="I4698" s="2">
        <v>274.77</v>
      </c>
    </row>
    <row r="4699" spans="4:9" x14ac:dyDescent="0.3">
      <c r="E4699" t="s">
        <v>46</v>
      </c>
      <c r="F4699">
        <v>6</v>
      </c>
      <c r="G4699">
        <v>0.2</v>
      </c>
      <c r="H4699" s="2">
        <v>287.98199999999997</v>
      </c>
      <c r="I4699" s="2">
        <v>767.95200000000011</v>
      </c>
    </row>
    <row r="4700" spans="4:9" x14ac:dyDescent="0.3">
      <c r="E4700" t="s">
        <v>16</v>
      </c>
      <c r="F4700">
        <v>52</v>
      </c>
      <c r="G4700">
        <v>0</v>
      </c>
      <c r="H4700" s="2">
        <v>377.80229999999995</v>
      </c>
      <c r="I4700" s="2">
        <v>797.56999999999994</v>
      </c>
    </row>
    <row r="4701" spans="4:9" x14ac:dyDescent="0.3">
      <c r="E4701" t="s">
        <v>24</v>
      </c>
      <c r="F4701">
        <v>38</v>
      </c>
      <c r="G4701">
        <v>1.5999999999999999</v>
      </c>
      <c r="H4701" s="2">
        <v>326.09379999999999</v>
      </c>
      <c r="I4701" s="2">
        <v>3224.5039999999999</v>
      </c>
    </row>
    <row r="4702" spans="4:9" x14ac:dyDescent="0.3">
      <c r="E4702" t="s">
        <v>14</v>
      </c>
      <c r="F4702">
        <v>17</v>
      </c>
      <c r="G4702">
        <v>0</v>
      </c>
      <c r="H4702" s="2">
        <v>161.58339999999998</v>
      </c>
      <c r="I4702" s="2">
        <v>962.7600000000001</v>
      </c>
    </row>
    <row r="4703" spans="4:9" x14ac:dyDescent="0.3">
      <c r="E4703" t="s">
        <v>9</v>
      </c>
      <c r="F4703">
        <v>10</v>
      </c>
      <c r="G4703">
        <v>0</v>
      </c>
      <c r="H4703" s="2">
        <v>21.741400000000002</v>
      </c>
      <c r="I4703" s="2">
        <v>296.54000000000002</v>
      </c>
    </row>
    <row r="4704" spans="4:9" x14ac:dyDescent="0.3">
      <c r="E4704" t="s">
        <v>25</v>
      </c>
      <c r="F4704">
        <v>26</v>
      </c>
      <c r="G4704">
        <v>1.4</v>
      </c>
      <c r="H4704" s="2">
        <v>-305.37710000000015</v>
      </c>
      <c r="I4704" s="2">
        <v>4344.8639999999996</v>
      </c>
    </row>
    <row r="4705" spans="2:9" x14ac:dyDescent="0.3">
      <c r="D4705" t="s">
        <v>17</v>
      </c>
      <c r="E4705" t="s">
        <v>23</v>
      </c>
      <c r="F4705">
        <v>11</v>
      </c>
      <c r="G4705">
        <v>0</v>
      </c>
      <c r="H4705" s="2">
        <v>212.49449999999999</v>
      </c>
      <c r="I4705" s="2">
        <v>649.74</v>
      </c>
    </row>
    <row r="4706" spans="2:9" x14ac:dyDescent="0.3">
      <c r="E4706" t="s">
        <v>12</v>
      </c>
      <c r="F4706">
        <v>14</v>
      </c>
      <c r="G4706">
        <v>0</v>
      </c>
      <c r="H4706" s="2">
        <v>60.168700000000008</v>
      </c>
      <c r="I4706" s="2">
        <v>184.75</v>
      </c>
    </row>
    <row r="4707" spans="2:9" x14ac:dyDescent="0.3">
      <c r="E4707" t="s">
        <v>19</v>
      </c>
      <c r="F4707">
        <v>24</v>
      </c>
      <c r="G4707">
        <v>0</v>
      </c>
      <c r="H4707" s="2">
        <v>23.7044</v>
      </c>
      <c r="I4707" s="2">
        <v>69.38</v>
      </c>
    </row>
    <row r="4708" spans="2:9" x14ac:dyDescent="0.3">
      <c r="E4708" t="s">
        <v>20</v>
      </c>
      <c r="F4708">
        <v>48</v>
      </c>
      <c r="G4708">
        <v>1.7999999999999998</v>
      </c>
      <c r="H4708" s="2">
        <v>85.380999999999986</v>
      </c>
      <c r="I4708" s="2">
        <v>249.66400000000002</v>
      </c>
    </row>
    <row r="4709" spans="2:9" x14ac:dyDescent="0.3">
      <c r="E4709" t="s">
        <v>34</v>
      </c>
      <c r="F4709">
        <v>1</v>
      </c>
      <c r="G4709">
        <v>0.15</v>
      </c>
      <c r="H4709" s="2">
        <v>7.0489999999999995</v>
      </c>
      <c r="I4709" s="2">
        <v>119.83299999999998</v>
      </c>
    </row>
    <row r="4710" spans="2:9" x14ac:dyDescent="0.3">
      <c r="E4710" t="s">
        <v>33</v>
      </c>
      <c r="F4710">
        <v>3</v>
      </c>
      <c r="G4710">
        <v>0.4</v>
      </c>
      <c r="H4710" s="2">
        <v>-26.544999999999995</v>
      </c>
      <c r="I4710" s="2">
        <v>250.352</v>
      </c>
    </row>
    <row r="4711" spans="2:9" x14ac:dyDescent="0.3">
      <c r="E4711" t="s">
        <v>18</v>
      </c>
      <c r="F4711">
        <v>2</v>
      </c>
      <c r="G4711">
        <v>0</v>
      </c>
      <c r="H4711" s="2">
        <v>1.9697999999999998</v>
      </c>
      <c r="I4711" s="2">
        <v>4.0199999999999996</v>
      </c>
    </row>
    <row r="4712" spans="2:9" x14ac:dyDescent="0.3">
      <c r="E4712" t="s">
        <v>21</v>
      </c>
      <c r="F4712">
        <v>1</v>
      </c>
      <c r="G4712">
        <v>0</v>
      </c>
      <c r="H4712" s="2">
        <v>2.1780000000000004</v>
      </c>
      <c r="I4712" s="2">
        <v>4.95</v>
      </c>
    </row>
    <row r="4713" spans="2:9" x14ac:dyDescent="0.3">
      <c r="E4713" t="s">
        <v>43</v>
      </c>
      <c r="F4713">
        <v>18</v>
      </c>
      <c r="G4713">
        <v>0</v>
      </c>
      <c r="H4713" s="2">
        <v>42.202399999999997</v>
      </c>
      <c r="I4713" s="2">
        <v>88.899999999999991</v>
      </c>
    </row>
    <row r="4714" spans="2:9" x14ac:dyDescent="0.3">
      <c r="E4714" t="s">
        <v>16</v>
      </c>
      <c r="F4714">
        <v>42</v>
      </c>
      <c r="G4714">
        <v>0</v>
      </c>
      <c r="H4714" s="2">
        <v>558.86059999999998</v>
      </c>
      <c r="I4714" s="2">
        <v>1154.06</v>
      </c>
    </row>
    <row r="4715" spans="2:9" x14ac:dyDescent="0.3">
      <c r="E4715" t="s">
        <v>24</v>
      </c>
      <c r="F4715">
        <v>6</v>
      </c>
      <c r="G4715">
        <v>0.4</v>
      </c>
      <c r="H4715" s="2">
        <v>100.77659999999997</v>
      </c>
      <c r="I4715" s="2">
        <v>895.79200000000003</v>
      </c>
    </row>
    <row r="4716" spans="2:9" x14ac:dyDescent="0.3">
      <c r="E4716" t="s">
        <v>14</v>
      </c>
      <c r="F4716">
        <v>6</v>
      </c>
      <c r="G4716">
        <v>0</v>
      </c>
      <c r="H4716" s="2">
        <v>4.1916000000000011</v>
      </c>
      <c r="I4716" s="2">
        <v>41.370000000000005</v>
      </c>
    </row>
    <row r="4717" spans="2:9" x14ac:dyDescent="0.3">
      <c r="B4717" t="s">
        <v>469</v>
      </c>
      <c r="C4717" t="s">
        <v>22</v>
      </c>
      <c r="D4717" t="s">
        <v>17</v>
      </c>
      <c r="E4717" t="s">
        <v>12</v>
      </c>
      <c r="F4717">
        <v>3</v>
      </c>
      <c r="G4717">
        <v>0</v>
      </c>
      <c r="H4717" s="2">
        <v>78.508799999999965</v>
      </c>
      <c r="I4717" s="2">
        <v>270.71999999999997</v>
      </c>
    </row>
    <row r="4718" spans="2:9" x14ac:dyDescent="0.3">
      <c r="E4718" t="s">
        <v>33</v>
      </c>
      <c r="F4718">
        <v>5</v>
      </c>
      <c r="G4718">
        <v>0.2</v>
      </c>
      <c r="H4718" s="2">
        <v>148.70400000000006</v>
      </c>
      <c r="I4718" s="2">
        <v>1487.04</v>
      </c>
    </row>
    <row r="4719" spans="2:9" x14ac:dyDescent="0.3">
      <c r="E4719" t="s">
        <v>21</v>
      </c>
      <c r="F4719">
        <v>5</v>
      </c>
      <c r="G4719">
        <v>0</v>
      </c>
      <c r="H4719" s="2">
        <v>63.682499999999997</v>
      </c>
      <c r="I4719" s="2">
        <v>303.25</v>
      </c>
    </row>
    <row r="4720" spans="2:9" x14ac:dyDescent="0.3">
      <c r="B4720" t="s">
        <v>470</v>
      </c>
      <c r="C4720" t="s">
        <v>11</v>
      </c>
      <c r="D4720" t="s">
        <v>8</v>
      </c>
      <c r="E4720" t="s">
        <v>12</v>
      </c>
      <c r="F4720">
        <v>2</v>
      </c>
      <c r="G4720">
        <v>0</v>
      </c>
      <c r="H4720" s="2">
        <v>60.490000000000009</v>
      </c>
      <c r="I4720" s="2">
        <v>241.96</v>
      </c>
    </row>
    <row r="4721" spans="3:9" x14ac:dyDescent="0.3">
      <c r="E4721" t="s">
        <v>20</v>
      </c>
      <c r="F4721">
        <v>14</v>
      </c>
      <c r="G4721">
        <v>0.4</v>
      </c>
      <c r="H4721" s="2">
        <v>21.353399999999997</v>
      </c>
      <c r="I4721" s="2">
        <v>63.216000000000008</v>
      </c>
    </row>
    <row r="4722" spans="3:9" x14ac:dyDescent="0.3">
      <c r="E4722" t="s">
        <v>33</v>
      </c>
      <c r="F4722">
        <v>4</v>
      </c>
      <c r="G4722">
        <v>0.2</v>
      </c>
      <c r="H4722" s="2">
        <v>9.5031999999999925</v>
      </c>
      <c r="I4722" s="2">
        <v>108.608</v>
      </c>
    </row>
    <row r="4723" spans="3:9" x14ac:dyDescent="0.3">
      <c r="E4723" t="s">
        <v>18</v>
      </c>
      <c r="F4723">
        <v>3</v>
      </c>
      <c r="G4723">
        <v>0</v>
      </c>
      <c r="H4723" s="2">
        <v>4.9104000000000001</v>
      </c>
      <c r="I4723" s="2">
        <v>10.23</v>
      </c>
    </row>
    <row r="4724" spans="3:9" x14ac:dyDescent="0.3">
      <c r="E4724" t="s">
        <v>16</v>
      </c>
      <c r="F4724">
        <v>5</v>
      </c>
      <c r="G4724">
        <v>0</v>
      </c>
      <c r="H4724" s="2">
        <v>69.704999999999998</v>
      </c>
      <c r="I4724" s="2">
        <v>154.9</v>
      </c>
    </row>
    <row r="4725" spans="3:9" x14ac:dyDescent="0.3">
      <c r="D4725" t="s">
        <v>15</v>
      </c>
      <c r="E4725" t="s">
        <v>16</v>
      </c>
      <c r="F4725">
        <v>11</v>
      </c>
      <c r="G4725">
        <v>0</v>
      </c>
      <c r="H4725" s="2">
        <v>74.81019999999998</v>
      </c>
      <c r="I4725" s="2">
        <v>163.89999999999998</v>
      </c>
    </row>
    <row r="4726" spans="3:9" x14ac:dyDescent="0.3">
      <c r="E4726" t="s">
        <v>14</v>
      </c>
      <c r="F4726">
        <v>6</v>
      </c>
      <c r="G4726">
        <v>0</v>
      </c>
      <c r="H4726" s="2">
        <v>21.028799999999997</v>
      </c>
      <c r="I4726" s="2">
        <v>80.88</v>
      </c>
    </row>
    <row r="4727" spans="3:9" x14ac:dyDescent="0.3">
      <c r="D4727" t="s">
        <v>17</v>
      </c>
      <c r="E4727" t="s">
        <v>20</v>
      </c>
      <c r="F4727">
        <v>3</v>
      </c>
      <c r="G4727">
        <v>0.2</v>
      </c>
      <c r="H4727" s="2">
        <v>5.1929999999999996</v>
      </c>
      <c r="I4727" s="2">
        <v>13.847999999999999</v>
      </c>
    </row>
    <row r="4728" spans="3:9" x14ac:dyDescent="0.3">
      <c r="C4728" t="s">
        <v>7</v>
      </c>
      <c r="D4728" t="s">
        <v>8</v>
      </c>
      <c r="E4728" t="s">
        <v>23</v>
      </c>
      <c r="F4728">
        <v>4</v>
      </c>
      <c r="G4728">
        <v>0</v>
      </c>
      <c r="H4728" s="2">
        <v>12.959999999999994</v>
      </c>
      <c r="I4728" s="2">
        <v>72</v>
      </c>
    </row>
    <row r="4729" spans="3:9" x14ac:dyDescent="0.3">
      <c r="E4729" t="s">
        <v>33</v>
      </c>
      <c r="F4729">
        <v>2</v>
      </c>
      <c r="G4729">
        <v>0.2</v>
      </c>
      <c r="H4729" s="2">
        <v>9.9651999999999994</v>
      </c>
      <c r="I4729" s="2">
        <v>113.88800000000002</v>
      </c>
    </row>
    <row r="4730" spans="3:9" x14ac:dyDescent="0.3">
      <c r="E4730" t="s">
        <v>38</v>
      </c>
      <c r="F4730">
        <v>3</v>
      </c>
      <c r="G4730">
        <v>0</v>
      </c>
      <c r="H4730" s="2">
        <v>77.483699999999999</v>
      </c>
      <c r="I4730" s="2">
        <v>158.13</v>
      </c>
    </row>
    <row r="4731" spans="3:9" x14ac:dyDescent="0.3">
      <c r="D4731" t="s">
        <v>17</v>
      </c>
      <c r="E4731" t="s">
        <v>21</v>
      </c>
      <c r="F4731">
        <v>3</v>
      </c>
      <c r="G4731">
        <v>0</v>
      </c>
      <c r="H4731" s="2">
        <v>26.648999999999997</v>
      </c>
      <c r="I4731" s="2">
        <v>76.14</v>
      </c>
    </row>
    <row r="4732" spans="3:9" x14ac:dyDescent="0.3">
      <c r="C4732" t="s">
        <v>22</v>
      </c>
      <c r="D4732" t="s">
        <v>8</v>
      </c>
      <c r="E4732" t="s">
        <v>19</v>
      </c>
      <c r="F4732">
        <v>4</v>
      </c>
      <c r="G4732">
        <v>0</v>
      </c>
      <c r="H4732" s="2">
        <v>3.1752000000000002</v>
      </c>
      <c r="I4732" s="2">
        <v>11.76</v>
      </c>
    </row>
    <row r="4733" spans="3:9" x14ac:dyDescent="0.3">
      <c r="E4733" t="s">
        <v>20</v>
      </c>
      <c r="F4733">
        <v>7</v>
      </c>
      <c r="G4733">
        <v>0.4</v>
      </c>
      <c r="H4733" s="2">
        <v>62.878399999999999</v>
      </c>
      <c r="I4733" s="2">
        <v>172.99200000000002</v>
      </c>
    </row>
    <row r="4734" spans="3:9" x14ac:dyDescent="0.3">
      <c r="E4734" t="s">
        <v>34</v>
      </c>
      <c r="F4734">
        <v>1</v>
      </c>
      <c r="G4734">
        <v>0.15</v>
      </c>
      <c r="H4734" s="2">
        <v>-6.0489999999999995</v>
      </c>
      <c r="I4734" s="2">
        <v>102.833</v>
      </c>
    </row>
    <row r="4735" spans="3:9" x14ac:dyDescent="0.3">
      <c r="E4735" t="s">
        <v>33</v>
      </c>
      <c r="F4735">
        <v>1</v>
      </c>
      <c r="G4735">
        <v>0.2</v>
      </c>
      <c r="H4735" s="2">
        <v>32.097999999999971</v>
      </c>
      <c r="I4735" s="2">
        <v>256.78400000000005</v>
      </c>
    </row>
    <row r="4736" spans="3:9" x14ac:dyDescent="0.3">
      <c r="E4736" t="s">
        <v>38</v>
      </c>
      <c r="F4736">
        <v>7</v>
      </c>
      <c r="G4736">
        <v>0</v>
      </c>
      <c r="H4736" s="2">
        <v>18.687199999999997</v>
      </c>
      <c r="I4736" s="2">
        <v>39.76</v>
      </c>
    </row>
    <row r="4737" spans="2:9" x14ac:dyDescent="0.3">
      <c r="E4737" t="s">
        <v>21</v>
      </c>
      <c r="F4737">
        <v>15</v>
      </c>
      <c r="G4737">
        <v>0</v>
      </c>
      <c r="H4737" s="2">
        <v>113.42920000000001</v>
      </c>
      <c r="I4737" s="2">
        <v>426.10999999999996</v>
      </c>
    </row>
    <row r="4738" spans="2:9" x14ac:dyDescent="0.3">
      <c r="E4738" t="s">
        <v>16</v>
      </c>
      <c r="F4738">
        <v>7</v>
      </c>
      <c r="G4738">
        <v>0</v>
      </c>
      <c r="H4738" s="2">
        <v>134.11929999999998</v>
      </c>
      <c r="I4738" s="2">
        <v>284.51</v>
      </c>
    </row>
    <row r="4739" spans="2:9" x14ac:dyDescent="0.3">
      <c r="E4739" t="s">
        <v>24</v>
      </c>
      <c r="F4739">
        <v>5</v>
      </c>
      <c r="G4739">
        <v>0.2</v>
      </c>
      <c r="H4739" s="2">
        <v>125.30000000000007</v>
      </c>
      <c r="I4739" s="2">
        <v>1432.0000000000002</v>
      </c>
    </row>
    <row r="4740" spans="2:9" x14ac:dyDescent="0.3">
      <c r="E4740" t="s">
        <v>14</v>
      </c>
      <c r="F4740">
        <v>16</v>
      </c>
      <c r="G4740">
        <v>0</v>
      </c>
      <c r="H4740" s="2">
        <v>145.18610000000001</v>
      </c>
      <c r="I4740" s="2">
        <v>1109.3700000000001</v>
      </c>
    </row>
    <row r="4741" spans="2:9" x14ac:dyDescent="0.3">
      <c r="E4741" t="s">
        <v>9</v>
      </c>
      <c r="F4741">
        <v>6</v>
      </c>
      <c r="G4741">
        <v>0</v>
      </c>
      <c r="H4741" s="2">
        <v>11.0808</v>
      </c>
      <c r="I4741" s="2">
        <v>41.04</v>
      </c>
    </row>
    <row r="4742" spans="2:9" x14ac:dyDescent="0.3">
      <c r="D4742" t="s">
        <v>15</v>
      </c>
      <c r="E4742" t="s">
        <v>12</v>
      </c>
      <c r="F4742">
        <v>10</v>
      </c>
      <c r="G4742">
        <v>0</v>
      </c>
      <c r="H4742" s="2">
        <v>38.133399999999995</v>
      </c>
      <c r="I4742" s="2">
        <v>103.03999999999999</v>
      </c>
    </row>
    <row r="4743" spans="2:9" x14ac:dyDescent="0.3">
      <c r="E4743" t="s">
        <v>20</v>
      </c>
      <c r="F4743">
        <v>7</v>
      </c>
      <c r="G4743">
        <v>0.60000000000000009</v>
      </c>
      <c r="H4743" s="2">
        <v>133.07859999999999</v>
      </c>
      <c r="I4743" s="2">
        <v>405.67200000000003</v>
      </c>
    </row>
    <row r="4744" spans="2:9" x14ac:dyDescent="0.3">
      <c r="E4744" t="s">
        <v>34</v>
      </c>
      <c r="F4744">
        <v>2</v>
      </c>
      <c r="G4744">
        <v>0.15</v>
      </c>
      <c r="H4744" s="2">
        <v>-12.878400000000013</v>
      </c>
      <c r="I4744" s="2">
        <v>273.666</v>
      </c>
    </row>
    <row r="4745" spans="2:9" x14ac:dyDescent="0.3">
      <c r="E4745" t="s">
        <v>21</v>
      </c>
      <c r="F4745">
        <v>3</v>
      </c>
      <c r="G4745">
        <v>0</v>
      </c>
      <c r="H4745" s="2">
        <v>5.6627999999999998</v>
      </c>
      <c r="I4745" s="2">
        <v>14.52</v>
      </c>
    </row>
    <row r="4746" spans="2:9" x14ac:dyDescent="0.3">
      <c r="E4746" t="s">
        <v>24</v>
      </c>
      <c r="F4746">
        <v>3</v>
      </c>
      <c r="G4746">
        <v>0.2</v>
      </c>
      <c r="H4746" s="2">
        <v>8.2763999999999953</v>
      </c>
      <c r="I4746" s="2">
        <v>110.352</v>
      </c>
    </row>
    <row r="4747" spans="2:9" x14ac:dyDescent="0.3">
      <c r="D4747" t="s">
        <v>17</v>
      </c>
      <c r="E4747" t="s">
        <v>20</v>
      </c>
      <c r="F4747">
        <v>5</v>
      </c>
      <c r="G4747">
        <v>0.2</v>
      </c>
      <c r="H4747" s="2">
        <v>9.8279999999999959</v>
      </c>
      <c r="I4747" s="2">
        <v>29.120000000000005</v>
      </c>
    </row>
    <row r="4748" spans="2:9" x14ac:dyDescent="0.3">
      <c r="B4748" t="s">
        <v>471</v>
      </c>
      <c r="C4748" t="s">
        <v>22</v>
      </c>
      <c r="D4748" t="s">
        <v>8</v>
      </c>
      <c r="E4748" t="s">
        <v>18</v>
      </c>
      <c r="F4748">
        <v>2</v>
      </c>
      <c r="G4748">
        <v>0</v>
      </c>
      <c r="H4748" s="2">
        <v>1.1945999999999999</v>
      </c>
      <c r="I4748" s="2">
        <v>3.62</v>
      </c>
    </row>
    <row r="4749" spans="2:9" x14ac:dyDescent="0.3">
      <c r="B4749" t="s">
        <v>472</v>
      </c>
      <c r="C4749" t="s">
        <v>7</v>
      </c>
      <c r="D4749" t="s">
        <v>15</v>
      </c>
      <c r="E4749" t="s">
        <v>23</v>
      </c>
      <c r="F4749">
        <v>2</v>
      </c>
      <c r="G4749">
        <v>0.2</v>
      </c>
      <c r="H4749" s="2">
        <v>-3.6372000000000027</v>
      </c>
      <c r="I4749" s="2">
        <v>20.784000000000002</v>
      </c>
    </row>
    <row r="4750" spans="2:9" x14ac:dyDescent="0.3">
      <c r="E4750" t="s">
        <v>21</v>
      </c>
      <c r="F4750">
        <v>3</v>
      </c>
      <c r="G4750">
        <v>0.6</v>
      </c>
      <c r="H4750" s="2">
        <v>-5.9408999999999992</v>
      </c>
      <c r="I4750" s="2">
        <v>10.332000000000001</v>
      </c>
    </row>
    <row r="4751" spans="2:9" x14ac:dyDescent="0.3">
      <c r="E4751" t="s">
        <v>16</v>
      </c>
      <c r="F4751">
        <v>2</v>
      </c>
      <c r="G4751">
        <v>0.2</v>
      </c>
      <c r="H4751" s="2">
        <v>3.6288</v>
      </c>
      <c r="I4751" s="2">
        <v>10.368000000000002</v>
      </c>
    </row>
    <row r="4752" spans="2:9" x14ac:dyDescent="0.3">
      <c r="E4752" t="s">
        <v>14</v>
      </c>
      <c r="F4752">
        <v>5</v>
      </c>
      <c r="G4752">
        <v>0.2</v>
      </c>
      <c r="H4752" s="2">
        <v>-13.392000000000003</v>
      </c>
      <c r="I4752" s="2">
        <v>66.959999999999994</v>
      </c>
    </row>
    <row r="4753" spans="2:9" x14ac:dyDescent="0.3">
      <c r="B4753" t="s">
        <v>473</v>
      </c>
      <c r="C4753" t="s">
        <v>11</v>
      </c>
      <c r="D4753" t="s">
        <v>8</v>
      </c>
      <c r="E4753" t="s">
        <v>43</v>
      </c>
      <c r="F4753">
        <v>6</v>
      </c>
      <c r="G4753">
        <v>0</v>
      </c>
      <c r="H4753" s="2">
        <v>35.334599999999995</v>
      </c>
      <c r="I4753" s="2">
        <v>75.179999999999993</v>
      </c>
    </row>
    <row r="4754" spans="2:9" x14ac:dyDescent="0.3">
      <c r="B4754" t="s">
        <v>474</v>
      </c>
      <c r="C4754" t="s">
        <v>11</v>
      </c>
      <c r="D4754" t="s">
        <v>15</v>
      </c>
      <c r="E4754" t="s">
        <v>12</v>
      </c>
      <c r="F4754">
        <v>2</v>
      </c>
      <c r="G4754">
        <v>0</v>
      </c>
      <c r="H4754" s="2">
        <v>4.4824000000000002</v>
      </c>
      <c r="I4754" s="2">
        <v>17.239999999999998</v>
      </c>
    </row>
    <row r="4755" spans="2:9" x14ac:dyDescent="0.3">
      <c r="E4755" t="s">
        <v>20</v>
      </c>
      <c r="F4755">
        <v>6</v>
      </c>
      <c r="G4755">
        <v>0</v>
      </c>
      <c r="H4755" s="2">
        <v>54.691199999999995</v>
      </c>
      <c r="I4755" s="2">
        <v>113.94</v>
      </c>
    </row>
    <row r="4756" spans="2:9" x14ac:dyDescent="0.3">
      <c r="E4756" t="s">
        <v>34</v>
      </c>
      <c r="F4756">
        <v>3</v>
      </c>
      <c r="G4756">
        <v>0</v>
      </c>
      <c r="H4756" s="2">
        <v>75.735000000000014</v>
      </c>
      <c r="I4756" s="2">
        <v>302.94</v>
      </c>
    </row>
    <row r="4757" spans="2:9" x14ac:dyDescent="0.3">
      <c r="E4757" t="s">
        <v>24</v>
      </c>
      <c r="F4757">
        <v>7</v>
      </c>
      <c r="G4757">
        <v>0</v>
      </c>
      <c r="H4757" s="2">
        <v>31.311899999999998</v>
      </c>
      <c r="I4757" s="2">
        <v>90.72999999999999</v>
      </c>
    </row>
    <row r="4758" spans="2:9" x14ac:dyDescent="0.3">
      <c r="C4758" t="s">
        <v>7</v>
      </c>
      <c r="D4758" t="s">
        <v>8</v>
      </c>
      <c r="E4758" t="s">
        <v>19</v>
      </c>
      <c r="F4758">
        <v>3</v>
      </c>
      <c r="G4758">
        <v>0</v>
      </c>
      <c r="H4758" s="2">
        <v>9.7118999999999982</v>
      </c>
      <c r="I4758" s="2">
        <v>35.97</v>
      </c>
    </row>
    <row r="4759" spans="2:9" x14ac:dyDescent="0.3">
      <c r="E4759" t="s">
        <v>34</v>
      </c>
      <c r="F4759">
        <v>7</v>
      </c>
      <c r="G4759">
        <v>0</v>
      </c>
      <c r="H4759" s="2">
        <v>291.37779999999987</v>
      </c>
      <c r="I4759" s="2">
        <v>1266.8599999999999</v>
      </c>
    </row>
    <row r="4760" spans="2:9" x14ac:dyDescent="0.3">
      <c r="C4760" t="s">
        <v>22</v>
      </c>
      <c r="D4760" t="s">
        <v>15</v>
      </c>
      <c r="E4760" t="s">
        <v>23</v>
      </c>
      <c r="F4760">
        <v>1</v>
      </c>
      <c r="G4760">
        <v>0</v>
      </c>
      <c r="H4760" s="2">
        <v>0.83300000000000018</v>
      </c>
      <c r="I4760" s="2">
        <v>5.95</v>
      </c>
    </row>
    <row r="4761" spans="2:9" x14ac:dyDescent="0.3">
      <c r="E4761" t="s">
        <v>16</v>
      </c>
      <c r="F4761">
        <v>3</v>
      </c>
      <c r="G4761">
        <v>0</v>
      </c>
      <c r="H4761" s="2">
        <v>7.1627999999999998</v>
      </c>
      <c r="I4761" s="2">
        <v>15.24</v>
      </c>
    </row>
    <row r="4762" spans="2:9" x14ac:dyDescent="0.3">
      <c r="D4762" t="s">
        <v>17</v>
      </c>
      <c r="E4762" t="s">
        <v>19</v>
      </c>
      <c r="F4762">
        <v>7</v>
      </c>
      <c r="G4762">
        <v>0</v>
      </c>
      <c r="H4762" s="2">
        <v>8.6736000000000004</v>
      </c>
      <c r="I4762" s="2">
        <v>27</v>
      </c>
    </row>
    <row r="4763" spans="2:9" x14ac:dyDescent="0.3">
      <c r="E4763" t="s">
        <v>43</v>
      </c>
      <c r="F4763">
        <v>5</v>
      </c>
      <c r="G4763">
        <v>0</v>
      </c>
      <c r="H4763" s="2">
        <v>7.5600000000000005</v>
      </c>
      <c r="I4763" s="2">
        <v>15.75</v>
      </c>
    </row>
    <row r="4764" spans="2:9" x14ac:dyDescent="0.3">
      <c r="E4764" t="s">
        <v>24</v>
      </c>
      <c r="F4764">
        <v>2</v>
      </c>
      <c r="G4764">
        <v>0</v>
      </c>
      <c r="H4764" s="2">
        <v>25.171999999999997</v>
      </c>
      <c r="I4764" s="2">
        <v>89.9</v>
      </c>
    </row>
    <row r="4765" spans="2:9" x14ac:dyDescent="0.3">
      <c r="E4765" t="s">
        <v>14</v>
      </c>
      <c r="F4765">
        <v>1</v>
      </c>
      <c r="G4765">
        <v>0</v>
      </c>
      <c r="H4765" s="2">
        <v>3.8774999999999995</v>
      </c>
      <c r="I4765" s="2">
        <v>15.51</v>
      </c>
    </row>
    <row r="4766" spans="2:9" x14ac:dyDescent="0.3">
      <c r="B4766" t="s">
        <v>475</v>
      </c>
      <c r="C4766" t="s">
        <v>22</v>
      </c>
      <c r="D4766" t="s">
        <v>17</v>
      </c>
      <c r="E4766" t="s">
        <v>20</v>
      </c>
      <c r="F4766">
        <v>3</v>
      </c>
      <c r="G4766">
        <v>0.7</v>
      </c>
      <c r="H4766" s="2">
        <v>-3.5507999999999988</v>
      </c>
      <c r="I4766" s="2">
        <v>4.8420000000000005</v>
      </c>
    </row>
    <row r="4767" spans="2:9" x14ac:dyDescent="0.3">
      <c r="E4767" t="s">
        <v>21</v>
      </c>
      <c r="F4767">
        <v>6</v>
      </c>
      <c r="G4767">
        <v>0.2</v>
      </c>
      <c r="H4767" s="2">
        <v>-8.2764000000000379</v>
      </c>
      <c r="I4767" s="2">
        <v>220.70400000000001</v>
      </c>
    </row>
    <row r="4768" spans="2:9" x14ac:dyDescent="0.3">
      <c r="B4768" t="s">
        <v>476</v>
      </c>
      <c r="C4768" t="s">
        <v>11</v>
      </c>
      <c r="D4768" t="s">
        <v>17</v>
      </c>
      <c r="E4768" t="s">
        <v>19</v>
      </c>
      <c r="F4768">
        <v>2</v>
      </c>
      <c r="G4768">
        <v>0</v>
      </c>
      <c r="H4768" s="2">
        <v>15.764000000000003</v>
      </c>
      <c r="I4768" s="2">
        <v>56.3</v>
      </c>
    </row>
    <row r="4769" spans="2:9" x14ac:dyDescent="0.3">
      <c r="C4769" t="s">
        <v>27</v>
      </c>
      <c r="D4769" t="s">
        <v>8</v>
      </c>
      <c r="E4769" t="s">
        <v>23</v>
      </c>
      <c r="F4769">
        <v>7</v>
      </c>
      <c r="G4769">
        <v>0</v>
      </c>
      <c r="H4769" s="2">
        <v>601.96990000000005</v>
      </c>
      <c r="I4769" s="2">
        <v>1399.93</v>
      </c>
    </row>
    <row r="4770" spans="2:9" x14ac:dyDescent="0.3">
      <c r="E4770" t="s">
        <v>21</v>
      </c>
      <c r="F4770">
        <v>2</v>
      </c>
      <c r="G4770">
        <v>0</v>
      </c>
      <c r="H4770" s="2">
        <v>6.2151999999999994</v>
      </c>
      <c r="I4770" s="2">
        <v>18.28</v>
      </c>
    </row>
    <row r="4771" spans="2:9" x14ac:dyDescent="0.3">
      <c r="E4771" t="s">
        <v>25</v>
      </c>
      <c r="F4771">
        <v>1</v>
      </c>
      <c r="G4771">
        <v>0.2</v>
      </c>
      <c r="H4771" s="2">
        <v>-12.778499999999994</v>
      </c>
      <c r="I4771" s="2">
        <v>146.04000000000002</v>
      </c>
    </row>
    <row r="4772" spans="2:9" x14ac:dyDescent="0.3">
      <c r="C4772" t="s">
        <v>7</v>
      </c>
      <c r="D4772" t="s">
        <v>15</v>
      </c>
      <c r="E4772" t="s">
        <v>16</v>
      </c>
      <c r="F4772">
        <v>3</v>
      </c>
      <c r="G4772">
        <v>0</v>
      </c>
      <c r="H4772" s="2">
        <v>9.3312000000000008</v>
      </c>
      <c r="I4772" s="2">
        <v>19.440000000000001</v>
      </c>
    </row>
    <row r="4773" spans="2:9" x14ac:dyDescent="0.3">
      <c r="E4773" t="s">
        <v>24</v>
      </c>
      <c r="F4773">
        <v>6</v>
      </c>
      <c r="G4773">
        <v>0.2</v>
      </c>
      <c r="H4773" s="2">
        <v>17.993999999999978</v>
      </c>
      <c r="I4773" s="2">
        <v>143.952</v>
      </c>
    </row>
    <row r="4774" spans="2:9" x14ac:dyDescent="0.3">
      <c r="C4774" t="s">
        <v>22</v>
      </c>
      <c r="D4774" t="s">
        <v>8</v>
      </c>
      <c r="E4774" t="s">
        <v>33</v>
      </c>
      <c r="F4774">
        <v>6</v>
      </c>
      <c r="G4774">
        <v>0.2</v>
      </c>
      <c r="H4774" s="2">
        <v>-84.823200000000071</v>
      </c>
      <c r="I4774" s="2">
        <v>484.70400000000006</v>
      </c>
    </row>
    <row r="4775" spans="2:9" x14ac:dyDescent="0.3">
      <c r="E4775" t="s">
        <v>18</v>
      </c>
      <c r="F4775">
        <v>3</v>
      </c>
      <c r="G4775">
        <v>0</v>
      </c>
      <c r="H4775" s="2">
        <v>0</v>
      </c>
      <c r="I4775" s="2">
        <v>5.9399999999999995</v>
      </c>
    </row>
    <row r="4776" spans="2:9" x14ac:dyDescent="0.3">
      <c r="E4776" t="s">
        <v>46</v>
      </c>
      <c r="F4776">
        <v>3</v>
      </c>
      <c r="G4776">
        <v>0.2</v>
      </c>
      <c r="H4776" s="2">
        <v>116.24249999999996</v>
      </c>
      <c r="I4776" s="2">
        <v>371.97600000000006</v>
      </c>
    </row>
    <row r="4777" spans="2:9" x14ac:dyDescent="0.3">
      <c r="E4777" t="s">
        <v>16</v>
      </c>
      <c r="F4777">
        <v>7</v>
      </c>
      <c r="G4777">
        <v>0</v>
      </c>
      <c r="H4777" s="2">
        <v>21.772800000000004</v>
      </c>
      <c r="I4777" s="2">
        <v>45.36</v>
      </c>
    </row>
    <row r="4778" spans="2:9" x14ac:dyDescent="0.3">
      <c r="E4778" t="s">
        <v>24</v>
      </c>
      <c r="F4778">
        <v>4</v>
      </c>
      <c r="G4778">
        <v>0.2</v>
      </c>
      <c r="H4778" s="2">
        <v>23.756399999999985</v>
      </c>
      <c r="I4778" s="2">
        <v>211.16800000000001</v>
      </c>
    </row>
    <row r="4779" spans="2:9" x14ac:dyDescent="0.3">
      <c r="E4779" t="s">
        <v>14</v>
      </c>
      <c r="F4779">
        <v>2</v>
      </c>
      <c r="G4779">
        <v>0</v>
      </c>
      <c r="H4779" s="2">
        <v>105.27499999999998</v>
      </c>
      <c r="I4779" s="2">
        <v>421.1</v>
      </c>
    </row>
    <row r="4780" spans="2:9" x14ac:dyDescent="0.3">
      <c r="E4780" t="s">
        <v>9</v>
      </c>
      <c r="F4780">
        <v>2</v>
      </c>
      <c r="G4780">
        <v>0</v>
      </c>
      <c r="H4780" s="2">
        <v>6.1488000000000014</v>
      </c>
      <c r="I4780" s="2">
        <v>21.96</v>
      </c>
    </row>
    <row r="4781" spans="2:9" x14ac:dyDescent="0.3">
      <c r="D4781" t="s">
        <v>17</v>
      </c>
      <c r="E4781" t="s">
        <v>43</v>
      </c>
      <c r="F4781">
        <v>7</v>
      </c>
      <c r="G4781">
        <v>0</v>
      </c>
      <c r="H4781" s="2">
        <v>9.8783999999999992</v>
      </c>
      <c r="I4781" s="2">
        <v>20.16</v>
      </c>
    </row>
    <row r="4782" spans="2:9" x14ac:dyDescent="0.3">
      <c r="B4782" t="s">
        <v>477</v>
      </c>
      <c r="C4782" t="s">
        <v>11</v>
      </c>
      <c r="D4782" t="s">
        <v>15</v>
      </c>
      <c r="E4782" t="s">
        <v>33</v>
      </c>
      <c r="F4782">
        <v>3</v>
      </c>
      <c r="G4782">
        <v>0.2</v>
      </c>
      <c r="H4782" s="2">
        <v>-54.320399999999978</v>
      </c>
      <c r="I4782" s="2">
        <v>362.13599999999997</v>
      </c>
    </row>
    <row r="4783" spans="2:9" x14ac:dyDescent="0.3">
      <c r="E4783" t="s">
        <v>43</v>
      </c>
      <c r="F4783">
        <v>3</v>
      </c>
      <c r="G4783">
        <v>0</v>
      </c>
      <c r="H4783" s="2">
        <v>14.904</v>
      </c>
      <c r="I4783" s="2">
        <v>31.049999999999997</v>
      </c>
    </row>
    <row r="4784" spans="2:9" x14ac:dyDescent="0.3">
      <c r="C4784" t="s">
        <v>7</v>
      </c>
      <c r="D4784" t="s">
        <v>15</v>
      </c>
      <c r="E4784" t="s">
        <v>16</v>
      </c>
      <c r="F4784">
        <v>2</v>
      </c>
      <c r="G4784">
        <v>0</v>
      </c>
      <c r="H4784" s="2">
        <v>4.3904000000000005</v>
      </c>
      <c r="I4784" s="2">
        <v>8.9600000000000009</v>
      </c>
    </row>
    <row r="4785" spans="2:9" x14ac:dyDescent="0.3">
      <c r="C4785" t="s">
        <v>22</v>
      </c>
      <c r="D4785" t="s">
        <v>8</v>
      </c>
      <c r="E4785" t="s">
        <v>12</v>
      </c>
      <c r="F4785">
        <v>7</v>
      </c>
      <c r="G4785">
        <v>0</v>
      </c>
      <c r="H4785" s="2">
        <v>99.901199999999989</v>
      </c>
      <c r="I4785" s="2">
        <v>356.78999999999996</v>
      </c>
    </row>
    <row r="4786" spans="2:9" x14ac:dyDescent="0.3">
      <c r="D4786" t="s">
        <v>17</v>
      </c>
      <c r="E4786" t="s">
        <v>23</v>
      </c>
      <c r="F4786">
        <v>2</v>
      </c>
      <c r="G4786">
        <v>0</v>
      </c>
      <c r="H4786" s="2">
        <v>3.7744</v>
      </c>
      <c r="I4786" s="2">
        <v>26.96</v>
      </c>
    </row>
    <row r="4787" spans="2:9" x14ac:dyDescent="0.3">
      <c r="E4787" t="s">
        <v>18</v>
      </c>
      <c r="F4787">
        <v>1</v>
      </c>
      <c r="G4787">
        <v>0</v>
      </c>
      <c r="H4787" s="2">
        <v>0.65159999999999996</v>
      </c>
      <c r="I4787" s="2">
        <v>1.81</v>
      </c>
    </row>
    <row r="4788" spans="2:9" x14ac:dyDescent="0.3">
      <c r="E4788" t="s">
        <v>24</v>
      </c>
      <c r="F4788">
        <v>12</v>
      </c>
      <c r="G4788">
        <v>0.4</v>
      </c>
      <c r="H4788" s="2">
        <v>387.98460000000011</v>
      </c>
      <c r="I4788" s="2">
        <v>3501.5280000000002</v>
      </c>
    </row>
    <row r="4789" spans="2:9" x14ac:dyDescent="0.3">
      <c r="B4789" t="s">
        <v>478</v>
      </c>
      <c r="C4789" t="s">
        <v>11</v>
      </c>
      <c r="D4789" t="s">
        <v>8</v>
      </c>
      <c r="E4789" t="s">
        <v>12</v>
      </c>
      <c r="F4789">
        <v>4</v>
      </c>
      <c r="G4789">
        <v>0</v>
      </c>
      <c r="H4789" s="2">
        <v>15.724800000000002</v>
      </c>
      <c r="I4789" s="2">
        <v>58.24</v>
      </c>
    </row>
    <row r="4790" spans="2:9" x14ac:dyDescent="0.3">
      <c r="E4790" t="s">
        <v>20</v>
      </c>
      <c r="F4790">
        <v>6</v>
      </c>
      <c r="G4790">
        <v>0.2</v>
      </c>
      <c r="H4790" s="2">
        <v>7.0043999999999977</v>
      </c>
      <c r="I4790" s="2">
        <v>21.552000000000003</v>
      </c>
    </row>
    <row r="4791" spans="2:9" x14ac:dyDescent="0.3">
      <c r="C4791" t="s">
        <v>7</v>
      </c>
      <c r="D4791" t="s">
        <v>15</v>
      </c>
      <c r="E4791" t="s">
        <v>20</v>
      </c>
      <c r="F4791">
        <v>5</v>
      </c>
      <c r="G4791">
        <v>0.2</v>
      </c>
      <c r="H4791" s="2">
        <v>31.47</v>
      </c>
      <c r="I4791" s="2">
        <v>83.920000000000016</v>
      </c>
    </row>
    <row r="4792" spans="2:9" x14ac:dyDescent="0.3">
      <c r="E4792" t="s">
        <v>16</v>
      </c>
      <c r="F4792">
        <v>2</v>
      </c>
      <c r="G4792">
        <v>0</v>
      </c>
      <c r="H4792" s="2">
        <v>9.663199999999998</v>
      </c>
      <c r="I4792" s="2">
        <v>20.56</v>
      </c>
    </row>
    <row r="4793" spans="2:9" x14ac:dyDescent="0.3">
      <c r="E4793" t="s">
        <v>9</v>
      </c>
      <c r="F4793">
        <v>4</v>
      </c>
      <c r="G4793">
        <v>0</v>
      </c>
      <c r="H4793" s="2">
        <v>7.3872</v>
      </c>
      <c r="I4793" s="2">
        <v>27.36</v>
      </c>
    </row>
    <row r="4794" spans="2:9" x14ac:dyDescent="0.3">
      <c r="C4794" t="s">
        <v>22</v>
      </c>
      <c r="D4794" t="s">
        <v>15</v>
      </c>
      <c r="E4794" t="s">
        <v>16</v>
      </c>
      <c r="F4794">
        <v>2</v>
      </c>
      <c r="G4794">
        <v>0</v>
      </c>
      <c r="H4794" s="2">
        <v>4.7519999999999998</v>
      </c>
      <c r="I4794" s="2">
        <v>10.56</v>
      </c>
    </row>
    <row r="4795" spans="2:9" x14ac:dyDescent="0.3">
      <c r="B4795" t="s">
        <v>479</v>
      </c>
      <c r="C4795" t="s">
        <v>22</v>
      </c>
      <c r="D4795" t="s">
        <v>8</v>
      </c>
      <c r="E4795" t="s">
        <v>23</v>
      </c>
      <c r="F4795">
        <v>9</v>
      </c>
      <c r="G4795">
        <v>0</v>
      </c>
      <c r="H4795" s="2">
        <v>18.503999999999991</v>
      </c>
      <c r="I4795" s="2">
        <v>92.52</v>
      </c>
    </row>
    <row r="4796" spans="2:9" x14ac:dyDescent="0.3">
      <c r="D4796" t="s">
        <v>17</v>
      </c>
      <c r="E4796" t="s">
        <v>19</v>
      </c>
      <c r="F4796">
        <v>5</v>
      </c>
      <c r="G4796">
        <v>0</v>
      </c>
      <c r="H4796" s="2">
        <v>2.1840000000000002</v>
      </c>
      <c r="I4796" s="2">
        <v>8.4</v>
      </c>
    </row>
    <row r="4797" spans="2:9" x14ac:dyDescent="0.3">
      <c r="B4797" t="s">
        <v>480</v>
      </c>
      <c r="C4797" t="s">
        <v>11</v>
      </c>
      <c r="D4797" t="s">
        <v>8</v>
      </c>
      <c r="E4797" t="s">
        <v>14</v>
      </c>
      <c r="F4797">
        <v>3</v>
      </c>
      <c r="G4797">
        <v>0</v>
      </c>
      <c r="H4797" s="2">
        <v>30.014399999999998</v>
      </c>
      <c r="I4797" s="2">
        <v>115.44</v>
      </c>
    </row>
    <row r="4798" spans="2:9" x14ac:dyDescent="0.3">
      <c r="B4798" t="s">
        <v>481</v>
      </c>
      <c r="C4798" t="s">
        <v>11</v>
      </c>
      <c r="D4798" t="s">
        <v>8</v>
      </c>
      <c r="E4798" t="s">
        <v>20</v>
      </c>
      <c r="F4798">
        <v>13</v>
      </c>
      <c r="G4798">
        <v>1.4</v>
      </c>
      <c r="H4798" s="2">
        <v>-27.236800000000002</v>
      </c>
      <c r="I4798" s="2">
        <v>36.741</v>
      </c>
    </row>
    <row r="4799" spans="2:9" x14ac:dyDescent="0.3">
      <c r="E4799" t="s">
        <v>34</v>
      </c>
      <c r="F4799">
        <v>5</v>
      </c>
      <c r="G4799">
        <v>0.7</v>
      </c>
      <c r="H4799" s="2">
        <v>-320.59699999999998</v>
      </c>
      <c r="I4799" s="2">
        <v>181.47000000000003</v>
      </c>
    </row>
    <row r="4800" spans="2:9" x14ac:dyDescent="0.3">
      <c r="E4800" t="s">
        <v>38</v>
      </c>
      <c r="F4800">
        <v>8</v>
      </c>
      <c r="G4800">
        <v>0.4</v>
      </c>
      <c r="H4800" s="2">
        <v>39.170999999999999</v>
      </c>
      <c r="I4800" s="2">
        <v>115.8</v>
      </c>
    </row>
    <row r="4801" spans="2:9" x14ac:dyDescent="0.3">
      <c r="E4801" t="s">
        <v>16</v>
      </c>
      <c r="F4801">
        <v>4</v>
      </c>
      <c r="G4801">
        <v>0.2</v>
      </c>
      <c r="H4801" s="2">
        <v>19.622399999999999</v>
      </c>
      <c r="I4801" s="2">
        <v>56.064</v>
      </c>
    </row>
    <row r="4802" spans="2:9" x14ac:dyDescent="0.3">
      <c r="D4802" t="s">
        <v>17</v>
      </c>
      <c r="E4802" t="s">
        <v>12</v>
      </c>
      <c r="F4802">
        <v>5</v>
      </c>
      <c r="G4802">
        <v>0.2</v>
      </c>
      <c r="H4802" s="2">
        <v>17.765999999999991</v>
      </c>
      <c r="I4802" s="2">
        <v>157.91999999999999</v>
      </c>
    </row>
    <row r="4803" spans="2:9" x14ac:dyDescent="0.3">
      <c r="E4803" t="s">
        <v>24</v>
      </c>
      <c r="F4803">
        <v>2</v>
      </c>
      <c r="G4803">
        <v>0.2</v>
      </c>
      <c r="H4803" s="2">
        <v>15.238799999999991</v>
      </c>
      <c r="I4803" s="2">
        <v>203.184</v>
      </c>
    </row>
    <row r="4804" spans="2:9" x14ac:dyDescent="0.3">
      <c r="C4804" t="s">
        <v>7</v>
      </c>
      <c r="D4804" t="s">
        <v>8</v>
      </c>
      <c r="E4804" t="s">
        <v>24</v>
      </c>
      <c r="F4804">
        <v>1</v>
      </c>
      <c r="G4804">
        <v>0.2</v>
      </c>
      <c r="H4804" s="2">
        <v>23.799300000000002</v>
      </c>
      <c r="I4804" s="2">
        <v>271.99200000000002</v>
      </c>
    </row>
    <row r="4805" spans="2:9" x14ac:dyDescent="0.3">
      <c r="C4805" t="s">
        <v>22</v>
      </c>
      <c r="D4805" t="s">
        <v>8</v>
      </c>
      <c r="E4805" t="s">
        <v>38</v>
      </c>
      <c r="F4805">
        <v>3</v>
      </c>
      <c r="G4805">
        <v>0.2</v>
      </c>
      <c r="H4805" s="2">
        <v>8.8019999999999978</v>
      </c>
      <c r="I4805" s="2">
        <v>23.472000000000001</v>
      </c>
    </row>
    <row r="4806" spans="2:9" x14ac:dyDescent="0.3">
      <c r="D4806" t="s">
        <v>15</v>
      </c>
      <c r="E4806" t="s">
        <v>21</v>
      </c>
      <c r="F4806">
        <v>7</v>
      </c>
      <c r="G4806">
        <v>0.2</v>
      </c>
      <c r="H4806" s="2">
        <v>22.377600000000001</v>
      </c>
      <c r="I4806" s="2">
        <v>111.88800000000001</v>
      </c>
    </row>
    <row r="4807" spans="2:9" x14ac:dyDescent="0.3">
      <c r="E4807" t="s">
        <v>16</v>
      </c>
      <c r="F4807">
        <v>7</v>
      </c>
      <c r="G4807">
        <v>0.2</v>
      </c>
      <c r="H4807" s="2">
        <v>111.5688</v>
      </c>
      <c r="I4807" s="2">
        <v>307.77600000000001</v>
      </c>
    </row>
    <row r="4808" spans="2:9" x14ac:dyDescent="0.3">
      <c r="B4808" t="s">
        <v>482</v>
      </c>
      <c r="C4808" t="s">
        <v>11</v>
      </c>
      <c r="D4808" t="s">
        <v>8</v>
      </c>
      <c r="E4808" t="s">
        <v>23</v>
      </c>
      <c r="F4808">
        <v>9</v>
      </c>
      <c r="G4808">
        <v>0</v>
      </c>
      <c r="H4808" s="2">
        <v>99.304400000000001</v>
      </c>
      <c r="I4808" s="2">
        <v>296.02000000000004</v>
      </c>
    </row>
    <row r="4809" spans="2:9" x14ac:dyDescent="0.3">
      <c r="E4809" t="s">
        <v>19</v>
      </c>
      <c r="F4809">
        <v>3</v>
      </c>
      <c r="G4809">
        <v>0</v>
      </c>
      <c r="H4809" s="2">
        <v>4.6644000000000005</v>
      </c>
      <c r="I4809" s="2">
        <v>17.940000000000001</v>
      </c>
    </row>
    <row r="4810" spans="2:9" x14ac:dyDescent="0.3">
      <c r="E4810" t="s">
        <v>20</v>
      </c>
      <c r="F4810">
        <v>12</v>
      </c>
      <c r="G4810">
        <v>0.60000000000000009</v>
      </c>
      <c r="H4810" s="2">
        <v>387.00229999999993</v>
      </c>
      <c r="I4810" s="2">
        <v>1236.7280000000001</v>
      </c>
    </row>
    <row r="4811" spans="2:9" x14ac:dyDescent="0.3">
      <c r="E4811" t="s">
        <v>34</v>
      </c>
      <c r="F4811">
        <v>4</v>
      </c>
      <c r="G4811">
        <v>0</v>
      </c>
      <c r="H4811" s="2">
        <v>77.74499999999999</v>
      </c>
      <c r="I4811" s="2">
        <v>341.94</v>
      </c>
    </row>
    <row r="4812" spans="2:9" x14ac:dyDescent="0.3">
      <c r="E4812" t="s">
        <v>33</v>
      </c>
      <c r="F4812">
        <v>11</v>
      </c>
      <c r="G4812">
        <v>0.60000000000000009</v>
      </c>
      <c r="H4812" s="2">
        <v>-23.653100000000066</v>
      </c>
      <c r="I4812" s="2">
        <v>760.55200000000002</v>
      </c>
    </row>
    <row r="4813" spans="2:9" x14ac:dyDescent="0.3">
      <c r="E4813" t="s">
        <v>45</v>
      </c>
      <c r="F4813">
        <v>4</v>
      </c>
      <c r="G4813">
        <v>0</v>
      </c>
      <c r="H4813" s="2">
        <v>6719.9807999999994</v>
      </c>
      <c r="I4813" s="2">
        <v>13999.96</v>
      </c>
    </row>
    <row r="4814" spans="2:9" x14ac:dyDescent="0.3">
      <c r="E4814" t="s">
        <v>18</v>
      </c>
      <c r="F4814">
        <v>4</v>
      </c>
      <c r="G4814">
        <v>0</v>
      </c>
      <c r="H4814" s="2">
        <v>1.4207999999999998</v>
      </c>
      <c r="I4814" s="2">
        <v>6.92</v>
      </c>
    </row>
    <row r="4815" spans="2:9" x14ac:dyDescent="0.3">
      <c r="E4815" t="s">
        <v>21</v>
      </c>
      <c r="F4815">
        <v>5</v>
      </c>
      <c r="G4815">
        <v>0</v>
      </c>
      <c r="H4815" s="2">
        <v>57.93239999999998</v>
      </c>
      <c r="I4815" s="2">
        <v>302.52</v>
      </c>
    </row>
    <row r="4816" spans="2:9" x14ac:dyDescent="0.3">
      <c r="E4816" t="s">
        <v>43</v>
      </c>
      <c r="F4816">
        <v>1</v>
      </c>
      <c r="G4816">
        <v>0</v>
      </c>
      <c r="H4816" s="2">
        <v>1.2005999999999999</v>
      </c>
      <c r="I4816" s="2">
        <v>2.61</v>
      </c>
    </row>
    <row r="4817" spans="4:9" x14ac:dyDescent="0.3">
      <c r="E4817" t="s">
        <v>16</v>
      </c>
      <c r="F4817">
        <v>10</v>
      </c>
      <c r="G4817">
        <v>0</v>
      </c>
      <c r="H4817" s="2">
        <v>46.589399999999998</v>
      </c>
      <c r="I4817" s="2">
        <v>98.699999999999989</v>
      </c>
    </row>
    <row r="4818" spans="4:9" x14ac:dyDescent="0.3">
      <c r="E4818" t="s">
        <v>24</v>
      </c>
      <c r="F4818">
        <v>3</v>
      </c>
      <c r="G4818">
        <v>0.2</v>
      </c>
      <c r="H4818" s="2">
        <v>10.787999999999997</v>
      </c>
      <c r="I4818" s="2">
        <v>107.88</v>
      </c>
    </row>
    <row r="4819" spans="4:9" x14ac:dyDescent="0.3">
      <c r="E4819" t="s">
        <v>14</v>
      </c>
      <c r="F4819">
        <v>15</v>
      </c>
      <c r="G4819">
        <v>0</v>
      </c>
      <c r="H4819" s="2">
        <v>73.128000000000014</v>
      </c>
      <c r="I4819" s="2">
        <v>574.33000000000004</v>
      </c>
    </row>
    <row r="4820" spans="4:9" x14ac:dyDescent="0.3">
      <c r="D4820" t="s">
        <v>15</v>
      </c>
      <c r="E4820" t="s">
        <v>23</v>
      </c>
      <c r="F4820">
        <v>7</v>
      </c>
      <c r="G4820">
        <v>0</v>
      </c>
      <c r="H4820" s="2">
        <v>15.319499999999996</v>
      </c>
      <c r="I4820" s="2">
        <v>102.13</v>
      </c>
    </row>
    <row r="4821" spans="4:9" x14ac:dyDescent="0.3">
      <c r="E4821" t="s">
        <v>12</v>
      </c>
      <c r="F4821">
        <v>6</v>
      </c>
      <c r="G4821">
        <v>0</v>
      </c>
      <c r="H4821" s="2">
        <v>26.939799999999998</v>
      </c>
      <c r="I4821" s="2">
        <v>84.55</v>
      </c>
    </row>
    <row r="4822" spans="4:9" x14ac:dyDescent="0.3">
      <c r="E4822" t="s">
        <v>20</v>
      </c>
      <c r="F4822">
        <v>10</v>
      </c>
      <c r="G4822">
        <v>0.60000000000000009</v>
      </c>
      <c r="H4822" s="2">
        <v>1072.7894999999999</v>
      </c>
      <c r="I4822" s="2">
        <v>2954.5360000000001</v>
      </c>
    </row>
    <row r="4823" spans="4:9" x14ac:dyDescent="0.3">
      <c r="E4823" t="s">
        <v>33</v>
      </c>
      <c r="F4823">
        <v>2</v>
      </c>
      <c r="G4823">
        <v>0.2</v>
      </c>
      <c r="H4823" s="2">
        <v>-22.138200000000012</v>
      </c>
      <c r="I4823" s="2">
        <v>196.78399999999999</v>
      </c>
    </row>
    <row r="4824" spans="4:9" x14ac:dyDescent="0.3">
      <c r="E4824" t="s">
        <v>45</v>
      </c>
      <c r="F4824">
        <v>7</v>
      </c>
      <c r="G4824">
        <v>0</v>
      </c>
      <c r="H4824" s="2">
        <v>1480.4670999999998</v>
      </c>
      <c r="I4824" s="2">
        <v>3149.9300000000003</v>
      </c>
    </row>
    <row r="4825" spans="4:9" x14ac:dyDescent="0.3">
      <c r="E4825" t="s">
        <v>21</v>
      </c>
      <c r="F4825">
        <v>7</v>
      </c>
      <c r="G4825">
        <v>0</v>
      </c>
      <c r="H4825" s="2">
        <v>3.8975999999999997</v>
      </c>
      <c r="I4825" s="2">
        <v>12.18</v>
      </c>
    </row>
    <row r="4826" spans="4:9" x14ac:dyDescent="0.3">
      <c r="E4826" t="s">
        <v>16</v>
      </c>
      <c r="F4826">
        <v>13</v>
      </c>
      <c r="G4826">
        <v>0</v>
      </c>
      <c r="H4826" s="2">
        <v>207.11699999999999</v>
      </c>
      <c r="I4826" s="2">
        <v>428.08</v>
      </c>
    </row>
    <row r="4827" spans="4:9" x14ac:dyDescent="0.3">
      <c r="E4827" t="s">
        <v>14</v>
      </c>
      <c r="F4827">
        <v>3</v>
      </c>
      <c r="G4827">
        <v>0</v>
      </c>
      <c r="H4827" s="2">
        <v>349.33919999999995</v>
      </c>
      <c r="I4827" s="2">
        <v>1247.6399999999999</v>
      </c>
    </row>
    <row r="4828" spans="4:9" x14ac:dyDescent="0.3">
      <c r="E4828" t="s">
        <v>25</v>
      </c>
      <c r="F4828">
        <v>2</v>
      </c>
      <c r="G4828">
        <v>0</v>
      </c>
      <c r="H4828" s="2">
        <v>80.368200000000002</v>
      </c>
      <c r="I4828" s="2">
        <v>892.98</v>
      </c>
    </row>
    <row r="4829" spans="4:9" x14ac:dyDescent="0.3">
      <c r="D4829" t="s">
        <v>17</v>
      </c>
      <c r="E4829" t="s">
        <v>23</v>
      </c>
      <c r="F4829">
        <v>2</v>
      </c>
      <c r="G4829">
        <v>0</v>
      </c>
      <c r="H4829" s="2">
        <v>87.991200000000006</v>
      </c>
      <c r="I4829" s="2">
        <v>199.98</v>
      </c>
    </row>
    <row r="4830" spans="4:9" x14ac:dyDescent="0.3">
      <c r="E4830" t="s">
        <v>19</v>
      </c>
      <c r="F4830">
        <v>2</v>
      </c>
      <c r="G4830">
        <v>0</v>
      </c>
      <c r="H4830" s="2">
        <v>6.6717999999999975</v>
      </c>
      <c r="I4830" s="2">
        <v>22.61</v>
      </c>
    </row>
    <row r="4831" spans="4:9" x14ac:dyDescent="0.3">
      <c r="E4831" t="s">
        <v>20</v>
      </c>
      <c r="F4831">
        <v>24</v>
      </c>
      <c r="G4831">
        <v>1.2</v>
      </c>
      <c r="H4831" s="2">
        <v>151.28319999999997</v>
      </c>
      <c r="I4831" s="2">
        <v>451.14400000000001</v>
      </c>
    </row>
    <row r="4832" spans="4:9" x14ac:dyDescent="0.3">
      <c r="E4832" t="s">
        <v>21</v>
      </c>
      <c r="F4832">
        <v>5</v>
      </c>
      <c r="G4832">
        <v>0</v>
      </c>
      <c r="H4832" s="2">
        <v>39.97999999999999</v>
      </c>
      <c r="I4832" s="2">
        <v>199.89999999999998</v>
      </c>
    </row>
    <row r="4833" spans="3:9" x14ac:dyDescent="0.3">
      <c r="E4833" t="s">
        <v>24</v>
      </c>
      <c r="F4833">
        <v>7</v>
      </c>
      <c r="G4833">
        <v>0.4</v>
      </c>
      <c r="H4833" s="2">
        <v>53.462200000000024</v>
      </c>
      <c r="I4833" s="2">
        <v>635.94400000000007</v>
      </c>
    </row>
    <row r="4834" spans="3:9" x14ac:dyDescent="0.3">
      <c r="E4834" t="s">
        <v>14</v>
      </c>
      <c r="F4834">
        <v>7</v>
      </c>
      <c r="G4834">
        <v>0</v>
      </c>
      <c r="H4834" s="2">
        <v>28.74839999999999</v>
      </c>
      <c r="I4834" s="2">
        <v>171.24</v>
      </c>
    </row>
    <row r="4835" spans="3:9" x14ac:dyDescent="0.3">
      <c r="E4835" t="s">
        <v>25</v>
      </c>
      <c r="F4835">
        <v>1</v>
      </c>
      <c r="G4835">
        <v>0</v>
      </c>
      <c r="H4835" s="2">
        <v>63.106999999999999</v>
      </c>
      <c r="I4835" s="2">
        <v>286.85000000000002</v>
      </c>
    </row>
    <row r="4836" spans="3:9" x14ac:dyDescent="0.3">
      <c r="C4836" t="s">
        <v>27</v>
      </c>
      <c r="D4836" t="s">
        <v>8</v>
      </c>
      <c r="E4836" t="s">
        <v>23</v>
      </c>
      <c r="F4836">
        <v>17</v>
      </c>
      <c r="G4836">
        <v>0</v>
      </c>
      <c r="H4836" s="2">
        <v>206.2079</v>
      </c>
      <c r="I4836" s="2">
        <v>910.87</v>
      </c>
    </row>
    <row r="4837" spans="3:9" x14ac:dyDescent="0.3">
      <c r="E4837" t="s">
        <v>12</v>
      </c>
      <c r="F4837">
        <v>2</v>
      </c>
      <c r="G4837">
        <v>0</v>
      </c>
      <c r="H4837" s="2">
        <v>9.743800000000002</v>
      </c>
      <c r="I4837" s="2">
        <v>22.66</v>
      </c>
    </row>
    <row r="4838" spans="3:9" x14ac:dyDescent="0.3">
      <c r="E4838" t="s">
        <v>19</v>
      </c>
      <c r="F4838">
        <v>5</v>
      </c>
      <c r="G4838">
        <v>0</v>
      </c>
      <c r="H4838" s="2">
        <v>5.307599999999999</v>
      </c>
      <c r="I4838" s="2">
        <v>17.600000000000001</v>
      </c>
    </row>
    <row r="4839" spans="3:9" x14ac:dyDescent="0.3">
      <c r="E4839" t="s">
        <v>20</v>
      </c>
      <c r="F4839">
        <v>10</v>
      </c>
      <c r="G4839">
        <v>0.60000000000000009</v>
      </c>
      <c r="H4839" s="2">
        <v>505.07669999999996</v>
      </c>
      <c r="I4839" s="2">
        <v>1596.3440000000001</v>
      </c>
    </row>
    <row r="4840" spans="3:9" x14ac:dyDescent="0.3">
      <c r="E4840" t="s">
        <v>33</v>
      </c>
      <c r="F4840">
        <v>9</v>
      </c>
      <c r="G4840">
        <v>0.4</v>
      </c>
      <c r="H4840" s="2">
        <v>23.568599999999989</v>
      </c>
      <c r="I4840" s="2">
        <v>345.45600000000002</v>
      </c>
    </row>
    <row r="4841" spans="3:9" x14ac:dyDescent="0.3">
      <c r="E4841" t="s">
        <v>18</v>
      </c>
      <c r="F4841">
        <v>5</v>
      </c>
      <c r="G4841">
        <v>0</v>
      </c>
      <c r="H4841" s="2">
        <v>2.6789999999999998</v>
      </c>
      <c r="I4841" s="2">
        <v>5.6999999999999993</v>
      </c>
    </row>
    <row r="4842" spans="3:9" x14ac:dyDescent="0.3">
      <c r="E4842" t="s">
        <v>21</v>
      </c>
      <c r="F4842">
        <v>16</v>
      </c>
      <c r="G4842">
        <v>0</v>
      </c>
      <c r="H4842" s="2">
        <v>108.04409999999999</v>
      </c>
      <c r="I4842" s="2">
        <v>315.93</v>
      </c>
    </row>
    <row r="4843" spans="3:9" x14ac:dyDescent="0.3">
      <c r="E4843" t="s">
        <v>43</v>
      </c>
      <c r="F4843">
        <v>5</v>
      </c>
      <c r="G4843">
        <v>0</v>
      </c>
      <c r="H4843" s="2">
        <v>21.135899999999996</v>
      </c>
      <c r="I4843" s="2">
        <v>44.97</v>
      </c>
    </row>
    <row r="4844" spans="3:9" x14ac:dyDescent="0.3">
      <c r="E4844" t="s">
        <v>16</v>
      </c>
      <c r="F4844">
        <v>24</v>
      </c>
      <c r="G4844">
        <v>0</v>
      </c>
      <c r="H4844" s="2">
        <v>94.420400000000001</v>
      </c>
      <c r="I4844" s="2">
        <v>196.74</v>
      </c>
    </row>
    <row r="4845" spans="3:9" x14ac:dyDescent="0.3">
      <c r="E4845" t="s">
        <v>24</v>
      </c>
      <c r="F4845">
        <v>5</v>
      </c>
      <c r="G4845">
        <v>0.2</v>
      </c>
      <c r="H4845" s="2">
        <v>-17.991000000000003</v>
      </c>
      <c r="I4845" s="2">
        <v>79.959999999999994</v>
      </c>
    </row>
    <row r="4846" spans="3:9" x14ac:dyDescent="0.3">
      <c r="E4846" t="s">
        <v>14</v>
      </c>
      <c r="F4846">
        <v>3</v>
      </c>
      <c r="G4846">
        <v>0</v>
      </c>
      <c r="H4846" s="2">
        <v>8.4888000000000012</v>
      </c>
      <c r="I4846" s="2">
        <v>31.44</v>
      </c>
    </row>
    <row r="4847" spans="3:9" x14ac:dyDescent="0.3">
      <c r="E4847" t="s">
        <v>9</v>
      </c>
      <c r="F4847">
        <v>2</v>
      </c>
      <c r="G4847">
        <v>0</v>
      </c>
      <c r="H4847" s="2">
        <v>2.1899999999999995</v>
      </c>
      <c r="I4847" s="2">
        <v>7.3</v>
      </c>
    </row>
    <row r="4848" spans="3:9" x14ac:dyDescent="0.3">
      <c r="D4848" t="s">
        <v>15</v>
      </c>
      <c r="E4848" t="s">
        <v>12</v>
      </c>
      <c r="F4848">
        <v>4</v>
      </c>
      <c r="G4848">
        <v>0</v>
      </c>
      <c r="H4848" s="2">
        <v>103.81799999999998</v>
      </c>
      <c r="I4848" s="2">
        <v>314.60000000000002</v>
      </c>
    </row>
    <row r="4849" spans="3:9" x14ac:dyDescent="0.3">
      <c r="E4849" t="s">
        <v>25</v>
      </c>
      <c r="F4849">
        <v>4</v>
      </c>
      <c r="G4849">
        <v>0</v>
      </c>
      <c r="H4849" s="2">
        <v>45.36960000000002</v>
      </c>
      <c r="I4849" s="2">
        <v>283.56</v>
      </c>
    </row>
    <row r="4850" spans="3:9" x14ac:dyDescent="0.3">
      <c r="D4850" t="s">
        <v>17</v>
      </c>
      <c r="E4850" t="s">
        <v>23</v>
      </c>
      <c r="F4850">
        <v>6</v>
      </c>
      <c r="G4850">
        <v>0</v>
      </c>
      <c r="H4850" s="2">
        <v>769.02320000000009</v>
      </c>
      <c r="I4850" s="2">
        <v>1747.78</v>
      </c>
    </row>
    <row r="4851" spans="3:9" x14ac:dyDescent="0.3">
      <c r="E4851" t="s">
        <v>33</v>
      </c>
      <c r="F4851">
        <v>3</v>
      </c>
      <c r="G4851">
        <v>0.2</v>
      </c>
      <c r="H4851" s="2">
        <v>-2.6997000000000355</v>
      </c>
      <c r="I4851" s="2">
        <v>215.976</v>
      </c>
    </row>
    <row r="4852" spans="3:9" x14ac:dyDescent="0.3">
      <c r="E4852" t="s">
        <v>21</v>
      </c>
      <c r="F4852">
        <v>5</v>
      </c>
      <c r="G4852">
        <v>0</v>
      </c>
      <c r="H4852" s="2">
        <v>8.6359999999999992</v>
      </c>
      <c r="I4852" s="2">
        <v>25.4</v>
      </c>
    </row>
    <row r="4853" spans="3:9" x14ac:dyDescent="0.3">
      <c r="E4853" t="s">
        <v>46</v>
      </c>
      <c r="F4853">
        <v>6</v>
      </c>
      <c r="G4853">
        <v>0.2</v>
      </c>
      <c r="H4853" s="2">
        <v>209.58000000000004</v>
      </c>
      <c r="I4853" s="2">
        <v>2395.2000000000003</v>
      </c>
    </row>
    <row r="4854" spans="3:9" x14ac:dyDescent="0.3">
      <c r="E4854" t="s">
        <v>24</v>
      </c>
      <c r="F4854">
        <v>7</v>
      </c>
      <c r="G4854">
        <v>0.60000000000000009</v>
      </c>
      <c r="H4854" s="2">
        <v>31.66079999999997</v>
      </c>
      <c r="I4854" s="2">
        <v>257.44799999999998</v>
      </c>
    </row>
    <row r="4855" spans="3:9" x14ac:dyDescent="0.3">
      <c r="C4855" t="s">
        <v>7</v>
      </c>
      <c r="D4855" t="s">
        <v>8</v>
      </c>
      <c r="E4855" t="s">
        <v>23</v>
      </c>
      <c r="F4855">
        <v>23</v>
      </c>
      <c r="G4855">
        <v>0</v>
      </c>
      <c r="H4855" s="2">
        <v>259.99419999999998</v>
      </c>
      <c r="I4855" s="2">
        <v>1367.3500000000001</v>
      </c>
    </row>
    <row r="4856" spans="3:9" x14ac:dyDescent="0.3">
      <c r="E4856" t="s">
        <v>12</v>
      </c>
      <c r="F4856">
        <v>2</v>
      </c>
      <c r="G4856">
        <v>0</v>
      </c>
      <c r="H4856" s="2">
        <v>33.588800000000006</v>
      </c>
      <c r="I4856" s="2">
        <v>119.96</v>
      </c>
    </row>
    <row r="4857" spans="3:9" x14ac:dyDescent="0.3">
      <c r="E4857" t="s">
        <v>19</v>
      </c>
      <c r="F4857">
        <v>2</v>
      </c>
      <c r="G4857">
        <v>0</v>
      </c>
      <c r="H4857" s="2">
        <v>10.428399999999996</v>
      </c>
      <c r="I4857" s="2">
        <v>35.96</v>
      </c>
    </row>
    <row r="4858" spans="3:9" x14ac:dyDescent="0.3">
      <c r="E4858" t="s">
        <v>20</v>
      </c>
      <c r="F4858">
        <v>22</v>
      </c>
      <c r="G4858">
        <v>1.5999999999999999</v>
      </c>
      <c r="H4858" s="2">
        <v>84.99169999999998</v>
      </c>
      <c r="I4858" s="2">
        <v>249.744</v>
      </c>
    </row>
    <row r="4859" spans="3:9" x14ac:dyDescent="0.3">
      <c r="E4859" t="s">
        <v>34</v>
      </c>
      <c r="F4859">
        <v>9</v>
      </c>
      <c r="G4859">
        <v>0</v>
      </c>
      <c r="H4859" s="2">
        <v>106.02560000000004</v>
      </c>
      <c r="I4859" s="2">
        <v>927.9</v>
      </c>
    </row>
    <row r="4860" spans="3:9" x14ac:dyDescent="0.3">
      <c r="E4860" t="s">
        <v>33</v>
      </c>
      <c r="F4860">
        <v>8</v>
      </c>
      <c r="G4860">
        <v>0.60000000000000009</v>
      </c>
      <c r="H4860" s="2">
        <v>19.719199999999915</v>
      </c>
      <c r="I4860" s="2">
        <v>1454.3040000000003</v>
      </c>
    </row>
    <row r="4861" spans="3:9" x14ac:dyDescent="0.3">
      <c r="E4861" t="s">
        <v>18</v>
      </c>
      <c r="F4861">
        <v>2</v>
      </c>
      <c r="G4861">
        <v>0</v>
      </c>
      <c r="H4861" s="2">
        <v>0.47100000000000009</v>
      </c>
      <c r="I4861" s="2">
        <v>9.42</v>
      </c>
    </row>
    <row r="4862" spans="3:9" x14ac:dyDescent="0.3">
      <c r="E4862" t="s">
        <v>21</v>
      </c>
      <c r="F4862">
        <v>15</v>
      </c>
      <c r="G4862">
        <v>0</v>
      </c>
      <c r="H4862" s="2">
        <v>29.064400000000003</v>
      </c>
      <c r="I4862" s="2">
        <v>124.97</v>
      </c>
    </row>
    <row r="4863" spans="3:9" x14ac:dyDescent="0.3">
      <c r="E4863" t="s">
        <v>43</v>
      </c>
      <c r="F4863">
        <v>7</v>
      </c>
      <c r="G4863">
        <v>0</v>
      </c>
      <c r="H4863" s="2">
        <v>41.223699999999994</v>
      </c>
      <c r="I4863" s="2">
        <v>87.71</v>
      </c>
    </row>
    <row r="4864" spans="3:9" x14ac:dyDescent="0.3">
      <c r="E4864" t="s">
        <v>46</v>
      </c>
      <c r="F4864">
        <v>5</v>
      </c>
      <c r="G4864">
        <v>0.2</v>
      </c>
      <c r="H4864" s="2">
        <v>130.20749999999998</v>
      </c>
      <c r="I4864" s="2">
        <v>385.80000000000007</v>
      </c>
    </row>
    <row r="4865" spans="4:9" x14ac:dyDescent="0.3">
      <c r="E4865" t="s">
        <v>16</v>
      </c>
      <c r="F4865">
        <v>16</v>
      </c>
      <c r="G4865">
        <v>0</v>
      </c>
      <c r="H4865" s="2">
        <v>87.183699999999988</v>
      </c>
      <c r="I4865" s="2">
        <v>188.47</v>
      </c>
    </row>
    <row r="4866" spans="4:9" x14ac:dyDescent="0.3">
      <c r="E4866" t="s">
        <v>24</v>
      </c>
      <c r="F4866">
        <v>7</v>
      </c>
      <c r="G4866">
        <v>0.4</v>
      </c>
      <c r="H4866" s="2">
        <v>33.719600000000014</v>
      </c>
      <c r="I4866" s="2">
        <v>404.74400000000003</v>
      </c>
    </row>
    <row r="4867" spans="4:9" x14ac:dyDescent="0.3">
      <c r="E4867" t="s">
        <v>14</v>
      </c>
      <c r="F4867">
        <v>13</v>
      </c>
      <c r="G4867">
        <v>0</v>
      </c>
      <c r="H4867" s="2">
        <v>44.592399999999984</v>
      </c>
      <c r="I4867" s="2">
        <v>557.79999999999995</v>
      </c>
    </row>
    <row r="4868" spans="4:9" x14ac:dyDescent="0.3">
      <c r="E4868" t="s">
        <v>9</v>
      </c>
      <c r="F4868">
        <v>3</v>
      </c>
      <c r="G4868">
        <v>0</v>
      </c>
      <c r="H4868" s="2">
        <v>0.86400000000000077</v>
      </c>
      <c r="I4868" s="2">
        <v>28.799999999999997</v>
      </c>
    </row>
    <row r="4869" spans="4:9" x14ac:dyDescent="0.3">
      <c r="E4869" t="s">
        <v>25</v>
      </c>
      <c r="F4869">
        <v>25</v>
      </c>
      <c r="G4869">
        <v>0</v>
      </c>
      <c r="H4869" s="2">
        <v>662.38259999999991</v>
      </c>
      <c r="I4869" s="2">
        <v>3177.61</v>
      </c>
    </row>
    <row r="4870" spans="4:9" x14ac:dyDescent="0.3">
      <c r="D4870" t="s">
        <v>15</v>
      </c>
      <c r="E4870" t="s">
        <v>23</v>
      </c>
      <c r="F4870">
        <v>12</v>
      </c>
      <c r="G4870">
        <v>0</v>
      </c>
      <c r="H4870" s="2">
        <v>276.23489999999987</v>
      </c>
      <c r="I4870" s="2">
        <v>1411.65</v>
      </c>
    </row>
    <row r="4871" spans="4:9" x14ac:dyDescent="0.3">
      <c r="E4871" t="s">
        <v>19</v>
      </c>
      <c r="F4871">
        <v>8</v>
      </c>
      <c r="G4871">
        <v>0</v>
      </c>
      <c r="H4871" s="2">
        <v>31.081600000000002</v>
      </c>
      <c r="I4871" s="2">
        <v>117.44</v>
      </c>
    </row>
    <row r="4872" spans="4:9" x14ac:dyDescent="0.3">
      <c r="E4872" t="s">
        <v>20</v>
      </c>
      <c r="F4872">
        <v>18</v>
      </c>
      <c r="G4872">
        <v>0.60000000000000009</v>
      </c>
      <c r="H4872" s="2">
        <v>28.228599999999997</v>
      </c>
      <c r="I4872" s="2">
        <v>79.712000000000003</v>
      </c>
    </row>
    <row r="4873" spans="4:9" x14ac:dyDescent="0.3">
      <c r="E4873" t="s">
        <v>33</v>
      </c>
      <c r="F4873">
        <v>10</v>
      </c>
      <c r="G4873">
        <v>0.4</v>
      </c>
      <c r="H4873" s="2">
        <v>147.22319999999988</v>
      </c>
      <c r="I4873" s="2">
        <v>1351.8400000000001</v>
      </c>
    </row>
    <row r="4874" spans="4:9" x14ac:dyDescent="0.3">
      <c r="E4874" t="s">
        <v>21</v>
      </c>
      <c r="F4874">
        <v>6</v>
      </c>
      <c r="G4874">
        <v>0</v>
      </c>
      <c r="H4874" s="2">
        <v>76.095599999999976</v>
      </c>
      <c r="I4874" s="2">
        <v>336.18</v>
      </c>
    </row>
    <row r="4875" spans="4:9" x14ac:dyDescent="0.3">
      <c r="E4875" t="s">
        <v>16</v>
      </c>
      <c r="F4875">
        <v>3</v>
      </c>
      <c r="G4875">
        <v>0</v>
      </c>
      <c r="H4875" s="2">
        <v>9.3312000000000008</v>
      </c>
      <c r="I4875" s="2">
        <v>19.440000000000001</v>
      </c>
    </row>
    <row r="4876" spans="4:9" x14ac:dyDescent="0.3">
      <c r="E4876" t="s">
        <v>24</v>
      </c>
      <c r="F4876">
        <v>4</v>
      </c>
      <c r="G4876">
        <v>0.4</v>
      </c>
      <c r="H4876" s="2">
        <v>12.387200000000004</v>
      </c>
      <c r="I4876" s="2">
        <v>141.56800000000001</v>
      </c>
    </row>
    <row r="4877" spans="4:9" x14ac:dyDescent="0.3">
      <c r="E4877" t="s">
        <v>14</v>
      </c>
      <c r="F4877">
        <v>12</v>
      </c>
      <c r="G4877">
        <v>0</v>
      </c>
      <c r="H4877" s="2">
        <v>77.518399999999971</v>
      </c>
      <c r="I4877" s="2">
        <v>913.54</v>
      </c>
    </row>
    <row r="4878" spans="4:9" x14ac:dyDescent="0.3">
      <c r="E4878" t="s">
        <v>9</v>
      </c>
      <c r="F4878">
        <v>2</v>
      </c>
      <c r="G4878">
        <v>0</v>
      </c>
      <c r="H4878" s="2">
        <v>3.6936</v>
      </c>
      <c r="I4878" s="2">
        <v>13.68</v>
      </c>
    </row>
    <row r="4879" spans="4:9" x14ac:dyDescent="0.3">
      <c r="D4879" t="s">
        <v>17</v>
      </c>
      <c r="E4879" t="s">
        <v>20</v>
      </c>
      <c r="F4879">
        <v>4</v>
      </c>
      <c r="G4879">
        <v>0.2</v>
      </c>
      <c r="H4879" s="2">
        <v>19.375999999999998</v>
      </c>
      <c r="I4879" s="2">
        <v>55.360000000000007</v>
      </c>
    </row>
    <row r="4880" spans="4:9" x14ac:dyDescent="0.3">
      <c r="E4880" t="s">
        <v>33</v>
      </c>
      <c r="F4880">
        <v>5</v>
      </c>
      <c r="G4880">
        <v>0.2</v>
      </c>
      <c r="H4880" s="2">
        <v>125.24499999999995</v>
      </c>
      <c r="I4880" s="2">
        <v>2003.9200000000003</v>
      </c>
    </row>
    <row r="4881" spans="3:9" x14ac:dyDescent="0.3">
      <c r="E4881" t="s">
        <v>21</v>
      </c>
      <c r="F4881">
        <v>4</v>
      </c>
      <c r="G4881">
        <v>0</v>
      </c>
      <c r="H4881" s="2">
        <v>25.670400000000001</v>
      </c>
      <c r="I4881" s="2">
        <v>148.12</v>
      </c>
    </row>
    <row r="4882" spans="3:9" x14ac:dyDescent="0.3">
      <c r="E4882" t="s">
        <v>46</v>
      </c>
      <c r="F4882">
        <v>1</v>
      </c>
      <c r="G4882">
        <v>0.2</v>
      </c>
      <c r="H4882" s="2">
        <v>3.7569999999999992</v>
      </c>
      <c r="I4882" s="2">
        <v>11.56</v>
      </c>
    </row>
    <row r="4883" spans="3:9" x14ac:dyDescent="0.3">
      <c r="E4883" t="s">
        <v>16</v>
      </c>
      <c r="F4883">
        <v>11</v>
      </c>
      <c r="G4883">
        <v>0</v>
      </c>
      <c r="H4883" s="2">
        <v>71.194400000000002</v>
      </c>
      <c r="I4883" s="2">
        <v>153.08000000000001</v>
      </c>
    </row>
    <row r="4884" spans="3:9" x14ac:dyDescent="0.3">
      <c r="E4884" t="s">
        <v>24</v>
      </c>
      <c r="F4884">
        <v>3</v>
      </c>
      <c r="G4884">
        <v>0.2</v>
      </c>
      <c r="H4884" s="2">
        <v>49.498199999999969</v>
      </c>
      <c r="I4884" s="2">
        <v>659.97600000000011</v>
      </c>
    </row>
    <row r="4885" spans="3:9" x14ac:dyDescent="0.3">
      <c r="E4885" t="s">
        <v>14</v>
      </c>
      <c r="F4885">
        <v>7</v>
      </c>
      <c r="G4885">
        <v>0</v>
      </c>
      <c r="H4885" s="2">
        <v>5.2024000000000008</v>
      </c>
      <c r="I4885" s="2">
        <v>233.98</v>
      </c>
    </row>
    <row r="4886" spans="3:9" x14ac:dyDescent="0.3">
      <c r="E4886" t="s">
        <v>25</v>
      </c>
      <c r="F4886">
        <v>20</v>
      </c>
      <c r="G4886">
        <v>0</v>
      </c>
      <c r="H4886" s="2">
        <v>889.84659999999963</v>
      </c>
      <c r="I4886" s="2">
        <v>4784.18</v>
      </c>
    </row>
    <row r="4887" spans="3:9" x14ac:dyDescent="0.3">
      <c r="C4887" t="s">
        <v>22</v>
      </c>
      <c r="D4887" t="s">
        <v>8</v>
      </c>
      <c r="E4887" t="s">
        <v>23</v>
      </c>
      <c r="F4887">
        <v>37</v>
      </c>
      <c r="G4887">
        <v>0</v>
      </c>
      <c r="H4887" s="2">
        <v>956.38530000000003</v>
      </c>
      <c r="I4887" s="2">
        <v>2991.7100000000005</v>
      </c>
    </row>
    <row r="4888" spans="3:9" x14ac:dyDescent="0.3">
      <c r="E4888" t="s">
        <v>12</v>
      </c>
      <c r="F4888">
        <v>21</v>
      </c>
      <c r="G4888">
        <v>0</v>
      </c>
      <c r="H4888" s="2">
        <v>132.15959999999998</v>
      </c>
      <c r="I4888" s="2">
        <v>417.9</v>
      </c>
    </row>
    <row r="4889" spans="3:9" x14ac:dyDescent="0.3">
      <c r="E4889" t="s">
        <v>19</v>
      </c>
      <c r="F4889">
        <v>19</v>
      </c>
      <c r="G4889">
        <v>0</v>
      </c>
      <c r="H4889" s="2">
        <v>54.665199999999999</v>
      </c>
      <c r="I4889" s="2">
        <v>150.83000000000001</v>
      </c>
    </row>
    <row r="4890" spans="3:9" x14ac:dyDescent="0.3">
      <c r="E4890" t="s">
        <v>20</v>
      </c>
      <c r="F4890">
        <v>119</v>
      </c>
      <c r="G4890">
        <v>5.200000000000002</v>
      </c>
      <c r="H4890" s="2">
        <v>2474.1183000000001</v>
      </c>
      <c r="I4890" s="2">
        <v>7582.232</v>
      </c>
    </row>
    <row r="4891" spans="3:9" x14ac:dyDescent="0.3">
      <c r="E4891" t="s">
        <v>34</v>
      </c>
      <c r="F4891">
        <v>4</v>
      </c>
      <c r="G4891">
        <v>0</v>
      </c>
      <c r="H4891" s="2">
        <v>66.679599999999994</v>
      </c>
      <c r="I4891" s="2">
        <v>257.92</v>
      </c>
    </row>
    <row r="4892" spans="3:9" x14ac:dyDescent="0.3">
      <c r="E4892" t="s">
        <v>33</v>
      </c>
      <c r="F4892">
        <v>25</v>
      </c>
      <c r="G4892">
        <v>1.4</v>
      </c>
      <c r="H4892" s="2">
        <v>278.88479999999981</v>
      </c>
      <c r="I4892" s="2">
        <v>4608.0320000000002</v>
      </c>
    </row>
    <row r="4893" spans="3:9" x14ac:dyDescent="0.3">
      <c r="E4893" t="s">
        <v>45</v>
      </c>
      <c r="F4893">
        <v>1</v>
      </c>
      <c r="G4893">
        <v>0</v>
      </c>
      <c r="H4893" s="2">
        <v>89.996999999999986</v>
      </c>
      <c r="I4893" s="2">
        <v>299.99</v>
      </c>
    </row>
    <row r="4894" spans="3:9" x14ac:dyDescent="0.3">
      <c r="E4894" t="s">
        <v>38</v>
      </c>
      <c r="F4894">
        <v>11</v>
      </c>
      <c r="G4894">
        <v>0</v>
      </c>
      <c r="H4894" s="2">
        <v>106.92449999999999</v>
      </c>
      <c r="I4894" s="2">
        <v>226.69000000000003</v>
      </c>
    </row>
    <row r="4895" spans="3:9" x14ac:dyDescent="0.3">
      <c r="E4895" t="s">
        <v>18</v>
      </c>
      <c r="F4895">
        <v>13</v>
      </c>
      <c r="G4895">
        <v>0</v>
      </c>
      <c r="H4895" s="2">
        <v>24.7818</v>
      </c>
      <c r="I4895" s="2">
        <v>62.55</v>
      </c>
    </row>
    <row r="4896" spans="3:9" x14ac:dyDescent="0.3">
      <c r="E4896" t="s">
        <v>21</v>
      </c>
      <c r="F4896">
        <v>20</v>
      </c>
      <c r="G4896">
        <v>0</v>
      </c>
      <c r="H4896" s="2">
        <v>117.15460000000003</v>
      </c>
      <c r="I4896" s="2">
        <v>394.24</v>
      </c>
    </row>
    <row r="4897" spans="4:9" x14ac:dyDescent="0.3">
      <c r="E4897" t="s">
        <v>43</v>
      </c>
      <c r="F4897">
        <v>21</v>
      </c>
      <c r="G4897">
        <v>0</v>
      </c>
      <c r="H4897" s="2">
        <v>54.969499999999996</v>
      </c>
      <c r="I4897" s="2">
        <v>116.14000000000001</v>
      </c>
    </row>
    <row r="4898" spans="4:9" x14ac:dyDescent="0.3">
      <c r="E4898" t="s">
        <v>46</v>
      </c>
      <c r="F4898">
        <v>5</v>
      </c>
      <c r="G4898">
        <v>0.4</v>
      </c>
      <c r="H4898" s="2">
        <v>104.70000000000007</v>
      </c>
      <c r="I4898" s="2">
        <v>1396</v>
      </c>
    </row>
    <row r="4899" spans="4:9" x14ac:dyDescent="0.3">
      <c r="E4899" t="s">
        <v>16</v>
      </c>
      <c r="F4899">
        <v>62</v>
      </c>
      <c r="G4899">
        <v>0</v>
      </c>
      <c r="H4899" s="2">
        <v>465.86359999999996</v>
      </c>
      <c r="I4899" s="2">
        <v>991.83</v>
      </c>
    </row>
    <row r="4900" spans="4:9" x14ac:dyDescent="0.3">
      <c r="E4900" t="s">
        <v>24</v>
      </c>
      <c r="F4900">
        <v>27</v>
      </c>
      <c r="G4900">
        <v>1.5999999999999999</v>
      </c>
      <c r="H4900" s="2">
        <v>301.62229999999988</v>
      </c>
      <c r="I4900" s="2">
        <v>3287.2640000000001</v>
      </c>
    </row>
    <row r="4901" spans="4:9" x14ac:dyDescent="0.3">
      <c r="E4901" t="s">
        <v>14</v>
      </c>
      <c r="F4901">
        <v>39</v>
      </c>
      <c r="G4901">
        <v>0</v>
      </c>
      <c r="H4901" s="2">
        <v>388.66520000000003</v>
      </c>
      <c r="I4901" s="2">
        <v>3212.7799999999997</v>
      </c>
    </row>
    <row r="4902" spans="4:9" x14ac:dyDescent="0.3">
      <c r="E4902" t="s">
        <v>9</v>
      </c>
      <c r="F4902">
        <v>7</v>
      </c>
      <c r="G4902">
        <v>0</v>
      </c>
      <c r="H4902" s="2">
        <v>8.258499999999998</v>
      </c>
      <c r="I4902" s="2">
        <v>43.81</v>
      </c>
    </row>
    <row r="4903" spans="4:9" x14ac:dyDescent="0.3">
      <c r="E4903" t="s">
        <v>25</v>
      </c>
      <c r="F4903">
        <v>8</v>
      </c>
      <c r="G4903">
        <v>0</v>
      </c>
      <c r="H4903" s="2">
        <v>794.3913</v>
      </c>
      <c r="I4903" s="2">
        <v>2534.7799999999997</v>
      </c>
    </row>
    <row r="4904" spans="4:9" x14ac:dyDescent="0.3">
      <c r="D4904" t="s">
        <v>15</v>
      </c>
      <c r="E4904" t="s">
        <v>23</v>
      </c>
      <c r="F4904">
        <v>40</v>
      </c>
      <c r="G4904">
        <v>0</v>
      </c>
      <c r="H4904" s="2">
        <v>860.98940000000005</v>
      </c>
      <c r="I4904" s="2">
        <v>3412.5799999999995</v>
      </c>
    </row>
    <row r="4905" spans="4:9" x14ac:dyDescent="0.3">
      <c r="E4905" t="s">
        <v>12</v>
      </c>
      <c r="F4905">
        <v>2</v>
      </c>
      <c r="G4905">
        <v>0</v>
      </c>
      <c r="H4905" s="2">
        <v>22.948799999999999</v>
      </c>
      <c r="I4905" s="2">
        <v>81.96</v>
      </c>
    </row>
    <row r="4906" spans="4:9" x14ac:dyDescent="0.3">
      <c r="E4906" t="s">
        <v>19</v>
      </c>
      <c r="F4906">
        <v>15</v>
      </c>
      <c r="G4906">
        <v>0</v>
      </c>
      <c r="H4906" s="2">
        <v>28.022799999999997</v>
      </c>
      <c r="I4906" s="2">
        <v>88.210000000000008</v>
      </c>
    </row>
    <row r="4907" spans="4:9" x14ac:dyDescent="0.3">
      <c r="E4907" t="s">
        <v>20</v>
      </c>
      <c r="F4907">
        <v>79</v>
      </c>
      <c r="G4907">
        <v>3.0000000000000004</v>
      </c>
      <c r="H4907" s="2">
        <v>1056.7529</v>
      </c>
      <c r="I4907" s="2">
        <v>3125.2720000000004</v>
      </c>
    </row>
    <row r="4908" spans="4:9" x14ac:dyDescent="0.3">
      <c r="E4908" t="s">
        <v>34</v>
      </c>
      <c r="F4908">
        <v>8</v>
      </c>
      <c r="G4908">
        <v>0</v>
      </c>
      <c r="H4908" s="2">
        <v>259.88959999999997</v>
      </c>
      <c r="I4908" s="2">
        <v>1367.84</v>
      </c>
    </row>
    <row r="4909" spans="4:9" x14ac:dyDescent="0.3">
      <c r="E4909" t="s">
        <v>33</v>
      </c>
      <c r="F4909">
        <v>22</v>
      </c>
      <c r="G4909">
        <v>1.2</v>
      </c>
      <c r="H4909" s="2">
        <v>70.583799999999897</v>
      </c>
      <c r="I4909" s="2">
        <v>2168.4480000000003</v>
      </c>
    </row>
    <row r="4910" spans="4:9" x14ac:dyDescent="0.3">
      <c r="E4910" t="s">
        <v>38</v>
      </c>
      <c r="F4910">
        <v>2</v>
      </c>
      <c r="G4910">
        <v>0</v>
      </c>
      <c r="H4910" s="2">
        <v>30.360399999999998</v>
      </c>
      <c r="I4910" s="2">
        <v>61.96</v>
      </c>
    </row>
    <row r="4911" spans="4:9" x14ac:dyDescent="0.3">
      <c r="E4911" t="s">
        <v>18</v>
      </c>
      <c r="F4911">
        <v>5</v>
      </c>
      <c r="G4911">
        <v>0</v>
      </c>
      <c r="H4911" s="2">
        <v>0.33599999999999963</v>
      </c>
      <c r="I4911" s="2">
        <v>8.4</v>
      </c>
    </row>
    <row r="4912" spans="4:9" x14ac:dyDescent="0.3">
      <c r="E4912" t="s">
        <v>21</v>
      </c>
      <c r="F4912">
        <v>30</v>
      </c>
      <c r="G4912">
        <v>0</v>
      </c>
      <c r="H4912" s="2">
        <v>184.89840000000004</v>
      </c>
      <c r="I4912" s="2">
        <v>503.34000000000003</v>
      </c>
    </row>
    <row r="4913" spans="4:9" x14ac:dyDescent="0.3">
      <c r="E4913" t="s">
        <v>43</v>
      </c>
      <c r="F4913">
        <v>5</v>
      </c>
      <c r="G4913">
        <v>0</v>
      </c>
      <c r="H4913" s="2">
        <v>27.996000000000002</v>
      </c>
      <c r="I4913" s="2">
        <v>57.000000000000007</v>
      </c>
    </row>
    <row r="4914" spans="4:9" x14ac:dyDescent="0.3">
      <c r="E4914" t="s">
        <v>16</v>
      </c>
      <c r="F4914">
        <v>50</v>
      </c>
      <c r="G4914">
        <v>0</v>
      </c>
      <c r="H4914" s="2">
        <v>430.09959999999995</v>
      </c>
      <c r="I4914" s="2">
        <v>908.95999999999992</v>
      </c>
    </row>
    <row r="4915" spans="4:9" x14ac:dyDescent="0.3">
      <c r="E4915" t="s">
        <v>24</v>
      </c>
      <c r="F4915">
        <v>17</v>
      </c>
      <c r="G4915">
        <v>0.60000000000000009</v>
      </c>
      <c r="H4915" s="2">
        <v>39.561999999999998</v>
      </c>
      <c r="I4915" s="2">
        <v>215.72</v>
      </c>
    </row>
    <row r="4916" spans="4:9" x14ac:dyDescent="0.3">
      <c r="E4916" t="s">
        <v>14</v>
      </c>
      <c r="F4916">
        <v>39</v>
      </c>
      <c r="G4916">
        <v>0</v>
      </c>
      <c r="H4916" s="2">
        <v>441.63159999999993</v>
      </c>
      <c r="I4916" s="2">
        <v>3883.18</v>
      </c>
    </row>
    <row r="4917" spans="4:9" x14ac:dyDescent="0.3">
      <c r="E4917" t="s">
        <v>9</v>
      </c>
      <c r="F4917">
        <v>13</v>
      </c>
      <c r="G4917">
        <v>0</v>
      </c>
      <c r="H4917" s="2">
        <v>22.66320000000001</v>
      </c>
      <c r="I4917" s="2">
        <v>364.4</v>
      </c>
    </row>
    <row r="4918" spans="4:9" x14ac:dyDescent="0.3">
      <c r="E4918" t="s">
        <v>25</v>
      </c>
      <c r="F4918">
        <v>22</v>
      </c>
      <c r="G4918">
        <v>0</v>
      </c>
      <c r="H4918" s="2">
        <v>1151.4429</v>
      </c>
      <c r="I4918" s="2">
        <v>5892.6</v>
      </c>
    </row>
    <row r="4919" spans="4:9" x14ac:dyDescent="0.3">
      <c r="D4919" t="s">
        <v>17</v>
      </c>
      <c r="E4919" t="s">
        <v>23</v>
      </c>
      <c r="F4919">
        <v>13</v>
      </c>
      <c r="G4919">
        <v>0</v>
      </c>
      <c r="H4919" s="2">
        <v>183.73499999999999</v>
      </c>
      <c r="I4919" s="2">
        <v>647.91000000000008</v>
      </c>
    </row>
    <row r="4920" spans="4:9" x14ac:dyDescent="0.3">
      <c r="E4920" t="s">
        <v>19</v>
      </c>
      <c r="F4920">
        <v>24</v>
      </c>
      <c r="G4920">
        <v>0</v>
      </c>
      <c r="H4920" s="2">
        <v>53.233499999999999</v>
      </c>
      <c r="I4920" s="2">
        <v>184.07</v>
      </c>
    </row>
    <row r="4921" spans="4:9" x14ac:dyDescent="0.3">
      <c r="E4921" t="s">
        <v>20</v>
      </c>
      <c r="F4921">
        <v>31</v>
      </c>
      <c r="G4921">
        <v>1.4</v>
      </c>
      <c r="H4921" s="2">
        <v>124.70840000000001</v>
      </c>
      <c r="I4921" s="2">
        <v>369.08000000000004</v>
      </c>
    </row>
    <row r="4922" spans="4:9" x14ac:dyDescent="0.3">
      <c r="E4922" t="s">
        <v>34</v>
      </c>
      <c r="F4922">
        <v>3</v>
      </c>
      <c r="G4922">
        <v>0</v>
      </c>
      <c r="H4922" s="2">
        <v>59.665599999999998</v>
      </c>
      <c r="I4922" s="2">
        <v>248.86</v>
      </c>
    </row>
    <row r="4923" spans="4:9" x14ac:dyDescent="0.3">
      <c r="E4923" t="s">
        <v>33</v>
      </c>
      <c r="F4923">
        <v>9</v>
      </c>
      <c r="G4923">
        <v>0.8</v>
      </c>
      <c r="H4923" s="2">
        <v>-95.492200000000096</v>
      </c>
      <c r="I4923" s="2">
        <v>916.17600000000016</v>
      </c>
    </row>
    <row r="4924" spans="4:9" x14ac:dyDescent="0.3">
      <c r="E4924" t="s">
        <v>18</v>
      </c>
      <c r="F4924">
        <v>15</v>
      </c>
      <c r="G4924">
        <v>0</v>
      </c>
      <c r="H4924" s="2">
        <v>12.687000000000001</v>
      </c>
      <c r="I4924" s="2">
        <v>39.010000000000005</v>
      </c>
    </row>
    <row r="4925" spans="4:9" x14ac:dyDescent="0.3">
      <c r="E4925" t="s">
        <v>21</v>
      </c>
      <c r="F4925">
        <v>31</v>
      </c>
      <c r="G4925">
        <v>0</v>
      </c>
      <c r="H4925" s="2">
        <v>162.34989999999999</v>
      </c>
      <c r="I4925" s="2">
        <v>439.97999999999996</v>
      </c>
    </row>
    <row r="4926" spans="4:9" x14ac:dyDescent="0.3">
      <c r="E4926" t="s">
        <v>43</v>
      </c>
      <c r="F4926">
        <v>8</v>
      </c>
      <c r="G4926">
        <v>0</v>
      </c>
      <c r="H4926" s="2">
        <v>19.247199999999999</v>
      </c>
      <c r="I4926" s="2">
        <v>39.28</v>
      </c>
    </row>
    <row r="4927" spans="4:9" x14ac:dyDescent="0.3">
      <c r="E4927" t="s">
        <v>16</v>
      </c>
      <c r="F4927">
        <v>5</v>
      </c>
      <c r="G4927">
        <v>0</v>
      </c>
      <c r="H4927" s="2">
        <v>33.625999999999998</v>
      </c>
      <c r="I4927" s="2">
        <v>73.099999999999994</v>
      </c>
    </row>
    <row r="4928" spans="4:9" x14ac:dyDescent="0.3">
      <c r="E4928" t="s">
        <v>24</v>
      </c>
      <c r="F4928">
        <v>17</v>
      </c>
      <c r="G4928">
        <v>1.2</v>
      </c>
      <c r="H4928" s="2">
        <v>63.264499999999941</v>
      </c>
      <c r="I4928" s="2">
        <v>1989.4480000000003</v>
      </c>
    </row>
    <row r="4929" spans="2:9" x14ac:dyDescent="0.3">
      <c r="E4929" t="s">
        <v>14</v>
      </c>
      <c r="F4929">
        <v>21</v>
      </c>
      <c r="G4929">
        <v>0</v>
      </c>
      <c r="H4929" s="2">
        <v>241.9862</v>
      </c>
      <c r="I4929" s="2">
        <v>1551.37</v>
      </c>
    </row>
    <row r="4930" spans="2:9" x14ac:dyDescent="0.3">
      <c r="E4930" t="s">
        <v>25</v>
      </c>
      <c r="F4930">
        <v>12</v>
      </c>
      <c r="G4930">
        <v>0</v>
      </c>
      <c r="H4930" s="2">
        <v>616.93979999999999</v>
      </c>
      <c r="I4930" s="2">
        <v>3174.61</v>
      </c>
    </row>
    <row r="4931" spans="2:9" x14ac:dyDescent="0.3">
      <c r="B4931" t="s">
        <v>483</v>
      </c>
      <c r="C4931" t="s">
        <v>22</v>
      </c>
      <c r="D4931" t="s">
        <v>17</v>
      </c>
      <c r="E4931" t="s">
        <v>23</v>
      </c>
      <c r="F4931">
        <v>2</v>
      </c>
      <c r="G4931">
        <v>0</v>
      </c>
      <c r="H4931" s="2">
        <v>0.89100000000000001</v>
      </c>
      <c r="I4931" s="2">
        <v>1.98</v>
      </c>
    </row>
    <row r="4932" spans="2:9" x14ac:dyDescent="0.3">
      <c r="E4932" t="s">
        <v>43</v>
      </c>
      <c r="F4932">
        <v>7</v>
      </c>
      <c r="G4932">
        <v>0</v>
      </c>
      <c r="H4932" s="2">
        <v>29.259299999999996</v>
      </c>
      <c r="I4932" s="2">
        <v>62.789999999999992</v>
      </c>
    </row>
    <row r="4933" spans="2:9" x14ac:dyDescent="0.3">
      <c r="E4933" t="s">
        <v>14</v>
      </c>
      <c r="F4933">
        <v>1</v>
      </c>
      <c r="G4933">
        <v>0</v>
      </c>
      <c r="H4933" s="2">
        <v>4.1916000000000011</v>
      </c>
      <c r="I4933" s="2">
        <v>14.97</v>
      </c>
    </row>
    <row r="4934" spans="2:9" x14ac:dyDescent="0.3">
      <c r="B4934" t="s">
        <v>484</v>
      </c>
      <c r="C4934" t="s">
        <v>11</v>
      </c>
      <c r="D4934" t="s">
        <v>17</v>
      </c>
      <c r="E4934" t="s">
        <v>23</v>
      </c>
      <c r="F4934">
        <v>3</v>
      </c>
      <c r="G4934">
        <v>0</v>
      </c>
      <c r="H4934" s="2">
        <v>14.992499999999996</v>
      </c>
      <c r="I4934" s="2">
        <v>59.97</v>
      </c>
    </row>
    <row r="4935" spans="2:9" x14ac:dyDescent="0.3">
      <c r="E4935" t="s">
        <v>16</v>
      </c>
      <c r="F4935">
        <v>2</v>
      </c>
      <c r="G4935">
        <v>0</v>
      </c>
      <c r="H4935" s="2">
        <v>6.4127999999999998</v>
      </c>
      <c r="I4935" s="2">
        <v>13.36</v>
      </c>
    </row>
    <row r="4936" spans="2:9" x14ac:dyDescent="0.3">
      <c r="B4936" t="s">
        <v>485</v>
      </c>
      <c r="C4936" t="s">
        <v>22</v>
      </c>
      <c r="D4936" t="s">
        <v>8</v>
      </c>
      <c r="E4936" t="s">
        <v>21</v>
      </c>
      <c r="F4936">
        <v>2</v>
      </c>
      <c r="G4936">
        <v>0.2</v>
      </c>
      <c r="H4936" s="2">
        <v>3.9512</v>
      </c>
      <c r="I4936" s="2">
        <v>14.368000000000002</v>
      </c>
    </row>
    <row r="4937" spans="2:9" x14ac:dyDescent="0.3">
      <c r="D4937" t="s">
        <v>15</v>
      </c>
      <c r="E4937" t="s">
        <v>12</v>
      </c>
      <c r="F4937">
        <v>2</v>
      </c>
      <c r="G4937">
        <v>0.2</v>
      </c>
      <c r="H4937" s="2">
        <v>3.0143999999999993</v>
      </c>
      <c r="I4937" s="2">
        <v>30.144000000000002</v>
      </c>
    </row>
    <row r="4938" spans="2:9" x14ac:dyDescent="0.3">
      <c r="E4938" t="s">
        <v>18</v>
      </c>
      <c r="F4938">
        <v>5</v>
      </c>
      <c r="G4938">
        <v>0.2</v>
      </c>
      <c r="H4938" s="2">
        <v>9.8624999999999972</v>
      </c>
      <c r="I4938" s="2">
        <v>31.560000000000002</v>
      </c>
    </row>
    <row r="4939" spans="2:9" x14ac:dyDescent="0.3">
      <c r="B4939" t="s">
        <v>486</v>
      </c>
      <c r="C4939" t="s">
        <v>22</v>
      </c>
      <c r="D4939" t="s">
        <v>8</v>
      </c>
      <c r="E4939" t="s">
        <v>43</v>
      </c>
      <c r="F4939">
        <v>7</v>
      </c>
      <c r="G4939">
        <v>0</v>
      </c>
      <c r="H4939" s="2">
        <v>9.5081000000000007</v>
      </c>
      <c r="I4939" s="2">
        <v>20.23</v>
      </c>
    </row>
    <row r="4940" spans="2:9" x14ac:dyDescent="0.3">
      <c r="D4940" t="s">
        <v>15</v>
      </c>
      <c r="E4940" t="s">
        <v>23</v>
      </c>
      <c r="F4940">
        <v>6</v>
      </c>
      <c r="G4940">
        <v>0</v>
      </c>
      <c r="H4940" s="2">
        <v>133.89660000000003</v>
      </c>
      <c r="I4940" s="2">
        <v>392.94000000000005</v>
      </c>
    </row>
    <row r="4941" spans="2:9" x14ac:dyDescent="0.3">
      <c r="E4941" t="s">
        <v>12</v>
      </c>
      <c r="F4941">
        <v>2</v>
      </c>
      <c r="G4941">
        <v>0</v>
      </c>
      <c r="H4941" s="2">
        <v>112.40640000000002</v>
      </c>
      <c r="I4941" s="2">
        <v>416.32</v>
      </c>
    </row>
    <row r="4942" spans="2:9" x14ac:dyDescent="0.3">
      <c r="E4942" t="s">
        <v>20</v>
      </c>
      <c r="F4942">
        <v>12</v>
      </c>
      <c r="G4942">
        <v>0</v>
      </c>
      <c r="H4942" s="2">
        <v>50.625</v>
      </c>
      <c r="I4942" s="2">
        <v>103.83</v>
      </c>
    </row>
    <row r="4943" spans="2:9" x14ac:dyDescent="0.3">
      <c r="E4943" t="s">
        <v>33</v>
      </c>
      <c r="F4943">
        <v>3</v>
      </c>
      <c r="G4943">
        <v>0</v>
      </c>
      <c r="H4943" s="2">
        <v>27.440999999999995</v>
      </c>
      <c r="I4943" s="2">
        <v>182.94</v>
      </c>
    </row>
    <row r="4944" spans="2:9" x14ac:dyDescent="0.3">
      <c r="E4944" t="s">
        <v>18</v>
      </c>
      <c r="F4944">
        <v>3</v>
      </c>
      <c r="G4944">
        <v>0</v>
      </c>
      <c r="H4944" s="2">
        <v>2.6814000000000004</v>
      </c>
      <c r="I4944" s="2">
        <v>6.5400000000000009</v>
      </c>
    </row>
    <row r="4945" spans="2:9" x14ac:dyDescent="0.3">
      <c r="E4945" t="s">
        <v>43</v>
      </c>
      <c r="F4945">
        <v>2</v>
      </c>
      <c r="G4945">
        <v>0</v>
      </c>
      <c r="H4945" s="2">
        <v>6.8713999999999995</v>
      </c>
      <c r="I4945" s="2">
        <v>14.62</v>
      </c>
    </row>
    <row r="4946" spans="2:9" x14ac:dyDescent="0.3">
      <c r="B4946" t="s">
        <v>487</v>
      </c>
      <c r="C4946" t="s">
        <v>11</v>
      </c>
      <c r="D4946" t="s">
        <v>15</v>
      </c>
      <c r="E4946" t="s">
        <v>20</v>
      </c>
      <c r="F4946">
        <v>8</v>
      </c>
      <c r="G4946">
        <v>1.6</v>
      </c>
      <c r="H4946" s="2">
        <v>-19.9512</v>
      </c>
      <c r="I4946" s="2">
        <v>11.663999999999998</v>
      </c>
    </row>
    <row r="4947" spans="2:9" x14ac:dyDescent="0.3">
      <c r="E4947" t="s">
        <v>16</v>
      </c>
      <c r="F4947">
        <v>2</v>
      </c>
      <c r="G4947">
        <v>0.2</v>
      </c>
      <c r="H4947" s="2">
        <v>4.4311999999999996</v>
      </c>
      <c r="I4947" s="2">
        <v>12.224</v>
      </c>
    </row>
    <row r="4948" spans="2:9" x14ac:dyDescent="0.3">
      <c r="C4948" t="s">
        <v>27</v>
      </c>
      <c r="D4948" t="s">
        <v>8</v>
      </c>
      <c r="E4948" t="s">
        <v>23</v>
      </c>
      <c r="F4948">
        <v>3</v>
      </c>
      <c r="G4948">
        <v>0.2</v>
      </c>
      <c r="H4948" s="2">
        <v>-4.908000000000003</v>
      </c>
      <c r="I4948" s="2">
        <v>39.264000000000003</v>
      </c>
    </row>
    <row r="4949" spans="2:9" x14ac:dyDescent="0.3">
      <c r="E4949" t="s">
        <v>19</v>
      </c>
      <c r="F4949">
        <v>6</v>
      </c>
      <c r="G4949">
        <v>0.2</v>
      </c>
      <c r="H4949" s="2">
        <v>24.998400000000011</v>
      </c>
      <c r="I4949" s="2">
        <v>95.231999999999999</v>
      </c>
    </row>
    <row r="4950" spans="2:9" x14ac:dyDescent="0.3">
      <c r="E4950" t="s">
        <v>21</v>
      </c>
      <c r="F4950">
        <v>9</v>
      </c>
      <c r="G4950">
        <v>1.2</v>
      </c>
      <c r="H4950" s="2">
        <v>-319.74299999999994</v>
      </c>
      <c r="I4950" s="2">
        <v>322.68000000000006</v>
      </c>
    </row>
    <row r="4951" spans="2:9" x14ac:dyDescent="0.3">
      <c r="C4951" t="s">
        <v>22</v>
      </c>
      <c r="D4951" t="s">
        <v>8</v>
      </c>
      <c r="E4951" t="s">
        <v>20</v>
      </c>
      <c r="F4951">
        <v>4</v>
      </c>
      <c r="G4951">
        <v>0.8</v>
      </c>
      <c r="H4951" s="2">
        <v>-18.872800000000009</v>
      </c>
      <c r="I4951" s="2">
        <v>12.175999999999998</v>
      </c>
    </row>
    <row r="4952" spans="2:9" x14ac:dyDescent="0.3">
      <c r="E4952" t="s">
        <v>21</v>
      </c>
      <c r="F4952">
        <v>6</v>
      </c>
      <c r="G4952">
        <v>0.6</v>
      </c>
      <c r="H4952" s="2">
        <v>-19.771199999999997</v>
      </c>
      <c r="I4952" s="2">
        <v>32.952000000000005</v>
      </c>
    </row>
    <row r="4953" spans="2:9" x14ac:dyDescent="0.3">
      <c r="E4953" t="s">
        <v>14</v>
      </c>
      <c r="F4953">
        <v>4</v>
      </c>
      <c r="G4953">
        <v>0.2</v>
      </c>
      <c r="H4953" s="2">
        <v>3.0015999999999998</v>
      </c>
      <c r="I4953" s="2">
        <v>30.016000000000005</v>
      </c>
    </row>
    <row r="4954" spans="2:9" x14ac:dyDescent="0.3">
      <c r="D4954" t="s">
        <v>15</v>
      </c>
      <c r="E4954" t="s">
        <v>18</v>
      </c>
      <c r="F4954">
        <v>2</v>
      </c>
      <c r="G4954">
        <v>0.2</v>
      </c>
      <c r="H4954" s="2">
        <v>3.944999999999999</v>
      </c>
      <c r="I4954" s="2">
        <v>12.624000000000001</v>
      </c>
    </row>
    <row r="4955" spans="2:9" x14ac:dyDescent="0.3">
      <c r="B4955" t="s">
        <v>488</v>
      </c>
      <c r="C4955" t="s">
        <v>11</v>
      </c>
      <c r="D4955" t="s">
        <v>15</v>
      </c>
      <c r="E4955" t="s">
        <v>20</v>
      </c>
      <c r="F4955">
        <v>3</v>
      </c>
      <c r="G4955">
        <v>0.7</v>
      </c>
      <c r="H4955" s="2">
        <v>-4.4945999999999984</v>
      </c>
      <c r="I4955" s="2">
        <v>6.1290000000000004</v>
      </c>
    </row>
    <row r="4956" spans="2:9" x14ac:dyDescent="0.3">
      <c r="E4956" t="s">
        <v>33</v>
      </c>
      <c r="F4956">
        <v>4</v>
      </c>
      <c r="G4956">
        <v>0.2</v>
      </c>
      <c r="H4956" s="2">
        <v>56.274400000000014</v>
      </c>
      <c r="I4956" s="2">
        <v>643.13599999999997</v>
      </c>
    </row>
    <row r="4957" spans="2:9" x14ac:dyDescent="0.3">
      <c r="E4957" t="s">
        <v>16</v>
      </c>
      <c r="F4957">
        <v>4</v>
      </c>
      <c r="G4957">
        <v>0.2</v>
      </c>
      <c r="H4957" s="2">
        <v>7.2576000000000001</v>
      </c>
      <c r="I4957" s="2">
        <v>20.736000000000004</v>
      </c>
    </row>
    <row r="4958" spans="2:9" x14ac:dyDescent="0.3">
      <c r="C4958" t="s">
        <v>27</v>
      </c>
      <c r="D4958" t="s">
        <v>17</v>
      </c>
      <c r="E4958" t="s">
        <v>34</v>
      </c>
      <c r="F4958">
        <v>2</v>
      </c>
      <c r="G4958">
        <v>0</v>
      </c>
      <c r="H4958" s="2">
        <v>52.795599999999979</v>
      </c>
      <c r="I4958" s="2">
        <v>239.98</v>
      </c>
    </row>
    <row r="4959" spans="2:9" x14ac:dyDescent="0.3">
      <c r="E4959" t="s">
        <v>38</v>
      </c>
      <c r="F4959">
        <v>2</v>
      </c>
      <c r="G4959">
        <v>0</v>
      </c>
      <c r="H4959" s="2">
        <v>78.941199999999995</v>
      </c>
      <c r="I4959" s="2">
        <v>167.96</v>
      </c>
    </row>
    <row r="4960" spans="2:9" x14ac:dyDescent="0.3">
      <c r="E4960" t="s">
        <v>18</v>
      </c>
      <c r="F4960">
        <v>5</v>
      </c>
      <c r="G4960">
        <v>0</v>
      </c>
      <c r="H4960" s="2">
        <v>0.18900000000000028</v>
      </c>
      <c r="I4960" s="2">
        <v>9.4499999999999993</v>
      </c>
    </row>
    <row r="4961" spans="2:9" x14ac:dyDescent="0.3">
      <c r="E4961" t="s">
        <v>21</v>
      </c>
      <c r="F4961">
        <v>3</v>
      </c>
      <c r="G4961">
        <v>0</v>
      </c>
      <c r="H4961" s="2">
        <v>7.1592000000000002</v>
      </c>
      <c r="I4961" s="2">
        <v>18.84</v>
      </c>
    </row>
    <row r="4962" spans="2:9" x14ac:dyDescent="0.3">
      <c r="E4962" t="s">
        <v>16</v>
      </c>
      <c r="F4962">
        <v>19</v>
      </c>
      <c r="G4962">
        <v>0</v>
      </c>
      <c r="H4962" s="2">
        <v>392.10079999999999</v>
      </c>
      <c r="I4962" s="2">
        <v>814.18</v>
      </c>
    </row>
    <row r="4963" spans="2:9" x14ac:dyDescent="0.3">
      <c r="E4963" t="s">
        <v>24</v>
      </c>
      <c r="F4963">
        <v>6</v>
      </c>
      <c r="G4963">
        <v>0</v>
      </c>
      <c r="H4963" s="2">
        <v>154.36530000000002</v>
      </c>
      <c r="I4963" s="2">
        <v>589.68000000000006</v>
      </c>
    </row>
    <row r="4964" spans="2:9" x14ac:dyDescent="0.3">
      <c r="E4964" t="s">
        <v>14</v>
      </c>
      <c r="F4964">
        <v>4</v>
      </c>
      <c r="G4964">
        <v>0</v>
      </c>
      <c r="H4964" s="2">
        <v>3.1640000000000086</v>
      </c>
      <c r="I4964" s="2">
        <v>235.42000000000002</v>
      </c>
    </row>
    <row r="4965" spans="2:9" x14ac:dyDescent="0.3">
      <c r="C4965" t="s">
        <v>22</v>
      </c>
      <c r="D4965" t="s">
        <v>8</v>
      </c>
      <c r="E4965" t="s">
        <v>19</v>
      </c>
      <c r="F4965">
        <v>6</v>
      </c>
      <c r="G4965">
        <v>0.2</v>
      </c>
      <c r="H4965" s="2">
        <v>8.1264000000000003</v>
      </c>
      <c r="I4965" s="2">
        <v>24.612000000000002</v>
      </c>
    </row>
    <row r="4966" spans="2:9" x14ac:dyDescent="0.3">
      <c r="E4966" t="s">
        <v>38</v>
      </c>
      <c r="F4966">
        <v>4</v>
      </c>
      <c r="G4966">
        <v>0</v>
      </c>
      <c r="H4966" s="2">
        <v>8.6016000000000012</v>
      </c>
      <c r="I4966" s="2">
        <v>17.920000000000002</v>
      </c>
    </row>
    <row r="4967" spans="2:9" x14ac:dyDescent="0.3">
      <c r="E4967" t="s">
        <v>18</v>
      </c>
      <c r="F4967">
        <v>3</v>
      </c>
      <c r="G4967">
        <v>0</v>
      </c>
      <c r="H4967" s="2">
        <v>0.11340000000000017</v>
      </c>
      <c r="I4967" s="2">
        <v>5.67</v>
      </c>
    </row>
    <row r="4968" spans="2:9" x14ac:dyDescent="0.3">
      <c r="E4968" t="s">
        <v>16</v>
      </c>
      <c r="F4968">
        <v>2</v>
      </c>
      <c r="G4968">
        <v>0</v>
      </c>
      <c r="H4968" s="2">
        <v>6.2208000000000006</v>
      </c>
      <c r="I4968" s="2">
        <v>12.96</v>
      </c>
    </row>
    <row r="4969" spans="2:9" x14ac:dyDescent="0.3">
      <c r="D4969" t="s">
        <v>15</v>
      </c>
      <c r="E4969" t="s">
        <v>19</v>
      </c>
      <c r="F4969">
        <v>3</v>
      </c>
      <c r="G4969">
        <v>0.2</v>
      </c>
      <c r="H4969" s="2">
        <v>4.5872999999999937</v>
      </c>
      <c r="I4969" s="2">
        <v>40.775999999999996</v>
      </c>
    </row>
    <row r="4970" spans="2:9" x14ac:dyDescent="0.3">
      <c r="E4970" t="s">
        <v>20</v>
      </c>
      <c r="F4970">
        <v>1</v>
      </c>
      <c r="G4970">
        <v>0.7</v>
      </c>
      <c r="H4970" s="2">
        <v>-51.515399999999985</v>
      </c>
      <c r="I4970" s="2">
        <v>67.194000000000003</v>
      </c>
    </row>
    <row r="4971" spans="2:9" x14ac:dyDescent="0.3">
      <c r="E4971" t="s">
        <v>24</v>
      </c>
      <c r="F4971">
        <v>8</v>
      </c>
      <c r="G4971">
        <v>0.2</v>
      </c>
      <c r="H4971" s="2">
        <v>5.5944000000000003</v>
      </c>
      <c r="I4971" s="2">
        <v>63.936000000000007</v>
      </c>
    </row>
    <row r="4972" spans="2:9" x14ac:dyDescent="0.3">
      <c r="D4972" t="s">
        <v>17</v>
      </c>
      <c r="E4972" t="s">
        <v>19</v>
      </c>
      <c r="F4972">
        <v>5</v>
      </c>
      <c r="G4972">
        <v>0</v>
      </c>
      <c r="H4972" s="2">
        <v>42.22499999999998</v>
      </c>
      <c r="I4972" s="2">
        <v>140.75</v>
      </c>
    </row>
    <row r="4973" spans="2:9" x14ac:dyDescent="0.3">
      <c r="E4973" t="s">
        <v>20</v>
      </c>
      <c r="F4973">
        <v>2</v>
      </c>
      <c r="G4973">
        <v>0</v>
      </c>
      <c r="H4973" s="2">
        <v>54.997599999999991</v>
      </c>
      <c r="I4973" s="2">
        <v>119.56</v>
      </c>
    </row>
    <row r="4974" spans="2:9" x14ac:dyDescent="0.3">
      <c r="B4974" t="s">
        <v>489</v>
      </c>
      <c r="C4974" t="s">
        <v>7</v>
      </c>
      <c r="D4974" t="s">
        <v>8</v>
      </c>
      <c r="E4974" t="s">
        <v>23</v>
      </c>
      <c r="F4974">
        <v>5</v>
      </c>
      <c r="G4974">
        <v>0</v>
      </c>
      <c r="H4974" s="2">
        <v>124.68000000000004</v>
      </c>
      <c r="I4974" s="2">
        <v>831.2</v>
      </c>
    </row>
    <row r="4975" spans="2:9" x14ac:dyDescent="0.3">
      <c r="E4975" t="s">
        <v>38</v>
      </c>
      <c r="F4975">
        <v>7</v>
      </c>
      <c r="G4975">
        <v>0</v>
      </c>
      <c r="H4975" s="2">
        <v>49.10499999999999</v>
      </c>
      <c r="I4975" s="2">
        <v>106.75</v>
      </c>
    </row>
    <row r="4976" spans="2:9" x14ac:dyDescent="0.3">
      <c r="E4976" t="s">
        <v>16</v>
      </c>
      <c r="F4976">
        <v>7</v>
      </c>
      <c r="G4976">
        <v>0</v>
      </c>
      <c r="H4976" s="2">
        <v>57.855399999999989</v>
      </c>
      <c r="I4976" s="2">
        <v>124.22</v>
      </c>
    </row>
    <row r="4977" spans="2:9" x14ac:dyDescent="0.3">
      <c r="E4977" t="s">
        <v>14</v>
      </c>
      <c r="F4977">
        <v>6</v>
      </c>
      <c r="G4977">
        <v>0</v>
      </c>
      <c r="H4977" s="2">
        <v>47.910799999999995</v>
      </c>
      <c r="I4977" s="2">
        <v>176.16</v>
      </c>
    </row>
    <row r="4978" spans="2:9" x14ac:dyDescent="0.3">
      <c r="B4978" t="s">
        <v>490</v>
      </c>
      <c r="C4978" t="s">
        <v>27</v>
      </c>
      <c r="D4978" t="s">
        <v>15</v>
      </c>
      <c r="E4978" t="s">
        <v>23</v>
      </c>
      <c r="F4978">
        <v>3</v>
      </c>
      <c r="G4978">
        <v>0</v>
      </c>
      <c r="H4978" s="2">
        <v>125.98740000000001</v>
      </c>
      <c r="I4978" s="2">
        <v>299.96999999999997</v>
      </c>
    </row>
    <row r="4979" spans="2:9" x14ac:dyDescent="0.3">
      <c r="E4979" t="s">
        <v>12</v>
      </c>
      <c r="F4979">
        <v>2</v>
      </c>
      <c r="G4979">
        <v>0</v>
      </c>
      <c r="H4979" s="2">
        <v>78.671999999999997</v>
      </c>
      <c r="I4979" s="2">
        <v>262.24</v>
      </c>
    </row>
    <row r="4980" spans="2:9" x14ac:dyDescent="0.3">
      <c r="E4980" t="s">
        <v>20</v>
      </c>
      <c r="F4980">
        <v>6</v>
      </c>
      <c r="G4980">
        <v>0</v>
      </c>
      <c r="H4980" s="2">
        <v>112.49279999999999</v>
      </c>
      <c r="I4980" s="2">
        <v>234.36</v>
      </c>
    </row>
    <row r="4981" spans="2:9" x14ac:dyDescent="0.3">
      <c r="E4981" t="s">
        <v>38</v>
      </c>
      <c r="F4981">
        <v>4</v>
      </c>
      <c r="G4981">
        <v>0</v>
      </c>
      <c r="H4981" s="2">
        <v>19.6328</v>
      </c>
      <c r="I4981" s="2">
        <v>42.68</v>
      </c>
    </row>
    <row r="4982" spans="2:9" x14ac:dyDescent="0.3">
      <c r="C4982" t="s">
        <v>22</v>
      </c>
      <c r="D4982" t="s">
        <v>8</v>
      </c>
      <c r="E4982" t="s">
        <v>23</v>
      </c>
      <c r="F4982">
        <v>4</v>
      </c>
      <c r="G4982">
        <v>0</v>
      </c>
      <c r="H4982" s="2">
        <v>53.750400000000013</v>
      </c>
      <c r="I4982" s="2">
        <v>223.96</v>
      </c>
    </row>
    <row r="4983" spans="2:9" x14ac:dyDescent="0.3">
      <c r="E4983" t="s">
        <v>14</v>
      </c>
      <c r="F4983">
        <v>5</v>
      </c>
      <c r="G4983">
        <v>0</v>
      </c>
      <c r="H4983" s="2">
        <v>0</v>
      </c>
      <c r="I4983" s="2">
        <v>306.2</v>
      </c>
    </row>
    <row r="4984" spans="2:9" x14ac:dyDescent="0.3">
      <c r="E4984" t="s">
        <v>25</v>
      </c>
      <c r="F4984">
        <v>1</v>
      </c>
      <c r="G4984">
        <v>0</v>
      </c>
      <c r="H4984" s="2">
        <v>22.354800000000004</v>
      </c>
      <c r="I4984" s="2">
        <v>85.98</v>
      </c>
    </row>
    <row r="4985" spans="2:9" x14ac:dyDescent="0.3">
      <c r="B4985" t="s">
        <v>491</v>
      </c>
      <c r="C4985" t="s">
        <v>7</v>
      </c>
      <c r="D4985" t="s">
        <v>8</v>
      </c>
      <c r="E4985" t="s">
        <v>19</v>
      </c>
      <c r="F4985">
        <v>4</v>
      </c>
      <c r="G4985">
        <v>0</v>
      </c>
      <c r="H4985" s="2">
        <v>23.807999999999993</v>
      </c>
      <c r="I4985" s="2">
        <v>79.36</v>
      </c>
    </row>
    <row r="4986" spans="2:9" x14ac:dyDescent="0.3">
      <c r="C4986" t="s">
        <v>22</v>
      </c>
      <c r="D4986" t="s">
        <v>15</v>
      </c>
      <c r="E4986" t="s">
        <v>46</v>
      </c>
      <c r="F4986">
        <v>10</v>
      </c>
      <c r="G4986">
        <v>0.2</v>
      </c>
      <c r="H4986" s="2">
        <v>179.73000000000013</v>
      </c>
      <c r="I4986" s="2">
        <v>2396.4</v>
      </c>
    </row>
    <row r="4987" spans="2:9" x14ac:dyDescent="0.3">
      <c r="D4987" t="s">
        <v>17</v>
      </c>
      <c r="E4987" t="s">
        <v>9</v>
      </c>
      <c r="F4987">
        <v>5</v>
      </c>
      <c r="G4987">
        <v>0</v>
      </c>
      <c r="H4987" s="2">
        <v>24.997999999999987</v>
      </c>
      <c r="I4987" s="2">
        <v>86.199999999999989</v>
      </c>
    </row>
    <row r="4988" spans="2:9" x14ac:dyDescent="0.3">
      <c r="B4988" t="s">
        <v>492</v>
      </c>
      <c r="C4988" t="s">
        <v>11</v>
      </c>
      <c r="D4988" t="s">
        <v>15</v>
      </c>
      <c r="E4988" t="s">
        <v>46</v>
      </c>
      <c r="F4988">
        <v>3</v>
      </c>
      <c r="G4988">
        <v>0.2</v>
      </c>
      <c r="H4988" s="2">
        <v>62.82000000000005</v>
      </c>
      <c r="I4988" s="2">
        <v>837.59999999999991</v>
      </c>
    </row>
    <row r="4989" spans="2:9" x14ac:dyDescent="0.3">
      <c r="C4989" t="s">
        <v>27</v>
      </c>
      <c r="D4989" t="s">
        <v>8</v>
      </c>
      <c r="E4989" t="s">
        <v>23</v>
      </c>
      <c r="F4989">
        <v>6</v>
      </c>
      <c r="G4989">
        <v>0</v>
      </c>
      <c r="H4989" s="2">
        <v>26.393399999999986</v>
      </c>
      <c r="I4989" s="2">
        <v>239.94</v>
      </c>
    </row>
    <row r="4990" spans="2:9" x14ac:dyDescent="0.3">
      <c r="E4990" t="s">
        <v>19</v>
      </c>
      <c r="F4990">
        <v>8</v>
      </c>
      <c r="G4990">
        <v>0</v>
      </c>
      <c r="H4990" s="2">
        <v>6.4368000000000016</v>
      </c>
      <c r="I4990" s="2">
        <v>23.84</v>
      </c>
    </row>
    <row r="4991" spans="2:9" x14ac:dyDescent="0.3">
      <c r="C4991" t="s">
        <v>7</v>
      </c>
      <c r="D4991" t="s">
        <v>15</v>
      </c>
      <c r="E4991" t="s">
        <v>33</v>
      </c>
      <c r="F4991">
        <v>2</v>
      </c>
      <c r="G4991">
        <v>0.2</v>
      </c>
      <c r="H4991" s="2">
        <v>7.119599999999906</v>
      </c>
      <c r="I4991" s="2">
        <v>569.5680000000001</v>
      </c>
    </row>
    <row r="4992" spans="2:9" x14ac:dyDescent="0.3">
      <c r="E4992" t="s">
        <v>14</v>
      </c>
      <c r="F4992">
        <v>7</v>
      </c>
      <c r="G4992">
        <v>0</v>
      </c>
      <c r="H4992" s="2">
        <v>43.421699999999994</v>
      </c>
      <c r="I4992" s="2">
        <v>149.73000000000002</v>
      </c>
    </row>
    <row r="4993" spans="2:9" x14ac:dyDescent="0.3">
      <c r="C4993" t="s">
        <v>22</v>
      </c>
      <c r="D4993" t="s">
        <v>8</v>
      </c>
      <c r="E4993" t="s">
        <v>25</v>
      </c>
      <c r="F4993">
        <v>1</v>
      </c>
      <c r="G4993">
        <v>0</v>
      </c>
      <c r="H4993" s="2">
        <v>20.584199999999996</v>
      </c>
      <c r="I4993" s="2">
        <v>70.98</v>
      </c>
    </row>
    <row r="4994" spans="2:9" x14ac:dyDescent="0.3">
      <c r="D4994" t="s">
        <v>17</v>
      </c>
      <c r="E4994" t="s">
        <v>14</v>
      </c>
      <c r="F4994">
        <v>9</v>
      </c>
      <c r="G4994">
        <v>0</v>
      </c>
      <c r="H4994" s="2">
        <v>5.4503999999999913</v>
      </c>
      <c r="I4994" s="2">
        <v>136.26</v>
      </c>
    </row>
    <row r="4995" spans="2:9" x14ac:dyDescent="0.3">
      <c r="B4995" t="s">
        <v>493</v>
      </c>
      <c r="C4995" t="s">
        <v>22</v>
      </c>
      <c r="D4995" t="s">
        <v>17</v>
      </c>
      <c r="E4995" t="s">
        <v>19</v>
      </c>
      <c r="F4995">
        <v>2</v>
      </c>
      <c r="G4995">
        <v>0</v>
      </c>
      <c r="H4995" s="2">
        <v>1.4189999999999996</v>
      </c>
      <c r="I4995" s="2">
        <v>4.3</v>
      </c>
    </row>
    <row r="4996" spans="2:9" x14ac:dyDescent="0.3">
      <c r="B4996" t="s">
        <v>494</v>
      </c>
      <c r="C4996" t="s">
        <v>11</v>
      </c>
      <c r="D4996" t="s">
        <v>8</v>
      </c>
      <c r="E4996" t="s">
        <v>20</v>
      </c>
      <c r="F4996">
        <v>4</v>
      </c>
      <c r="G4996">
        <v>0</v>
      </c>
      <c r="H4996" s="2">
        <v>10.7136</v>
      </c>
      <c r="I4996" s="2">
        <v>22.32</v>
      </c>
    </row>
    <row r="4997" spans="2:9" x14ac:dyDescent="0.3">
      <c r="E4997" t="s">
        <v>43</v>
      </c>
      <c r="F4997">
        <v>7</v>
      </c>
      <c r="G4997">
        <v>0</v>
      </c>
      <c r="H4997" s="2">
        <v>51.800000000000004</v>
      </c>
      <c r="I4997" s="2">
        <v>103.60000000000001</v>
      </c>
    </row>
    <row r="4998" spans="2:9" x14ac:dyDescent="0.3">
      <c r="E4998" t="s">
        <v>16</v>
      </c>
      <c r="F4998">
        <v>2</v>
      </c>
      <c r="G4998">
        <v>0</v>
      </c>
      <c r="H4998" s="2">
        <v>35.663599999999995</v>
      </c>
      <c r="I4998" s="2">
        <v>75.88</v>
      </c>
    </row>
    <row r="4999" spans="2:9" x14ac:dyDescent="0.3">
      <c r="E4999" t="s">
        <v>25</v>
      </c>
      <c r="F4999">
        <v>7</v>
      </c>
      <c r="G4999">
        <v>0</v>
      </c>
      <c r="H4999" s="2">
        <v>158.52899999999994</v>
      </c>
      <c r="I4999" s="2">
        <v>1056.8599999999999</v>
      </c>
    </row>
    <row r="5000" spans="2:9" x14ac:dyDescent="0.3">
      <c r="D5000" t="s">
        <v>15</v>
      </c>
      <c r="E5000" t="s">
        <v>23</v>
      </c>
      <c r="F5000">
        <v>13</v>
      </c>
      <c r="G5000">
        <v>0.8</v>
      </c>
      <c r="H5000" s="2">
        <v>50.427399999999977</v>
      </c>
      <c r="I5000" s="2">
        <v>340.40800000000002</v>
      </c>
    </row>
    <row r="5001" spans="2:9" x14ac:dyDescent="0.3">
      <c r="E5001" t="s">
        <v>12</v>
      </c>
      <c r="F5001">
        <v>7</v>
      </c>
      <c r="G5001">
        <v>0.2</v>
      </c>
      <c r="H5001" s="2">
        <v>331.37490000000003</v>
      </c>
      <c r="I5001" s="2">
        <v>899.64599999999996</v>
      </c>
    </row>
    <row r="5002" spans="2:9" x14ac:dyDescent="0.3">
      <c r="E5002" t="s">
        <v>20</v>
      </c>
      <c r="F5002">
        <v>12</v>
      </c>
      <c r="G5002">
        <v>1.4</v>
      </c>
      <c r="H5002" s="2">
        <v>-14.009599999999997</v>
      </c>
      <c r="I5002" s="2">
        <v>20.124000000000002</v>
      </c>
    </row>
    <row r="5003" spans="2:9" x14ac:dyDescent="0.3">
      <c r="E5003" t="s">
        <v>33</v>
      </c>
      <c r="F5003">
        <v>2</v>
      </c>
      <c r="G5003">
        <v>0.2</v>
      </c>
      <c r="H5003" s="2">
        <v>47.848000000000013</v>
      </c>
      <c r="I5003" s="2">
        <v>478.48</v>
      </c>
    </row>
    <row r="5004" spans="2:9" x14ac:dyDescent="0.3">
      <c r="E5004" t="s">
        <v>38</v>
      </c>
      <c r="F5004">
        <v>2</v>
      </c>
      <c r="G5004">
        <v>0</v>
      </c>
      <c r="H5004" s="2">
        <v>16.98</v>
      </c>
      <c r="I5004" s="2">
        <v>33.96</v>
      </c>
    </row>
    <row r="5005" spans="2:9" x14ac:dyDescent="0.3">
      <c r="E5005" t="s">
        <v>18</v>
      </c>
      <c r="F5005">
        <v>5</v>
      </c>
      <c r="G5005">
        <v>0.2</v>
      </c>
      <c r="H5005" s="2">
        <v>2.289000000000001</v>
      </c>
      <c r="I5005" s="2">
        <v>8.7200000000000006</v>
      </c>
    </row>
    <row r="5006" spans="2:9" x14ac:dyDescent="0.3">
      <c r="E5006" t="s">
        <v>21</v>
      </c>
      <c r="F5006">
        <v>4</v>
      </c>
      <c r="G5006">
        <v>0</v>
      </c>
      <c r="H5006" s="2">
        <v>12.521600000000003</v>
      </c>
      <c r="I5006" s="2">
        <v>29.12</v>
      </c>
    </row>
    <row r="5007" spans="2:9" x14ac:dyDescent="0.3">
      <c r="E5007" t="s">
        <v>46</v>
      </c>
      <c r="F5007">
        <v>7</v>
      </c>
      <c r="G5007">
        <v>0.7</v>
      </c>
      <c r="H5007" s="2">
        <v>-935.95949999999993</v>
      </c>
      <c r="I5007" s="2">
        <v>652.99500000000012</v>
      </c>
    </row>
    <row r="5008" spans="2:9" x14ac:dyDescent="0.3">
      <c r="E5008" t="s">
        <v>16</v>
      </c>
      <c r="F5008">
        <v>1</v>
      </c>
      <c r="G5008">
        <v>0.2</v>
      </c>
      <c r="H5008" s="2">
        <v>1.8144</v>
      </c>
      <c r="I5008" s="2">
        <v>5.1840000000000011</v>
      </c>
    </row>
    <row r="5009" spans="3:9" x14ac:dyDescent="0.3">
      <c r="E5009" t="s">
        <v>24</v>
      </c>
      <c r="F5009">
        <v>5</v>
      </c>
      <c r="G5009">
        <v>0</v>
      </c>
      <c r="H5009" s="2">
        <v>168.18549999999993</v>
      </c>
      <c r="I5009" s="2">
        <v>579.94999999999993</v>
      </c>
    </row>
    <row r="5010" spans="3:9" x14ac:dyDescent="0.3">
      <c r="E5010" t="s">
        <v>25</v>
      </c>
      <c r="F5010">
        <v>3</v>
      </c>
      <c r="G5010">
        <v>0</v>
      </c>
      <c r="H5010" s="2">
        <v>300.73500000000001</v>
      </c>
      <c r="I5010" s="2">
        <v>1202.94</v>
      </c>
    </row>
    <row r="5011" spans="3:9" x14ac:dyDescent="0.3">
      <c r="D5011" t="s">
        <v>17</v>
      </c>
      <c r="E5011" t="s">
        <v>20</v>
      </c>
      <c r="F5011">
        <v>2</v>
      </c>
      <c r="G5011">
        <v>0</v>
      </c>
      <c r="H5011" s="2">
        <v>4.2047999999999996</v>
      </c>
      <c r="I5011" s="2">
        <v>8.76</v>
      </c>
    </row>
    <row r="5012" spans="3:9" x14ac:dyDescent="0.3">
      <c r="E5012" t="s">
        <v>16</v>
      </c>
      <c r="F5012">
        <v>3</v>
      </c>
      <c r="G5012">
        <v>0</v>
      </c>
      <c r="H5012" s="2">
        <v>13.070699999999999</v>
      </c>
      <c r="I5012" s="2">
        <v>27.81</v>
      </c>
    </row>
    <row r="5013" spans="3:9" x14ac:dyDescent="0.3">
      <c r="E5013" t="s">
        <v>24</v>
      </c>
      <c r="F5013">
        <v>3</v>
      </c>
      <c r="G5013">
        <v>0</v>
      </c>
      <c r="H5013" s="2">
        <v>5.9987999999999815</v>
      </c>
      <c r="I5013" s="2">
        <v>149.97</v>
      </c>
    </row>
    <row r="5014" spans="3:9" x14ac:dyDescent="0.3">
      <c r="C5014" t="s">
        <v>27</v>
      </c>
      <c r="D5014" t="s">
        <v>8</v>
      </c>
      <c r="E5014" t="s">
        <v>23</v>
      </c>
      <c r="F5014">
        <v>4</v>
      </c>
      <c r="G5014">
        <v>0</v>
      </c>
      <c r="H5014" s="2">
        <v>21</v>
      </c>
      <c r="I5014" s="2">
        <v>100</v>
      </c>
    </row>
    <row r="5015" spans="3:9" x14ac:dyDescent="0.3">
      <c r="E5015" t="s">
        <v>20</v>
      </c>
      <c r="F5015">
        <v>3</v>
      </c>
      <c r="G5015">
        <v>0.7</v>
      </c>
      <c r="H5015" s="2">
        <v>-21.887999999999991</v>
      </c>
      <c r="I5015" s="2">
        <v>27.360000000000003</v>
      </c>
    </row>
    <row r="5016" spans="3:9" x14ac:dyDescent="0.3">
      <c r="E5016" t="s">
        <v>43</v>
      </c>
      <c r="F5016">
        <v>3</v>
      </c>
      <c r="G5016">
        <v>0</v>
      </c>
      <c r="H5016" s="2">
        <v>3.6017999999999999</v>
      </c>
      <c r="I5016" s="2">
        <v>7.83</v>
      </c>
    </row>
    <row r="5017" spans="3:9" x14ac:dyDescent="0.3">
      <c r="E5017" t="s">
        <v>14</v>
      </c>
      <c r="F5017">
        <v>1</v>
      </c>
      <c r="G5017">
        <v>0.2</v>
      </c>
      <c r="H5017" s="2">
        <v>-5.1968000000000005</v>
      </c>
      <c r="I5017" s="2">
        <v>25.983999999999998</v>
      </c>
    </row>
    <row r="5018" spans="3:9" x14ac:dyDescent="0.3">
      <c r="C5018" t="s">
        <v>7</v>
      </c>
      <c r="D5018" t="s">
        <v>8</v>
      </c>
      <c r="E5018" t="s">
        <v>23</v>
      </c>
      <c r="F5018">
        <v>13</v>
      </c>
      <c r="G5018">
        <v>0</v>
      </c>
      <c r="H5018" s="2">
        <v>68.199399999999983</v>
      </c>
      <c r="I5018" s="2">
        <v>509.63</v>
      </c>
    </row>
    <row r="5019" spans="3:9" x14ac:dyDescent="0.3">
      <c r="E5019" t="s">
        <v>12</v>
      </c>
      <c r="F5019">
        <v>5</v>
      </c>
      <c r="G5019">
        <v>0</v>
      </c>
      <c r="H5019" s="2">
        <v>21.869700000000002</v>
      </c>
      <c r="I5019" s="2">
        <v>58.17</v>
      </c>
    </row>
    <row r="5020" spans="3:9" x14ac:dyDescent="0.3">
      <c r="E5020" t="s">
        <v>19</v>
      </c>
      <c r="F5020">
        <v>9</v>
      </c>
      <c r="G5020">
        <v>0</v>
      </c>
      <c r="H5020" s="2">
        <v>8.1039999999999957</v>
      </c>
      <c r="I5020" s="2">
        <v>28.519999999999996</v>
      </c>
    </row>
    <row r="5021" spans="3:9" x14ac:dyDescent="0.3">
      <c r="E5021" t="s">
        <v>20</v>
      </c>
      <c r="F5021">
        <v>6</v>
      </c>
      <c r="G5021">
        <v>0</v>
      </c>
      <c r="H5021" s="2">
        <v>14.3568</v>
      </c>
      <c r="I5021" s="2">
        <v>29.910000000000004</v>
      </c>
    </row>
    <row r="5022" spans="3:9" x14ac:dyDescent="0.3">
      <c r="E5022" t="s">
        <v>38</v>
      </c>
      <c r="F5022">
        <v>8</v>
      </c>
      <c r="G5022">
        <v>0.2</v>
      </c>
      <c r="H5022" s="2">
        <v>23.769999999999996</v>
      </c>
      <c r="I5022" s="2">
        <v>56.192</v>
      </c>
    </row>
    <row r="5023" spans="3:9" x14ac:dyDescent="0.3">
      <c r="E5023" t="s">
        <v>21</v>
      </c>
      <c r="F5023">
        <v>15</v>
      </c>
      <c r="G5023">
        <v>0</v>
      </c>
      <c r="H5023" s="2">
        <v>258.87239999999991</v>
      </c>
      <c r="I5023" s="2">
        <v>888.6</v>
      </c>
    </row>
    <row r="5024" spans="3:9" x14ac:dyDescent="0.3">
      <c r="E5024" t="s">
        <v>16</v>
      </c>
      <c r="F5024">
        <v>11</v>
      </c>
      <c r="G5024">
        <v>0.2</v>
      </c>
      <c r="H5024" s="2">
        <v>23.6374</v>
      </c>
      <c r="I5024" s="2">
        <v>53.492000000000004</v>
      </c>
    </row>
    <row r="5025" spans="3:9" x14ac:dyDescent="0.3">
      <c r="E5025" t="s">
        <v>14</v>
      </c>
      <c r="F5025">
        <v>17</v>
      </c>
      <c r="G5025">
        <v>0.4</v>
      </c>
      <c r="H5025" s="2">
        <v>-17.370499999999979</v>
      </c>
      <c r="I5025" s="2">
        <v>729.31399999999996</v>
      </c>
    </row>
    <row r="5026" spans="3:9" x14ac:dyDescent="0.3">
      <c r="E5026" t="s">
        <v>25</v>
      </c>
      <c r="F5026">
        <v>1</v>
      </c>
      <c r="G5026">
        <v>0.5</v>
      </c>
      <c r="H5026" s="2">
        <v>-170.80380000000002</v>
      </c>
      <c r="I5026" s="2">
        <v>275.49</v>
      </c>
    </row>
    <row r="5027" spans="3:9" x14ac:dyDescent="0.3">
      <c r="D5027" t="s">
        <v>15</v>
      </c>
      <c r="E5027" t="s">
        <v>12</v>
      </c>
      <c r="F5027">
        <v>4</v>
      </c>
      <c r="G5027">
        <v>0.2</v>
      </c>
      <c r="H5027" s="2">
        <v>6.4864000000000033</v>
      </c>
      <c r="I5027" s="2">
        <v>64.864000000000004</v>
      </c>
    </row>
    <row r="5028" spans="3:9" x14ac:dyDescent="0.3">
      <c r="E5028" t="s">
        <v>19</v>
      </c>
      <c r="F5028">
        <v>6</v>
      </c>
      <c r="G5028">
        <v>0</v>
      </c>
      <c r="H5028" s="2">
        <v>54.584400000000002</v>
      </c>
      <c r="I5028" s="2">
        <v>209.94</v>
      </c>
    </row>
    <row r="5029" spans="3:9" x14ac:dyDescent="0.3">
      <c r="E5029" t="s">
        <v>34</v>
      </c>
      <c r="F5029">
        <v>3</v>
      </c>
      <c r="G5029">
        <v>0</v>
      </c>
      <c r="H5029" s="2">
        <v>53.235000000000014</v>
      </c>
      <c r="I5029" s="2">
        <v>212.94</v>
      </c>
    </row>
    <row r="5030" spans="3:9" x14ac:dyDescent="0.3">
      <c r="E5030" t="s">
        <v>43</v>
      </c>
      <c r="F5030">
        <v>2</v>
      </c>
      <c r="G5030">
        <v>0</v>
      </c>
      <c r="H5030" s="2">
        <v>11.778199999999998</v>
      </c>
      <c r="I5030" s="2">
        <v>25.06</v>
      </c>
    </row>
    <row r="5031" spans="3:9" x14ac:dyDescent="0.3">
      <c r="E5031" t="s">
        <v>16</v>
      </c>
      <c r="F5031">
        <v>5</v>
      </c>
      <c r="G5031">
        <v>0</v>
      </c>
      <c r="H5031" s="2">
        <v>15.552000000000001</v>
      </c>
      <c r="I5031" s="2">
        <v>32.400000000000006</v>
      </c>
    </row>
    <row r="5032" spans="3:9" x14ac:dyDescent="0.3">
      <c r="E5032" t="s">
        <v>24</v>
      </c>
      <c r="F5032">
        <v>3</v>
      </c>
      <c r="G5032">
        <v>0</v>
      </c>
      <c r="H5032" s="2">
        <v>148.49099999999996</v>
      </c>
      <c r="I5032" s="2">
        <v>494.97</v>
      </c>
    </row>
    <row r="5033" spans="3:9" x14ac:dyDescent="0.3">
      <c r="E5033" t="s">
        <v>9</v>
      </c>
      <c r="F5033">
        <v>5</v>
      </c>
      <c r="G5033">
        <v>0</v>
      </c>
      <c r="H5033" s="2">
        <v>83.281000000000063</v>
      </c>
      <c r="I5033" s="2">
        <v>4164.0499999999993</v>
      </c>
    </row>
    <row r="5034" spans="3:9" x14ac:dyDescent="0.3">
      <c r="D5034" t="s">
        <v>17</v>
      </c>
      <c r="E5034" t="s">
        <v>12</v>
      </c>
      <c r="F5034">
        <v>8</v>
      </c>
      <c r="G5034">
        <v>0</v>
      </c>
      <c r="H5034" s="2">
        <v>213.17519999999999</v>
      </c>
      <c r="I5034" s="2">
        <v>761.34</v>
      </c>
    </row>
    <row r="5035" spans="3:9" x14ac:dyDescent="0.3">
      <c r="E5035" t="s">
        <v>19</v>
      </c>
      <c r="F5035">
        <v>1</v>
      </c>
      <c r="G5035">
        <v>0.2</v>
      </c>
      <c r="H5035" s="2">
        <v>0.29960000000000009</v>
      </c>
      <c r="I5035" s="2">
        <v>3.4240000000000004</v>
      </c>
    </row>
    <row r="5036" spans="3:9" x14ac:dyDescent="0.3">
      <c r="E5036" t="s">
        <v>20</v>
      </c>
      <c r="F5036">
        <v>7</v>
      </c>
      <c r="G5036">
        <v>0</v>
      </c>
      <c r="H5036" s="2">
        <v>20.731199999999998</v>
      </c>
      <c r="I5036" s="2">
        <v>43.19</v>
      </c>
    </row>
    <row r="5037" spans="3:9" x14ac:dyDescent="0.3">
      <c r="E5037" t="s">
        <v>33</v>
      </c>
      <c r="F5037">
        <v>2</v>
      </c>
      <c r="G5037">
        <v>0.3</v>
      </c>
      <c r="H5037" s="2">
        <v>-35.513599999999997</v>
      </c>
      <c r="I5037" s="2">
        <v>155.37199999999999</v>
      </c>
    </row>
    <row r="5038" spans="3:9" x14ac:dyDescent="0.3">
      <c r="E5038" t="s">
        <v>16</v>
      </c>
      <c r="F5038">
        <v>6</v>
      </c>
      <c r="G5038">
        <v>0.4</v>
      </c>
      <c r="H5038" s="2">
        <v>26.019599999999997</v>
      </c>
      <c r="I5038" s="2">
        <v>78.864000000000004</v>
      </c>
    </row>
    <row r="5039" spans="3:9" x14ac:dyDescent="0.3">
      <c r="E5039" t="s">
        <v>24</v>
      </c>
      <c r="F5039">
        <v>7</v>
      </c>
      <c r="G5039">
        <v>0.4</v>
      </c>
      <c r="H5039" s="2">
        <v>-7.5733999999999941</v>
      </c>
      <c r="I5039" s="2">
        <v>130.53799999999998</v>
      </c>
    </row>
    <row r="5040" spans="3:9" x14ac:dyDescent="0.3">
      <c r="C5040" t="s">
        <v>22</v>
      </c>
      <c r="D5040" t="s">
        <v>8</v>
      </c>
      <c r="E5040" t="s">
        <v>23</v>
      </c>
      <c r="F5040">
        <v>19</v>
      </c>
      <c r="G5040">
        <v>0.4</v>
      </c>
      <c r="H5040" s="2">
        <v>92.764800000000022</v>
      </c>
      <c r="I5040" s="2">
        <v>372.92599999999999</v>
      </c>
    </row>
    <row r="5041" spans="4:9" x14ac:dyDescent="0.3">
      <c r="E5041" t="s">
        <v>12</v>
      </c>
      <c r="F5041">
        <v>1</v>
      </c>
      <c r="G5041">
        <v>0.2</v>
      </c>
      <c r="H5041" s="2">
        <v>2.6405999999999992</v>
      </c>
      <c r="I5041" s="2">
        <v>35.207999999999998</v>
      </c>
    </row>
    <row r="5042" spans="4:9" x14ac:dyDescent="0.3">
      <c r="E5042" t="s">
        <v>19</v>
      </c>
      <c r="F5042">
        <v>28</v>
      </c>
      <c r="G5042">
        <v>0.8</v>
      </c>
      <c r="H5042" s="2">
        <v>76.60139999999997</v>
      </c>
      <c r="I5042" s="2">
        <v>377.084</v>
      </c>
    </row>
    <row r="5043" spans="4:9" x14ac:dyDescent="0.3">
      <c r="E5043" t="s">
        <v>20</v>
      </c>
      <c r="F5043">
        <v>11</v>
      </c>
      <c r="G5043">
        <v>1.4</v>
      </c>
      <c r="H5043" s="2">
        <v>-10.607499999999998</v>
      </c>
      <c r="I5043" s="2">
        <v>42.170999999999999</v>
      </c>
    </row>
    <row r="5044" spans="4:9" x14ac:dyDescent="0.3">
      <c r="E5044" t="s">
        <v>34</v>
      </c>
      <c r="F5044">
        <v>11</v>
      </c>
      <c r="G5044">
        <v>1.2</v>
      </c>
      <c r="H5044" s="2">
        <v>-552.70240000000001</v>
      </c>
      <c r="I5044" s="2">
        <v>517.73900000000003</v>
      </c>
    </row>
    <row r="5045" spans="4:9" x14ac:dyDescent="0.3">
      <c r="E5045" t="s">
        <v>38</v>
      </c>
      <c r="F5045">
        <v>10</v>
      </c>
      <c r="G5045">
        <v>0</v>
      </c>
      <c r="H5045" s="2">
        <v>48.861599999999996</v>
      </c>
      <c r="I5045" s="2">
        <v>106.68</v>
      </c>
    </row>
    <row r="5046" spans="4:9" x14ac:dyDescent="0.3">
      <c r="E5046" t="s">
        <v>46</v>
      </c>
      <c r="F5046">
        <v>5</v>
      </c>
      <c r="G5046">
        <v>0.7</v>
      </c>
      <c r="H5046" s="2">
        <v>-21.944999999999993</v>
      </c>
      <c r="I5046" s="2">
        <v>29.925000000000001</v>
      </c>
    </row>
    <row r="5047" spans="4:9" x14ac:dyDescent="0.3">
      <c r="E5047" t="s">
        <v>16</v>
      </c>
      <c r="F5047">
        <v>27</v>
      </c>
      <c r="G5047">
        <v>0.4</v>
      </c>
      <c r="H5047" s="2">
        <v>127.36269999999999</v>
      </c>
      <c r="I5047" s="2">
        <v>328.68400000000003</v>
      </c>
    </row>
    <row r="5048" spans="4:9" x14ac:dyDescent="0.3">
      <c r="E5048" t="s">
        <v>24</v>
      </c>
      <c r="F5048">
        <v>6</v>
      </c>
      <c r="G5048">
        <v>0.8</v>
      </c>
      <c r="H5048" s="2">
        <v>-93.265199999999965</v>
      </c>
      <c r="I5048" s="2">
        <v>418.27199999999999</v>
      </c>
    </row>
    <row r="5049" spans="4:9" x14ac:dyDescent="0.3">
      <c r="E5049" t="s">
        <v>14</v>
      </c>
      <c r="F5049">
        <v>15</v>
      </c>
      <c r="G5049">
        <v>0.2</v>
      </c>
      <c r="H5049" s="2">
        <v>-84.608400000000017</v>
      </c>
      <c r="I5049" s="2">
        <v>1185.7260000000001</v>
      </c>
    </row>
    <row r="5050" spans="4:9" x14ac:dyDescent="0.3">
      <c r="E5050" t="s">
        <v>9</v>
      </c>
      <c r="F5050">
        <v>6</v>
      </c>
      <c r="G5050">
        <v>0.2</v>
      </c>
      <c r="H5050" s="2">
        <v>4.3955999999999982</v>
      </c>
      <c r="I5050" s="2">
        <v>39.072000000000003</v>
      </c>
    </row>
    <row r="5051" spans="4:9" x14ac:dyDescent="0.3">
      <c r="E5051" t="s">
        <v>25</v>
      </c>
      <c r="F5051">
        <v>15</v>
      </c>
      <c r="G5051">
        <v>0.5</v>
      </c>
      <c r="H5051" s="2">
        <v>102.08219999999994</v>
      </c>
      <c r="I5051" s="2">
        <v>1645.8000000000002</v>
      </c>
    </row>
    <row r="5052" spans="4:9" x14ac:dyDescent="0.3">
      <c r="D5052" t="s">
        <v>15</v>
      </c>
      <c r="E5052" t="s">
        <v>23</v>
      </c>
      <c r="F5052">
        <v>16</v>
      </c>
      <c r="G5052">
        <v>0.2</v>
      </c>
      <c r="H5052" s="2">
        <v>845.34509999999977</v>
      </c>
      <c r="I5052" s="2">
        <v>2896.3440000000001</v>
      </c>
    </row>
    <row r="5053" spans="4:9" x14ac:dyDescent="0.3">
      <c r="E5053" t="s">
        <v>12</v>
      </c>
      <c r="F5053">
        <v>8</v>
      </c>
      <c r="G5053">
        <v>0.2</v>
      </c>
      <c r="H5053" s="2">
        <v>34.663799999999995</v>
      </c>
      <c r="I5053" s="2">
        <v>247.14000000000001</v>
      </c>
    </row>
    <row r="5054" spans="4:9" x14ac:dyDescent="0.3">
      <c r="E5054" t="s">
        <v>19</v>
      </c>
      <c r="F5054">
        <v>7</v>
      </c>
      <c r="G5054">
        <v>0.2</v>
      </c>
      <c r="H5054" s="2">
        <v>9.2565999999999988</v>
      </c>
      <c r="I5054" s="2">
        <v>33.152000000000001</v>
      </c>
    </row>
    <row r="5055" spans="4:9" x14ac:dyDescent="0.3">
      <c r="E5055" t="s">
        <v>20</v>
      </c>
      <c r="F5055">
        <v>21</v>
      </c>
      <c r="G5055">
        <v>1.4</v>
      </c>
      <c r="H5055" s="2">
        <v>195.36499999999998</v>
      </c>
      <c r="I5055" s="2">
        <v>464.98899999999998</v>
      </c>
    </row>
    <row r="5056" spans="4:9" x14ac:dyDescent="0.3">
      <c r="E5056" t="s">
        <v>34</v>
      </c>
      <c r="F5056">
        <v>2</v>
      </c>
      <c r="G5056">
        <v>0.7</v>
      </c>
      <c r="H5056" s="2">
        <v>-128.2388</v>
      </c>
      <c r="I5056" s="2">
        <v>72.588000000000008</v>
      </c>
    </row>
    <row r="5057" spans="4:9" x14ac:dyDescent="0.3">
      <c r="E5057" t="s">
        <v>33</v>
      </c>
      <c r="F5057">
        <v>7</v>
      </c>
      <c r="G5057">
        <v>0.3</v>
      </c>
      <c r="H5057" s="2">
        <v>264.39779999999996</v>
      </c>
      <c r="I5057" s="2">
        <v>1657.578</v>
      </c>
    </row>
    <row r="5058" spans="4:9" x14ac:dyDescent="0.3">
      <c r="E5058" t="s">
        <v>45</v>
      </c>
      <c r="F5058">
        <v>8</v>
      </c>
      <c r="G5058">
        <v>0</v>
      </c>
      <c r="H5058" s="2">
        <v>2536.9631999999997</v>
      </c>
      <c r="I5058" s="2">
        <v>5499.92</v>
      </c>
    </row>
    <row r="5059" spans="4:9" x14ac:dyDescent="0.3">
      <c r="E5059" t="s">
        <v>38</v>
      </c>
      <c r="F5059">
        <v>11</v>
      </c>
      <c r="G5059">
        <v>0</v>
      </c>
      <c r="H5059" s="2">
        <v>178.84509999999997</v>
      </c>
      <c r="I5059" s="2">
        <v>377.68999999999994</v>
      </c>
    </row>
    <row r="5060" spans="4:9" x14ac:dyDescent="0.3">
      <c r="E5060" t="s">
        <v>18</v>
      </c>
      <c r="F5060">
        <v>3</v>
      </c>
      <c r="G5060">
        <v>0</v>
      </c>
      <c r="H5060" s="2">
        <v>5.2164000000000001</v>
      </c>
      <c r="I5060" s="2">
        <v>11.34</v>
      </c>
    </row>
    <row r="5061" spans="4:9" x14ac:dyDescent="0.3">
      <c r="E5061" t="s">
        <v>21</v>
      </c>
      <c r="F5061">
        <v>14</v>
      </c>
      <c r="G5061">
        <v>0.4</v>
      </c>
      <c r="H5061" s="2">
        <v>99.713399999999993</v>
      </c>
      <c r="I5061" s="2">
        <v>534.12</v>
      </c>
    </row>
    <row r="5062" spans="4:9" x14ac:dyDescent="0.3">
      <c r="E5062" t="s">
        <v>43</v>
      </c>
      <c r="F5062">
        <v>18</v>
      </c>
      <c r="G5062">
        <v>0.2</v>
      </c>
      <c r="H5062" s="2">
        <v>85.417100000000005</v>
      </c>
      <c r="I5062" s="2">
        <v>225.934</v>
      </c>
    </row>
    <row r="5063" spans="4:9" x14ac:dyDescent="0.3">
      <c r="E5063" t="s">
        <v>16</v>
      </c>
      <c r="F5063">
        <v>15</v>
      </c>
      <c r="G5063">
        <v>0.2</v>
      </c>
      <c r="H5063" s="2">
        <v>154.82210000000001</v>
      </c>
      <c r="I5063" s="2">
        <v>353.79399999999998</v>
      </c>
    </row>
    <row r="5064" spans="4:9" x14ac:dyDescent="0.3">
      <c r="E5064" t="s">
        <v>24</v>
      </c>
      <c r="F5064">
        <v>13</v>
      </c>
      <c r="G5064">
        <v>0.4</v>
      </c>
      <c r="H5064" s="2">
        <v>1004.3594000000003</v>
      </c>
      <c r="I5064" s="2">
        <v>4551.1060000000007</v>
      </c>
    </row>
    <row r="5065" spans="4:9" x14ac:dyDescent="0.3">
      <c r="E5065" t="s">
        <v>14</v>
      </c>
      <c r="F5065">
        <v>15</v>
      </c>
      <c r="G5065">
        <v>0.2</v>
      </c>
      <c r="H5065" s="2">
        <v>-161.01500000000004</v>
      </c>
      <c r="I5065" s="2">
        <v>786.54000000000008</v>
      </c>
    </row>
    <row r="5066" spans="4:9" x14ac:dyDescent="0.3">
      <c r="E5066" t="s">
        <v>25</v>
      </c>
      <c r="F5066">
        <v>10</v>
      </c>
      <c r="G5066">
        <v>0</v>
      </c>
      <c r="H5066" s="2">
        <v>386.83499999999981</v>
      </c>
      <c r="I5066" s="2">
        <v>2275.5</v>
      </c>
    </row>
    <row r="5067" spans="4:9" x14ac:dyDescent="0.3">
      <c r="D5067" t="s">
        <v>17</v>
      </c>
      <c r="E5067" t="s">
        <v>23</v>
      </c>
      <c r="F5067">
        <v>13</v>
      </c>
      <c r="G5067">
        <v>0.2</v>
      </c>
      <c r="H5067" s="2">
        <v>16.51189999999999</v>
      </c>
      <c r="I5067" s="2">
        <v>352.08000000000004</v>
      </c>
    </row>
    <row r="5068" spans="4:9" x14ac:dyDescent="0.3">
      <c r="E5068" t="s">
        <v>12</v>
      </c>
      <c r="F5068">
        <v>8</v>
      </c>
      <c r="G5068">
        <v>0.4</v>
      </c>
      <c r="H5068" s="2">
        <v>47.535999999999987</v>
      </c>
      <c r="I5068" s="2">
        <v>450.88800000000003</v>
      </c>
    </row>
    <row r="5069" spans="4:9" x14ac:dyDescent="0.3">
      <c r="E5069" t="s">
        <v>19</v>
      </c>
      <c r="F5069">
        <v>9</v>
      </c>
      <c r="G5069">
        <v>0.4</v>
      </c>
      <c r="H5069" s="2">
        <v>14.826399999999998</v>
      </c>
      <c r="I5069" s="2">
        <v>61.816000000000003</v>
      </c>
    </row>
    <row r="5070" spans="4:9" x14ac:dyDescent="0.3">
      <c r="E5070" t="s">
        <v>20</v>
      </c>
      <c r="F5070">
        <v>12</v>
      </c>
      <c r="G5070">
        <v>0.7</v>
      </c>
      <c r="H5070" s="2">
        <v>-34.042999999999999</v>
      </c>
      <c r="I5070" s="2">
        <v>96.588000000000008</v>
      </c>
    </row>
    <row r="5071" spans="4:9" x14ac:dyDescent="0.3">
      <c r="E5071" t="s">
        <v>18</v>
      </c>
      <c r="F5071">
        <v>3</v>
      </c>
      <c r="G5071">
        <v>0.2</v>
      </c>
      <c r="H5071" s="2">
        <v>-2.1194999999999999</v>
      </c>
      <c r="I5071" s="2">
        <v>11.304</v>
      </c>
    </row>
    <row r="5072" spans="4:9" x14ac:dyDescent="0.3">
      <c r="E5072" t="s">
        <v>21</v>
      </c>
      <c r="F5072">
        <v>7</v>
      </c>
      <c r="G5072">
        <v>0.2</v>
      </c>
      <c r="H5072" s="2">
        <v>29.657599999999988</v>
      </c>
      <c r="I5072" s="2">
        <v>148.28800000000001</v>
      </c>
    </row>
    <row r="5073" spans="2:9" x14ac:dyDescent="0.3">
      <c r="E5073" t="s">
        <v>43</v>
      </c>
      <c r="F5073">
        <v>10</v>
      </c>
      <c r="G5073">
        <v>0.4</v>
      </c>
      <c r="H5073" s="2">
        <v>29.980800000000006</v>
      </c>
      <c r="I5073" s="2">
        <v>80.256</v>
      </c>
    </row>
    <row r="5074" spans="2:9" x14ac:dyDescent="0.3">
      <c r="E5074" t="s">
        <v>16</v>
      </c>
      <c r="F5074">
        <v>8</v>
      </c>
      <c r="G5074">
        <v>0.8</v>
      </c>
      <c r="H5074" s="2">
        <v>45.2821</v>
      </c>
      <c r="I5074" s="2">
        <v>126.80800000000001</v>
      </c>
    </row>
    <row r="5075" spans="2:9" x14ac:dyDescent="0.3">
      <c r="E5075" t="s">
        <v>24</v>
      </c>
      <c r="F5075">
        <v>7</v>
      </c>
      <c r="G5075">
        <v>0.4</v>
      </c>
      <c r="H5075" s="2">
        <v>-9.7901999999999987</v>
      </c>
      <c r="I5075" s="2">
        <v>41.957999999999998</v>
      </c>
    </row>
    <row r="5076" spans="2:9" x14ac:dyDescent="0.3">
      <c r="E5076" t="s">
        <v>14</v>
      </c>
      <c r="F5076">
        <v>2</v>
      </c>
      <c r="G5076">
        <v>0</v>
      </c>
      <c r="H5076" s="2">
        <v>226.36260000000004</v>
      </c>
      <c r="I5076" s="2">
        <v>838.38</v>
      </c>
    </row>
    <row r="5077" spans="2:9" x14ac:dyDescent="0.3">
      <c r="E5077" t="s">
        <v>25</v>
      </c>
      <c r="F5077">
        <v>4</v>
      </c>
      <c r="G5077">
        <v>0.9</v>
      </c>
      <c r="H5077" s="2">
        <v>-447.92009999999993</v>
      </c>
      <c r="I5077" s="2">
        <v>894.7829999999999</v>
      </c>
    </row>
    <row r="5078" spans="2:9" x14ac:dyDescent="0.3">
      <c r="B5078" t="s">
        <v>495</v>
      </c>
      <c r="C5078" t="s">
        <v>7</v>
      </c>
      <c r="D5078" t="s">
        <v>17</v>
      </c>
      <c r="E5078" t="s">
        <v>19</v>
      </c>
      <c r="F5078">
        <v>4</v>
      </c>
      <c r="G5078">
        <v>0</v>
      </c>
      <c r="H5078" s="2">
        <v>20.633600000000001</v>
      </c>
      <c r="I5078" s="2">
        <v>79.36</v>
      </c>
    </row>
    <row r="5079" spans="2:9" x14ac:dyDescent="0.3">
      <c r="C5079" t="s">
        <v>22</v>
      </c>
      <c r="D5079" t="s">
        <v>8</v>
      </c>
      <c r="E5079" t="s">
        <v>19</v>
      </c>
      <c r="F5079">
        <v>2</v>
      </c>
      <c r="G5079">
        <v>0</v>
      </c>
      <c r="H5079" s="2">
        <v>3.5039999999999996</v>
      </c>
      <c r="I5079" s="2">
        <v>11.68</v>
      </c>
    </row>
    <row r="5080" spans="2:9" x14ac:dyDescent="0.3">
      <c r="D5080" t="s">
        <v>17</v>
      </c>
      <c r="E5080" t="s">
        <v>20</v>
      </c>
      <c r="F5080">
        <v>5</v>
      </c>
      <c r="G5080">
        <v>0</v>
      </c>
      <c r="H5080" s="2">
        <v>8.93</v>
      </c>
      <c r="I5080" s="2">
        <v>19</v>
      </c>
    </row>
    <row r="5081" spans="2:9" x14ac:dyDescent="0.3">
      <c r="B5081" t="s">
        <v>496</v>
      </c>
      <c r="C5081" t="s">
        <v>11</v>
      </c>
      <c r="D5081" t="s">
        <v>15</v>
      </c>
      <c r="E5081" t="s">
        <v>20</v>
      </c>
      <c r="F5081">
        <v>8</v>
      </c>
      <c r="G5081">
        <v>0.2</v>
      </c>
      <c r="H5081" s="2">
        <v>99.295999999999978</v>
      </c>
      <c r="I5081" s="2">
        <v>273.92</v>
      </c>
    </row>
    <row r="5082" spans="2:9" x14ac:dyDescent="0.3">
      <c r="C5082" t="s">
        <v>7</v>
      </c>
      <c r="D5082" t="s">
        <v>8</v>
      </c>
      <c r="E5082" t="s">
        <v>20</v>
      </c>
      <c r="F5082">
        <v>4</v>
      </c>
      <c r="G5082">
        <v>0.2</v>
      </c>
      <c r="H5082" s="2">
        <v>18.683999999999997</v>
      </c>
      <c r="I5082" s="2">
        <v>55.360000000000007</v>
      </c>
    </row>
    <row r="5083" spans="2:9" x14ac:dyDescent="0.3">
      <c r="E5083" t="s">
        <v>16</v>
      </c>
      <c r="F5083">
        <v>2</v>
      </c>
      <c r="G5083">
        <v>0</v>
      </c>
      <c r="H5083" s="2">
        <v>6.2208000000000006</v>
      </c>
      <c r="I5083" s="2">
        <v>12.96</v>
      </c>
    </row>
    <row r="5084" spans="2:9" x14ac:dyDescent="0.3">
      <c r="E5084" t="s">
        <v>24</v>
      </c>
      <c r="F5084">
        <v>4</v>
      </c>
      <c r="G5084">
        <v>0.2</v>
      </c>
      <c r="H5084" s="2">
        <v>34.741999999999997</v>
      </c>
      <c r="I5084" s="2">
        <v>95.84</v>
      </c>
    </row>
    <row r="5085" spans="2:9" x14ac:dyDescent="0.3">
      <c r="C5085" t="s">
        <v>22</v>
      </c>
      <c r="D5085" t="s">
        <v>8</v>
      </c>
      <c r="E5085" t="s">
        <v>16</v>
      </c>
      <c r="F5085">
        <v>7</v>
      </c>
      <c r="G5085">
        <v>0</v>
      </c>
      <c r="H5085" s="2">
        <v>73.544799999999995</v>
      </c>
      <c r="I5085" s="2">
        <v>159.88</v>
      </c>
    </row>
    <row r="5086" spans="2:9" x14ac:dyDescent="0.3">
      <c r="D5086" t="s">
        <v>17</v>
      </c>
      <c r="E5086" t="s">
        <v>21</v>
      </c>
      <c r="F5086">
        <v>9</v>
      </c>
      <c r="G5086">
        <v>0</v>
      </c>
      <c r="H5086" s="2">
        <v>107.03879999999994</v>
      </c>
      <c r="I5086" s="2">
        <v>629.64</v>
      </c>
    </row>
    <row r="5087" spans="2:9" x14ac:dyDescent="0.3">
      <c r="B5087" t="s">
        <v>497</v>
      </c>
      <c r="C5087" t="s">
        <v>11</v>
      </c>
      <c r="D5087" t="s">
        <v>8</v>
      </c>
      <c r="E5087" t="s">
        <v>43</v>
      </c>
      <c r="F5087">
        <v>2</v>
      </c>
      <c r="G5087">
        <v>0</v>
      </c>
      <c r="H5087" s="2">
        <v>96.343800000000002</v>
      </c>
      <c r="I5087" s="2">
        <v>196.62</v>
      </c>
    </row>
    <row r="5088" spans="2:9" x14ac:dyDescent="0.3">
      <c r="D5088" t="s">
        <v>15</v>
      </c>
      <c r="E5088" t="s">
        <v>12</v>
      </c>
      <c r="F5088">
        <v>3</v>
      </c>
      <c r="G5088">
        <v>0</v>
      </c>
      <c r="H5088" s="2">
        <v>50.383200000000009</v>
      </c>
      <c r="I5088" s="2">
        <v>179.94</v>
      </c>
    </row>
    <row r="5089" spans="2:9" x14ac:dyDescent="0.3">
      <c r="E5089" t="s">
        <v>16</v>
      </c>
      <c r="F5089">
        <v>7</v>
      </c>
      <c r="G5089">
        <v>0</v>
      </c>
      <c r="H5089" s="2">
        <v>19.675799999999999</v>
      </c>
      <c r="I5089" s="2">
        <v>42.86</v>
      </c>
    </row>
    <row r="5090" spans="2:9" x14ac:dyDescent="0.3">
      <c r="E5090" t="s">
        <v>14</v>
      </c>
      <c r="F5090">
        <v>3</v>
      </c>
      <c r="G5090">
        <v>0</v>
      </c>
      <c r="H5090" s="2">
        <v>2.9346000000000032</v>
      </c>
      <c r="I5090" s="2">
        <v>146.72999999999999</v>
      </c>
    </row>
    <row r="5091" spans="2:9" x14ac:dyDescent="0.3">
      <c r="E5091" t="s">
        <v>25</v>
      </c>
      <c r="F5091">
        <v>3</v>
      </c>
      <c r="G5091">
        <v>0</v>
      </c>
      <c r="H5091" s="2">
        <v>157.12919999999997</v>
      </c>
      <c r="I5091" s="2">
        <v>872.94</v>
      </c>
    </row>
    <row r="5092" spans="2:9" x14ac:dyDescent="0.3">
      <c r="C5092" t="s">
        <v>22</v>
      </c>
      <c r="D5092" t="s">
        <v>17</v>
      </c>
      <c r="E5092" t="s">
        <v>21</v>
      </c>
      <c r="F5092">
        <v>9</v>
      </c>
      <c r="G5092">
        <v>0</v>
      </c>
      <c r="H5092" s="2">
        <v>46.116000000000007</v>
      </c>
      <c r="I5092" s="2">
        <v>109.8</v>
      </c>
    </row>
    <row r="5093" spans="2:9" x14ac:dyDescent="0.3">
      <c r="E5093" t="s">
        <v>43</v>
      </c>
      <c r="F5093">
        <v>3</v>
      </c>
      <c r="G5093">
        <v>0</v>
      </c>
      <c r="H5093" s="2">
        <v>6.7115999999999998</v>
      </c>
      <c r="I5093" s="2">
        <v>13.95</v>
      </c>
    </row>
    <row r="5094" spans="2:9" x14ac:dyDescent="0.3">
      <c r="E5094" t="s">
        <v>9</v>
      </c>
      <c r="F5094">
        <v>2</v>
      </c>
      <c r="G5094">
        <v>0</v>
      </c>
      <c r="H5094" s="2">
        <v>10.517999999999997</v>
      </c>
      <c r="I5094" s="2">
        <v>35.06</v>
      </c>
    </row>
    <row r="5095" spans="2:9" x14ac:dyDescent="0.3">
      <c r="B5095" t="s">
        <v>498</v>
      </c>
      <c r="C5095" t="s">
        <v>7</v>
      </c>
      <c r="D5095" t="s">
        <v>15</v>
      </c>
      <c r="E5095" t="s">
        <v>20</v>
      </c>
      <c r="F5095">
        <v>8</v>
      </c>
      <c r="G5095">
        <v>0</v>
      </c>
      <c r="H5095" s="2">
        <v>157.36319999999998</v>
      </c>
      <c r="I5095" s="2">
        <v>327.84</v>
      </c>
    </row>
    <row r="5096" spans="2:9" x14ac:dyDescent="0.3">
      <c r="E5096" t="s">
        <v>24</v>
      </c>
      <c r="F5096">
        <v>2</v>
      </c>
      <c r="G5096">
        <v>0</v>
      </c>
      <c r="H5096" s="2">
        <v>39.549999999999997</v>
      </c>
      <c r="I5096" s="2">
        <v>79.099999999999994</v>
      </c>
    </row>
    <row r="5097" spans="2:9" x14ac:dyDescent="0.3">
      <c r="B5097" t="s">
        <v>499</v>
      </c>
      <c r="C5097" t="s">
        <v>11</v>
      </c>
      <c r="D5097" t="s">
        <v>15</v>
      </c>
      <c r="E5097" t="s">
        <v>33</v>
      </c>
      <c r="F5097">
        <v>3</v>
      </c>
      <c r="G5097">
        <v>0.2</v>
      </c>
      <c r="H5097" s="2">
        <v>-2.6997000000000355</v>
      </c>
      <c r="I5097" s="2">
        <v>215.976</v>
      </c>
    </row>
    <row r="5098" spans="2:9" x14ac:dyDescent="0.3">
      <c r="C5098" t="s">
        <v>7</v>
      </c>
      <c r="D5098" t="s">
        <v>15</v>
      </c>
      <c r="E5098" t="s">
        <v>23</v>
      </c>
      <c r="F5098">
        <v>10</v>
      </c>
      <c r="G5098">
        <v>0</v>
      </c>
      <c r="H5098" s="2">
        <v>77.077499999999986</v>
      </c>
      <c r="I5098" s="2">
        <v>339.9</v>
      </c>
    </row>
    <row r="5099" spans="2:9" x14ac:dyDescent="0.3">
      <c r="E5099" t="s">
        <v>19</v>
      </c>
      <c r="F5099">
        <v>5</v>
      </c>
      <c r="G5099">
        <v>0</v>
      </c>
      <c r="H5099" s="2">
        <v>8.6854999999999993</v>
      </c>
      <c r="I5099" s="2">
        <v>29.950000000000003</v>
      </c>
    </row>
    <row r="5100" spans="2:9" x14ac:dyDescent="0.3">
      <c r="E5100" t="s">
        <v>20</v>
      </c>
      <c r="F5100">
        <v>2</v>
      </c>
      <c r="G5100">
        <v>0.2</v>
      </c>
      <c r="H5100" s="2">
        <v>2.2439999999999998</v>
      </c>
      <c r="I5100" s="2">
        <v>5.9840000000000009</v>
      </c>
    </row>
    <row r="5101" spans="2:9" x14ac:dyDescent="0.3">
      <c r="E5101" t="s">
        <v>43</v>
      </c>
      <c r="F5101">
        <v>3</v>
      </c>
      <c r="G5101">
        <v>0</v>
      </c>
      <c r="H5101" s="2">
        <v>22.200000000000003</v>
      </c>
      <c r="I5101" s="2">
        <v>44.400000000000006</v>
      </c>
    </row>
    <row r="5102" spans="2:9" x14ac:dyDescent="0.3">
      <c r="B5102" t="s">
        <v>500</v>
      </c>
      <c r="C5102" t="s">
        <v>22</v>
      </c>
      <c r="D5102" t="s">
        <v>17</v>
      </c>
      <c r="E5102" t="s">
        <v>12</v>
      </c>
      <c r="F5102">
        <v>3</v>
      </c>
      <c r="G5102">
        <v>0</v>
      </c>
      <c r="H5102" s="2">
        <v>109.42199999999997</v>
      </c>
      <c r="I5102" s="2">
        <v>364.74</v>
      </c>
    </row>
    <row r="5103" spans="2:9" x14ac:dyDescent="0.3">
      <c r="E5103" t="s">
        <v>19</v>
      </c>
      <c r="F5103">
        <v>11</v>
      </c>
      <c r="G5103">
        <v>0</v>
      </c>
      <c r="H5103" s="2">
        <v>10.379399999999999</v>
      </c>
      <c r="I5103" s="2">
        <v>37.379999999999995</v>
      </c>
    </row>
    <row r="5104" spans="2:9" x14ac:dyDescent="0.3">
      <c r="E5104" t="s">
        <v>21</v>
      </c>
      <c r="F5104">
        <v>5</v>
      </c>
      <c r="G5104">
        <v>0</v>
      </c>
      <c r="H5104" s="2">
        <v>21.33</v>
      </c>
      <c r="I5104" s="2">
        <v>47.400000000000006</v>
      </c>
    </row>
    <row r="5105" spans="2:9" x14ac:dyDescent="0.3">
      <c r="E5105" t="s">
        <v>16</v>
      </c>
      <c r="F5105">
        <v>13</v>
      </c>
      <c r="G5105">
        <v>0</v>
      </c>
      <c r="H5105" s="2">
        <v>323.74079999999998</v>
      </c>
      <c r="I5105" s="2">
        <v>674.45999999999992</v>
      </c>
    </row>
    <row r="5106" spans="2:9" x14ac:dyDescent="0.3">
      <c r="E5106" t="s">
        <v>24</v>
      </c>
      <c r="F5106">
        <v>1</v>
      </c>
      <c r="G5106">
        <v>0</v>
      </c>
      <c r="H5106" s="2">
        <v>35.277200000000008</v>
      </c>
      <c r="I5106" s="2">
        <v>125.99</v>
      </c>
    </row>
    <row r="5107" spans="2:9" x14ac:dyDescent="0.3">
      <c r="E5107" t="s">
        <v>14</v>
      </c>
      <c r="F5107">
        <v>4</v>
      </c>
      <c r="G5107">
        <v>0</v>
      </c>
      <c r="H5107" s="2">
        <v>13.9328</v>
      </c>
      <c r="I5107" s="2">
        <v>49.76</v>
      </c>
    </row>
    <row r="5108" spans="2:9" x14ac:dyDescent="0.3">
      <c r="B5108" t="s">
        <v>501</v>
      </c>
      <c r="C5108" t="s">
        <v>11</v>
      </c>
      <c r="D5108" t="s">
        <v>8</v>
      </c>
      <c r="E5108" t="s">
        <v>46</v>
      </c>
      <c r="F5108">
        <v>2</v>
      </c>
      <c r="G5108">
        <v>0.5</v>
      </c>
      <c r="H5108" s="2">
        <v>-27.827999999999975</v>
      </c>
      <c r="I5108" s="2">
        <v>695.7</v>
      </c>
    </row>
    <row r="5109" spans="2:9" x14ac:dyDescent="0.3">
      <c r="C5109" t="s">
        <v>7</v>
      </c>
      <c r="D5109" t="s">
        <v>8</v>
      </c>
      <c r="E5109" t="s">
        <v>12</v>
      </c>
      <c r="F5109">
        <v>6</v>
      </c>
      <c r="G5109">
        <v>0.2</v>
      </c>
      <c r="H5109" s="2">
        <v>12.103199999999994</v>
      </c>
      <c r="I5109" s="2">
        <v>161.376</v>
      </c>
    </row>
    <row r="5110" spans="2:9" x14ac:dyDescent="0.3">
      <c r="E5110" t="s">
        <v>21</v>
      </c>
      <c r="F5110">
        <v>2</v>
      </c>
      <c r="G5110">
        <v>0.2</v>
      </c>
      <c r="H5110" s="2">
        <v>0.41759999999999986</v>
      </c>
      <c r="I5110" s="2">
        <v>2.7840000000000003</v>
      </c>
    </row>
    <row r="5111" spans="2:9" x14ac:dyDescent="0.3">
      <c r="E5111" t="s">
        <v>16</v>
      </c>
      <c r="F5111">
        <v>7</v>
      </c>
      <c r="G5111">
        <v>0.4</v>
      </c>
      <c r="H5111" s="2">
        <v>18.432999999999996</v>
      </c>
      <c r="I5111" s="2">
        <v>58.288000000000004</v>
      </c>
    </row>
    <row r="5112" spans="2:9" x14ac:dyDescent="0.3">
      <c r="E5112" t="s">
        <v>24</v>
      </c>
      <c r="F5112">
        <v>13</v>
      </c>
      <c r="G5112">
        <v>0.2</v>
      </c>
      <c r="H5112" s="2">
        <v>327.59220000000005</v>
      </c>
      <c r="I5112" s="2">
        <v>4367.8960000000006</v>
      </c>
    </row>
    <row r="5113" spans="2:9" x14ac:dyDescent="0.3">
      <c r="C5113" t="s">
        <v>22</v>
      </c>
      <c r="D5113" t="s">
        <v>8</v>
      </c>
      <c r="E5113" t="s">
        <v>20</v>
      </c>
      <c r="F5113">
        <v>3</v>
      </c>
      <c r="G5113">
        <v>0.7</v>
      </c>
      <c r="H5113" s="2">
        <v>-6.0323999999999991</v>
      </c>
      <c r="I5113" s="2">
        <v>8.2260000000000009</v>
      </c>
    </row>
    <row r="5114" spans="2:9" x14ac:dyDescent="0.3">
      <c r="E5114" t="s">
        <v>16</v>
      </c>
      <c r="F5114">
        <v>5</v>
      </c>
      <c r="G5114">
        <v>0.2</v>
      </c>
      <c r="H5114" s="2">
        <v>9.3520000000000003</v>
      </c>
      <c r="I5114" s="2">
        <v>26.720000000000002</v>
      </c>
    </row>
    <row r="5115" spans="2:9" x14ac:dyDescent="0.3">
      <c r="E5115" t="s">
        <v>24</v>
      </c>
      <c r="F5115">
        <v>7</v>
      </c>
      <c r="G5115">
        <v>0.2</v>
      </c>
      <c r="H5115" s="2">
        <v>70.554400000000072</v>
      </c>
      <c r="I5115" s="2">
        <v>705.54399999999998</v>
      </c>
    </row>
    <row r="5116" spans="2:9" x14ac:dyDescent="0.3">
      <c r="D5116" t="s">
        <v>15</v>
      </c>
      <c r="E5116" t="s">
        <v>19</v>
      </c>
      <c r="F5116">
        <v>3</v>
      </c>
      <c r="G5116">
        <v>0.2</v>
      </c>
      <c r="H5116" s="2">
        <v>0.57540000000000058</v>
      </c>
      <c r="I5116" s="2">
        <v>6.5760000000000005</v>
      </c>
    </row>
    <row r="5117" spans="2:9" x14ac:dyDescent="0.3">
      <c r="E5117" t="s">
        <v>20</v>
      </c>
      <c r="F5117">
        <v>3</v>
      </c>
      <c r="G5117">
        <v>0.7</v>
      </c>
      <c r="H5117" s="2">
        <v>-3.9248999999999974</v>
      </c>
      <c r="I5117" s="2">
        <v>5.6070000000000011</v>
      </c>
    </row>
    <row r="5118" spans="2:9" x14ac:dyDescent="0.3">
      <c r="E5118" t="s">
        <v>33</v>
      </c>
      <c r="F5118">
        <v>8</v>
      </c>
      <c r="G5118">
        <v>0.2</v>
      </c>
      <c r="H5118" s="2">
        <v>-24.39200000000001</v>
      </c>
      <c r="I5118" s="2">
        <v>390.27199999999999</v>
      </c>
    </row>
    <row r="5119" spans="2:9" x14ac:dyDescent="0.3">
      <c r="E5119" t="s">
        <v>16</v>
      </c>
      <c r="F5119">
        <v>20</v>
      </c>
      <c r="G5119">
        <v>0.4</v>
      </c>
      <c r="H5119" s="2">
        <v>40.019199999999998</v>
      </c>
      <c r="I5119" s="2">
        <v>118.976</v>
      </c>
    </row>
    <row r="5120" spans="2:9" x14ac:dyDescent="0.3">
      <c r="D5120" t="s">
        <v>17</v>
      </c>
      <c r="E5120" t="s">
        <v>23</v>
      </c>
      <c r="F5120">
        <v>3</v>
      </c>
      <c r="G5120">
        <v>0.2</v>
      </c>
      <c r="H5120" s="2">
        <v>-75.59580000000004</v>
      </c>
      <c r="I5120" s="2">
        <v>431.97600000000006</v>
      </c>
    </row>
    <row r="5121" spans="2:9" x14ac:dyDescent="0.3">
      <c r="E5121" t="s">
        <v>16</v>
      </c>
      <c r="F5121">
        <v>4</v>
      </c>
      <c r="G5121">
        <v>0.2</v>
      </c>
      <c r="H5121" s="2">
        <v>31.4712</v>
      </c>
      <c r="I5121" s="2">
        <v>93.248000000000005</v>
      </c>
    </row>
    <row r="5122" spans="2:9" x14ac:dyDescent="0.3">
      <c r="E5122" t="s">
        <v>24</v>
      </c>
      <c r="F5122">
        <v>3</v>
      </c>
      <c r="G5122">
        <v>0.2</v>
      </c>
      <c r="H5122" s="2">
        <v>19.966499999999982</v>
      </c>
      <c r="I5122" s="2">
        <v>177.48000000000002</v>
      </c>
    </row>
    <row r="5123" spans="2:9" x14ac:dyDescent="0.3">
      <c r="B5123" t="s">
        <v>502</v>
      </c>
      <c r="C5123" t="s">
        <v>7</v>
      </c>
      <c r="D5123" t="s">
        <v>15</v>
      </c>
      <c r="E5123" t="s">
        <v>12</v>
      </c>
      <c r="F5123">
        <v>2</v>
      </c>
      <c r="G5123">
        <v>0.2</v>
      </c>
      <c r="H5123" s="2">
        <v>24.315999999999974</v>
      </c>
      <c r="I5123" s="2">
        <v>194.52800000000002</v>
      </c>
    </row>
    <row r="5124" spans="2:9" x14ac:dyDescent="0.3">
      <c r="E5124" t="s">
        <v>20</v>
      </c>
      <c r="F5124">
        <v>7</v>
      </c>
      <c r="G5124">
        <v>0.7</v>
      </c>
      <c r="H5124" s="2">
        <v>-169.3719999999999</v>
      </c>
      <c r="I5124" s="2">
        <v>254.05800000000002</v>
      </c>
    </row>
    <row r="5125" spans="2:9" x14ac:dyDescent="0.3">
      <c r="E5125" t="s">
        <v>9</v>
      </c>
      <c r="F5125">
        <v>5</v>
      </c>
      <c r="G5125">
        <v>0.2</v>
      </c>
      <c r="H5125" s="2">
        <v>-204.31449999999995</v>
      </c>
      <c r="I5125" s="2">
        <v>961.48000000000013</v>
      </c>
    </row>
    <row r="5126" spans="2:9" x14ac:dyDescent="0.3">
      <c r="D5126" t="s">
        <v>17</v>
      </c>
      <c r="E5126" t="s">
        <v>20</v>
      </c>
      <c r="F5126">
        <v>1</v>
      </c>
      <c r="G5126">
        <v>0.7</v>
      </c>
      <c r="H5126" s="2">
        <v>-2.5255999999999998</v>
      </c>
      <c r="I5126" s="2">
        <v>3.4440000000000008</v>
      </c>
    </row>
    <row r="5127" spans="2:9" x14ac:dyDescent="0.3">
      <c r="B5127" t="s">
        <v>503</v>
      </c>
      <c r="C5127" t="s">
        <v>11</v>
      </c>
      <c r="D5127" t="s">
        <v>8</v>
      </c>
      <c r="E5127" t="s">
        <v>23</v>
      </c>
      <c r="F5127">
        <v>1</v>
      </c>
      <c r="G5127">
        <v>0.2</v>
      </c>
      <c r="H5127" s="2">
        <v>-0.7295000000000007</v>
      </c>
      <c r="I5127" s="2">
        <v>11.672000000000001</v>
      </c>
    </row>
    <row r="5128" spans="2:9" x14ac:dyDescent="0.3">
      <c r="D5128" t="s">
        <v>15</v>
      </c>
      <c r="E5128" t="s">
        <v>38</v>
      </c>
      <c r="F5128">
        <v>1</v>
      </c>
      <c r="G5128">
        <v>0.2</v>
      </c>
      <c r="H5128" s="2">
        <v>0.97739999999999994</v>
      </c>
      <c r="I5128" s="2">
        <v>2.8960000000000004</v>
      </c>
    </row>
    <row r="5129" spans="2:9" x14ac:dyDescent="0.3">
      <c r="C5129" t="s">
        <v>27</v>
      </c>
      <c r="D5129" t="s">
        <v>8</v>
      </c>
      <c r="E5129" t="s">
        <v>19</v>
      </c>
      <c r="F5129">
        <v>2</v>
      </c>
      <c r="G5129">
        <v>0.2</v>
      </c>
      <c r="H5129" s="2">
        <v>1.0584000000000002</v>
      </c>
      <c r="I5129" s="2">
        <v>4.032</v>
      </c>
    </row>
    <row r="5130" spans="2:9" x14ac:dyDescent="0.3">
      <c r="E5130" t="s">
        <v>20</v>
      </c>
      <c r="F5130">
        <v>5</v>
      </c>
      <c r="G5130">
        <v>0.7</v>
      </c>
      <c r="H5130" s="2">
        <v>-10.116</v>
      </c>
      <c r="I5130" s="2">
        <v>12.645000000000001</v>
      </c>
    </row>
    <row r="5131" spans="2:9" x14ac:dyDescent="0.3">
      <c r="E5131" t="s">
        <v>33</v>
      </c>
      <c r="F5131">
        <v>7</v>
      </c>
      <c r="G5131">
        <v>0.2</v>
      </c>
      <c r="H5131" s="2">
        <v>98.480200000000082</v>
      </c>
      <c r="I5131" s="2">
        <v>1125.4879999999998</v>
      </c>
    </row>
    <row r="5132" spans="2:9" x14ac:dyDescent="0.3">
      <c r="C5132" t="s">
        <v>7</v>
      </c>
      <c r="D5132" t="s">
        <v>8</v>
      </c>
      <c r="E5132" t="s">
        <v>12</v>
      </c>
      <c r="F5132">
        <v>5</v>
      </c>
      <c r="G5132">
        <v>0.2</v>
      </c>
      <c r="H5132" s="2">
        <v>1.3000000000000007</v>
      </c>
      <c r="I5132" s="2">
        <v>13</v>
      </c>
    </row>
    <row r="5133" spans="2:9" x14ac:dyDescent="0.3">
      <c r="E5133" t="s">
        <v>19</v>
      </c>
      <c r="F5133">
        <v>1</v>
      </c>
      <c r="G5133">
        <v>0.2</v>
      </c>
      <c r="H5133" s="2">
        <v>0.504</v>
      </c>
      <c r="I5133" s="2">
        <v>1.3440000000000001</v>
      </c>
    </row>
    <row r="5134" spans="2:9" x14ac:dyDescent="0.3">
      <c r="E5134" t="s">
        <v>33</v>
      </c>
      <c r="F5134">
        <v>1</v>
      </c>
      <c r="G5134">
        <v>0.2</v>
      </c>
      <c r="H5134" s="2">
        <v>6.4784000000000042</v>
      </c>
      <c r="I5134" s="2">
        <v>64.784000000000006</v>
      </c>
    </row>
    <row r="5135" spans="2:9" x14ac:dyDescent="0.3">
      <c r="E5135" t="s">
        <v>21</v>
      </c>
      <c r="F5135">
        <v>3</v>
      </c>
      <c r="G5135">
        <v>0.2</v>
      </c>
      <c r="H5135" s="2">
        <v>3.7743000000000002</v>
      </c>
      <c r="I5135" s="2">
        <v>13.128</v>
      </c>
    </row>
    <row r="5136" spans="2:9" x14ac:dyDescent="0.3">
      <c r="E5136" t="s">
        <v>16</v>
      </c>
      <c r="F5136">
        <v>3</v>
      </c>
      <c r="G5136">
        <v>0.2</v>
      </c>
      <c r="H5136" s="2">
        <v>15.934799999999997</v>
      </c>
      <c r="I5136" s="2">
        <v>45.527999999999999</v>
      </c>
    </row>
    <row r="5137" spans="2:9" x14ac:dyDescent="0.3">
      <c r="E5137" t="s">
        <v>14</v>
      </c>
      <c r="F5137">
        <v>7</v>
      </c>
      <c r="G5137">
        <v>0.4</v>
      </c>
      <c r="H5137" s="2">
        <v>-11.655800000000053</v>
      </c>
      <c r="I5137" s="2">
        <v>508.19200000000006</v>
      </c>
    </row>
    <row r="5138" spans="2:9" x14ac:dyDescent="0.3">
      <c r="C5138" t="s">
        <v>22</v>
      </c>
      <c r="D5138" t="s">
        <v>8</v>
      </c>
      <c r="E5138" t="s">
        <v>20</v>
      </c>
      <c r="F5138">
        <v>12</v>
      </c>
      <c r="G5138">
        <v>2.0999999999999996</v>
      </c>
      <c r="H5138" s="2">
        <v>-63.937999999999995</v>
      </c>
      <c r="I5138" s="2">
        <v>88.596000000000018</v>
      </c>
    </row>
    <row r="5139" spans="2:9" x14ac:dyDescent="0.3">
      <c r="E5139" t="s">
        <v>21</v>
      </c>
      <c r="F5139">
        <v>10</v>
      </c>
      <c r="G5139">
        <v>0.8</v>
      </c>
      <c r="H5139" s="2">
        <v>31.731999999999992</v>
      </c>
      <c r="I5139" s="2">
        <v>175.488</v>
      </c>
    </row>
    <row r="5140" spans="2:9" x14ac:dyDescent="0.3">
      <c r="E5140" t="s">
        <v>16</v>
      </c>
      <c r="F5140">
        <v>3</v>
      </c>
      <c r="G5140">
        <v>0.2</v>
      </c>
      <c r="H5140" s="2">
        <v>47.815200000000004</v>
      </c>
      <c r="I5140" s="2">
        <v>131.904</v>
      </c>
    </row>
    <row r="5141" spans="2:9" x14ac:dyDescent="0.3">
      <c r="E5141" t="s">
        <v>14</v>
      </c>
      <c r="F5141">
        <v>1</v>
      </c>
      <c r="G5141">
        <v>0.2</v>
      </c>
      <c r="H5141" s="2">
        <v>17.84699999999998</v>
      </c>
      <c r="I5141" s="2">
        <v>142.77600000000001</v>
      </c>
    </row>
    <row r="5142" spans="2:9" x14ac:dyDescent="0.3">
      <c r="D5142" t="s">
        <v>15</v>
      </c>
      <c r="E5142" t="s">
        <v>12</v>
      </c>
      <c r="F5142">
        <v>2</v>
      </c>
      <c r="G5142">
        <v>0.2</v>
      </c>
      <c r="H5142" s="2">
        <v>6.5164</v>
      </c>
      <c r="I5142" s="2">
        <v>23.696000000000002</v>
      </c>
    </row>
    <row r="5143" spans="2:9" x14ac:dyDescent="0.3">
      <c r="E5143" t="s">
        <v>19</v>
      </c>
      <c r="F5143">
        <v>8</v>
      </c>
      <c r="G5143">
        <v>0.4</v>
      </c>
      <c r="H5143" s="2">
        <v>13.435199999999982</v>
      </c>
      <c r="I5143" s="2">
        <v>207.92000000000002</v>
      </c>
    </row>
    <row r="5144" spans="2:9" x14ac:dyDescent="0.3">
      <c r="E5144" t="s">
        <v>21</v>
      </c>
      <c r="F5144">
        <v>3</v>
      </c>
      <c r="G5144">
        <v>0.2</v>
      </c>
      <c r="H5144" s="2">
        <v>14.299199999999999</v>
      </c>
      <c r="I5144" s="2">
        <v>63.552000000000007</v>
      </c>
    </row>
    <row r="5145" spans="2:9" x14ac:dyDescent="0.3">
      <c r="E5145" t="s">
        <v>46</v>
      </c>
      <c r="F5145">
        <v>1</v>
      </c>
      <c r="G5145">
        <v>0.5</v>
      </c>
      <c r="H5145" s="2">
        <v>-111.49950000000007</v>
      </c>
      <c r="I5145" s="2">
        <v>265.47500000000002</v>
      </c>
    </row>
    <row r="5146" spans="2:9" x14ac:dyDescent="0.3">
      <c r="E5146" t="s">
        <v>9</v>
      </c>
      <c r="F5146">
        <v>3</v>
      </c>
      <c r="G5146">
        <v>0.2</v>
      </c>
      <c r="H5146" s="2">
        <v>4.6547999999999927</v>
      </c>
      <c r="I5146" s="2">
        <v>41.375999999999998</v>
      </c>
    </row>
    <row r="5147" spans="2:9" x14ac:dyDescent="0.3">
      <c r="D5147" t="s">
        <v>17</v>
      </c>
      <c r="E5147" t="s">
        <v>23</v>
      </c>
      <c r="F5147">
        <v>3</v>
      </c>
      <c r="G5147">
        <v>0.2</v>
      </c>
      <c r="H5147" s="2">
        <v>-7.724700000000098</v>
      </c>
      <c r="I5147" s="2">
        <v>617.97600000000011</v>
      </c>
    </row>
    <row r="5148" spans="2:9" x14ac:dyDescent="0.3">
      <c r="E5148" t="s">
        <v>20</v>
      </c>
      <c r="F5148">
        <v>12</v>
      </c>
      <c r="G5148">
        <v>2.8</v>
      </c>
      <c r="H5148" s="2">
        <v>-66.520800000000008</v>
      </c>
      <c r="I5148" s="2">
        <v>89.610000000000014</v>
      </c>
    </row>
    <row r="5149" spans="2:9" x14ac:dyDescent="0.3">
      <c r="E5149" t="s">
        <v>21</v>
      </c>
      <c r="F5149">
        <v>3</v>
      </c>
      <c r="G5149">
        <v>0.2</v>
      </c>
      <c r="H5149" s="2">
        <v>0</v>
      </c>
      <c r="I5149" s="2">
        <v>258.072</v>
      </c>
    </row>
    <row r="5150" spans="2:9" x14ac:dyDescent="0.3">
      <c r="E5150" t="s">
        <v>14</v>
      </c>
      <c r="F5150">
        <v>3</v>
      </c>
      <c r="G5150">
        <v>0.2</v>
      </c>
      <c r="H5150" s="2">
        <v>32.434200000000004</v>
      </c>
      <c r="I5150" s="2">
        <v>432.45600000000002</v>
      </c>
    </row>
    <row r="5151" spans="2:9" x14ac:dyDescent="0.3">
      <c r="E5151" t="s">
        <v>25</v>
      </c>
      <c r="F5151">
        <v>5</v>
      </c>
      <c r="G5151">
        <v>0.9</v>
      </c>
      <c r="H5151" s="2">
        <v>-350.29379999999992</v>
      </c>
      <c r="I5151" s="2">
        <v>854.47450000000015</v>
      </c>
    </row>
    <row r="5152" spans="2:9" x14ac:dyDescent="0.3">
      <c r="B5152" t="s">
        <v>504</v>
      </c>
      <c r="C5152" t="s">
        <v>7</v>
      </c>
      <c r="D5152" t="s">
        <v>8</v>
      </c>
      <c r="E5152" t="s">
        <v>33</v>
      </c>
      <c r="F5152">
        <v>2</v>
      </c>
      <c r="G5152">
        <v>0</v>
      </c>
      <c r="H5152" s="2">
        <v>33.215599999999995</v>
      </c>
      <c r="I5152" s="2">
        <v>301.95999999999998</v>
      </c>
    </row>
    <row r="5153" spans="2:9" x14ac:dyDescent="0.3">
      <c r="D5153" t="s">
        <v>15</v>
      </c>
      <c r="E5153" t="s">
        <v>23</v>
      </c>
      <c r="F5153">
        <v>2</v>
      </c>
      <c r="G5153">
        <v>0</v>
      </c>
      <c r="H5153" s="2">
        <v>8.7989999999999995</v>
      </c>
      <c r="I5153" s="2">
        <v>41.9</v>
      </c>
    </row>
    <row r="5154" spans="2:9" x14ac:dyDescent="0.3">
      <c r="C5154" t="s">
        <v>22</v>
      </c>
      <c r="D5154" t="s">
        <v>15</v>
      </c>
      <c r="E5154" t="s">
        <v>19</v>
      </c>
      <c r="F5154">
        <v>3</v>
      </c>
      <c r="G5154">
        <v>0</v>
      </c>
      <c r="H5154" s="2">
        <v>2.8535999999999988</v>
      </c>
      <c r="I5154" s="2">
        <v>9.84</v>
      </c>
    </row>
    <row r="5155" spans="2:9" x14ac:dyDescent="0.3">
      <c r="B5155" t="s">
        <v>505</v>
      </c>
      <c r="C5155" t="s">
        <v>11</v>
      </c>
      <c r="D5155" t="s">
        <v>8</v>
      </c>
      <c r="E5155" t="s">
        <v>23</v>
      </c>
      <c r="F5155">
        <v>6</v>
      </c>
      <c r="G5155">
        <v>0</v>
      </c>
      <c r="H5155" s="2">
        <v>42.59429999999999</v>
      </c>
      <c r="I5155" s="2">
        <v>285.09000000000003</v>
      </c>
    </row>
    <row r="5156" spans="2:9" x14ac:dyDescent="0.3">
      <c r="E5156" t="s">
        <v>20</v>
      </c>
      <c r="F5156">
        <v>5</v>
      </c>
      <c r="G5156">
        <v>0.2</v>
      </c>
      <c r="H5156" s="2">
        <v>9.8549999999999969</v>
      </c>
      <c r="I5156" s="2">
        <v>29.2</v>
      </c>
    </row>
    <row r="5157" spans="2:9" x14ac:dyDescent="0.3">
      <c r="E5157" t="s">
        <v>24</v>
      </c>
      <c r="F5157">
        <v>3</v>
      </c>
      <c r="G5157">
        <v>0.2</v>
      </c>
      <c r="H5157" s="2">
        <v>49.437599999999975</v>
      </c>
      <c r="I5157" s="2">
        <v>494.37600000000009</v>
      </c>
    </row>
    <row r="5158" spans="2:9" x14ac:dyDescent="0.3">
      <c r="B5158" t="s">
        <v>506</v>
      </c>
      <c r="C5158" t="s">
        <v>11</v>
      </c>
      <c r="D5158" t="s">
        <v>15</v>
      </c>
      <c r="E5158" t="s">
        <v>23</v>
      </c>
      <c r="F5158">
        <v>1</v>
      </c>
      <c r="G5158">
        <v>0.2</v>
      </c>
      <c r="H5158" s="2">
        <v>-8.9500000000001023E-2</v>
      </c>
      <c r="I5158" s="2">
        <v>7.16</v>
      </c>
    </row>
    <row r="5159" spans="2:9" x14ac:dyDescent="0.3">
      <c r="E5159" t="s">
        <v>38</v>
      </c>
      <c r="F5159">
        <v>6</v>
      </c>
      <c r="G5159">
        <v>0.2</v>
      </c>
      <c r="H5159" s="2">
        <v>4.628400000000001</v>
      </c>
      <c r="I5159" s="2">
        <v>12.768000000000001</v>
      </c>
    </row>
    <row r="5160" spans="2:9" x14ac:dyDescent="0.3">
      <c r="E5160" t="s">
        <v>18</v>
      </c>
      <c r="F5160">
        <v>2</v>
      </c>
      <c r="G5160">
        <v>0.2</v>
      </c>
      <c r="H5160" s="2">
        <v>1.4599999999999997</v>
      </c>
      <c r="I5160" s="2">
        <v>4.6719999999999997</v>
      </c>
    </row>
    <row r="5161" spans="2:9" x14ac:dyDescent="0.3">
      <c r="E5161" t="s">
        <v>16</v>
      </c>
      <c r="F5161">
        <v>2</v>
      </c>
      <c r="G5161">
        <v>0.2</v>
      </c>
      <c r="H5161" s="2">
        <v>3.4103999999999997</v>
      </c>
      <c r="I5161" s="2">
        <v>9.4079999999999995</v>
      </c>
    </row>
    <row r="5162" spans="2:9" x14ac:dyDescent="0.3">
      <c r="E5162" t="s">
        <v>24</v>
      </c>
      <c r="F5162">
        <v>5</v>
      </c>
      <c r="G5162">
        <v>0.4</v>
      </c>
      <c r="H5162" s="2">
        <v>127.61789999999999</v>
      </c>
      <c r="I5162" s="2">
        <v>548.77600000000007</v>
      </c>
    </row>
    <row r="5163" spans="2:9" x14ac:dyDescent="0.3">
      <c r="E5163" t="s">
        <v>9</v>
      </c>
      <c r="F5163">
        <v>2</v>
      </c>
      <c r="G5163">
        <v>0.2</v>
      </c>
      <c r="H5163" s="2">
        <v>-3.2639999999999993</v>
      </c>
      <c r="I5163" s="2">
        <v>15.36</v>
      </c>
    </row>
    <row r="5164" spans="2:9" x14ac:dyDescent="0.3">
      <c r="C5164" t="s">
        <v>27</v>
      </c>
      <c r="D5164" t="s">
        <v>8</v>
      </c>
      <c r="E5164" t="s">
        <v>20</v>
      </c>
      <c r="F5164">
        <v>3</v>
      </c>
      <c r="G5164">
        <v>0.7</v>
      </c>
      <c r="H5164" s="2">
        <v>-2.2439999999999989</v>
      </c>
      <c r="I5164" s="2">
        <v>3.366000000000001</v>
      </c>
    </row>
    <row r="5165" spans="2:9" x14ac:dyDescent="0.3">
      <c r="C5165" t="s">
        <v>22</v>
      </c>
      <c r="D5165" t="s">
        <v>8</v>
      </c>
      <c r="E5165" t="s">
        <v>33</v>
      </c>
      <c r="F5165">
        <v>5</v>
      </c>
      <c r="G5165">
        <v>0.2</v>
      </c>
      <c r="H5165" s="2">
        <v>-34.64100000000002</v>
      </c>
      <c r="I5165" s="2">
        <v>307.92</v>
      </c>
    </row>
    <row r="5166" spans="2:9" x14ac:dyDescent="0.3">
      <c r="E5166" t="s">
        <v>18</v>
      </c>
      <c r="F5166">
        <v>3</v>
      </c>
      <c r="G5166">
        <v>0.2</v>
      </c>
      <c r="H5166" s="2">
        <v>2.7222</v>
      </c>
      <c r="I5166" s="2">
        <v>8.3760000000000012</v>
      </c>
    </row>
    <row r="5167" spans="2:9" x14ac:dyDescent="0.3">
      <c r="E5167" t="s">
        <v>14</v>
      </c>
      <c r="F5167">
        <v>1</v>
      </c>
      <c r="G5167">
        <v>0.2</v>
      </c>
      <c r="H5167" s="2">
        <v>0.80579999999999963</v>
      </c>
      <c r="I5167" s="2">
        <v>10.744</v>
      </c>
    </row>
    <row r="5168" spans="2:9" x14ac:dyDescent="0.3">
      <c r="D5168" t="s">
        <v>15</v>
      </c>
      <c r="E5168" t="s">
        <v>23</v>
      </c>
      <c r="F5168">
        <v>6</v>
      </c>
      <c r="G5168">
        <v>0.2</v>
      </c>
      <c r="H5168" s="2">
        <v>-10.911600000000007</v>
      </c>
      <c r="I5168" s="2">
        <v>62.352000000000004</v>
      </c>
    </row>
    <row r="5169" spans="2:9" x14ac:dyDescent="0.3">
      <c r="E5169" t="s">
        <v>14</v>
      </c>
      <c r="F5169">
        <v>5</v>
      </c>
      <c r="G5169">
        <v>0.2</v>
      </c>
      <c r="H5169" s="2">
        <v>5.9550000000000054</v>
      </c>
      <c r="I5169" s="2">
        <v>79.400000000000006</v>
      </c>
    </row>
    <row r="5170" spans="2:9" x14ac:dyDescent="0.3">
      <c r="B5170" t="s">
        <v>507</v>
      </c>
      <c r="C5170" t="s">
        <v>22</v>
      </c>
      <c r="D5170" t="s">
        <v>15</v>
      </c>
      <c r="E5170" t="s">
        <v>33</v>
      </c>
      <c r="F5170">
        <v>6</v>
      </c>
      <c r="G5170">
        <v>0</v>
      </c>
      <c r="H5170" s="2">
        <v>145.2816</v>
      </c>
      <c r="I5170" s="2">
        <v>605.34</v>
      </c>
    </row>
    <row r="5171" spans="2:9" x14ac:dyDescent="0.3">
      <c r="D5171" t="s">
        <v>17</v>
      </c>
      <c r="E5171" t="s">
        <v>23</v>
      </c>
      <c r="F5171">
        <v>5</v>
      </c>
      <c r="G5171">
        <v>0</v>
      </c>
      <c r="H5171" s="2">
        <v>18.093</v>
      </c>
      <c r="I5171" s="2">
        <v>48.9</v>
      </c>
    </row>
    <row r="5172" spans="2:9" x14ac:dyDescent="0.3">
      <c r="B5172" t="s">
        <v>508</v>
      </c>
      <c r="C5172" t="s">
        <v>22</v>
      </c>
      <c r="D5172" t="s">
        <v>8</v>
      </c>
      <c r="E5172" t="s">
        <v>33</v>
      </c>
      <c r="F5172">
        <v>4</v>
      </c>
      <c r="G5172">
        <v>0.3</v>
      </c>
      <c r="H5172" s="2">
        <v>-8.5416000000000025</v>
      </c>
      <c r="I5172" s="2">
        <v>199.304</v>
      </c>
    </row>
    <row r="5173" spans="2:9" x14ac:dyDescent="0.3">
      <c r="E5173" t="s">
        <v>25</v>
      </c>
      <c r="F5173">
        <v>3</v>
      </c>
      <c r="G5173">
        <v>0.6</v>
      </c>
      <c r="H5173" s="2">
        <v>28.76339999999999</v>
      </c>
      <c r="I5173" s="2">
        <v>591.66800000000001</v>
      </c>
    </row>
    <row r="5174" spans="2:9" x14ac:dyDescent="0.3">
      <c r="B5174" t="s">
        <v>509</v>
      </c>
      <c r="C5174" t="s">
        <v>11</v>
      </c>
      <c r="D5174" t="s">
        <v>8</v>
      </c>
      <c r="E5174" t="s">
        <v>16</v>
      </c>
      <c r="F5174">
        <v>4</v>
      </c>
      <c r="G5174">
        <v>0.2</v>
      </c>
      <c r="H5174" s="2">
        <v>5.5215999999999994</v>
      </c>
      <c r="I5174" s="2">
        <v>15.231999999999999</v>
      </c>
    </row>
    <row r="5175" spans="2:9" x14ac:dyDescent="0.3">
      <c r="E5175" t="s">
        <v>24</v>
      </c>
      <c r="F5175">
        <v>3</v>
      </c>
      <c r="G5175">
        <v>0.2</v>
      </c>
      <c r="H5175" s="2">
        <v>6.7175999999999974</v>
      </c>
      <c r="I5175" s="2">
        <v>67.176000000000002</v>
      </c>
    </row>
    <row r="5176" spans="2:9" x14ac:dyDescent="0.3">
      <c r="C5176" t="s">
        <v>27</v>
      </c>
      <c r="D5176" t="s">
        <v>8</v>
      </c>
      <c r="E5176" t="s">
        <v>38</v>
      </c>
      <c r="F5176">
        <v>7</v>
      </c>
      <c r="G5176">
        <v>0.2</v>
      </c>
      <c r="H5176" s="2">
        <v>19.4194</v>
      </c>
      <c r="I5176" s="2">
        <v>59.751999999999995</v>
      </c>
    </row>
    <row r="5177" spans="2:9" x14ac:dyDescent="0.3">
      <c r="B5177" t="s">
        <v>510</v>
      </c>
      <c r="C5177" t="s">
        <v>22</v>
      </c>
      <c r="D5177" t="s">
        <v>8</v>
      </c>
      <c r="E5177" t="s">
        <v>20</v>
      </c>
      <c r="F5177">
        <v>2</v>
      </c>
      <c r="G5177">
        <v>0.7</v>
      </c>
      <c r="H5177" s="2">
        <v>-2.4563999999999995</v>
      </c>
      <c r="I5177" s="2">
        <v>3.2040000000000002</v>
      </c>
    </row>
    <row r="5178" spans="2:9" x14ac:dyDescent="0.3">
      <c r="E5178" t="s">
        <v>38</v>
      </c>
      <c r="F5178">
        <v>3</v>
      </c>
      <c r="G5178">
        <v>0.2</v>
      </c>
      <c r="H5178" s="2">
        <v>29.984999999999985</v>
      </c>
      <c r="I5178" s="2">
        <v>95.951999999999998</v>
      </c>
    </row>
    <row r="5179" spans="2:9" x14ac:dyDescent="0.3">
      <c r="E5179" t="s">
        <v>9</v>
      </c>
      <c r="F5179">
        <v>7</v>
      </c>
      <c r="G5179">
        <v>0.2</v>
      </c>
      <c r="H5179" s="2">
        <v>5.865299999999996</v>
      </c>
      <c r="I5179" s="2">
        <v>52.136000000000003</v>
      </c>
    </row>
    <row r="5180" spans="2:9" x14ac:dyDescent="0.3">
      <c r="B5180" t="s">
        <v>511</v>
      </c>
      <c r="C5180" t="s">
        <v>27</v>
      </c>
      <c r="D5180" t="s">
        <v>8</v>
      </c>
      <c r="E5180" t="s">
        <v>23</v>
      </c>
      <c r="F5180">
        <v>7</v>
      </c>
      <c r="G5180">
        <v>0.2</v>
      </c>
      <c r="H5180" s="2">
        <v>89.588799999999992</v>
      </c>
      <c r="I5180" s="2">
        <v>447.94399999999996</v>
      </c>
    </row>
    <row r="5181" spans="2:9" x14ac:dyDescent="0.3">
      <c r="C5181" t="s">
        <v>7</v>
      </c>
      <c r="D5181" t="s">
        <v>8</v>
      </c>
      <c r="E5181" t="s">
        <v>23</v>
      </c>
      <c r="F5181">
        <v>14</v>
      </c>
      <c r="G5181">
        <v>0.4</v>
      </c>
      <c r="H5181" s="2">
        <v>24.624599999999983</v>
      </c>
      <c r="I5181" s="2">
        <v>179.08800000000002</v>
      </c>
    </row>
    <row r="5182" spans="2:9" x14ac:dyDescent="0.3">
      <c r="E5182" t="s">
        <v>19</v>
      </c>
      <c r="F5182">
        <v>6</v>
      </c>
      <c r="G5182">
        <v>0.2</v>
      </c>
      <c r="H5182" s="2">
        <v>1.0007999999999999</v>
      </c>
      <c r="I5182" s="2">
        <v>13.343999999999998</v>
      </c>
    </row>
    <row r="5183" spans="2:9" x14ac:dyDescent="0.3">
      <c r="E5183" t="s">
        <v>21</v>
      </c>
      <c r="F5183">
        <v>9</v>
      </c>
      <c r="G5183">
        <v>0.60000000000000009</v>
      </c>
      <c r="H5183" s="2">
        <v>15.012</v>
      </c>
      <c r="I5183" s="2">
        <v>56.288000000000004</v>
      </c>
    </row>
    <row r="5184" spans="2:9" x14ac:dyDescent="0.3">
      <c r="E5184" t="s">
        <v>16</v>
      </c>
      <c r="F5184">
        <v>2</v>
      </c>
      <c r="G5184">
        <v>0.2</v>
      </c>
      <c r="H5184" s="2">
        <v>3.7409999999999997</v>
      </c>
      <c r="I5184" s="2">
        <v>10.32</v>
      </c>
    </row>
    <row r="5185" spans="2:9" x14ac:dyDescent="0.3">
      <c r="E5185" t="s">
        <v>9</v>
      </c>
      <c r="F5185">
        <v>7</v>
      </c>
      <c r="G5185">
        <v>0.2</v>
      </c>
      <c r="H5185" s="2">
        <v>5.9149999999999938</v>
      </c>
      <c r="I5185" s="2">
        <v>47.32</v>
      </c>
    </row>
    <row r="5186" spans="2:9" x14ac:dyDescent="0.3">
      <c r="C5186" t="s">
        <v>22</v>
      </c>
      <c r="D5186" t="s">
        <v>8</v>
      </c>
      <c r="E5186" t="s">
        <v>9</v>
      </c>
      <c r="F5186">
        <v>2</v>
      </c>
      <c r="G5186">
        <v>0.2</v>
      </c>
      <c r="H5186" s="2">
        <v>0.95759999999999978</v>
      </c>
      <c r="I5186" s="2">
        <v>10.944000000000001</v>
      </c>
    </row>
    <row r="5187" spans="2:9" x14ac:dyDescent="0.3">
      <c r="B5187" t="s">
        <v>512</v>
      </c>
      <c r="C5187" t="s">
        <v>11</v>
      </c>
      <c r="D5187" t="s">
        <v>8</v>
      </c>
      <c r="E5187" t="s">
        <v>24</v>
      </c>
      <c r="F5187">
        <v>2</v>
      </c>
      <c r="G5187">
        <v>0.2</v>
      </c>
      <c r="H5187" s="2">
        <v>1.1988000000000003</v>
      </c>
      <c r="I5187" s="2">
        <v>15.984000000000002</v>
      </c>
    </row>
    <row r="5188" spans="2:9" x14ac:dyDescent="0.3">
      <c r="C5188" t="s">
        <v>7</v>
      </c>
      <c r="D5188" t="s">
        <v>15</v>
      </c>
      <c r="E5188" t="s">
        <v>19</v>
      </c>
      <c r="F5188">
        <v>7</v>
      </c>
      <c r="G5188">
        <v>0</v>
      </c>
      <c r="H5188" s="2">
        <v>4.1160000000000005</v>
      </c>
      <c r="I5188" s="2">
        <v>14.700000000000001</v>
      </c>
    </row>
    <row r="5189" spans="2:9" x14ac:dyDescent="0.3">
      <c r="C5189" t="s">
        <v>22</v>
      </c>
      <c r="D5189" t="s">
        <v>15</v>
      </c>
      <c r="E5189" t="s">
        <v>21</v>
      </c>
      <c r="F5189">
        <v>1</v>
      </c>
      <c r="G5189">
        <v>0</v>
      </c>
      <c r="H5189" s="2">
        <v>9.3152000000000008</v>
      </c>
      <c r="I5189" s="2">
        <v>22.72</v>
      </c>
    </row>
    <row r="5190" spans="2:9" x14ac:dyDescent="0.3">
      <c r="E5190" t="s">
        <v>43</v>
      </c>
      <c r="F5190">
        <v>5</v>
      </c>
      <c r="G5190">
        <v>0</v>
      </c>
      <c r="H5190" s="2">
        <v>70.219000000000008</v>
      </c>
      <c r="I5190" s="2">
        <v>152.65</v>
      </c>
    </row>
    <row r="5191" spans="2:9" x14ac:dyDescent="0.3">
      <c r="D5191" t="s">
        <v>17</v>
      </c>
      <c r="E5191" t="s">
        <v>16</v>
      </c>
      <c r="F5191">
        <v>5</v>
      </c>
      <c r="G5191">
        <v>0</v>
      </c>
      <c r="H5191" s="2">
        <v>15.065</v>
      </c>
      <c r="I5191" s="2">
        <v>32.75</v>
      </c>
    </row>
    <row r="5192" spans="2:9" x14ac:dyDescent="0.3">
      <c r="B5192" t="s">
        <v>513</v>
      </c>
      <c r="C5192" t="s">
        <v>22</v>
      </c>
      <c r="D5192" t="s">
        <v>8</v>
      </c>
      <c r="E5192" t="s">
        <v>16</v>
      </c>
      <c r="F5192">
        <v>3</v>
      </c>
      <c r="G5192">
        <v>0.2</v>
      </c>
      <c r="H5192" s="2">
        <v>5.4432</v>
      </c>
      <c r="I5192" s="2">
        <v>15.552000000000003</v>
      </c>
    </row>
    <row r="5193" spans="2:9" x14ac:dyDescent="0.3">
      <c r="E5193" t="s">
        <v>24</v>
      </c>
      <c r="F5193">
        <v>4</v>
      </c>
      <c r="G5193">
        <v>0.2</v>
      </c>
      <c r="H5193" s="2">
        <v>-87.667200000000037</v>
      </c>
      <c r="I5193" s="2">
        <v>438.33600000000001</v>
      </c>
    </row>
    <row r="5194" spans="2:9" x14ac:dyDescent="0.3">
      <c r="E5194" t="s">
        <v>14</v>
      </c>
      <c r="F5194">
        <v>5</v>
      </c>
      <c r="G5194">
        <v>0.2</v>
      </c>
      <c r="H5194" s="2">
        <v>-167.27</v>
      </c>
      <c r="I5194" s="2">
        <v>669.08</v>
      </c>
    </row>
    <row r="5195" spans="2:9" x14ac:dyDescent="0.3">
      <c r="D5195" t="s">
        <v>15</v>
      </c>
      <c r="E5195" t="s">
        <v>20</v>
      </c>
      <c r="F5195">
        <v>1</v>
      </c>
      <c r="G5195">
        <v>0.7</v>
      </c>
      <c r="H5195" s="2">
        <v>-3.5153999999999996</v>
      </c>
      <c r="I5195" s="2">
        <v>5.0220000000000002</v>
      </c>
    </row>
    <row r="5196" spans="2:9" x14ac:dyDescent="0.3">
      <c r="E5196" t="s">
        <v>16</v>
      </c>
      <c r="F5196">
        <v>9</v>
      </c>
      <c r="G5196">
        <v>0.2</v>
      </c>
      <c r="H5196" s="2">
        <v>22.518000000000001</v>
      </c>
      <c r="I5196" s="2">
        <v>60.048000000000002</v>
      </c>
    </row>
    <row r="5197" spans="2:9" x14ac:dyDescent="0.3">
      <c r="D5197" t="s">
        <v>17</v>
      </c>
      <c r="E5197" t="s">
        <v>23</v>
      </c>
      <c r="F5197">
        <v>2</v>
      </c>
      <c r="G5197">
        <v>0.2</v>
      </c>
      <c r="H5197" s="2">
        <v>-3.0939999999999994</v>
      </c>
      <c r="I5197" s="2">
        <v>35.360000000000007</v>
      </c>
    </row>
    <row r="5198" spans="2:9" x14ac:dyDescent="0.3">
      <c r="E5198" t="s">
        <v>21</v>
      </c>
      <c r="F5198">
        <v>1</v>
      </c>
      <c r="G5198">
        <v>0.2</v>
      </c>
      <c r="H5198" s="2">
        <v>-0.33980000000000032</v>
      </c>
      <c r="I5198" s="2">
        <v>13.591999999999999</v>
      </c>
    </row>
    <row r="5199" spans="2:9" x14ac:dyDescent="0.3">
      <c r="E5199" t="s">
        <v>24</v>
      </c>
      <c r="F5199">
        <v>1</v>
      </c>
      <c r="G5199">
        <v>0.2</v>
      </c>
      <c r="H5199" s="2">
        <v>17.639099999999985</v>
      </c>
      <c r="I5199" s="2">
        <v>156.79200000000003</v>
      </c>
    </row>
    <row r="5200" spans="2:9" x14ac:dyDescent="0.3">
      <c r="B5200" t="s">
        <v>514</v>
      </c>
      <c r="C5200" t="s">
        <v>11</v>
      </c>
      <c r="D5200" t="s">
        <v>15</v>
      </c>
      <c r="E5200" t="s">
        <v>21</v>
      </c>
      <c r="F5200">
        <v>7</v>
      </c>
      <c r="G5200">
        <v>0.6</v>
      </c>
      <c r="H5200" s="2">
        <v>-8.9151999999999987</v>
      </c>
      <c r="I5200" s="2">
        <v>22.288</v>
      </c>
    </row>
    <row r="5201" spans="2:9" x14ac:dyDescent="0.3">
      <c r="B5201" t="s">
        <v>515</v>
      </c>
      <c r="C5201" t="s">
        <v>11</v>
      </c>
      <c r="D5201" t="s">
        <v>8</v>
      </c>
      <c r="E5201" t="s">
        <v>23</v>
      </c>
      <c r="F5201">
        <v>2</v>
      </c>
      <c r="G5201">
        <v>0.2</v>
      </c>
      <c r="H5201" s="2">
        <v>25.596799999999998</v>
      </c>
      <c r="I5201" s="2">
        <v>127.98399999999999</v>
      </c>
    </row>
    <row r="5202" spans="2:9" x14ac:dyDescent="0.3">
      <c r="E5202" t="s">
        <v>19</v>
      </c>
      <c r="F5202">
        <v>6</v>
      </c>
      <c r="G5202">
        <v>0.4</v>
      </c>
      <c r="H5202" s="2">
        <v>23.894400000000001</v>
      </c>
      <c r="I5202" s="2">
        <v>104.44799999999999</v>
      </c>
    </row>
    <row r="5203" spans="2:9" x14ac:dyDescent="0.3">
      <c r="E5203" t="s">
        <v>20</v>
      </c>
      <c r="F5203">
        <v>6</v>
      </c>
      <c r="G5203">
        <v>2.0999999999999996</v>
      </c>
      <c r="H5203" s="2">
        <v>-10.091799999999999</v>
      </c>
      <c r="I5203" s="2">
        <v>12.759000000000002</v>
      </c>
    </row>
    <row r="5204" spans="2:9" x14ac:dyDescent="0.3">
      <c r="E5204" t="s">
        <v>43</v>
      </c>
      <c r="F5204">
        <v>6</v>
      </c>
      <c r="G5204">
        <v>0.2</v>
      </c>
      <c r="H5204" s="2">
        <v>5.9777999999999993</v>
      </c>
      <c r="I5204" s="2">
        <v>17.712</v>
      </c>
    </row>
    <row r="5205" spans="2:9" x14ac:dyDescent="0.3">
      <c r="E5205" t="s">
        <v>16</v>
      </c>
      <c r="F5205">
        <v>3</v>
      </c>
      <c r="G5205">
        <v>0.2</v>
      </c>
      <c r="H5205" s="2">
        <v>5.0286000000000008</v>
      </c>
      <c r="I5205" s="2">
        <v>13.872000000000002</v>
      </c>
    </row>
    <row r="5206" spans="2:9" x14ac:dyDescent="0.3">
      <c r="E5206" t="s">
        <v>24</v>
      </c>
      <c r="F5206">
        <v>7</v>
      </c>
      <c r="G5206">
        <v>0.4</v>
      </c>
      <c r="H5206" s="2">
        <v>94.49369999999999</v>
      </c>
      <c r="I5206" s="2">
        <v>629.95799999999997</v>
      </c>
    </row>
    <row r="5207" spans="2:9" x14ac:dyDescent="0.3">
      <c r="C5207" t="s">
        <v>27</v>
      </c>
      <c r="D5207" t="s">
        <v>17</v>
      </c>
      <c r="E5207" t="s">
        <v>12</v>
      </c>
      <c r="F5207">
        <v>4</v>
      </c>
      <c r="G5207">
        <v>0.2</v>
      </c>
      <c r="H5207" s="2">
        <v>82.991999999999877</v>
      </c>
      <c r="I5207" s="2">
        <v>663.93600000000004</v>
      </c>
    </row>
    <row r="5208" spans="2:9" x14ac:dyDescent="0.3">
      <c r="C5208" t="s">
        <v>7</v>
      </c>
      <c r="D5208" t="s">
        <v>8</v>
      </c>
      <c r="E5208" t="s">
        <v>14</v>
      </c>
      <c r="F5208">
        <v>3</v>
      </c>
      <c r="G5208">
        <v>0.2</v>
      </c>
      <c r="H5208" s="2">
        <v>-2.4359999999999999</v>
      </c>
      <c r="I5208" s="2">
        <v>38.975999999999999</v>
      </c>
    </row>
    <row r="5209" spans="2:9" x14ac:dyDescent="0.3">
      <c r="E5209" t="s">
        <v>9</v>
      </c>
      <c r="F5209">
        <v>5</v>
      </c>
      <c r="G5209">
        <v>0.2</v>
      </c>
      <c r="H5209" s="2">
        <v>-3.3120000000000012</v>
      </c>
      <c r="I5209" s="2">
        <v>14.720000000000002</v>
      </c>
    </row>
    <row r="5210" spans="2:9" x14ac:dyDescent="0.3">
      <c r="D5210" t="s">
        <v>15</v>
      </c>
      <c r="E5210" t="s">
        <v>12</v>
      </c>
      <c r="F5210">
        <v>5</v>
      </c>
      <c r="G5210">
        <v>0.2</v>
      </c>
      <c r="H5210" s="2">
        <v>1.3109999999999999</v>
      </c>
      <c r="I5210" s="2">
        <v>17.480000000000004</v>
      </c>
    </row>
    <row r="5211" spans="2:9" x14ac:dyDescent="0.3">
      <c r="E5211" t="s">
        <v>21</v>
      </c>
      <c r="F5211">
        <v>2</v>
      </c>
      <c r="G5211">
        <v>0.2</v>
      </c>
      <c r="H5211" s="2">
        <v>3.7920000000000011</v>
      </c>
      <c r="I5211" s="2">
        <v>15.168000000000001</v>
      </c>
    </row>
    <row r="5212" spans="2:9" x14ac:dyDescent="0.3">
      <c r="C5212" t="s">
        <v>22</v>
      </c>
      <c r="D5212" t="s">
        <v>8</v>
      </c>
      <c r="E5212" t="s">
        <v>21</v>
      </c>
      <c r="F5212">
        <v>7</v>
      </c>
      <c r="G5212">
        <v>0.2</v>
      </c>
      <c r="H5212" s="2">
        <v>9.6712000000000025</v>
      </c>
      <c r="I5212" s="2">
        <v>35.168000000000006</v>
      </c>
    </row>
    <row r="5213" spans="2:9" x14ac:dyDescent="0.3">
      <c r="E5213" t="s">
        <v>24</v>
      </c>
      <c r="F5213">
        <v>4</v>
      </c>
      <c r="G5213">
        <v>0.4</v>
      </c>
      <c r="H5213" s="2">
        <v>-250.39600000000019</v>
      </c>
      <c r="I5213" s="2">
        <v>1502.376</v>
      </c>
    </row>
    <row r="5214" spans="2:9" x14ac:dyDescent="0.3">
      <c r="E5214" t="s">
        <v>25</v>
      </c>
      <c r="F5214">
        <v>1</v>
      </c>
      <c r="G5214">
        <v>0.4</v>
      </c>
      <c r="H5214" s="2">
        <v>-94.660500000000013</v>
      </c>
      <c r="I5214" s="2">
        <v>172.11</v>
      </c>
    </row>
    <row r="5215" spans="2:9" x14ac:dyDescent="0.3">
      <c r="D5215" t="s">
        <v>15</v>
      </c>
      <c r="E5215" t="s">
        <v>23</v>
      </c>
      <c r="F5215">
        <v>2</v>
      </c>
      <c r="G5215">
        <v>0.2</v>
      </c>
      <c r="H5215" s="2">
        <v>2.2065999999999999</v>
      </c>
      <c r="I5215" s="2">
        <v>10.384</v>
      </c>
    </row>
    <row r="5216" spans="2:9" x14ac:dyDescent="0.3">
      <c r="E5216" t="s">
        <v>12</v>
      </c>
      <c r="F5216">
        <v>8</v>
      </c>
      <c r="G5216">
        <v>0.4</v>
      </c>
      <c r="H5216" s="2">
        <v>31.958099999999959</v>
      </c>
      <c r="I5216" s="2">
        <v>289.096</v>
      </c>
    </row>
    <row r="5217" spans="2:9" x14ac:dyDescent="0.3">
      <c r="E5217" t="s">
        <v>19</v>
      </c>
      <c r="F5217">
        <v>5</v>
      </c>
      <c r="G5217">
        <v>0.4</v>
      </c>
      <c r="H5217" s="2">
        <v>2.8343999999999987</v>
      </c>
      <c r="I5217" s="2">
        <v>18.240000000000002</v>
      </c>
    </row>
    <row r="5218" spans="2:9" x14ac:dyDescent="0.3">
      <c r="E5218" t="s">
        <v>20</v>
      </c>
      <c r="F5218">
        <v>18</v>
      </c>
      <c r="G5218">
        <v>1.4</v>
      </c>
      <c r="H5218" s="2">
        <v>-163.06899999999999</v>
      </c>
      <c r="I5218" s="2">
        <v>222.39000000000001</v>
      </c>
    </row>
    <row r="5219" spans="2:9" x14ac:dyDescent="0.3">
      <c r="E5219" t="s">
        <v>18</v>
      </c>
      <c r="F5219">
        <v>8</v>
      </c>
      <c r="G5219">
        <v>0.4</v>
      </c>
      <c r="H5219" s="2">
        <v>-1.9781000000000002</v>
      </c>
      <c r="I5219" s="2">
        <v>11.864000000000003</v>
      </c>
    </row>
    <row r="5220" spans="2:9" x14ac:dyDescent="0.3">
      <c r="E5220" t="s">
        <v>24</v>
      </c>
      <c r="F5220">
        <v>12</v>
      </c>
      <c r="G5220">
        <v>1.6</v>
      </c>
      <c r="H5220" s="2">
        <v>-89.619600000000048</v>
      </c>
      <c r="I5220" s="2">
        <v>487.46399999999994</v>
      </c>
    </row>
    <row r="5221" spans="2:9" x14ac:dyDescent="0.3">
      <c r="D5221" t="s">
        <v>17</v>
      </c>
      <c r="E5221" t="s">
        <v>20</v>
      </c>
      <c r="F5221">
        <v>3</v>
      </c>
      <c r="G5221">
        <v>0.7</v>
      </c>
      <c r="H5221" s="2">
        <v>-17.942399999999992</v>
      </c>
      <c r="I5221" s="2">
        <v>22.428000000000004</v>
      </c>
    </row>
    <row r="5222" spans="2:9" x14ac:dyDescent="0.3">
      <c r="E5222" t="s">
        <v>14</v>
      </c>
      <c r="F5222">
        <v>5</v>
      </c>
      <c r="G5222">
        <v>0.2</v>
      </c>
      <c r="H5222" s="2">
        <v>3.7519999999999989</v>
      </c>
      <c r="I5222" s="2">
        <v>37.52000000000001</v>
      </c>
    </row>
    <row r="5223" spans="2:9" x14ac:dyDescent="0.3">
      <c r="B5223" t="s">
        <v>516</v>
      </c>
      <c r="C5223" t="s">
        <v>22</v>
      </c>
      <c r="D5223" t="s">
        <v>15</v>
      </c>
      <c r="E5223" t="s">
        <v>12</v>
      </c>
      <c r="F5223">
        <v>5</v>
      </c>
      <c r="G5223">
        <v>0</v>
      </c>
      <c r="H5223" s="2">
        <v>459.39599999999996</v>
      </c>
      <c r="I5223" s="2">
        <v>1640.6999999999998</v>
      </c>
    </row>
    <row r="5224" spans="2:9" x14ac:dyDescent="0.3">
      <c r="E5224" t="s">
        <v>20</v>
      </c>
      <c r="F5224">
        <v>2</v>
      </c>
      <c r="G5224">
        <v>0.2</v>
      </c>
      <c r="H5224" s="2">
        <v>2.2098</v>
      </c>
      <c r="I5224" s="2">
        <v>6.0960000000000001</v>
      </c>
    </row>
    <row r="5225" spans="2:9" x14ac:dyDescent="0.3">
      <c r="E5225" t="s">
        <v>24</v>
      </c>
      <c r="F5225">
        <v>5</v>
      </c>
      <c r="G5225">
        <v>0.2</v>
      </c>
      <c r="H5225" s="2">
        <v>41.759999999999948</v>
      </c>
      <c r="I5225" s="2">
        <v>371.2</v>
      </c>
    </row>
    <row r="5226" spans="2:9" x14ac:dyDescent="0.3">
      <c r="E5226" t="s">
        <v>25</v>
      </c>
      <c r="F5226">
        <v>4</v>
      </c>
      <c r="G5226">
        <v>0.2</v>
      </c>
      <c r="H5226" s="2">
        <v>41.785200000000032</v>
      </c>
      <c r="I5226" s="2">
        <v>1114.2719999999999</v>
      </c>
    </row>
    <row r="5227" spans="2:9" x14ac:dyDescent="0.3">
      <c r="B5227" t="s">
        <v>517</v>
      </c>
      <c r="C5227" t="s">
        <v>27</v>
      </c>
      <c r="D5227" t="s">
        <v>15</v>
      </c>
      <c r="E5227" t="s">
        <v>20</v>
      </c>
      <c r="F5227">
        <v>2</v>
      </c>
      <c r="G5227">
        <v>0</v>
      </c>
      <c r="H5227" s="2">
        <v>19.814399999999999</v>
      </c>
      <c r="I5227" s="2">
        <v>41.28</v>
      </c>
    </row>
    <row r="5228" spans="2:9" x14ac:dyDescent="0.3">
      <c r="C5228" t="s">
        <v>22</v>
      </c>
      <c r="D5228" t="s">
        <v>8</v>
      </c>
      <c r="E5228" t="s">
        <v>19</v>
      </c>
      <c r="F5228">
        <v>7</v>
      </c>
      <c r="G5228">
        <v>0</v>
      </c>
      <c r="H5228" s="2">
        <v>22.792000000000002</v>
      </c>
      <c r="I5228" s="2">
        <v>56.980000000000004</v>
      </c>
    </row>
    <row r="5229" spans="2:9" x14ac:dyDescent="0.3">
      <c r="E5229" t="s">
        <v>20</v>
      </c>
      <c r="F5229">
        <v>4</v>
      </c>
      <c r="G5229">
        <v>0</v>
      </c>
      <c r="H5229" s="2">
        <v>28.1142</v>
      </c>
      <c r="I5229" s="2">
        <v>60.930000000000007</v>
      </c>
    </row>
    <row r="5230" spans="2:9" x14ac:dyDescent="0.3">
      <c r="E5230" t="s">
        <v>21</v>
      </c>
      <c r="F5230">
        <v>11</v>
      </c>
      <c r="G5230">
        <v>0</v>
      </c>
      <c r="H5230" s="2">
        <v>56.7864</v>
      </c>
      <c r="I5230" s="2">
        <v>157.74</v>
      </c>
    </row>
    <row r="5231" spans="2:9" x14ac:dyDescent="0.3">
      <c r="E5231" t="s">
        <v>24</v>
      </c>
      <c r="F5231">
        <v>8</v>
      </c>
      <c r="G5231">
        <v>0</v>
      </c>
      <c r="H5231" s="2">
        <v>87.030599999999993</v>
      </c>
      <c r="I5231" s="2">
        <v>317.67999999999995</v>
      </c>
    </row>
    <row r="5232" spans="2:9" x14ac:dyDescent="0.3">
      <c r="E5232" t="s">
        <v>14</v>
      </c>
      <c r="F5232">
        <v>7</v>
      </c>
      <c r="G5232">
        <v>0</v>
      </c>
      <c r="H5232" s="2">
        <v>1.4601999999999977</v>
      </c>
      <c r="I5232" s="2">
        <v>20.86</v>
      </c>
    </row>
    <row r="5233" spans="2:9" x14ac:dyDescent="0.3">
      <c r="D5233" t="s">
        <v>17</v>
      </c>
      <c r="E5233" t="s">
        <v>12</v>
      </c>
      <c r="F5233">
        <v>3</v>
      </c>
      <c r="G5233">
        <v>0.1</v>
      </c>
      <c r="H5233" s="2">
        <v>37.229999999999983</v>
      </c>
      <c r="I5233" s="2">
        <v>167.535</v>
      </c>
    </row>
    <row r="5234" spans="2:9" x14ac:dyDescent="0.3">
      <c r="E5234" t="s">
        <v>45</v>
      </c>
      <c r="F5234">
        <v>1</v>
      </c>
      <c r="G5234">
        <v>0</v>
      </c>
      <c r="H5234" s="2">
        <v>274.995</v>
      </c>
      <c r="I5234" s="2">
        <v>549.99</v>
      </c>
    </row>
    <row r="5235" spans="2:9" x14ac:dyDescent="0.3">
      <c r="E5235" t="s">
        <v>38</v>
      </c>
      <c r="F5235">
        <v>3</v>
      </c>
      <c r="G5235">
        <v>0</v>
      </c>
      <c r="H5235" s="2">
        <v>17.253</v>
      </c>
      <c r="I5235" s="2">
        <v>38.339999999999996</v>
      </c>
    </row>
    <row r="5236" spans="2:9" x14ac:dyDescent="0.3">
      <c r="E5236" t="s">
        <v>21</v>
      </c>
      <c r="F5236">
        <v>6</v>
      </c>
      <c r="G5236">
        <v>0</v>
      </c>
      <c r="H5236" s="2">
        <v>22.629600000000003</v>
      </c>
      <c r="I5236" s="2">
        <v>53.88</v>
      </c>
    </row>
    <row r="5237" spans="2:9" x14ac:dyDescent="0.3">
      <c r="E5237" t="s">
        <v>24</v>
      </c>
      <c r="F5237">
        <v>2</v>
      </c>
      <c r="G5237">
        <v>0</v>
      </c>
      <c r="H5237" s="2">
        <v>83.994400000000013</v>
      </c>
      <c r="I5237" s="2">
        <v>299.98</v>
      </c>
    </row>
    <row r="5238" spans="2:9" x14ac:dyDescent="0.3">
      <c r="B5238" t="s">
        <v>518</v>
      </c>
      <c r="C5238" t="s">
        <v>11</v>
      </c>
      <c r="D5238" t="s">
        <v>8</v>
      </c>
      <c r="E5238" t="s">
        <v>23</v>
      </c>
      <c r="F5238">
        <v>2</v>
      </c>
      <c r="G5238">
        <v>0</v>
      </c>
      <c r="H5238" s="2">
        <v>3.3000000000000007</v>
      </c>
      <c r="I5238" s="2">
        <v>30</v>
      </c>
    </row>
    <row r="5239" spans="2:9" x14ac:dyDescent="0.3">
      <c r="E5239" t="s">
        <v>19</v>
      </c>
      <c r="F5239">
        <v>1</v>
      </c>
      <c r="G5239">
        <v>0</v>
      </c>
      <c r="H5239" s="2">
        <v>0.84</v>
      </c>
      <c r="I5239" s="2">
        <v>1.68</v>
      </c>
    </row>
    <row r="5240" spans="2:9" x14ac:dyDescent="0.3">
      <c r="E5240" t="s">
        <v>20</v>
      </c>
      <c r="F5240">
        <v>4</v>
      </c>
      <c r="G5240">
        <v>0.2</v>
      </c>
      <c r="H5240" s="2">
        <v>16.361999999999998</v>
      </c>
      <c r="I5240" s="2">
        <v>48.480000000000004</v>
      </c>
    </row>
    <row r="5241" spans="2:9" x14ac:dyDescent="0.3">
      <c r="E5241" t="s">
        <v>33</v>
      </c>
      <c r="F5241">
        <v>5</v>
      </c>
      <c r="G5241">
        <v>0.1</v>
      </c>
      <c r="H5241" s="2">
        <v>7.0980000000000061</v>
      </c>
      <c r="I5241" s="2">
        <v>319.41000000000003</v>
      </c>
    </row>
    <row r="5242" spans="2:9" x14ac:dyDescent="0.3">
      <c r="E5242" t="s">
        <v>16</v>
      </c>
      <c r="F5242">
        <v>13</v>
      </c>
      <c r="G5242">
        <v>0.2</v>
      </c>
      <c r="H5242" s="2">
        <v>33.427199999999999</v>
      </c>
      <c r="I5242" s="2">
        <v>78.064000000000021</v>
      </c>
    </row>
    <row r="5243" spans="2:9" x14ac:dyDescent="0.3">
      <c r="E5243" t="s">
        <v>14</v>
      </c>
      <c r="F5243">
        <v>6</v>
      </c>
      <c r="G5243">
        <v>0</v>
      </c>
      <c r="H5243" s="2">
        <v>52.139999999999986</v>
      </c>
      <c r="I5243" s="2">
        <v>208.56</v>
      </c>
    </row>
    <row r="5244" spans="2:9" x14ac:dyDescent="0.3">
      <c r="D5244" t="s">
        <v>17</v>
      </c>
      <c r="E5244" t="s">
        <v>20</v>
      </c>
      <c r="F5244">
        <v>8</v>
      </c>
      <c r="G5244">
        <v>1.4</v>
      </c>
      <c r="H5244" s="2">
        <v>-15.144899999999998</v>
      </c>
      <c r="I5244" s="2">
        <v>20.547000000000004</v>
      </c>
    </row>
    <row r="5245" spans="2:9" x14ac:dyDescent="0.3">
      <c r="E5245" t="s">
        <v>33</v>
      </c>
      <c r="F5245">
        <v>5</v>
      </c>
      <c r="G5245">
        <v>0.3</v>
      </c>
      <c r="H5245" s="2">
        <v>-12.84900000000016</v>
      </c>
      <c r="I5245" s="2">
        <v>899.43</v>
      </c>
    </row>
    <row r="5246" spans="2:9" x14ac:dyDescent="0.3">
      <c r="E5246" t="s">
        <v>21</v>
      </c>
      <c r="F5246">
        <v>2</v>
      </c>
      <c r="G5246">
        <v>0.2</v>
      </c>
      <c r="H5246" s="2">
        <v>8.2896000000000001</v>
      </c>
      <c r="I5246" s="2">
        <v>30.144000000000002</v>
      </c>
    </row>
    <row r="5247" spans="2:9" x14ac:dyDescent="0.3">
      <c r="E5247" t="s">
        <v>24</v>
      </c>
      <c r="F5247">
        <v>1</v>
      </c>
      <c r="G5247">
        <v>0.4</v>
      </c>
      <c r="H5247" s="2">
        <v>-11.518799999999999</v>
      </c>
      <c r="I5247" s="2">
        <v>57.593999999999994</v>
      </c>
    </row>
    <row r="5248" spans="2:9" x14ac:dyDescent="0.3">
      <c r="E5248" t="s">
        <v>25</v>
      </c>
      <c r="F5248">
        <v>5</v>
      </c>
      <c r="G5248">
        <v>0.4</v>
      </c>
      <c r="H5248" s="2">
        <v>-106.39299999999997</v>
      </c>
      <c r="I5248" s="2">
        <v>455.97</v>
      </c>
    </row>
    <row r="5249" spans="2:9" x14ac:dyDescent="0.3">
      <c r="C5249" t="s">
        <v>7</v>
      </c>
      <c r="D5249" t="s">
        <v>8</v>
      </c>
      <c r="E5249" t="s">
        <v>19</v>
      </c>
      <c r="F5249">
        <v>9</v>
      </c>
      <c r="G5249">
        <v>0</v>
      </c>
      <c r="H5249" s="2">
        <v>22.244399999999995</v>
      </c>
      <c r="I5249" s="2">
        <v>60.12</v>
      </c>
    </row>
    <row r="5250" spans="2:9" x14ac:dyDescent="0.3">
      <c r="E5250" t="s">
        <v>24</v>
      </c>
      <c r="F5250">
        <v>5</v>
      </c>
      <c r="G5250">
        <v>0.4</v>
      </c>
      <c r="H5250" s="2">
        <v>-255.74250000000001</v>
      </c>
      <c r="I5250" s="2">
        <v>1022.97</v>
      </c>
    </row>
    <row r="5251" spans="2:9" x14ac:dyDescent="0.3">
      <c r="D5251" t="s">
        <v>15</v>
      </c>
      <c r="E5251" t="s">
        <v>20</v>
      </c>
      <c r="F5251">
        <v>3</v>
      </c>
      <c r="G5251">
        <v>0.2</v>
      </c>
      <c r="H5251" s="2">
        <v>3.3452999999999995</v>
      </c>
      <c r="I5251" s="2">
        <v>9.9120000000000008</v>
      </c>
    </row>
    <row r="5252" spans="2:9" x14ac:dyDescent="0.3">
      <c r="E5252" t="s">
        <v>34</v>
      </c>
      <c r="F5252">
        <v>6</v>
      </c>
      <c r="G5252">
        <v>0.5</v>
      </c>
      <c r="H5252" s="2">
        <v>-376.69319999999999</v>
      </c>
      <c r="I5252" s="2">
        <v>482.93999999999994</v>
      </c>
    </row>
    <row r="5253" spans="2:9" x14ac:dyDescent="0.3">
      <c r="E5253" t="s">
        <v>38</v>
      </c>
      <c r="F5253">
        <v>8</v>
      </c>
      <c r="G5253">
        <v>0</v>
      </c>
      <c r="H5253" s="2">
        <v>121.44159999999999</v>
      </c>
      <c r="I5253" s="2">
        <v>247.84</v>
      </c>
    </row>
    <row r="5254" spans="2:9" x14ac:dyDescent="0.3">
      <c r="E5254" t="s">
        <v>16</v>
      </c>
      <c r="F5254">
        <v>3</v>
      </c>
      <c r="G5254">
        <v>0.2</v>
      </c>
      <c r="H5254" s="2">
        <v>5.4432</v>
      </c>
      <c r="I5254" s="2">
        <v>15.552000000000003</v>
      </c>
    </row>
    <row r="5255" spans="2:9" x14ac:dyDescent="0.3">
      <c r="D5255" t="s">
        <v>17</v>
      </c>
      <c r="E5255" t="s">
        <v>23</v>
      </c>
      <c r="F5255">
        <v>3</v>
      </c>
      <c r="G5255">
        <v>0</v>
      </c>
      <c r="H5255" s="2">
        <v>37.787400000000005</v>
      </c>
      <c r="I5255" s="2">
        <v>89.97</v>
      </c>
    </row>
    <row r="5256" spans="2:9" x14ac:dyDescent="0.3">
      <c r="E5256" t="s">
        <v>21</v>
      </c>
      <c r="F5256">
        <v>2</v>
      </c>
      <c r="G5256">
        <v>0</v>
      </c>
      <c r="H5256" s="2">
        <v>7.4376000000000033</v>
      </c>
      <c r="I5256" s="2">
        <v>82.64</v>
      </c>
    </row>
    <row r="5257" spans="2:9" x14ac:dyDescent="0.3">
      <c r="E5257" t="s">
        <v>14</v>
      </c>
      <c r="F5257">
        <v>2</v>
      </c>
      <c r="G5257">
        <v>0</v>
      </c>
      <c r="H5257" s="2">
        <v>8.0652000000000008</v>
      </c>
      <c r="I5257" s="2">
        <v>31.02</v>
      </c>
    </row>
    <row r="5258" spans="2:9" x14ac:dyDescent="0.3">
      <c r="C5258" t="s">
        <v>22</v>
      </c>
      <c r="D5258" t="s">
        <v>8</v>
      </c>
      <c r="E5258" t="s">
        <v>20</v>
      </c>
      <c r="F5258">
        <v>3</v>
      </c>
      <c r="G5258">
        <v>0.7</v>
      </c>
      <c r="H5258" s="2">
        <v>-7.5767999999999986</v>
      </c>
      <c r="I5258" s="2">
        <v>10.332000000000003</v>
      </c>
    </row>
    <row r="5259" spans="2:9" x14ac:dyDescent="0.3">
      <c r="E5259" t="s">
        <v>33</v>
      </c>
      <c r="F5259">
        <v>2</v>
      </c>
      <c r="G5259">
        <v>0.1</v>
      </c>
      <c r="H5259" s="2">
        <v>8.5371999999999968</v>
      </c>
      <c r="I5259" s="2">
        <v>109.764</v>
      </c>
    </row>
    <row r="5260" spans="2:9" x14ac:dyDescent="0.3">
      <c r="E5260" t="s">
        <v>21</v>
      </c>
      <c r="F5260">
        <v>3</v>
      </c>
      <c r="G5260">
        <v>0</v>
      </c>
      <c r="H5260" s="2">
        <v>19.295999999999999</v>
      </c>
      <c r="I5260" s="2">
        <v>40.200000000000003</v>
      </c>
    </row>
    <row r="5261" spans="2:9" x14ac:dyDescent="0.3">
      <c r="D5261" t="s">
        <v>15</v>
      </c>
      <c r="E5261" t="s">
        <v>24</v>
      </c>
      <c r="F5261">
        <v>4</v>
      </c>
      <c r="G5261">
        <v>0.4</v>
      </c>
      <c r="H5261" s="2">
        <v>-15.584400000000002</v>
      </c>
      <c r="I5261" s="2">
        <v>23.975999999999999</v>
      </c>
    </row>
    <row r="5262" spans="2:9" x14ac:dyDescent="0.3">
      <c r="D5262" t="s">
        <v>17</v>
      </c>
      <c r="E5262" t="s">
        <v>20</v>
      </c>
      <c r="F5262">
        <v>6</v>
      </c>
      <c r="G5262">
        <v>0.7</v>
      </c>
      <c r="H5262" s="2">
        <v>-100.91999999999999</v>
      </c>
      <c r="I5262" s="2">
        <v>121.10400000000003</v>
      </c>
    </row>
    <row r="5263" spans="2:9" x14ac:dyDescent="0.3">
      <c r="E5263" t="s">
        <v>38</v>
      </c>
      <c r="F5263">
        <v>1</v>
      </c>
      <c r="G5263">
        <v>0.2</v>
      </c>
      <c r="H5263" s="2">
        <v>3.2161</v>
      </c>
      <c r="I5263" s="2">
        <v>8.8719999999999999</v>
      </c>
    </row>
    <row r="5264" spans="2:9" x14ac:dyDescent="0.3">
      <c r="B5264" t="s">
        <v>519</v>
      </c>
      <c r="C5264" t="s">
        <v>11</v>
      </c>
      <c r="D5264" t="s">
        <v>8</v>
      </c>
      <c r="E5264" t="s">
        <v>23</v>
      </c>
      <c r="F5264">
        <v>3</v>
      </c>
      <c r="G5264">
        <v>0.2</v>
      </c>
      <c r="H5264" s="2">
        <v>21.592800000000011</v>
      </c>
      <c r="I5264" s="2">
        <v>71.975999999999999</v>
      </c>
    </row>
    <row r="5265" spans="3:9" x14ac:dyDescent="0.3">
      <c r="E5265" t="s">
        <v>33</v>
      </c>
      <c r="F5265">
        <v>3</v>
      </c>
      <c r="G5265">
        <v>0.2</v>
      </c>
      <c r="H5265" s="2">
        <v>-42.411600000000035</v>
      </c>
      <c r="I5265" s="2">
        <v>242.35200000000003</v>
      </c>
    </row>
    <row r="5266" spans="3:9" x14ac:dyDescent="0.3">
      <c r="E5266" t="s">
        <v>21</v>
      </c>
      <c r="F5266">
        <v>2</v>
      </c>
      <c r="G5266">
        <v>0.2</v>
      </c>
      <c r="H5266" s="2">
        <v>10.393599999999998</v>
      </c>
      <c r="I5266" s="2">
        <v>51.967999999999996</v>
      </c>
    </row>
    <row r="5267" spans="3:9" x14ac:dyDescent="0.3">
      <c r="E5267" t="s">
        <v>16</v>
      </c>
      <c r="F5267">
        <v>7</v>
      </c>
      <c r="G5267">
        <v>0.4</v>
      </c>
      <c r="H5267" s="2">
        <v>80.311999999999983</v>
      </c>
      <c r="I5267" s="2">
        <v>230.36800000000002</v>
      </c>
    </row>
    <row r="5268" spans="3:9" x14ac:dyDescent="0.3">
      <c r="D5268" t="s">
        <v>15</v>
      </c>
      <c r="E5268" t="s">
        <v>23</v>
      </c>
      <c r="F5268">
        <v>6</v>
      </c>
      <c r="G5268">
        <v>0.2</v>
      </c>
      <c r="H5268" s="2">
        <v>-35.992800000000038</v>
      </c>
      <c r="I5268" s="2">
        <v>239.95200000000003</v>
      </c>
    </row>
    <row r="5269" spans="3:9" x14ac:dyDescent="0.3">
      <c r="E5269" t="s">
        <v>20</v>
      </c>
      <c r="F5269">
        <v>14</v>
      </c>
      <c r="G5269">
        <v>0.7</v>
      </c>
      <c r="H5269" s="2">
        <v>-25.591999999999999</v>
      </c>
      <c r="I5269" s="2">
        <v>38.388000000000005</v>
      </c>
    </row>
    <row r="5270" spans="3:9" x14ac:dyDescent="0.3">
      <c r="E5270" t="s">
        <v>33</v>
      </c>
      <c r="F5270">
        <v>4</v>
      </c>
      <c r="G5270">
        <v>0.2</v>
      </c>
      <c r="H5270" s="2">
        <v>-146.10960000000014</v>
      </c>
      <c r="I5270" s="2">
        <v>899.13600000000008</v>
      </c>
    </row>
    <row r="5271" spans="3:9" x14ac:dyDescent="0.3">
      <c r="E5271" t="s">
        <v>46</v>
      </c>
      <c r="F5271">
        <v>2</v>
      </c>
      <c r="G5271">
        <v>0.7</v>
      </c>
      <c r="H5271" s="2">
        <v>-63.995999999999981</v>
      </c>
      <c r="I5271" s="2">
        <v>95.994000000000014</v>
      </c>
    </row>
    <row r="5272" spans="3:9" x14ac:dyDescent="0.3">
      <c r="E5272" t="s">
        <v>24</v>
      </c>
      <c r="F5272">
        <v>10</v>
      </c>
      <c r="G5272">
        <v>0.4</v>
      </c>
      <c r="H5272" s="2">
        <v>53.205200000000033</v>
      </c>
      <c r="I5272" s="2">
        <v>582.44800000000009</v>
      </c>
    </row>
    <row r="5273" spans="3:9" x14ac:dyDescent="0.3">
      <c r="C5273" t="s">
        <v>27</v>
      </c>
      <c r="D5273" t="s">
        <v>17</v>
      </c>
      <c r="E5273" t="s">
        <v>33</v>
      </c>
      <c r="F5273">
        <v>4</v>
      </c>
      <c r="G5273">
        <v>0.2</v>
      </c>
      <c r="H5273" s="2">
        <v>-25.913599999999988</v>
      </c>
      <c r="I5273" s="2">
        <v>259.13600000000002</v>
      </c>
    </row>
    <row r="5274" spans="3:9" x14ac:dyDescent="0.3">
      <c r="C5274" t="s">
        <v>7</v>
      </c>
      <c r="D5274" t="s">
        <v>8</v>
      </c>
      <c r="E5274" t="s">
        <v>24</v>
      </c>
      <c r="F5274">
        <v>2</v>
      </c>
      <c r="G5274">
        <v>0.2</v>
      </c>
      <c r="H5274" s="2">
        <v>13.17</v>
      </c>
      <c r="I5274" s="2">
        <v>35.119999999999997</v>
      </c>
    </row>
    <row r="5275" spans="3:9" x14ac:dyDescent="0.3">
      <c r="C5275" t="s">
        <v>22</v>
      </c>
      <c r="D5275" t="s">
        <v>8</v>
      </c>
      <c r="E5275" t="s">
        <v>23</v>
      </c>
      <c r="F5275">
        <v>18</v>
      </c>
      <c r="G5275">
        <v>0.4</v>
      </c>
      <c r="H5275" s="2">
        <v>149.2487999999999</v>
      </c>
      <c r="I5275" s="2">
        <v>1502.9760000000001</v>
      </c>
    </row>
    <row r="5276" spans="3:9" x14ac:dyDescent="0.3">
      <c r="E5276" t="s">
        <v>19</v>
      </c>
      <c r="F5276">
        <v>7</v>
      </c>
      <c r="G5276">
        <v>0.4</v>
      </c>
      <c r="H5276" s="2">
        <v>10.633199999999988</v>
      </c>
      <c r="I5276" s="2">
        <v>95.543999999999997</v>
      </c>
    </row>
    <row r="5277" spans="3:9" x14ac:dyDescent="0.3">
      <c r="E5277" t="s">
        <v>20</v>
      </c>
      <c r="F5277">
        <v>5</v>
      </c>
      <c r="G5277">
        <v>0.7</v>
      </c>
      <c r="H5277" s="2">
        <v>-5.7119999999999997</v>
      </c>
      <c r="I5277" s="2">
        <v>8.1600000000000019</v>
      </c>
    </row>
    <row r="5278" spans="3:9" x14ac:dyDescent="0.3">
      <c r="E5278" t="s">
        <v>21</v>
      </c>
      <c r="F5278">
        <v>8</v>
      </c>
      <c r="G5278">
        <v>0.4</v>
      </c>
      <c r="H5278" s="2">
        <v>49.912800000000011</v>
      </c>
      <c r="I5278" s="2">
        <v>210.38399999999996</v>
      </c>
    </row>
    <row r="5279" spans="3:9" x14ac:dyDescent="0.3">
      <c r="E5279" t="s">
        <v>16</v>
      </c>
      <c r="F5279">
        <v>17</v>
      </c>
      <c r="G5279">
        <v>0.60000000000000009</v>
      </c>
      <c r="H5279" s="2">
        <v>96.118199999999987</v>
      </c>
      <c r="I5279" s="2">
        <v>302.608</v>
      </c>
    </row>
    <row r="5280" spans="3:9" x14ac:dyDescent="0.3">
      <c r="E5280" t="s">
        <v>14</v>
      </c>
      <c r="F5280">
        <v>6</v>
      </c>
      <c r="G5280">
        <v>0.2</v>
      </c>
      <c r="H5280" s="2">
        <v>-58.68719999999999</v>
      </c>
      <c r="I5280" s="2">
        <v>247.10399999999998</v>
      </c>
    </row>
    <row r="5281" spans="2:9" x14ac:dyDescent="0.3">
      <c r="D5281" t="s">
        <v>15</v>
      </c>
      <c r="E5281" t="s">
        <v>20</v>
      </c>
      <c r="F5281">
        <v>8</v>
      </c>
      <c r="G5281">
        <v>1.4</v>
      </c>
      <c r="H5281" s="2">
        <v>-11.827199999999998</v>
      </c>
      <c r="I5281" s="2">
        <v>15.654000000000002</v>
      </c>
    </row>
    <row r="5282" spans="2:9" x14ac:dyDescent="0.3">
      <c r="E5282" t="s">
        <v>33</v>
      </c>
      <c r="F5282">
        <v>3</v>
      </c>
      <c r="G5282">
        <v>0.2</v>
      </c>
      <c r="H5282" s="2">
        <v>-35.36460000000001</v>
      </c>
      <c r="I5282" s="2">
        <v>314.35199999999998</v>
      </c>
    </row>
    <row r="5283" spans="2:9" x14ac:dyDescent="0.3">
      <c r="E5283" t="s">
        <v>21</v>
      </c>
      <c r="F5283">
        <v>3</v>
      </c>
      <c r="G5283">
        <v>0.2</v>
      </c>
      <c r="H5283" s="2">
        <v>89.306999999999988</v>
      </c>
      <c r="I5283" s="2">
        <v>238.15200000000004</v>
      </c>
    </row>
    <row r="5284" spans="2:9" x14ac:dyDescent="0.3">
      <c r="E5284" t="s">
        <v>16</v>
      </c>
      <c r="F5284">
        <v>3</v>
      </c>
      <c r="G5284">
        <v>0.2</v>
      </c>
      <c r="H5284" s="2">
        <v>23.234999999999992</v>
      </c>
      <c r="I5284" s="2">
        <v>74.352000000000004</v>
      </c>
    </row>
    <row r="5285" spans="2:9" x14ac:dyDescent="0.3">
      <c r="E5285" t="s">
        <v>25</v>
      </c>
      <c r="F5285">
        <v>6</v>
      </c>
      <c r="G5285">
        <v>0.5</v>
      </c>
      <c r="H5285" s="2">
        <v>-218.86559999999997</v>
      </c>
      <c r="I5285" s="2">
        <v>455.97</v>
      </c>
    </row>
    <row r="5286" spans="2:9" x14ac:dyDescent="0.3">
      <c r="D5286" t="s">
        <v>17</v>
      </c>
      <c r="E5286" t="s">
        <v>23</v>
      </c>
      <c r="F5286">
        <v>2</v>
      </c>
      <c r="G5286">
        <v>0.2</v>
      </c>
      <c r="H5286" s="2">
        <v>11.997999999999998</v>
      </c>
      <c r="I5286" s="2">
        <v>95.984000000000009</v>
      </c>
    </row>
    <row r="5287" spans="2:9" x14ac:dyDescent="0.3">
      <c r="E5287" t="s">
        <v>20</v>
      </c>
      <c r="F5287">
        <v>2</v>
      </c>
      <c r="G5287">
        <v>0.7</v>
      </c>
      <c r="H5287" s="2">
        <v>-3.6212</v>
      </c>
      <c r="I5287" s="2">
        <v>4.9380000000000006</v>
      </c>
    </row>
    <row r="5288" spans="2:9" x14ac:dyDescent="0.3">
      <c r="B5288" t="s">
        <v>520</v>
      </c>
      <c r="C5288" t="s">
        <v>11</v>
      </c>
      <c r="D5288" t="s">
        <v>15</v>
      </c>
      <c r="E5288" t="s">
        <v>24</v>
      </c>
      <c r="F5288">
        <v>7</v>
      </c>
      <c r="G5288">
        <v>0</v>
      </c>
      <c r="H5288" s="2">
        <v>0.69929999999999914</v>
      </c>
      <c r="I5288" s="2">
        <v>69.930000000000007</v>
      </c>
    </row>
    <row r="5289" spans="2:9" x14ac:dyDescent="0.3">
      <c r="C5289" t="s">
        <v>27</v>
      </c>
      <c r="D5289" t="s">
        <v>8</v>
      </c>
      <c r="E5289" t="s">
        <v>20</v>
      </c>
      <c r="F5289">
        <v>5</v>
      </c>
      <c r="G5289">
        <v>0</v>
      </c>
      <c r="H5289" s="2">
        <v>14.424999999999999</v>
      </c>
      <c r="I5289" s="2">
        <v>28.849999999999998</v>
      </c>
    </row>
    <row r="5290" spans="2:9" x14ac:dyDescent="0.3">
      <c r="C5290" t="s">
        <v>7</v>
      </c>
      <c r="D5290" t="s">
        <v>8</v>
      </c>
      <c r="E5290" t="s">
        <v>23</v>
      </c>
      <c r="F5290">
        <v>12</v>
      </c>
      <c r="G5290">
        <v>0</v>
      </c>
      <c r="H5290" s="2">
        <v>23.419200000000011</v>
      </c>
      <c r="I5290" s="2">
        <v>167.28</v>
      </c>
    </row>
    <row r="5291" spans="2:9" x14ac:dyDescent="0.3">
      <c r="E5291" t="s">
        <v>20</v>
      </c>
      <c r="F5291">
        <v>3</v>
      </c>
      <c r="G5291">
        <v>0</v>
      </c>
      <c r="H5291" s="2">
        <v>20.120699999999999</v>
      </c>
      <c r="I5291" s="2">
        <v>42.81</v>
      </c>
    </row>
    <row r="5292" spans="2:9" x14ac:dyDescent="0.3">
      <c r="E5292" t="s">
        <v>38</v>
      </c>
      <c r="F5292">
        <v>3</v>
      </c>
      <c r="G5292">
        <v>0</v>
      </c>
      <c r="H5292" s="2">
        <v>38.323799999999999</v>
      </c>
      <c r="I5292" s="2">
        <v>81.539999999999992</v>
      </c>
    </row>
    <row r="5293" spans="2:9" x14ac:dyDescent="0.3">
      <c r="E5293" t="s">
        <v>21</v>
      </c>
      <c r="F5293">
        <v>9</v>
      </c>
      <c r="G5293">
        <v>0</v>
      </c>
      <c r="H5293" s="2">
        <v>237.3417</v>
      </c>
      <c r="I5293" s="2">
        <v>879.56999999999994</v>
      </c>
    </row>
    <row r="5294" spans="2:9" x14ac:dyDescent="0.3">
      <c r="E5294" t="s">
        <v>16</v>
      </c>
      <c r="F5294">
        <v>2</v>
      </c>
      <c r="G5294">
        <v>0</v>
      </c>
      <c r="H5294" s="2">
        <v>6.2208000000000006</v>
      </c>
      <c r="I5294" s="2">
        <v>12.96</v>
      </c>
    </row>
    <row r="5295" spans="2:9" x14ac:dyDescent="0.3">
      <c r="E5295" t="s">
        <v>24</v>
      </c>
      <c r="F5295">
        <v>3</v>
      </c>
      <c r="G5295">
        <v>0</v>
      </c>
      <c r="H5295" s="2">
        <v>28.309500000000007</v>
      </c>
      <c r="I5295" s="2">
        <v>104.85000000000001</v>
      </c>
    </row>
    <row r="5296" spans="2:9" x14ac:dyDescent="0.3">
      <c r="C5296" t="s">
        <v>22</v>
      </c>
      <c r="D5296" t="s">
        <v>8</v>
      </c>
      <c r="E5296" t="s">
        <v>23</v>
      </c>
      <c r="F5296">
        <v>4</v>
      </c>
      <c r="G5296">
        <v>0</v>
      </c>
      <c r="H5296" s="2">
        <v>102.18599999999998</v>
      </c>
      <c r="I5296" s="2">
        <v>291.95999999999998</v>
      </c>
    </row>
    <row r="5297" spans="2:9" x14ac:dyDescent="0.3">
      <c r="E5297" t="s">
        <v>20</v>
      </c>
      <c r="F5297">
        <v>5</v>
      </c>
      <c r="G5297">
        <v>0</v>
      </c>
      <c r="H5297" s="2">
        <v>5.1839999999999993</v>
      </c>
      <c r="I5297" s="2">
        <v>10.8</v>
      </c>
    </row>
    <row r="5298" spans="2:9" x14ac:dyDescent="0.3">
      <c r="E5298" t="s">
        <v>33</v>
      </c>
      <c r="F5298">
        <v>6</v>
      </c>
      <c r="G5298">
        <v>0</v>
      </c>
      <c r="H5298" s="2">
        <v>523.70519999999988</v>
      </c>
      <c r="I5298" s="2">
        <v>1805.88</v>
      </c>
    </row>
    <row r="5299" spans="2:9" x14ac:dyDescent="0.3">
      <c r="E5299" t="s">
        <v>21</v>
      </c>
      <c r="F5299">
        <v>5</v>
      </c>
      <c r="G5299">
        <v>0</v>
      </c>
      <c r="H5299" s="2">
        <v>138.41699999999997</v>
      </c>
      <c r="I5299" s="2">
        <v>477.29999999999995</v>
      </c>
    </row>
    <row r="5300" spans="2:9" x14ac:dyDescent="0.3">
      <c r="E5300" t="s">
        <v>16</v>
      </c>
      <c r="F5300">
        <v>3</v>
      </c>
      <c r="G5300">
        <v>0</v>
      </c>
      <c r="H5300" s="2">
        <v>7.0218000000000007</v>
      </c>
      <c r="I5300" s="2">
        <v>14.940000000000001</v>
      </c>
    </row>
    <row r="5301" spans="2:9" x14ac:dyDescent="0.3">
      <c r="D5301" t="s">
        <v>15</v>
      </c>
      <c r="E5301" t="s">
        <v>19</v>
      </c>
      <c r="F5301">
        <v>3</v>
      </c>
      <c r="G5301">
        <v>0</v>
      </c>
      <c r="H5301" s="2">
        <v>3.4692000000000003</v>
      </c>
      <c r="I5301" s="2">
        <v>12.39</v>
      </c>
    </row>
    <row r="5302" spans="2:9" x14ac:dyDescent="0.3">
      <c r="E5302" t="s">
        <v>33</v>
      </c>
      <c r="F5302">
        <v>3</v>
      </c>
      <c r="G5302">
        <v>0</v>
      </c>
      <c r="H5302" s="2">
        <v>81.173400000000001</v>
      </c>
      <c r="I5302" s="2">
        <v>368.96999999999997</v>
      </c>
    </row>
    <row r="5303" spans="2:9" x14ac:dyDescent="0.3">
      <c r="E5303" t="s">
        <v>14</v>
      </c>
      <c r="F5303">
        <v>3</v>
      </c>
      <c r="G5303">
        <v>0</v>
      </c>
      <c r="H5303" s="2">
        <v>9.9882000000000204</v>
      </c>
      <c r="I5303" s="2">
        <v>332.94</v>
      </c>
    </row>
    <row r="5304" spans="2:9" x14ac:dyDescent="0.3">
      <c r="E5304" t="s">
        <v>9</v>
      </c>
      <c r="F5304">
        <v>2</v>
      </c>
      <c r="G5304">
        <v>0</v>
      </c>
      <c r="H5304" s="2">
        <v>6.1488000000000014</v>
      </c>
      <c r="I5304" s="2">
        <v>21.96</v>
      </c>
    </row>
    <row r="5305" spans="2:9" x14ac:dyDescent="0.3">
      <c r="D5305" t="s">
        <v>17</v>
      </c>
      <c r="E5305" t="s">
        <v>19</v>
      </c>
      <c r="F5305">
        <v>4</v>
      </c>
      <c r="G5305">
        <v>0</v>
      </c>
      <c r="H5305" s="2">
        <v>12.025199999999998</v>
      </c>
      <c r="I5305" s="2">
        <v>36.44</v>
      </c>
    </row>
    <row r="5306" spans="2:9" x14ac:dyDescent="0.3">
      <c r="E5306" t="s">
        <v>20</v>
      </c>
      <c r="F5306">
        <v>11</v>
      </c>
      <c r="G5306">
        <v>0</v>
      </c>
      <c r="H5306" s="2">
        <v>70.322000000000003</v>
      </c>
      <c r="I5306" s="2">
        <v>151.48000000000002</v>
      </c>
    </row>
    <row r="5307" spans="2:9" x14ac:dyDescent="0.3">
      <c r="E5307" t="s">
        <v>33</v>
      </c>
      <c r="F5307">
        <v>2</v>
      </c>
      <c r="G5307">
        <v>0</v>
      </c>
      <c r="H5307" s="2">
        <v>45.348800000000011</v>
      </c>
      <c r="I5307" s="2">
        <v>161.96</v>
      </c>
    </row>
    <row r="5308" spans="2:9" x14ac:dyDescent="0.3">
      <c r="E5308" t="s">
        <v>16</v>
      </c>
      <c r="F5308">
        <v>5</v>
      </c>
      <c r="G5308">
        <v>0</v>
      </c>
      <c r="H5308" s="2">
        <v>15.552000000000001</v>
      </c>
      <c r="I5308" s="2">
        <v>32.400000000000006</v>
      </c>
    </row>
    <row r="5309" spans="2:9" x14ac:dyDescent="0.3">
      <c r="E5309" t="s">
        <v>14</v>
      </c>
      <c r="F5309">
        <v>2</v>
      </c>
      <c r="G5309">
        <v>0</v>
      </c>
      <c r="H5309" s="2">
        <v>5.7593999999999976</v>
      </c>
      <c r="I5309" s="2">
        <v>19.86</v>
      </c>
    </row>
    <row r="5310" spans="2:9" x14ac:dyDescent="0.3">
      <c r="E5310" t="s">
        <v>25</v>
      </c>
      <c r="F5310">
        <v>5</v>
      </c>
      <c r="G5310">
        <v>0</v>
      </c>
      <c r="H5310" s="2">
        <v>111.77400000000003</v>
      </c>
      <c r="I5310" s="2">
        <v>429.90000000000003</v>
      </c>
    </row>
    <row r="5311" spans="2:9" x14ac:dyDescent="0.3">
      <c r="B5311" t="s">
        <v>521</v>
      </c>
      <c r="C5311" t="s">
        <v>22</v>
      </c>
      <c r="D5311" t="s">
        <v>17</v>
      </c>
      <c r="E5311" t="s">
        <v>20</v>
      </c>
      <c r="F5311">
        <v>7</v>
      </c>
      <c r="G5311">
        <v>0</v>
      </c>
      <c r="H5311" s="2">
        <v>15.5204</v>
      </c>
      <c r="I5311" s="2">
        <v>33.74</v>
      </c>
    </row>
    <row r="5312" spans="2:9" x14ac:dyDescent="0.3">
      <c r="E5312" t="s">
        <v>33</v>
      </c>
      <c r="F5312">
        <v>2</v>
      </c>
      <c r="G5312">
        <v>0</v>
      </c>
      <c r="H5312" s="2">
        <v>35.490000000000009</v>
      </c>
      <c r="I5312" s="2">
        <v>141.96</v>
      </c>
    </row>
    <row r="5313" spans="2:9" x14ac:dyDescent="0.3">
      <c r="B5313" t="s">
        <v>522</v>
      </c>
      <c r="C5313" t="s">
        <v>22</v>
      </c>
      <c r="D5313" t="s">
        <v>15</v>
      </c>
      <c r="E5313" t="s">
        <v>20</v>
      </c>
      <c r="F5313">
        <v>4</v>
      </c>
      <c r="G5313">
        <v>0.2</v>
      </c>
      <c r="H5313" s="2">
        <v>6.6351999999999984</v>
      </c>
      <c r="I5313" s="2">
        <v>20.416</v>
      </c>
    </row>
    <row r="5314" spans="2:9" x14ac:dyDescent="0.3">
      <c r="E5314" t="s">
        <v>25</v>
      </c>
      <c r="F5314">
        <v>3</v>
      </c>
      <c r="G5314">
        <v>0</v>
      </c>
      <c r="H5314" s="2">
        <v>259.52970000000005</v>
      </c>
      <c r="I5314" s="2">
        <v>1128.3899999999999</v>
      </c>
    </row>
    <row r="5315" spans="2:9" x14ac:dyDescent="0.3">
      <c r="B5315" t="s">
        <v>523</v>
      </c>
      <c r="C5315" t="s">
        <v>7</v>
      </c>
      <c r="D5315" t="s">
        <v>8</v>
      </c>
      <c r="E5315" t="s">
        <v>20</v>
      </c>
      <c r="F5315">
        <v>4</v>
      </c>
      <c r="G5315">
        <v>0.8</v>
      </c>
      <c r="H5315" s="2">
        <v>-79.335199999999986</v>
      </c>
      <c r="I5315" s="2">
        <v>51.183999999999983</v>
      </c>
    </row>
    <row r="5316" spans="2:9" x14ac:dyDescent="0.3">
      <c r="C5316" t="s">
        <v>22</v>
      </c>
      <c r="D5316" t="s">
        <v>8</v>
      </c>
      <c r="E5316" t="s">
        <v>23</v>
      </c>
      <c r="F5316">
        <v>3</v>
      </c>
      <c r="G5316">
        <v>0.2</v>
      </c>
      <c r="H5316" s="2">
        <v>4.5200999999999958</v>
      </c>
      <c r="I5316" s="2">
        <v>27.816000000000003</v>
      </c>
    </row>
    <row r="5317" spans="2:9" x14ac:dyDescent="0.3">
      <c r="E5317" t="s">
        <v>12</v>
      </c>
      <c r="F5317">
        <v>3</v>
      </c>
      <c r="G5317">
        <v>0.8</v>
      </c>
      <c r="H5317" s="2">
        <v>-7.3920000000000021</v>
      </c>
      <c r="I5317" s="2">
        <v>2.6879999999999997</v>
      </c>
    </row>
    <row r="5318" spans="2:9" x14ac:dyDescent="0.3">
      <c r="E5318" t="s">
        <v>20</v>
      </c>
      <c r="F5318">
        <v>3</v>
      </c>
      <c r="G5318">
        <v>0.8</v>
      </c>
      <c r="H5318" s="2">
        <v>-320.23950000000013</v>
      </c>
      <c r="I5318" s="2">
        <v>182.99399999999997</v>
      </c>
    </row>
    <row r="5319" spans="2:9" x14ac:dyDescent="0.3">
      <c r="E5319" t="s">
        <v>21</v>
      </c>
      <c r="F5319">
        <v>3</v>
      </c>
      <c r="G5319">
        <v>0.6</v>
      </c>
      <c r="H5319" s="2">
        <v>-41.261999999999972</v>
      </c>
      <c r="I5319" s="2">
        <v>82.524000000000001</v>
      </c>
    </row>
    <row r="5320" spans="2:9" x14ac:dyDescent="0.3">
      <c r="B5320" t="s">
        <v>524</v>
      </c>
      <c r="C5320" t="s">
        <v>22</v>
      </c>
      <c r="D5320" t="s">
        <v>8</v>
      </c>
      <c r="E5320" t="s">
        <v>19</v>
      </c>
      <c r="F5320">
        <v>2</v>
      </c>
      <c r="G5320">
        <v>0</v>
      </c>
      <c r="H5320" s="2">
        <v>22.78799999999999</v>
      </c>
      <c r="I5320" s="2">
        <v>75.959999999999994</v>
      </c>
    </row>
    <row r="5321" spans="2:9" x14ac:dyDescent="0.3">
      <c r="E5321" t="s">
        <v>20</v>
      </c>
      <c r="F5321">
        <v>6</v>
      </c>
      <c r="G5321">
        <v>0</v>
      </c>
      <c r="H5321" s="2">
        <v>13.3476</v>
      </c>
      <c r="I5321" s="2">
        <v>27.240000000000002</v>
      </c>
    </row>
    <row r="5322" spans="2:9" x14ac:dyDescent="0.3">
      <c r="E5322" t="s">
        <v>18</v>
      </c>
      <c r="F5322">
        <v>4</v>
      </c>
      <c r="G5322">
        <v>0</v>
      </c>
      <c r="H5322" s="2">
        <v>21.5824</v>
      </c>
      <c r="I5322" s="2">
        <v>45.92</v>
      </c>
    </row>
    <row r="5323" spans="2:9" x14ac:dyDescent="0.3">
      <c r="B5323" t="s">
        <v>525</v>
      </c>
      <c r="C5323" t="s">
        <v>27</v>
      </c>
      <c r="D5323" t="s">
        <v>8</v>
      </c>
      <c r="E5323" t="s">
        <v>20</v>
      </c>
      <c r="F5323">
        <v>7</v>
      </c>
      <c r="G5323">
        <v>0.4</v>
      </c>
      <c r="H5323" s="2">
        <v>10.447799999999999</v>
      </c>
      <c r="I5323" s="2">
        <v>30</v>
      </c>
    </row>
    <row r="5324" spans="2:9" x14ac:dyDescent="0.3">
      <c r="E5324" t="s">
        <v>43</v>
      </c>
      <c r="F5324">
        <v>13</v>
      </c>
      <c r="G5324">
        <v>0</v>
      </c>
      <c r="H5324" s="2">
        <v>50.356800000000007</v>
      </c>
      <c r="I5324" s="2">
        <v>104.66999999999999</v>
      </c>
    </row>
    <row r="5325" spans="2:9" x14ac:dyDescent="0.3">
      <c r="E5325" t="s">
        <v>24</v>
      </c>
      <c r="F5325">
        <v>10</v>
      </c>
      <c r="G5325">
        <v>0</v>
      </c>
      <c r="H5325" s="2">
        <v>84.385799999999989</v>
      </c>
      <c r="I5325" s="2">
        <v>399.9</v>
      </c>
    </row>
    <row r="5326" spans="2:9" x14ac:dyDescent="0.3">
      <c r="C5326" t="s">
        <v>22</v>
      </c>
      <c r="D5326" t="s">
        <v>8</v>
      </c>
      <c r="E5326" t="s">
        <v>23</v>
      </c>
      <c r="F5326">
        <v>1</v>
      </c>
      <c r="G5326">
        <v>0</v>
      </c>
      <c r="H5326" s="2">
        <v>28.796399999999998</v>
      </c>
      <c r="I5326" s="2">
        <v>79.989999999999995</v>
      </c>
    </row>
    <row r="5327" spans="2:9" x14ac:dyDescent="0.3">
      <c r="D5327" t="s">
        <v>15</v>
      </c>
      <c r="E5327" t="s">
        <v>21</v>
      </c>
      <c r="F5327">
        <v>2</v>
      </c>
      <c r="G5327">
        <v>0</v>
      </c>
      <c r="H5327" s="2">
        <v>14.572799999999997</v>
      </c>
      <c r="I5327" s="2">
        <v>40.479999999999997</v>
      </c>
    </row>
    <row r="5328" spans="2:9" x14ac:dyDescent="0.3">
      <c r="B5328" t="s">
        <v>526</v>
      </c>
      <c r="C5328" t="s">
        <v>7</v>
      </c>
      <c r="D5328" t="s">
        <v>8</v>
      </c>
      <c r="E5328" t="s">
        <v>14</v>
      </c>
      <c r="F5328">
        <v>11</v>
      </c>
      <c r="G5328">
        <v>0</v>
      </c>
      <c r="H5328" s="2">
        <v>110.05279999999999</v>
      </c>
      <c r="I5328" s="2">
        <v>423.28</v>
      </c>
    </row>
    <row r="5329" spans="2:9" x14ac:dyDescent="0.3">
      <c r="B5329" t="s">
        <v>527</v>
      </c>
      <c r="C5329" t="s">
        <v>7</v>
      </c>
      <c r="D5329" t="s">
        <v>8</v>
      </c>
      <c r="E5329" t="s">
        <v>20</v>
      </c>
      <c r="F5329">
        <v>4</v>
      </c>
      <c r="G5329">
        <v>0.2</v>
      </c>
      <c r="H5329" s="2">
        <v>5.5535999999999994</v>
      </c>
      <c r="I5329" s="2">
        <v>17.088000000000001</v>
      </c>
    </row>
    <row r="5330" spans="2:9" x14ac:dyDescent="0.3">
      <c r="E5330" t="s">
        <v>43</v>
      </c>
      <c r="F5330">
        <v>2</v>
      </c>
      <c r="G5330">
        <v>0</v>
      </c>
      <c r="H5330" s="2">
        <v>14.8</v>
      </c>
      <c r="I5330" s="2">
        <v>29.6</v>
      </c>
    </row>
    <row r="5331" spans="2:9" x14ac:dyDescent="0.3">
      <c r="C5331" t="s">
        <v>22</v>
      </c>
      <c r="D5331" t="s">
        <v>8</v>
      </c>
      <c r="E5331" t="s">
        <v>20</v>
      </c>
      <c r="F5331">
        <v>2</v>
      </c>
      <c r="G5331">
        <v>0.2</v>
      </c>
      <c r="H5331" s="2">
        <v>31.085599999999989</v>
      </c>
      <c r="I5331" s="2">
        <v>95.64800000000001</v>
      </c>
    </row>
    <row r="5332" spans="2:9" x14ac:dyDescent="0.3">
      <c r="E5332" t="s">
        <v>43</v>
      </c>
      <c r="F5332">
        <v>5</v>
      </c>
      <c r="G5332">
        <v>0</v>
      </c>
      <c r="H5332" s="2">
        <v>6.7915000000000001</v>
      </c>
      <c r="I5332" s="2">
        <v>14.450000000000001</v>
      </c>
    </row>
    <row r="5333" spans="2:9" x14ac:dyDescent="0.3">
      <c r="D5333" t="s">
        <v>17</v>
      </c>
      <c r="E5333" t="s">
        <v>20</v>
      </c>
      <c r="F5333">
        <v>4</v>
      </c>
      <c r="G5333">
        <v>0.2</v>
      </c>
      <c r="H5333" s="2">
        <v>5.0128000000000004</v>
      </c>
      <c r="I5333" s="2">
        <v>15.424000000000001</v>
      </c>
    </row>
    <row r="5334" spans="2:9" x14ac:dyDescent="0.3">
      <c r="E5334" t="s">
        <v>21</v>
      </c>
      <c r="F5334">
        <v>5</v>
      </c>
      <c r="G5334">
        <v>0</v>
      </c>
      <c r="H5334" s="2">
        <v>272.79200000000003</v>
      </c>
      <c r="I5334" s="2">
        <v>1049.2</v>
      </c>
    </row>
    <row r="5335" spans="2:9" x14ac:dyDescent="0.3">
      <c r="B5335" t="s">
        <v>528</v>
      </c>
      <c r="C5335" t="s">
        <v>7</v>
      </c>
      <c r="D5335" t="s">
        <v>15</v>
      </c>
      <c r="E5335" t="s">
        <v>23</v>
      </c>
      <c r="F5335">
        <v>4</v>
      </c>
      <c r="G5335">
        <v>0</v>
      </c>
      <c r="H5335" s="2">
        <v>31.599999999999966</v>
      </c>
      <c r="I5335" s="2">
        <v>316</v>
      </c>
    </row>
    <row r="5336" spans="2:9" x14ac:dyDescent="0.3">
      <c r="E5336" t="s">
        <v>21</v>
      </c>
      <c r="F5336">
        <v>4</v>
      </c>
      <c r="G5336">
        <v>0</v>
      </c>
      <c r="H5336" s="2">
        <v>6.0680000000000014</v>
      </c>
      <c r="I5336" s="2">
        <v>14.8</v>
      </c>
    </row>
    <row r="5337" spans="2:9" x14ac:dyDescent="0.3">
      <c r="E5337" t="s">
        <v>24</v>
      </c>
      <c r="F5337">
        <v>3</v>
      </c>
      <c r="G5337">
        <v>0.2</v>
      </c>
      <c r="H5337" s="2">
        <v>22.678200000000018</v>
      </c>
      <c r="I5337" s="2">
        <v>302.37599999999998</v>
      </c>
    </row>
    <row r="5338" spans="2:9" x14ac:dyDescent="0.3">
      <c r="C5338" t="s">
        <v>22</v>
      </c>
      <c r="D5338" t="s">
        <v>15</v>
      </c>
      <c r="E5338" t="s">
        <v>21</v>
      </c>
      <c r="F5338">
        <v>2</v>
      </c>
      <c r="G5338">
        <v>0</v>
      </c>
      <c r="H5338" s="2">
        <v>3.6632000000000007</v>
      </c>
      <c r="I5338" s="2">
        <v>9.64</v>
      </c>
    </row>
    <row r="5339" spans="2:9" x14ac:dyDescent="0.3">
      <c r="D5339" t="s">
        <v>17</v>
      </c>
      <c r="E5339" t="s">
        <v>19</v>
      </c>
      <c r="F5339">
        <v>2</v>
      </c>
      <c r="G5339">
        <v>0</v>
      </c>
      <c r="H5339" s="2">
        <v>11.4452</v>
      </c>
      <c r="I5339" s="2">
        <v>44.02</v>
      </c>
    </row>
    <row r="5340" spans="2:9" x14ac:dyDescent="0.3">
      <c r="B5340" t="s">
        <v>529</v>
      </c>
      <c r="C5340" t="s">
        <v>7</v>
      </c>
      <c r="D5340" t="s">
        <v>8</v>
      </c>
      <c r="E5340" t="s">
        <v>23</v>
      </c>
      <c r="F5340">
        <v>5</v>
      </c>
      <c r="G5340">
        <v>0</v>
      </c>
      <c r="H5340" s="2">
        <v>34.960000000000008</v>
      </c>
      <c r="I5340" s="2">
        <v>87.4</v>
      </c>
    </row>
    <row r="5341" spans="2:9" x14ac:dyDescent="0.3">
      <c r="E5341" t="s">
        <v>21</v>
      </c>
      <c r="F5341">
        <v>5</v>
      </c>
      <c r="G5341">
        <v>0</v>
      </c>
      <c r="H5341" s="2">
        <v>15.426000000000002</v>
      </c>
      <c r="I5341" s="2">
        <v>42.85</v>
      </c>
    </row>
    <row r="5342" spans="2:9" x14ac:dyDescent="0.3">
      <c r="E5342" t="s">
        <v>43</v>
      </c>
      <c r="F5342">
        <v>2</v>
      </c>
      <c r="G5342">
        <v>0</v>
      </c>
      <c r="H5342" s="2">
        <v>2.9567999999999999</v>
      </c>
      <c r="I5342" s="2">
        <v>6.16</v>
      </c>
    </row>
    <row r="5343" spans="2:9" x14ac:dyDescent="0.3">
      <c r="E5343" t="s">
        <v>9</v>
      </c>
      <c r="F5343">
        <v>2</v>
      </c>
      <c r="G5343">
        <v>0</v>
      </c>
      <c r="H5343" s="2">
        <v>4.42</v>
      </c>
      <c r="I5343" s="2">
        <v>17</v>
      </c>
    </row>
    <row r="5344" spans="2:9" x14ac:dyDescent="0.3">
      <c r="C5344" t="s">
        <v>22</v>
      </c>
      <c r="D5344" t="s">
        <v>8</v>
      </c>
      <c r="E5344" t="s">
        <v>25</v>
      </c>
      <c r="F5344">
        <v>2</v>
      </c>
      <c r="G5344">
        <v>0.3</v>
      </c>
      <c r="H5344" s="2">
        <v>-31.372200000000007</v>
      </c>
      <c r="I5344" s="2">
        <v>244.00599999999997</v>
      </c>
    </row>
    <row r="5345" spans="2:9" x14ac:dyDescent="0.3">
      <c r="D5345" t="s">
        <v>15</v>
      </c>
      <c r="E5345" t="s">
        <v>12</v>
      </c>
      <c r="F5345">
        <v>1</v>
      </c>
      <c r="G5345">
        <v>0</v>
      </c>
      <c r="H5345" s="2">
        <v>7.4172000000000011</v>
      </c>
      <c r="I5345" s="2">
        <v>26.49</v>
      </c>
    </row>
    <row r="5346" spans="2:9" x14ac:dyDescent="0.3">
      <c r="E5346" t="s">
        <v>19</v>
      </c>
      <c r="F5346">
        <v>4</v>
      </c>
      <c r="G5346">
        <v>0</v>
      </c>
      <c r="H5346" s="2">
        <v>2.8911999999999995</v>
      </c>
      <c r="I5346" s="2">
        <v>11.12</v>
      </c>
    </row>
    <row r="5347" spans="2:9" x14ac:dyDescent="0.3">
      <c r="E5347" t="s">
        <v>33</v>
      </c>
      <c r="F5347">
        <v>3</v>
      </c>
      <c r="G5347">
        <v>0</v>
      </c>
      <c r="H5347" s="2">
        <v>25.552800000000005</v>
      </c>
      <c r="I5347" s="2">
        <v>212.94</v>
      </c>
    </row>
    <row r="5348" spans="2:9" x14ac:dyDescent="0.3">
      <c r="B5348" t="s">
        <v>530</v>
      </c>
      <c r="C5348" t="s">
        <v>11</v>
      </c>
      <c r="D5348" t="s">
        <v>8</v>
      </c>
      <c r="E5348" t="s">
        <v>23</v>
      </c>
      <c r="F5348">
        <v>3</v>
      </c>
      <c r="G5348">
        <v>0</v>
      </c>
      <c r="H5348" s="2">
        <v>18.893699999999995</v>
      </c>
      <c r="I5348" s="2">
        <v>89.97</v>
      </c>
    </row>
    <row r="5349" spans="2:9" x14ac:dyDescent="0.3">
      <c r="E5349" t="s">
        <v>12</v>
      </c>
      <c r="F5349">
        <v>3</v>
      </c>
      <c r="G5349">
        <v>0</v>
      </c>
      <c r="H5349" s="2">
        <v>53.043899999999979</v>
      </c>
      <c r="I5349" s="2">
        <v>182.91</v>
      </c>
    </row>
    <row r="5350" spans="2:9" x14ac:dyDescent="0.3">
      <c r="E5350" t="s">
        <v>21</v>
      </c>
      <c r="F5350">
        <v>7</v>
      </c>
      <c r="G5350">
        <v>0</v>
      </c>
      <c r="H5350" s="2">
        <v>146.90959999999998</v>
      </c>
      <c r="I5350" s="2">
        <v>1030.76</v>
      </c>
    </row>
    <row r="5351" spans="2:9" x14ac:dyDescent="0.3">
      <c r="E5351" t="s">
        <v>9</v>
      </c>
      <c r="F5351">
        <v>5</v>
      </c>
      <c r="G5351">
        <v>0</v>
      </c>
      <c r="H5351" s="2">
        <v>9.234</v>
      </c>
      <c r="I5351" s="2">
        <v>34.200000000000003</v>
      </c>
    </row>
    <row r="5352" spans="2:9" x14ac:dyDescent="0.3">
      <c r="C5352" t="s">
        <v>22</v>
      </c>
      <c r="D5352" t="s">
        <v>8</v>
      </c>
      <c r="E5352" t="s">
        <v>38</v>
      </c>
      <c r="F5352">
        <v>7</v>
      </c>
      <c r="G5352">
        <v>0</v>
      </c>
      <c r="H5352" s="2">
        <v>113.21099999999998</v>
      </c>
      <c r="I5352" s="2">
        <v>251.57999999999998</v>
      </c>
    </row>
    <row r="5353" spans="2:9" x14ac:dyDescent="0.3">
      <c r="E5353" t="s">
        <v>16</v>
      </c>
      <c r="F5353">
        <v>4</v>
      </c>
      <c r="G5353">
        <v>0</v>
      </c>
      <c r="H5353" s="2">
        <v>48.539199999999994</v>
      </c>
      <c r="I5353" s="2">
        <v>105.52</v>
      </c>
    </row>
    <row r="5354" spans="2:9" x14ac:dyDescent="0.3">
      <c r="E5354" t="s">
        <v>25</v>
      </c>
      <c r="F5354">
        <v>5</v>
      </c>
      <c r="G5354">
        <v>0</v>
      </c>
      <c r="H5354" s="2">
        <v>60.664499999999961</v>
      </c>
      <c r="I5354" s="2">
        <v>356.85</v>
      </c>
    </row>
    <row r="5355" spans="2:9" x14ac:dyDescent="0.3">
      <c r="D5355" t="s">
        <v>15</v>
      </c>
      <c r="E5355" t="s">
        <v>19</v>
      </c>
      <c r="F5355">
        <v>4</v>
      </c>
      <c r="G5355">
        <v>0</v>
      </c>
      <c r="H5355" s="2">
        <v>2.9592000000000009</v>
      </c>
      <c r="I5355" s="2">
        <v>10.96</v>
      </c>
    </row>
    <row r="5356" spans="2:9" x14ac:dyDescent="0.3">
      <c r="E5356" t="s">
        <v>20</v>
      </c>
      <c r="F5356">
        <v>7</v>
      </c>
      <c r="G5356">
        <v>0</v>
      </c>
      <c r="H5356" s="2">
        <v>1276.4871000000001</v>
      </c>
      <c r="I5356" s="2">
        <v>2715.9300000000003</v>
      </c>
    </row>
    <row r="5357" spans="2:9" x14ac:dyDescent="0.3">
      <c r="E5357" t="s">
        <v>21</v>
      </c>
      <c r="F5357">
        <v>2</v>
      </c>
      <c r="G5357">
        <v>0</v>
      </c>
      <c r="H5357" s="2">
        <v>46.196799999999996</v>
      </c>
      <c r="I5357" s="2">
        <v>177.68</v>
      </c>
    </row>
    <row r="5358" spans="2:9" x14ac:dyDescent="0.3">
      <c r="E5358" t="s">
        <v>24</v>
      </c>
      <c r="F5358">
        <v>3</v>
      </c>
      <c r="G5358">
        <v>0</v>
      </c>
      <c r="H5358" s="2">
        <v>173.0316</v>
      </c>
      <c r="I5358" s="2">
        <v>617.97</v>
      </c>
    </row>
    <row r="5359" spans="2:9" x14ac:dyDescent="0.3">
      <c r="D5359" t="s">
        <v>17</v>
      </c>
      <c r="E5359" t="s">
        <v>23</v>
      </c>
      <c r="F5359">
        <v>3</v>
      </c>
      <c r="G5359">
        <v>0</v>
      </c>
      <c r="H5359" s="2">
        <v>20.767499999999998</v>
      </c>
      <c r="I5359" s="2">
        <v>53.25</v>
      </c>
    </row>
    <row r="5360" spans="2:9" x14ac:dyDescent="0.3">
      <c r="E5360" t="s">
        <v>20</v>
      </c>
      <c r="F5360">
        <v>2</v>
      </c>
      <c r="G5360">
        <v>0</v>
      </c>
      <c r="H5360" s="2">
        <v>4.7236000000000002</v>
      </c>
      <c r="I5360" s="2">
        <v>9.64</v>
      </c>
    </row>
    <row r="5361" spans="2:9" x14ac:dyDescent="0.3">
      <c r="E5361" t="s">
        <v>18</v>
      </c>
      <c r="F5361">
        <v>2</v>
      </c>
      <c r="G5361">
        <v>0</v>
      </c>
      <c r="H5361" s="2">
        <v>1.3159999999999998</v>
      </c>
      <c r="I5361" s="2">
        <v>3.76</v>
      </c>
    </row>
    <row r="5362" spans="2:9" x14ac:dyDescent="0.3">
      <c r="E5362" t="s">
        <v>21</v>
      </c>
      <c r="F5362">
        <v>5</v>
      </c>
      <c r="G5362">
        <v>0</v>
      </c>
      <c r="H5362" s="2">
        <v>48.906000000000006</v>
      </c>
      <c r="I5362" s="2">
        <v>111.15</v>
      </c>
    </row>
    <row r="5363" spans="2:9" x14ac:dyDescent="0.3">
      <c r="B5363" t="s">
        <v>531</v>
      </c>
      <c r="C5363" t="s">
        <v>7</v>
      </c>
      <c r="D5363" t="s">
        <v>15</v>
      </c>
      <c r="E5363" t="s">
        <v>23</v>
      </c>
      <c r="F5363">
        <v>8</v>
      </c>
      <c r="G5363">
        <v>0</v>
      </c>
      <c r="H5363" s="2">
        <v>3.4848000000000008</v>
      </c>
      <c r="I5363" s="2">
        <v>7.92</v>
      </c>
    </row>
    <row r="5364" spans="2:9" x14ac:dyDescent="0.3">
      <c r="C5364" t="s">
        <v>22</v>
      </c>
      <c r="D5364" t="s">
        <v>8</v>
      </c>
      <c r="E5364" t="s">
        <v>19</v>
      </c>
      <c r="F5364">
        <v>2</v>
      </c>
      <c r="G5364">
        <v>0</v>
      </c>
      <c r="H5364" s="2">
        <v>3.7200000000000006</v>
      </c>
      <c r="I5364" s="2">
        <v>14.88</v>
      </c>
    </row>
    <row r="5365" spans="2:9" x14ac:dyDescent="0.3">
      <c r="E5365" t="s">
        <v>16</v>
      </c>
      <c r="F5365">
        <v>8</v>
      </c>
      <c r="G5365">
        <v>0</v>
      </c>
      <c r="H5365" s="2">
        <v>15.407999999999998</v>
      </c>
      <c r="I5365" s="2">
        <v>34.24</v>
      </c>
    </row>
    <row r="5366" spans="2:9" x14ac:dyDescent="0.3">
      <c r="E5366" t="s">
        <v>14</v>
      </c>
      <c r="F5366">
        <v>2</v>
      </c>
      <c r="G5366">
        <v>0</v>
      </c>
      <c r="H5366" s="2">
        <v>65.435000000000002</v>
      </c>
      <c r="I5366" s="2">
        <v>261.74</v>
      </c>
    </row>
    <row r="5367" spans="2:9" x14ac:dyDescent="0.3">
      <c r="B5367" t="s">
        <v>532</v>
      </c>
      <c r="C5367" t="s">
        <v>27</v>
      </c>
      <c r="D5367" t="s">
        <v>15</v>
      </c>
      <c r="E5367" t="s">
        <v>20</v>
      </c>
      <c r="F5367">
        <v>1</v>
      </c>
      <c r="G5367">
        <v>0.8</v>
      </c>
      <c r="H5367" s="2">
        <v>-0.94520000000000004</v>
      </c>
      <c r="I5367" s="2">
        <v>0.55599999999999983</v>
      </c>
    </row>
    <row r="5368" spans="2:9" x14ac:dyDescent="0.3">
      <c r="C5368" t="s">
        <v>7</v>
      </c>
      <c r="D5368" t="s">
        <v>8</v>
      </c>
      <c r="E5368" t="s">
        <v>19</v>
      </c>
      <c r="F5368">
        <v>5</v>
      </c>
      <c r="G5368">
        <v>0.2</v>
      </c>
      <c r="H5368" s="2">
        <v>0.71199999999999974</v>
      </c>
      <c r="I5368" s="2">
        <v>7.120000000000001</v>
      </c>
    </row>
    <row r="5369" spans="2:9" x14ac:dyDescent="0.3">
      <c r="E5369" t="s">
        <v>20</v>
      </c>
      <c r="F5369">
        <v>4</v>
      </c>
      <c r="G5369">
        <v>0.8</v>
      </c>
      <c r="H5369" s="2">
        <v>-426.9860000000001</v>
      </c>
      <c r="I5369" s="2">
        <v>243.99199999999996</v>
      </c>
    </row>
    <row r="5370" spans="2:9" x14ac:dyDescent="0.3">
      <c r="C5370" t="s">
        <v>22</v>
      </c>
      <c r="D5370" t="s">
        <v>8</v>
      </c>
      <c r="E5370" t="s">
        <v>20</v>
      </c>
      <c r="F5370">
        <v>2</v>
      </c>
      <c r="G5370">
        <v>0.8</v>
      </c>
      <c r="H5370" s="2">
        <v>-3.5224000000000011</v>
      </c>
      <c r="I5370" s="2">
        <v>2.0719999999999996</v>
      </c>
    </row>
    <row r="5371" spans="2:9" x14ac:dyDescent="0.3">
      <c r="E5371" t="s">
        <v>34</v>
      </c>
      <c r="F5371">
        <v>3</v>
      </c>
      <c r="G5371">
        <v>0.32</v>
      </c>
      <c r="H5371" s="2">
        <v>-91.758599999999973</v>
      </c>
      <c r="I5371" s="2">
        <v>328.39919999999995</v>
      </c>
    </row>
    <row r="5372" spans="2:9" x14ac:dyDescent="0.3">
      <c r="E5372" t="s">
        <v>14</v>
      </c>
      <c r="F5372">
        <v>2</v>
      </c>
      <c r="G5372">
        <v>0.2</v>
      </c>
      <c r="H5372" s="2">
        <v>2.3967999999999989</v>
      </c>
      <c r="I5372" s="2">
        <v>23.968000000000004</v>
      </c>
    </row>
    <row r="5373" spans="2:9" x14ac:dyDescent="0.3">
      <c r="B5373" t="s">
        <v>533</v>
      </c>
      <c r="C5373" t="s">
        <v>7</v>
      </c>
      <c r="D5373" t="s">
        <v>15</v>
      </c>
      <c r="E5373" t="s">
        <v>33</v>
      </c>
      <c r="F5373">
        <v>3</v>
      </c>
      <c r="G5373">
        <v>0</v>
      </c>
      <c r="H5373" s="2">
        <v>43.223399999999984</v>
      </c>
      <c r="I5373" s="2">
        <v>392.93999999999994</v>
      </c>
    </row>
    <row r="5374" spans="2:9" x14ac:dyDescent="0.3">
      <c r="C5374" t="s">
        <v>22</v>
      </c>
      <c r="D5374" t="s">
        <v>8</v>
      </c>
      <c r="E5374" t="s">
        <v>19</v>
      </c>
      <c r="F5374">
        <v>7</v>
      </c>
      <c r="G5374">
        <v>0</v>
      </c>
      <c r="H5374" s="2">
        <v>10.465</v>
      </c>
      <c r="I5374" s="2">
        <v>41.86</v>
      </c>
    </row>
    <row r="5375" spans="2:9" x14ac:dyDescent="0.3">
      <c r="B5375" t="s">
        <v>534</v>
      </c>
      <c r="C5375" t="s">
        <v>11</v>
      </c>
      <c r="D5375" t="s">
        <v>15</v>
      </c>
      <c r="E5375" t="s">
        <v>16</v>
      </c>
      <c r="F5375">
        <v>2</v>
      </c>
      <c r="G5375">
        <v>0</v>
      </c>
      <c r="H5375" s="2">
        <v>54.860399999999998</v>
      </c>
      <c r="I5375" s="2">
        <v>111.96</v>
      </c>
    </row>
    <row r="5376" spans="2:9" x14ac:dyDescent="0.3">
      <c r="C5376" t="s">
        <v>7</v>
      </c>
      <c r="D5376" t="s">
        <v>15</v>
      </c>
      <c r="E5376" t="s">
        <v>23</v>
      </c>
      <c r="F5376">
        <v>4</v>
      </c>
      <c r="G5376">
        <v>0</v>
      </c>
      <c r="H5376" s="2">
        <v>93.240000000000009</v>
      </c>
      <c r="I5376" s="2">
        <v>252</v>
      </c>
    </row>
    <row r="5377" spans="2:9" x14ac:dyDescent="0.3">
      <c r="E5377" t="s">
        <v>45</v>
      </c>
      <c r="F5377">
        <v>4</v>
      </c>
      <c r="G5377">
        <v>0</v>
      </c>
      <c r="H5377" s="2">
        <v>899.98199999999997</v>
      </c>
      <c r="I5377" s="2">
        <v>1999.96</v>
      </c>
    </row>
    <row r="5378" spans="2:9" x14ac:dyDescent="0.3">
      <c r="E5378" t="s">
        <v>16</v>
      </c>
      <c r="F5378">
        <v>2</v>
      </c>
      <c r="G5378">
        <v>0</v>
      </c>
      <c r="H5378" s="2">
        <v>6.2208000000000006</v>
      </c>
      <c r="I5378" s="2">
        <v>12.96</v>
      </c>
    </row>
    <row r="5379" spans="2:9" x14ac:dyDescent="0.3">
      <c r="E5379" t="s">
        <v>14</v>
      </c>
      <c r="F5379">
        <v>2</v>
      </c>
      <c r="G5379">
        <v>0</v>
      </c>
      <c r="H5379" s="2">
        <v>9.4923999999999964</v>
      </c>
      <c r="I5379" s="2">
        <v>49.96</v>
      </c>
    </row>
    <row r="5380" spans="2:9" x14ac:dyDescent="0.3">
      <c r="B5380" t="s">
        <v>535</v>
      </c>
      <c r="C5380" t="s">
        <v>7</v>
      </c>
      <c r="D5380" t="s">
        <v>17</v>
      </c>
      <c r="E5380" t="s">
        <v>19</v>
      </c>
      <c r="F5380">
        <v>8</v>
      </c>
      <c r="G5380">
        <v>0</v>
      </c>
      <c r="H5380" s="2">
        <v>13.2288</v>
      </c>
      <c r="I5380" s="2">
        <v>33.92</v>
      </c>
    </row>
    <row r="5381" spans="2:9" x14ac:dyDescent="0.3">
      <c r="E5381" t="s">
        <v>21</v>
      </c>
      <c r="F5381">
        <v>2</v>
      </c>
      <c r="G5381">
        <v>0</v>
      </c>
      <c r="H5381" s="2">
        <v>15.825600000000001</v>
      </c>
      <c r="I5381" s="2">
        <v>37.68</v>
      </c>
    </row>
    <row r="5382" spans="2:9" x14ac:dyDescent="0.3">
      <c r="E5382" t="s">
        <v>16</v>
      </c>
      <c r="F5382">
        <v>6</v>
      </c>
      <c r="G5382">
        <v>0</v>
      </c>
      <c r="H5382" s="2">
        <v>19.238399999999999</v>
      </c>
      <c r="I5382" s="2">
        <v>40.08</v>
      </c>
    </row>
    <row r="5383" spans="2:9" x14ac:dyDescent="0.3">
      <c r="C5383" t="s">
        <v>22</v>
      </c>
      <c r="D5383" t="s">
        <v>8</v>
      </c>
      <c r="E5383" t="s">
        <v>19</v>
      </c>
      <c r="F5383">
        <v>3</v>
      </c>
      <c r="G5383">
        <v>0</v>
      </c>
      <c r="H5383" s="2">
        <v>8.8686000000000007</v>
      </c>
      <c r="I5383" s="2">
        <v>22.740000000000002</v>
      </c>
    </row>
    <row r="5384" spans="2:9" x14ac:dyDescent="0.3">
      <c r="E5384" t="s">
        <v>20</v>
      </c>
      <c r="F5384">
        <v>2</v>
      </c>
      <c r="G5384">
        <v>0</v>
      </c>
      <c r="H5384" s="2">
        <v>4.4344000000000001</v>
      </c>
      <c r="I5384" s="2">
        <v>9.64</v>
      </c>
    </row>
    <row r="5385" spans="2:9" x14ac:dyDescent="0.3">
      <c r="E5385" t="s">
        <v>33</v>
      </c>
      <c r="F5385">
        <v>3</v>
      </c>
      <c r="G5385">
        <v>0</v>
      </c>
      <c r="H5385" s="2">
        <v>316.88249999999999</v>
      </c>
      <c r="I5385" s="2">
        <v>1267.53</v>
      </c>
    </row>
    <row r="5386" spans="2:9" x14ac:dyDescent="0.3">
      <c r="E5386" t="s">
        <v>21</v>
      </c>
      <c r="F5386">
        <v>3</v>
      </c>
      <c r="G5386">
        <v>0</v>
      </c>
      <c r="H5386" s="2">
        <v>17.375399999999999</v>
      </c>
      <c r="I5386" s="2">
        <v>41.37</v>
      </c>
    </row>
    <row r="5387" spans="2:9" x14ac:dyDescent="0.3">
      <c r="E5387" t="s">
        <v>46</v>
      </c>
      <c r="F5387">
        <v>8</v>
      </c>
      <c r="G5387">
        <v>0</v>
      </c>
      <c r="H5387" s="2">
        <v>648.56240000000003</v>
      </c>
      <c r="I5387" s="2">
        <v>1379.92</v>
      </c>
    </row>
    <row r="5388" spans="2:9" x14ac:dyDescent="0.3">
      <c r="E5388" t="s">
        <v>16</v>
      </c>
      <c r="F5388">
        <v>5</v>
      </c>
      <c r="G5388">
        <v>0</v>
      </c>
      <c r="H5388" s="2">
        <v>15.173200000000001</v>
      </c>
      <c r="I5388" s="2">
        <v>32.14</v>
      </c>
    </row>
    <row r="5389" spans="2:9" x14ac:dyDescent="0.3">
      <c r="B5389" t="s">
        <v>536</v>
      </c>
      <c r="C5389" t="s">
        <v>11</v>
      </c>
      <c r="D5389" t="s">
        <v>8</v>
      </c>
      <c r="E5389" t="s">
        <v>21</v>
      </c>
      <c r="F5389">
        <v>4</v>
      </c>
      <c r="G5389">
        <v>0</v>
      </c>
      <c r="H5389" s="2">
        <v>17.323999999999984</v>
      </c>
      <c r="I5389" s="2">
        <v>173.24</v>
      </c>
    </row>
    <row r="5390" spans="2:9" x14ac:dyDescent="0.3">
      <c r="E5390" t="s">
        <v>43</v>
      </c>
      <c r="F5390">
        <v>2</v>
      </c>
      <c r="G5390">
        <v>0</v>
      </c>
      <c r="H5390" s="2">
        <v>6.8713999999999995</v>
      </c>
      <c r="I5390" s="2">
        <v>14.62</v>
      </c>
    </row>
    <row r="5391" spans="2:9" x14ac:dyDescent="0.3">
      <c r="E5391" t="s">
        <v>9</v>
      </c>
      <c r="F5391">
        <v>7</v>
      </c>
      <c r="G5391">
        <v>0</v>
      </c>
      <c r="H5391" s="2">
        <v>18.899299999999997</v>
      </c>
      <c r="I5391" s="2">
        <v>65.17</v>
      </c>
    </row>
    <row r="5392" spans="2:9" x14ac:dyDescent="0.3">
      <c r="C5392" t="s">
        <v>22</v>
      </c>
      <c r="D5392" t="s">
        <v>8</v>
      </c>
      <c r="E5392" t="s">
        <v>19</v>
      </c>
      <c r="F5392">
        <v>2</v>
      </c>
      <c r="G5392">
        <v>0</v>
      </c>
      <c r="H5392" s="2">
        <v>1.0207999999999999</v>
      </c>
      <c r="I5392" s="2">
        <v>3.52</v>
      </c>
    </row>
    <row r="5393" spans="2:9" x14ac:dyDescent="0.3">
      <c r="D5393" t="s">
        <v>15</v>
      </c>
      <c r="E5393" t="s">
        <v>19</v>
      </c>
      <c r="F5393">
        <v>3</v>
      </c>
      <c r="G5393">
        <v>0</v>
      </c>
      <c r="H5393" s="2">
        <v>2.8535999999999988</v>
      </c>
      <c r="I5393" s="2">
        <v>9.84</v>
      </c>
    </row>
    <row r="5394" spans="2:9" x14ac:dyDescent="0.3">
      <c r="E5394" t="s">
        <v>20</v>
      </c>
      <c r="F5394">
        <v>2</v>
      </c>
      <c r="G5394">
        <v>0</v>
      </c>
      <c r="H5394" s="2">
        <v>3.7412000000000001</v>
      </c>
      <c r="I5394" s="2">
        <v>7.96</v>
      </c>
    </row>
    <row r="5395" spans="2:9" x14ac:dyDescent="0.3">
      <c r="E5395" t="s">
        <v>24</v>
      </c>
      <c r="F5395">
        <v>3</v>
      </c>
      <c r="G5395">
        <v>0</v>
      </c>
      <c r="H5395" s="2">
        <v>153.08189999999999</v>
      </c>
      <c r="I5395" s="2">
        <v>566.97</v>
      </c>
    </row>
    <row r="5396" spans="2:9" x14ac:dyDescent="0.3">
      <c r="D5396" t="s">
        <v>17</v>
      </c>
      <c r="E5396" t="s">
        <v>23</v>
      </c>
      <c r="F5396">
        <v>3</v>
      </c>
      <c r="G5396">
        <v>0</v>
      </c>
      <c r="H5396" s="2">
        <v>52.792200000000001</v>
      </c>
      <c r="I5396" s="2">
        <v>159.97</v>
      </c>
    </row>
    <row r="5397" spans="2:9" x14ac:dyDescent="0.3">
      <c r="E5397" t="s">
        <v>14</v>
      </c>
      <c r="F5397">
        <v>7</v>
      </c>
      <c r="G5397">
        <v>0</v>
      </c>
      <c r="H5397" s="2">
        <v>82.351100000000002</v>
      </c>
      <c r="I5397" s="2">
        <v>324.77</v>
      </c>
    </row>
    <row r="5398" spans="2:9" x14ac:dyDescent="0.3">
      <c r="B5398" t="s">
        <v>537</v>
      </c>
      <c r="C5398" t="s">
        <v>22</v>
      </c>
      <c r="D5398" t="s">
        <v>8</v>
      </c>
      <c r="E5398" t="s">
        <v>19</v>
      </c>
      <c r="F5398">
        <v>4</v>
      </c>
      <c r="G5398">
        <v>0</v>
      </c>
      <c r="H5398" s="2">
        <v>11.8248</v>
      </c>
      <c r="I5398" s="2">
        <v>30.32</v>
      </c>
    </row>
    <row r="5399" spans="2:9" x14ac:dyDescent="0.3">
      <c r="B5399" t="s">
        <v>538</v>
      </c>
      <c r="C5399" t="s">
        <v>11</v>
      </c>
      <c r="D5399" t="s">
        <v>8</v>
      </c>
      <c r="E5399" t="s">
        <v>12</v>
      </c>
      <c r="F5399">
        <v>1</v>
      </c>
      <c r="G5399">
        <v>0</v>
      </c>
      <c r="H5399" s="2">
        <v>8.9549999999999983</v>
      </c>
      <c r="I5399" s="2">
        <v>19.899999999999999</v>
      </c>
    </row>
    <row r="5400" spans="2:9" x14ac:dyDescent="0.3">
      <c r="E5400" t="s">
        <v>21</v>
      </c>
      <c r="F5400">
        <v>1</v>
      </c>
      <c r="G5400">
        <v>0</v>
      </c>
      <c r="H5400" s="2">
        <v>4.9496999999999929</v>
      </c>
      <c r="I5400" s="2">
        <v>70.709999999999994</v>
      </c>
    </row>
    <row r="5401" spans="2:9" x14ac:dyDescent="0.3">
      <c r="D5401" t="s">
        <v>15</v>
      </c>
      <c r="E5401" t="s">
        <v>20</v>
      </c>
      <c r="F5401">
        <v>5</v>
      </c>
      <c r="G5401">
        <v>0.2</v>
      </c>
      <c r="H5401" s="2">
        <v>302.37299999999993</v>
      </c>
      <c r="I5401" s="2">
        <v>895.92</v>
      </c>
    </row>
    <row r="5402" spans="2:9" x14ac:dyDescent="0.3">
      <c r="E5402" t="s">
        <v>33</v>
      </c>
      <c r="F5402">
        <v>2</v>
      </c>
      <c r="G5402">
        <v>0.1</v>
      </c>
      <c r="H5402" s="2">
        <v>97.652399999999943</v>
      </c>
      <c r="I5402" s="2">
        <v>462.56400000000002</v>
      </c>
    </row>
    <row r="5403" spans="2:9" x14ac:dyDescent="0.3">
      <c r="C5403" t="s">
        <v>7</v>
      </c>
      <c r="D5403" t="s">
        <v>15</v>
      </c>
      <c r="E5403" t="s">
        <v>34</v>
      </c>
      <c r="F5403">
        <v>7</v>
      </c>
      <c r="G5403">
        <v>0.2</v>
      </c>
      <c r="H5403" s="2">
        <v>196.68599999999986</v>
      </c>
      <c r="I5403" s="2">
        <v>1573.4880000000001</v>
      </c>
    </row>
    <row r="5404" spans="2:9" x14ac:dyDescent="0.3">
      <c r="E5404" t="s">
        <v>14</v>
      </c>
      <c r="F5404">
        <v>6</v>
      </c>
      <c r="G5404">
        <v>0</v>
      </c>
      <c r="H5404" s="2">
        <v>25.053599999999996</v>
      </c>
      <c r="I5404" s="2">
        <v>96.359999999999985</v>
      </c>
    </row>
    <row r="5405" spans="2:9" x14ac:dyDescent="0.3">
      <c r="C5405" t="s">
        <v>22</v>
      </c>
      <c r="D5405" t="s">
        <v>8</v>
      </c>
      <c r="E5405" t="s">
        <v>20</v>
      </c>
      <c r="F5405">
        <v>5</v>
      </c>
      <c r="G5405">
        <v>0.2</v>
      </c>
      <c r="H5405" s="2">
        <v>220.98699999999997</v>
      </c>
      <c r="I5405" s="2">
        <v>679.96</v>
      </c>
    </row>
    <row r="5406" spans="2:9" x14ac:dyDescent="0.3">
      <c r="E5406" t="s">
        <v>16</v>
      </c>
      <c r="F5406">
        <v>2</v>
      </c>
      <c r="G5406">
        <v>0</v>
      </c>
      <c r="H5406" s="2">
        <v>8.7137999999999991</v>
      </c>
      <c r="I5406" s="2">
        <v>18.54</v>
      </c>
    </row>
    <row r="5407" spans="2:9" x14ac:dyDescent="0.3">
      <c r="D5407" t="s">
        <v>15</v>
      </c>
      <c r="E5407" t="s">
        <v>12</v>
      </c>
      <c r="F5407">
        <v>3</v>
      </c>
      <c r="G5407">
        <v>0</v>
      </c>
      <c r="H5407" s="2">
        <v>9.6956999999999987</v>
      </c>
      <c r="I5407" s="2">
        <v>35.910000000000004</v>
      </c>
    </row>
    <row r="5408" spans="2:9" x14ac:dyDescent="0.3">
      <c r="D5408" t="s">
        <v>17</v>
      </c>
      <c r="E5408" t="s">
        <v>33</v>
      </c>
      <c r="F5408">
        <v>3</v>
      </c>
      <c r="G5408">
        <v>0.1</v>
      </c>
      <c r="H5408" s="2">
        <v>31.94100000000001</v>
      </c>
      <c r="I5408" s="2">
        <v>191.64600000000002</v>
      </c>
    </row>
    <row r="5409" spans="2:9" x14ac:dyDescent="0.3">
      <c r="B5409" t="s">
        <v>539</v>
      </c>
      <c r="C5409" t="s">
        <v>22</v>
      </c>
      <c r="D5409" t="s">
        <v>8</v>
      </c>
      <c r="E5409" t="s">
        <v>14</v>
      </c>
      <c r="F5409">
        <v>5</v>
      </c>
      <c r="G5409">
        <v>0</v>
      </c>
      <c r="H5409" s="2">
        <v>14.169999999999998</v>
      </c>
      <c r="I5409" s="2">
        <v>54.5</v>
      </c>
    </row>
    <row r="5410" spans="2:9" x14ac:dyDescent="0.3">
      <c r="B5410" t="s">
        <v>540</v>
      </c>
      <c r="C5410" t="s">
        <v>22</v>
      </c>
      <c r="D5410" t="s">
        <v>8</v>
      </c>
      <c r="E5410" t="s">
        <v>12</v>
      </c>
      <c r="F5410">
        <v>6</v>
      </c>
      <c r="G5410">
        <v>0</v>
      </c>
      <c r="H5410" s="2">
        <v>68.846399999999988</v>
      </c>
      <c r="I5410" s="2">
        <v>245.88</v>
      </c>
    </row>
    <row r="5411" spans="2:9" x14ac:dyDescent="0.3">
      <c r="E5411" t="s">
        <v>20</v>
      </c>
      <c r="F5411">
        <v>3</v>
      </c>
      <c r="G5411">
        <v>0</v>
      </c>
      <c r="H5411" s="2">
        <v>5.8232999999999997</v>
      </c>
      <c r="I5411" s="2">
        <v>12.39</v>
      </c>
    </row>
    <row r="5412" spans="2:9" x14ac:dyDescent="0.3">
      <c r="E5412" t="s">
        <v>14</v>
      </c>
      <c r="F5412">
        <v>5</v>
      </c>
      <c r="G5412">
        <v>0</v>
      </c>
      <c r="H5412" s="2">
        <v>15.760900000000003</v>
      </c>
      <c r="I5412" s="2">
        <v>59.21</v>
      </c>
    </row>
    <row r="5413" spans="2:9" x14ac:dyDescent="0.3">
      <c r="B5413" t="s">
        <v>541</v>
      </c>
      <c r="C5413" t="s">
        <v>11</v>
      </c>
      <c r="D5413" t="s">
        <v>8</v>
      </c>
      <c r="E5413" t="s">
        <v>20</v>
      </c>
      <c r="F5413">
        <v>1</v>
      </c>
      <c r="G5413">
        <v>0</v>
      </c>
      <c r="H5413" s="2">
        <v>4.57</v>
      </c>
      <c r="I5413" s="2">
        <v>9.14</v>
      </c>
    </row>
    <row r="5414" spans="2:9" x14ac:dyDescent="0.3">
      <c r="E5414" t="s">
        <v>34</v>
      </c>
      <c r="F5414">
        <v>9</v>
      </c>
      <c r="G5414">
        <v>0</v>
      </c>
      <c r="H5414" s="2">
        <v>125.58240000000001</v>
      </c>
      <c r="I5414" s="2">
        <v>523.26</v>
      </c>
    </row>
    <row r="5415" spans="2:9" x14ac:dyDescent="0.3">
      <c r="E5415" t="s">
        <v>21</v>
      </c>
      <c r="F5415">
        <v>7</v>
      </c>
      <c r="G5415">
        <v>0</v>
      </c>
      <c r="H5415" s="2">
        <v>119.68599999999989</v>
      </c>
      <c r="I5415" s="2">
        <v>1196.8599999999999</v>
      </c>
    </row>
    <row r="5416" spans="2:9" x14ac:dyDescent="0.3">
      <c r="E5416" t="s">
        <v>24</v>
      </c>
      <c r="F5416">
        <v>2</v>
      </c>
      <c r="G5416">
        <v>0</v>
      </c>
      <c r="H5416" s="2">
        <v>148.10640000000001</v>
      </c>
      <c r="I5416" s="2">
        <v>569.64</v>
      </c>
    </row>
    <row r="5417" spans="2:9" x14ac:dyDescent="0.3">
      <c r="C5417" t="s">
        <v>7</v>
      </c>
      <c r="D5417" t="s">
        <v>8</v>
      </c>
      <c r="E5417" t="s">
        <v>21</v>
      </c>
      <c r="F5417">
        <v>1</v>
      </c>
      <c r="G5417">
        <v>0</v>
      </c>
      <c r="H5417" s="2">
        <v>14.561400000000006</v>
      </c>
      <c r="I5417" s="2">
        <v>104.01</v>
      </c>
    </row>
    <row r="5418" spans="2:9" x14ac:dyDescent="0.3">
      <c r="E5418" t="s">
        <v>24</v>
      </c>
      <c r="F5418">
        <v>1</v>
      </c>
      <c r="G5418">
        <v>0</v>
      </c>
      <c r="H5418" s="2">
        <v>74.053200000000004</v>
      </c>
      <c r="I5418" s="2">
        <v>284.82</v>
      </c>
    </row>
    <row r="5419" spans="2:9" x14ac:dyDescent="0.3">
      <c r="E5419" t="s">
        <v>14</v>
      </c>
      <c r="F5419">
        <v>3</v>
      </c>
      <c r="G5419">
        <v>0</v>
      </c>
      <c r="H5419" s="2">
        <v>10.315199999999999</v>
      </c>
      <c r="I5419" s="2">
        <v>36.839999999999996</v>
      </c>
    </row>
    <row r="5420" spans="2:9" x14ac:dyDescent="0.3">
      <c r="C5420" t="s">
        <v>22</v>
      </c>
      <c r="D5420" t="s">
        <v>17</v>
      </c>
      <c r="E5420" t="s">
        <v>12</v>
      </c>
      <c r="F5420">
        <v>2</v>
      </c>
      <c r="G5420">
        <v>0</v>
      </c>
      <c r="H5420" s="2">
        <v>44.889600000000002</v>
      </c>
      <c r="I5420" s="2">
        <v>160.32</v>
      </c>
    </row>
    <row r="5421" spans="2:9" x14ac:dyDescent="0.3">
      <c r="E5421" t="s">
        <v>20</v>
      </c>
      <c r="F5421">
        <v>4</v>
      </c>
      <c r="G5421">
        <v>0</v>
      </c>
      <c r="H5421" s="2">
        <v>20.7</v>
      </c>
      <c r="I5421" s="2">
        <v>46</v>
      </c>
    </row>
    <row r="5422" spans="2:9" x14ac:dyDescent="0.3">
      <c r="E5422" t="s">
        <v>21</v>
      </c>
      <c r="F5422">
        <v>2</v>
      </c>
      <c r="G5422">
        <v>0</v>
      </c>
      <c r="H5422" s="2">
        <v>40.921599999999998</v>
      </c>
      <c r="I5422" s="2">
        <v>127.88</v>
      </c>
    </row>
    <row r="5423" spans="2:9" x14ac:dyDescent="0.3">
      <c r="B5423" t="s">
        <v>542</v>
      </c>
      <c r="C5423" t="s">
        <v>7</v>
      </c>
      <c r="D5423" t="s">
        <v>15</v>
      </c>
      <c r="E5423" t="s">
        <v>20</v>
      </c>
      <c r="F5423">
        <v>3</v>
      </c>
      <c r="G5423">
        <v>0</v>
      </c>
      <c r="H5423" s="2">
        <v>4.1747999999999994</v>
      </c>
      <c r="I5423" s="2">
        <v>8.52</v>
      </c>
    </row>
    <row r="5424" spans="2:9" x14ac:dyDescent="0.3">
      <c r="E5424" t="s">
        <v>34</v>
      </c>
      <c r="F5424">
        <v>2</v>
      </c>
      <c r="G5424">
        <v>0</v>
      </c>
      <c r="H5424" s="2">
        <v>24.195999999999998</v>
      </c>
      <c r="I5424" s="2">
        <v>241.96</v>
      </c>
    </row>
    <row r="5425" spans="2:9" x14ac:dyDescent="0.3">
      <c r="B5425" t="s">
        <v>543</v>
      </c>
      <c r="C5425" t="s">
        <v>7</v>
      </c>
      <c r="D5425" t="s">
        <v>8</v>
      </c>
      <c r="E5425" t="s">
        <v>14</v>
      </c>
      <c r="F5425">
        <v>2</v>
      </c>
      <c r="G5425">
        <v>0</v>
      </c>
      <c r="H5425" s="2">
        <v>9.9899999999999949</v>
      </c>
      <c r="I5425" s="2">
        <v>55.5</v>
      </c>
    </row>
    <row r="5426" spans="2:9" x14ac:dyDescent="0.3">
      <c r="C5426" t="s">
        <v>22</v>
      </c>
      <c r="D5426" t="s">
        <v>8</v>
      </c>
      <c r="E5426" t="s">
        <v>20</v>
      </c>
      <c r="F5426">
        <v>5</v>
      </c>
      <c r="G5426">
        <v>0.2</v>
      </c>
      <c r="H5426" s="2">
        <v>28.65</v>
      </c>
      <c r="I5426" s="2">
        <v>91.68</v>
      </c>
    </row>
    <row r="5427" spans="2:9" x14ac:dyDescent="0.3">
      <c r="E5427" t="s">
        <v>18</v>
      </c>
      <c r="F5427">
        <v>3</v>
      </c>
      <c r="G5427">
        <v>0</v>
      </c>
      <c r="H5427" s="2">
        <v>0.20159999999999978</v>
      </c>
      <c r="I5427" s="2">
        <v>5.04</v>
      </c>
    </row>
    <row r="5428" spans="2:9" x14ac:dyDescent="0.3">
      <c r="E5428" t="s">
        <v>21</v>
      </c>
      <c r="F5428">
        <v>3</v>
      </c>
      <c r="G5428">
        <v>0</v>
      </c>
      <c r="H5428" s="2">
        <v>22.007699999999996</v>
      </c>
      <c r="I5428" s="2">
        <v>66.69</v>
      </c>
    </row>
    <row r="5429" spans="2:9" x14ac:dyDescent="0.3">
      <c r="E5429" t="s">
        <v>16</v>
      </c>
      <c r="F5429">
        <v>3</v>
      </c>
      <c r="G5429">
        <v>0</v>
      </c>
      <c r="H5429" s="2">
        <v>41.822999999999993</v>
      </c>
      <c r="I5429" s="2">
        <v>92.94</v>
      </c>
    </row>
    <row r="5430" spans="2:9" x14ac:dyDescent="0.3">
      <c r="B5430" t="s">
        <v>544</v>
      </c>
      <c r="C5430" t="s">
        <v>22</v>
      </c>
      <c r="D5430" t="s">
        <v>8</v>
      </c>
      <c r="E5430" t="s">
        <v>16</v>
      </c>
      <c r="F5430">
        <v>4</v>
      </c>
      <c r="G5430">
        <v>0.2</v>
      </c>
      <c r="H5430" s="2">
        <v>25.278400000000001</v>
      </c>
      <c r="I5430" s="2">
        <v>72.224000000000004</v>
      </c>
    </row>
    <row r="5431" spans="2:9" x14ac:dyDescent="0.3">
      <c r="E5431" t="s">
        <v>24</v>
      </c>
      <c r="F5431">
        <v>2</v>
      </c>
      <c r="G5431">
        <v>0.2</v>
      </c>
      <c r="H5431" s="2">
        <v>4.1987999999999985</v>
      </c>
      <c r="I5431" s="2">
        <v>55.984000000000009</v>
      </c>
    </row>
    <row r="5432" spans="2:9" x14ac:dyDescent="0.3">
      <c r="D5432" t="s">
        <v>17</v>
      </c>
      <c r="E5432" t="s">
        <v>19</v>
      </c>
      <c r="F5432">
        <v>5</v>
      </c>
      <c r="G5432">
        <v>0.2</v>
      </c>
      <c r="H5432" s="2">
        <v>2.1319999999999988</v>
      </c>
      <c r="I5432" s="2">
        <v>13.120000000000001</v>
      </c>
    </row>
    <row r="5433" spans="2:9" x14ac:dyDescent="0.3">
      <c r="B5433" t="s">
        <v>545</v>
      </c>
      <c r="C5433" t="s">
        <v>22</v>
      </c>
      <c r="D5433" t="s">
        <v>15</v>
      </c>
      <c r="E5433" t="s">
        <v>21</v>
      </c>
      <c r="F5433">
        <v>6</v>
      </c>
      <c r="G5433">
        <v>0</v>
      </c>
      <c r="H5433" s="2">
        <v>23.407799999999988</v>
      </c>
      <c r="I5433" s="2">
        <v>161.49</v>
      </c>
    </row>
    <row r="5434" spans="2:9" x14ac:dyDescent="0.3">
      <c r="D5434" t="s">
        <v>17</v>
      </c>
      <c r="E5434" t="s">
        <v>23</v>
      </c>
      <c r="F5434">
        <v>3</v>
      </c>
      <c r="G5434">
        <v>0</v>
      </c>
      <c r="H5434" s="2">
        <v>91.789199999999994</v>
      </c>
      <c r="I5434" s="2">
        <v>254.96999999999997</v>
      </c>
    </row>
    <row r="5435" spans="2:9" x14ac:dyDescent="0.3">
      <c r="E5435" t="s">
        <v>19</v>
      </c>
      <c r="F5435">
        <v>2</v>
      </c>
      <c r="G5435">
        <v>0</v>
      </c>
      <c r="H5435" s="2">
        <v>1.3513999999999995</v>
      </c>
      <c r="I5435" s="2">
        <v>4.66</v>
      </c>
    </row>
    <row r="5436" spans="2:9" x14ac:dyDescent="0.3">
      <c r="E5436" t="s">
        <v>38</v>
      </c>
      <c r="F5436">
        <v>2</v>
      </c>
      <c r="G5436">
        <v>0</v>
      </c>
      <c r="H5436" s="2">
        <v>24.599800000000002</v>
      </c>
      <c r="I5436" s="2">
        <v>52.34</v>
      </c>
    </row>
    <row r="5437" spans="2:9" x14ac:dyDescent="0.3">
      <c r="E5437" t="s">
        <v>14</v>
      </c>
      <c r="F5437">
        <v>3</v>
      </c>
      <c r="G5437">
        <v>0</v>
      </c>
      <c r="H5437" s="2">
        <v>12.0276</v>
      </c>
      <c r="I5437" s="2">
        <v>46.26</v>
      </c>
    </row>
    <row r="5438" spans="2:9" x14ac:dyDescent="0.3">
      <c r="B5438" t="s">
        <v>546</v>
      </c>
      <c r="C5438" t="s">
        <v>7</v>
      </c>
      <c r="D5438" t="s">
        <v>8</v>
      </c>
      <c r="E5438" t="s">
        <v>14</v>
      </c>
      <c r="F5438">
        <v>4</v>
      </c>
      <c r="G5438">
        <v>0</v>
      </c>
      <c r="H5438" s="2">
        <v>8.4783999999999935</v>
      </c>
      <c r="I5438" s="2">
        <v>211.96</v>
      </c>
    </row>
    <row r="5439" spans="2:9" x14ac:dyDescent="0.3">
      <c r="C5439" t="s">
        <v>22</v>
      </c>
      <c r="D5439" t="s">
        <v>8</v>
      </c>
      <c r="E5439" t="s">
        <v>23</v>
      </c>
      <c r="F5439">
        <v>1</v>
      </c>
      <c r="G5439">
        <v>0</v>
      </c>
      <c r="H5439" s="2">
        <v>36.283500000000004</v>
      </c>
      <c r="I5439" s="2">
        <v>109.95</v>
      </c>
    </row>
    <row r="5440" spans="2:9" x14ac:dyDescent="0.3">
      <c r="E5440" t="s">
        <v>12</v>
      </c>
      <c r="F5440">
        <v>4</v>
      </c>
      <c r="G5440">
        <v>0.1</v>
      </c>
      <c r="H5440" s="2">
        <v>93.581600000000009</v>
      </c>
      <c r="I5440" s="2">
        <v>247.71600000000001</v>
      </c>
    </row>
    <row r="5441" spans="2:9" x14ac:dyDescent="0.3">
      <c r="E5441" t="s">
        <v>19</v>
      </c>
      <c r="F5441">
        <v>8</v>
      </c>
      <c r="G5441">
        <v>0</v>
      </c>
      <c r="H5441" s="2">
        <v>23.248799999999996</v>
      </c>
      <c r="I5441" s="2">
        <v>73.12</v>
      </c>
    </row>
    <row r="5442" spans="2:9" x14ac:dyDescent="0.3">
      <c r="E5442" t="s">
        <v>20</v>
      </c>
      <c r="F5442">
        <v>10</v>
      </c>
      <c r="G5442">
        <v>0</v>
      </c>
      <c r="H5442" s="2">
        <v>22.3185</v>
      </c>
      <c r="I5442" s="2">
        <v>48.75</v>
      </c>
    </row>
    <row r="5443" spans="2:9" x14ac:dyDescent="0.3">
      <c r="E5443" t="s">
        <v>21</v>
      </c>
      <c r="F5443">
        <v>6</v>
      </c>
      <c r="G5443">
        <v>0</v>
      </c>
      <c r="H5443" s="2">
        <v>34.88430000000001</v>
      </c>
      <c r="I5443" s="2">
        <v>287.67</v>
      </c>
    </row>
    <row r="5444" spans="2:9" x14ac:dyDescent="0.3">
      <c r="E5444" t="s">
        <v>16</v>
      </c>
      <c r="F5444">
        <v>5</v>
      </c>
      <c r="G5444">
        <v>0</v>
      </c>
      <c r="H5444" s="2">
        <v>15.552000000000001</v>
      </c>
      <c r="I5444" s="2">
        <v>32.400000000000006</v>
      </c>
    </row>
    <row r="5445" spans="2:9" x14ac:dyDescent="0.3">
      <c r="E5445" t="s">
        <v>14</v>
      </c>
      <c r="F5445">
        <v>8</v>
      </c>
      <c r="G5445">
        <v>0</v>
      </c>
      <c r="H5445" s="2">
        <v>155.25240000000002</v>
      </c>
      <c r="I5445" s="2">
        <v>1046.4099999999999</v>
      </c>
    </row>
    <row r="5446" spans="2:9" x14ac:dyDescent="0.3">
      <c r="B5446" t="s">
        <v>547</v>
      </c>
      <c r="C5446" t="s">
        <v>11</v>
      </c>
      <c r="D5446" t="s">
        <v>8</v>
      </c>
      <c r="E5446" t="s">
        <v>24</v>
      </c>
      <c r="F5446">
        <v>4</v>
      </c>
      <c r="G5446">
        <v>0.2</v>
      </c>
      <c r="H5446" s="2">
        <v>2.3976000000000006</v>
      </c>
      <c r="I5446" s="2">
        <v>31.968000000000004</v>
      </c>
    </row>
    <row r="5447" spans="2:9" x14ac:dyDescent="0.3">
      <c r="C5447" t="s">
        <v>7</v>
      </c>
      <c r="D5447" t="s">
        <v>8</v>
      </c>
      <c r="E5447" t="s">
        <v>12</v>
      </c>
      <c r="F5447">
        <v>2</v>
      </c>
      <c r="G5447">
        <v>0</v>
      </c>
      <c r="H5447" s="2">
        <v>72.947999999999979</v>
      </c>
      <c r="I5447" s="2">
        <v>243.16</v>
      </c>
    </row>
    <row r="5448" spans="2:9" x14ac:dyDescent="0.3">
      <c r="C5448" t="s">
        <v>22</v>
      </c>
      <c r="D5448" t="s">
        <v>8</v>
      </c>
      <c r="E5448" t="s">
        <v>23</v>
      </c>
      <c r="F5448">
        <v>7</v>
      </c>
      <c r="G5448">
        <v>0</v>
      </c>
      <c r="H5448" s="2">
        <v>27.542200000000008</v>
      </c>
      <c r="I5448" s="2">
        <v>196.73</v>
      </c>
    </row>
    <row r="5449" spans="2:9" x14ac:dyDescent="0.3">
      <c r="E5449" t="s">
        <v>12</v>
      </c>
      <c r="F5449">
        <v>5</v>
      </c>
      <c r="G5449">
        <v>0</v>
      </c>
      <c r="H5449" s="2">
        <v>412.46800000000007</v>
      </c>
      <c r="I5449" s="2">
        <v>1473.1</v>
      </c>
    </row>
    <row r="5450" spans="2:9" x14ac:dyDescent="0.3">
      <c r="E5450" t="s">
        <v>19</v>
      </c>
      <c r="F5450">
        <v>4</v>
      </c>
      <c r="G5450">
        <v>0</v>
      </c>
      <c r="H5450" s="2">
        <v>20.856799999999993</v>
      </c>
      <c r="I5450" s="2">
        <v>71.92</v>
      </c>
    </row>
    <row r="5451" spans="2:9" x14ac:dyDescent="0.3">
      <c r="E5451" t="s">
        <v>20</v>
      </c>
      <c r="F5451">
        <v>8</v>
      </c>
      <c r="G5451">
        <v>0.60000000000000009</v>
      </c>
      <c r="H5451" s="2">
        <v>17.3018</v>
      </c>
      <c r="I5451" s="2">
        <v>47.528000000000006</v>
      </c>
    </row>
    <row r="5452" spans="2:9" x14ac:dyDescent="0.3">
      <c r="E5452" t="s">
        <v>33</v>
      </c>
      <c r="F5452">
        <v>1</v>
      </c>
      <c r="G5452">
        <v>0.2</v>
      </c>
      <c r="H5452" s="2">
        <v>25.897999999999982</v>
      </c>
      <c r="I5452" s="2">
        <v>207.18400000000003</v>
      </c>
    </row>
    <row r="5453" spans="2:9" x14ac:dyDescent="0.3">
      <c r="E5453" t="s">
        <v>18</v>
      </c>
      <c r="F5453">
        <v>4</v>
      </c>
      <c r="G5453">
        <v>0</v>
      </c>
      <c r="H5453" s="2">
        <v>2.3311999999999999</v>
      </c>
      <c r="I5453" s="2">
        <v>4.96</v>
      </c>
    </row>
    <row r="5454" spans="2:9" x14ac:dyDescent="0.3">
      <c r="E5454" t="s">
        <v>21</v>
      </c>
      <c r="F5454">
        <v>7</v>
      </c>
      <c r="G5454">
        <v>0</v>
      </c>
      <c r="H5454" s="2">
        <v>73.24199999999999</v>
      </c>
      <c r="I5454" s="2">
        <v>347.28</v>
      </c>
    </row>
    <row r="5455" spans="2:9" x14ac:dyDescent="0.3">
      <c r="E5455" t="s">
        <v>16</v>
      </c>
      <c r="F5455">
        <v>2</v>
      </c>
      <c r="G5455">
        <v>0</v>
      </c>
      <c r="H5455" s="2">
        <v>11.543199999999999</v>
      </c>
      <c r="I5455" s="2">
        <v>24.56</v>
      </c>
    </row>
    <row r="5456" spans="2:9" x14ac:dyDescent="0.3">
      <c r="E5456" t="s">
        <v>24</v>
      </c>
      <c r="F5456">
        <v>6</v>
      </c>
      <c r="G5456">
        <v>0.4</v>
      </c>
      <c r="H5456" s="2">
        <v>97.15979999999999</v>
      </c>
      <c r="I5456" s="2">
        <v>1178.2560000000001</v>
      </c>
    </row>
    <row r="5457" spans="2:9" x14ac:dyDescent="0.3">
      <c r="B5457" t="s">
        <v>548</v>
      </c>
      <c r="C5457" t="s">
        <v>27</v>
      </c>
      <c r="D5457" t="s">
        <v>8</v>
      </c>
      <c r="E5457" t="s">
        <v>25</v>
      </c>
      <c r="F5457">
        <v>3</v>
      </c>
      <c r="G5457">
        <v>0.3</v>
      </c>
      <c r="H5457" s="2">
        <v>-76.953599999999994</v>
      </c>
      <c r="I5457" s="2">
        <v>673.34399999999994</v>
      </c>
    </row>
    <row r="5458" spans="2:9" x14ac:dyDescent="0.3">
      <c r="C5458" t="s">
        <v>22</v>
      </c>
      <c r="D5458" t="s">
        <v>8</v>
      </c>
      <c r="E5458" t="s">
        <v>19</v>
      </c>
      <c r="F5458">
        <v>4</v>
      </c>
      <c r="G5458">
        <v>0.2</v>
      </c>
      <c r="H5458" s="2">
        <v>15.191999999999979</v>
      </c>
      <c r="I5458" s="2">
        <v>121.536</v>
      </c>
    </row>
    <row r="5459" spans="2:9" x14ac:dyDescent="0.3">
      <c r="E5459" t="s">
        <v>21</v>
      </c>
      <c r="F5459">
        <v>2</v>
      </c>
      <c r="G5459">
        <v>0.6</v>
      </c>
      <c r="H5459" s="2">
        <v>-7.774799999999999</v>
      </c>
      <c r="I5459" s="2">
        <v>14.136000000000003</v>
      </c>
    </row>
    <row r="5460" spans="2:9" x14ac:dyDescent="0.3">
      <c r="E5460" t="s">
        <v>25</v>
      </c>
      <c r="F5460">
        <v>3</v>
      </c>
      <c r="G5460">
        <v>0.5</v>
      </c>
      <c r="H5460" s="2">
        <v>-300.73500000000001</v>
      </c>
      <c r="I5460" s="2">
        <v>601.47</v>
      </c>
    </row>
    <row r="5461" spans="2:9" x14ac:dyDescent="0.3">
      <c r="D5461" t="s">
        <v>17</v>
      </c>
      <c r="E5461" t="s">
        <v>20</v>
      </c>
      <c r="F5461">
        <v>7</v>
      </c>
      <c r="G5461">
        <v>0</v>
      </c>
      <c r="H5461" s="2">
        <v>43.433600000000006</v>
      </c>
      <c r="I5461" s="2">
        <v>88.64</v>
      </c>
    </row>
    <row r="5462" spans="2:9" x14ac:dyDescent="0.3">
      <c r="E5462" t="s">
        <v>16</v>
      </c>
      <c r="F5462">
        <v>8</v>
      </c>
      <c r="G5462">
        <v>0</v>
      </c>
      <c r="H5462" s="2">
        <v>219.44159999999999</v>
      </c>
      <c r="I5462" s="2">
        <v>447.84</v>
      </c>
    </row>
    <row r="5463" spans="2:9" x14ac:dyDescent="0.3">
      <c r="B5463" t="s">
        <v>549</v>
      </c>
      <c r="C5463" t="s">
        <v>22</v>
      </c>
      <c r="D5463" t="s">
        <v>8</v>
      </c>
      <c r="E5463" t="s">
        <v>24</v>
      </c>
      <c r="F5463">
        <v>4</v>
      </c>
      <c r="G5463">
        <v>0.2</v>
      </c>
      <c r="H5463" s="2">
        <v>44.476800000000026</v>
      </c>
      <c r="I5463" s="2">
        <v>444.76800000000003</v>
      </c>
    </row>
    <row r="5464" spans="2:9" x14ac:dyDescent="0.3">
      <c r="B5464" t="s">
        <v>550</v>
      </c>
      <c r="C5464" t="s">
        <v>11</v>
      </c>
      <c r="D5464" t="s">
        <v>8</v>
      </c>
      <c r="E5464" t="s">
        <v>24</v>
      </c>
      <c r="F5464">
        <v>5</v>
      </c>
      <c r="G5464">
        <v>0</v>
      </c>
      <c r="H5464" s="2">
        <v>62.929999999999993</v>
      </c>
      <c r="I5464" s="2">
        <v>224.75</v>
      </c>
    </row>
    <row r="5465" spans="2:9" x14ac:dyDescent="0.3">
      <c r="C5465" t="s">
        <v>7</v>
      </c>
      <c r="D5465" t="s">
        <v>17</v>
      </c>
      <c r="E5465" t="s">
        <v>19</v>
      </c>
      <c r="F5465">
        <v>3</v>
      </c>
      <c r="G5465">
        <v>0</v>
      </c>
      <c r="H5465" s="2">
        <v>8.071200000000001</v>
      </c>
      <c r="I5465" s="2">
        <v>21.240000000000002</v>
      </c>
    </row>
    <row r="5466" spans="2:9" x14ac:dyDescent="0.3">
      <c r="E5466" t="s">
        <v>20</v>
      </c>
      <c r="F5466">
        <v>2</v>
      </c>
      <c r="G5466">
        <v>0</v>
      </c>
      <c r="H5466" s="2">
        <v>60.141199999999998</v>
      </c>
      <c r="I5466" s="2">
        <v>127.96</v>
      </c>
    </row>
    <row r="5467" spans="2:9" x14ac:dyDescent="0.3">
      <c r="C5467" t="s">
        <v>22</v>
      </c>
      <c r="D5467" t="s">
        <v>8</v>
      </c>
      <c r="E5467" t="s">
        <v>12</v>
      </c>
      <c r="F5467">
        <v>2</v>
      </c>
      <c r="G5467">
        <v>0</v>
      </c>
      <c r="H5467" s="2">
        <v>22.948799999999999</v>
      </c>
      <c r="I5467" s="2">
        <v>81.96</v>
      </c>
    </row>
    <row r="5468" spans="2:9" x14ac:dyDescent="0.3">
      <c r="E5468" t="s">
        <v>21</v>
      </c>
      <c r="F5468">
        <v>6</v>
      </c>
      <c r="G5468">
        <v>0</v>
      </c>
      <c r="H5468" s="2">
        <v>23.990399999999994</v>
      </c>
      <c r="I5468" s="2">
        <v>70.56</v>
      </c>
    </row>
    <row r="5469" spans="2:9" x14ac:dyDescent="0.3">
      <c r="E5469" t="s">
        <v>43</v>
      </c>
      <c r="F5469">
        <v>3</v>
      </c>
      <c r="G5469">
        <v>0</v>
      </c>
      <c r="H5469" s="2">
        <v>8.6939999999999991</v>
      </c>
      <c r="I5469" s="2">
        <v>18.899999999999999</v>
      </c>
    </row>
    <row r="5470" spans="2:9" x14ac:dyDescent="0.3">
      <c r="E5470" t="s">
        <v>16</v>
      </c>
      <c r="F5470">
        <v>5</v>
      </c>
      <c r="G5470">
        <v>0</v>
      </c>
      <c r="H5470" s="2">
        <v>137.15100000000001</v>
      </c>
      <c r="I5470" s="2">
        <v>279.89999999999998</v>
      </c>
    </row>
    <row r="5471" spans="2:9" x14ac:dyDescent="0.3">
      <c r="B5471" t="s">
        <v>551</v>
      </c>
      <c r="C5471" t="s">
        <v>11</v>
      </c>
      <c r="D5471" t="s">
        <v>8</v>
      </c>
      <c r="E5471" t="s">
        <v>20</v>
      </c>
      <c r="F5471">
        <v>6</v>
      </c>
      <c r="G5471">
        <v>0.7</v>
      </c>
      <c r="H5471" s="2">
        <v>11.2524</v>
      </c>
      <c r="I5471" s="2">
        <v>34.122</v>
      </c>
    </row>
    <row r="5472" spans="2:9" x14ac:dyDescent="0.3">
      <c r="E5472" t="s">
        <v>38</v>
      </c>
      <c r="F5472">
        <v>9</v>
      </c>
      <c r="G5472">
        <v>0</v>
      </c>
      <c r="H5472" s="2">
        <v>51.758999999999993</v>
      </c>
      <c r="I5472" s="2">
        <v>115.02</v>
      </c>
    </row>
    <row r="5473" spans="3:9" x14ac:dyDescent="0.3">
      <c r="E5473" t="s">
        <v>21</v>
      </c>
      <c r="F5473">
        <v>3</v>
      </c>
      <c r="G5473">
        <v>0</v>
      </c>
      <c r="H5473" s="2">
        <v>18.345599999999997</v>
      </c>
      <c r="I5473" s="2">
        <v>47.04</v>
      </c>
    </row>
    <row r="5474" spans="3:9" x14ac:dyDescent="0.3">
      <c r="E5474" t="s">
        <v>16</v>
      </c>
      <c r="F5474">
        <v>4</v>
      </c>
      <c r="G5474">
        <v>0.2</v>
      </c>
      <c r="H5474" s="2">
        <v>3.5151999999999988</v>
      </c>
      <c r="I5474" s="2">
        <v>10.816000000000001</v>
      </c>
    </row>
    <row r="5475" spans="3:9" x14ac:dyDescent="0.3">
      <c r="E5475" t="s">
        <v>24</v>
      </c>
      <c r="F5475">
        <v>9</v>
      </c>
      <c r="G5475">
        <v>0</v>
      </c>
      <c r="H5475" s="2">
        <v>133.40579999999997</v>
      </c>
      <c r="I5475" s="2">
        <v>460.02000000000004</v>
      </c>
    </row>
    <row r="5476" spans="3:9" x14ac:dyDescent="0.3">
      <c r="E5476" t="s">
        <v>14</v>
      </c>
      <c r="F5476">
        <v>6</v>
      </c>
      <c r="G5476">
        <v>0</v>
      </c>
      <c r="H5476" s="2">
        <v>63.436800000000005</v>
      </c>
      <c r="I5476" s="2">
        <v>226.56</v>
      </c>
    </row>
    <row r="5477" spans="3:9" x14ac:dyDescent="0.3">
      <c r="D5477" t="s">
        <v>15</v>
      </c>
      <c r="E5477" t="s">
        <v>20</v>
      </c>
      <c r="F5477">
        <v>7</v>
      </c>
      <c r="G5477">
        <v>0</v>
      </c>
      <c r="H5477" s="2">
        <v>103.89819999999997</v>
      </c>
      <c r="I5477" s="2">
        <v>221.06</v>
      </c>
    </row>
    <row r="5478" spans="3:9" x14ac:dyDescent="0.3">
      <c r="E5478" t="s">
        <v>24</v>
      </c>
      <c r="F5478">
        <v>2</v>
      </c>
      <c r="G5478">
        <v>0</v>
      </c>
      <c r="H5478" s="2">
        <v>193.32000000000005</v>
      </c>
      <c r="I5478" s="2">
        <v>716</v>
      </c>
    </row>
    <row r="5479" spans="3:9" x14ac:dyDescent="0.3">
      <c r="E5479" t="s">
        <v>25</v>
      </c>
      <c r="F5479">
        <v>4</v>
      </c>
      <c r="G5479">
        <v>0.3</v>
      </c>
      <c r="H5479" s="2">
        <v>-37.112400000000036</v>
      </c>
      <c r="I5479" s="2">
        <v>199.83600000000001</v>
      </c>
    </row>
    <row r="5480" spans="3:9" x14ac:dyDescent="0.3">
      <c r="C5480" t="s">
        <v>27</v>
      </c>
      <c r="D5480" t="s">
        <v>8</v>
      </c>
      <c r="E5480" t="s">
        <v>16</v>
      </c>
      <c r="F5480">
        <v>7</v>
      </c>
      <c r="G5480">
        <v>0.2</v>
      </c>
      <c r="H5480" s="2">
        <v>108.74079999999998</v>
      </c>
      <c r="I5480" s="2">
        <v>310.68799999999999</v>
      </c>
    </row>
    <row r="5481" spans="3:9" x14ac:dyDescent="0.3">
      <c r="C5481" t="s">
        <v>7</v>
      </c>
      <c r="D5481" t="s">
        <v>8</v>
      </c>
      <c r="E5481" t="s">
        <v>19</v>
      </c>
      <c r="F5481">
        <v>8</v>
      </c>
      <c r="G5481">
        <v>0.2</v>
      </c>
      <c r="H5481" s="2">
        <v>9.0463999999999984</v>
      </c>
      <c r="I5481" s="2">
        <v>32.576000000000001</v>
      </c>
    </row>
    <row r="5482" spans="3:9" x14ac:dyDescent="0.3">
      <c r="E5482" t="s">
        <v>38</v>
      </c>
      <c r="F5482">
        <v>2</v>
      </c>
      <c r="G5482">
        <v>0</v>
      </c>
      <c r="H5482" s="2">
        <v>7.783199999999999</v>
      </c>
      <c r="I5482" s="2">
        <v>16.559999999999999</v>
      </c>
    </row>
    <row r="5483" spans="3:9" x14ac:dyDescent="0.3">
      <c r="E5483" t="s">
        <v>16</v>
      </c>
      <c r="F5483">
        <v>15</v>
      </c>
      <c r="G5483">
        <v>0.2</v>
      </c>
      <c r="H5483" s="2">
        <v>44.677799999999998</v>
      </c>
      <c r="I5483" s="2">
        <v>99.25200000000001</v>
      </c>
    </row>
    <row r="5484" spans="3:9" x14ac:dyDescent="0.3">
      <c r="E5484" t="s">
        <v>24</v>
      </c>
      <c r="F5484">
        <v>2</v>
      </c>
      <c r="G5484">
        <v>0</v>
      </c>
      <c r="H5484" s="2">
        <v>89.314199999999971</v>
      </c>
      <c r="I5484" s="2">
        <v>307.98</v>
      </c>
    </row>
    <row r="5485" spans="3:9" x14ac:dyDescent="0.3">
      <c r="D5485" t="s">
        <v>15</v>
      </c>
      <c r="E5485" t="s">
        <v>14</v>
      </c>
      <c r="F5485">
        <v>5</v>
      </c>
      <c r="G5485">
        <v>0</v>
      </c>
      <c r="H5485" s="2">
        <v>21.714000000000002</v>
      </c>
      <c r="I5485" s="2">
        <v>77.55</v>
      </c>
    </row>
    <row r="5486" spans="3:9" x14ac:dyDescent="0.3">
      <c r="C5486" t="s">
        <v>22</v>
      </c>
      <c r="D5486" t="s">
        <v>8</v>
      </c>
      <c r="E5486" t="s">
        <v>12</v>
      </c>
      <c r="F5486">
        <v>3</v>
      </c>
      <c r="G5486">
        <v>0.2</v>
      </c>
      <c r="H5486" s="2">
        <v>5.2650000000000006</v>
      </c>
      <c r="I5486" s="2">
        <v>28.08</v>
      </c>
    </row>
    <row r="5487" spans="3:9" x14ac:dyDescent="0.3">
      <c r="E5487" t="s">
        <v>19</v>
      </c>
      <c r="F5487">
        <v>7</v>
      </c>
      <c r="G5487">
        <v>0.2</v>
      </c>
      <c r="H5487" s="2">
        <v>3.2367999999999979</v>
      </c>
      <c r="I5487" s="2">
        <v>18.8</v>
      </c>
    </row>
    <row r="5488" spans="3:9" x14ac:dyDescent="0.3">
      <c r="E5488" t="s">
        <v>20</v>
      </c>
      <c r="F5488">
        <v>3</v>
      </c>
      <c r="G5488">
        <v>0</v>
      </c>
      <c r="H5488" s="2">
        <v>13.009499999999999</v>
      </c>
      <c r="I5488" s="2">
        <v>26.549999999999997</v>
      </c>
    </row>
    <row r="5489" spans="2:9" x14ac:dyDescent="0.3">
      <c r="E5489" t="s">
        <v>34</v>
      </c>
      <c r="F5489">
        <v>4</v>
      </c>
      <c r="G5489">
        <v>0</v>
      </c>
      <c r="H5489" s="2">
        <v>82.336799999999982</v>
      </c>
      <c r="I5489" s="2">
        <v>283.92</v>
      </c>
    </row>
    <row r="5490" spans="2:9" x14ac:dyDescent="0.3">
      <c r="E5490" t="s">
        <v>33</v>
      </c>
      <c r="F5490">
        <v>9</v>
      </c>
      <c r="G5490">
        <v>0</v>
      </c>
      <c r="H5490" s="2">
        <v>266.45219999999989</v>
      </c>
      <c r="I5490" s="2">
        <v>1268.82</v>
      </c>
    </row>
    <row r="5491" spans="2:9" x14ac:dyDescent="0.3">
      <c r="E5491" t="s">
        <v>24</v>
      </c>
      <c r="F5491">
        <v>3</v>
      </c>
      <c r="G5491">
        <v>0.2</v>
      </c>
      <c r="H5491" s="2">
        <v>37.796999999999997</v>
      </c>
      <c r="I5491" s="2">
        <v>302.37599999999998</v>
      </c>
    </row>
    <row r="5492" spans="2:9" x14ac:dyDescent="0.3">
      <c r="E5492" t="s">
        <v>25</v>
      </c>
      <c r="F5492">
        <v>3</v>
      </c>
      <c r="G5492">
        <v>0.3</v>
      </c>
      <c r="H5492" s="2">
        <v>-48.783900000000031</v>
      </c>
      <c r="I5492" s="2">
        <v>310.44300000000004</v>
      </c>
    </row>
    <row r="5493" spans="2:9" x14ac:dyDescent="0.3">
      <c r="D5493" t="s">
        <v>15</v>
      </c>
      <c r="E5493" t="s">
        <v>19</v>
      </c>
      <c r="F5493">
        <v>6</v>
      </c>
      <c r="G5493">
        <v>0.2</v>
      </c>
      <c r="H5493" s="2">
        <v>9.7680000000000007</v>
      </c>
      <c r="I5493" s="2">
        <v>39.072000000000003</v>
      </c>
    </row>
    <row r="5494" spans="2:9" x14ac:dyDescent="0.3">
      <c r="E5494" t="s">
        <v>20</v>
      </c>
      <c r="F5494">
        <v>7</v>
      </c>
      <c r="G5494">
        <v>0</v>
      </c>
      <c r="H5494" s="2">
        <v>102.2784</v>
      </c>
      <c r="I5494" s="2">
        <v>213.08</v>
      </c>
    </row>
    <row r="5495" spans="2:9" x14ac:dyDescent="0.3">
      <c r="E5495" t="s">
        <v>34</v>
      </c>
      <c r="F5495">
        <v>6</v>
      </c>
      <c r="G5495">
        <v>0</v>
      </c>
      <c r="H5495" s="2">
        <v>235.95240000000001</v>
      </c>
      <c r="I5495" s="2">
        <v>1025.8799999999999</v>
      </c>
    </row>
    <row r="5496" spans="2:9" x14ac:dyDescent="0.3">
      <c r="E5496" t="s">
        <v>43</v>
      </c>
      <c r="F5496">
        <v>8</v>
      </c>
      <c r="G5496">
        <v>0</v>
      </c>
      <c r="H5496" s="2">
        <v>15.381599999999999</v>
      </c>
      <c r="I5496" s="2">
        <v>32.46</v>
      </c>
    </row>
    <row r="5497" spans="2:9" x14ac:dyDescent="0.3">
      <c r="D5497" t="s">
        <v>17</v>
      </c>
      <c r="E5497" t="s">
        <v>20</v>
      </c>
      <c r="F5497">
        <v>8</v>
      </c>
      <c r="G5497">
        <v>0</v>
      </c>
      <c r="H5497" s="2">
        <v>396.37189999999998</v>
      </c>
      <c r="I5497" s="2">
        <v>860.96</v>
      </c>
    </row>
    <row r="5498" spans="2:9" x14ac:dyDescent="0.3">
      <c r="E5498" t="s">
        <v>16</v>
      </c>
      <c r="F5498">
        <v>1</v>
      </c>
      <c r="G5498">
        <v>0</v>
      </c>
      <c r="H5498" s="2">
        <v>5.5391999999999992</v>
      </c>
      <c r="I5498" s="2">
        <v>11.54</v>
      </c>
    </row>
    <row r="5499" spans="2:9" x14ac:dyDescent="0.3">
      <c r="B5499" t="s">
        <v>552</v>
      </c>
      <c r="C5499" t="s">
        <v>22</v>
      </c>
      <c r="D5499" t="s">
        <v>8</v>
      </c>
      <c r="E5499" t="s">
        <v>20</v>
      </c>
      <c r="F5499">
        <v>4</v>
      </c>
      <c r="G5499">
        <v>0.7</v>
      </c>
      <c r="H5499" s="2">
        <v>-4.9127999999999989</v>
      </c>
      <c r="I5499" s="2">
        <v>6.4080000000000004</v>
      </c>
    </row>
    <row r="5500" spans="2:9" x14ac:dyDescent="0.3">
      <c r="E5500" t="s">
        <v>21</v>
      </c>
      <c r="F5500">
        <v>4</v>
      </c>
      <c r="G5500">
        <v>0.2</v>
      </c>
      <c r="H5500" s="2">
        <v>20.391999999999989</v>
      </c>
      <c r="I5500" s="2">
        <v>163.136</v>
      </c>
    </row>
    <row r="5501" spans="2:9" x14ac:dyDescent="0.3">
      <c r="D5501" t="s">
        <v>15</v>
      </c>
      <c r="E5501" t="s">
        <v>16</v>
      </c>
      <c r="F5501">
        <v>3</v>
      </c>
      <c r="G5501">
        <v>0.2</v>
      </c>
      <c r="H5501" s="2">
        <v>3.4668000000000001</v>
      </c>
      <c r="I5501" s="2">
        <v>10.272000000000002</v>
      </c>
    </row>
    <row r="5502" spans="2:9" x14ac:dyDescent="0.3">
      <c r="E5502" t="s">
        <v>14</v>
      </c>
      <c r="F5502">
        <v>4</v>
      </c>
      <c r="G5502">
        <v>0.4</v>
      </c>
      <c r="H5502" s="2">
        <v>-27.870000000000005</v>
      </c>
      <c r="I5502" s="2">
        <v>181.536</v>
      </c>
    </row>
    <row r="5503" spans="2:9" x14ac:dyDescent="0.3">
      <c r="D5503" t="s">
        <v>17</v>
      </c>
      <c r="E5503" t="s">
        <v>20</v>
      </c>
      <c r="F5503">
        <v>5</v>
      </c>
      <c r="G5503">
        <v>0.7</v>
      </c>
      <c r="H5503" s="2">
        <v>-5.4120000000000008</v>
      </c>
      <c r="I5503" s="2">
        <v>7.3800000000000008</v>
      </c>
    </row>
    <row r="5504" spans="2:9" x14ac:dyDescent="0.3">
      <c r="B5504" t="s">
        <v>553</v>
      </c>
      <c r="C5504" t="s">
        <v>22</v>
      </c>
      <c r="D5504" t="s">
        <v>15</v>
      </c>
      <c r="E5504" t="s">
        <v>20</v>
      </c>
      <c r="F5504">
        <v>3</v>
      </c>
      <c r="G5504">
        <v>0</v>
      </c>
      <c r="H5504" s="2">
        <v>15.523199999999999</v>
      </c>
      <c r="I5504" s="2">
        <v>32.339999999999996</v>
      </c>
    </row>
    <row r="5505" spans="2:9" x14ac:dyDescent="0.3">
      <c r="E5505" t="s">
        <v>16</v>
      </c>
      <c r="F5505">
        <v>5</v>
      </c>
      <c r="G5505">
        <v>0</v>
      </c>
      <c r="H5505" s="2">
        <v>19.950000000000003</v>
      </c>
      <c r="I5505" s="2">
        <v>39.900000000000006</v>
      </c>
    </row>
    <row r="5506" spans="2:9" x14ac:dyDescent="0.3">
      <c r="E5506" t="s">
        <v>14</v>
      </c>
      <c r="F5506">
        <v>3</v>
      </c>
      <c r="G5506">
        <v>0</v>
      </c>
      <c r="H5506" s="2">
        <v>160.62299999999993</v>
      </c>
      <c r="I5506" s="2">
        <v>535.41</v>
      </c>
    </row>
    <row r="5507" spans="2:9" x14ac:dyDescent="0.3">
      <c r="B5507" t="s">
        <v>554</v>
      </c>
      <c r="C5507" t="s">
        <v>7</v>
      </c>
      <c r="D5507" t="s">
        <v>15</v>
      </c>
      <c r="E5507" t="s">
        <v>20</v>
      </c>
      <c r="F5507">
        <v>4</v>
      </c>
      <c r="G5507">
        <v>0.2</v>
      </c>
      <c r="H5507" s="2">
        <v>7.5864000000000003</v>
      </c>
      <c r="I5507" s="2">
        <v>20.928000000000001</v>
      </c>
    </row>
    <row r="5508" spans="2:9" x14ac:dyDescent="0.3">
      <c r="E5508" t="s">
        <v>43</v>
      </c>
      <c r="F5508">
        <v>1</v>
      </c>
      <c r="G5508">
        <v>0</v>
      </c>
      <c r="H5508" s="2">
        <v>1.7999999999999998</v>
      </c>
      <c r="I5508" s="2">
        <v>3.75</v>
      </c>
    </row>
    <row r="5509" spans="2:9" x14ac:dyDescent="0.3">
      <c r="C5509" t="s">
        <v>22</v>
      </c>
      <c r="D5509" t="s">
        <v>8</v>
      </c>
      <c r="E5509" t="s">
        <v>24</v>
      </c>
      <c r="F5509">
        <v>2</v>
      </c>
      <c r="G5509">
        <v>0.2</v>
      </c>
      <c r="H5509" s="2">
        <v>23.998400000000004</v>
      </c>
      <c r="I5509" s="2">
        <v>239.98400000000004</v>
      </c>
    </row>
    <row r="5510" spans="2:9" x14ac:dyDescent="0.3">
      <c r="B5510" t="s">
        <v>555</v>
      </c>
      <c r="C5510" t="s">
        <v>11</v>
      </c>
      <c r="D5510" t="s">
        <v>8</v>
      </c>
      <c r="E5510" t="s">
        <v>23</v>
      </c>
      <c r="F5510">
        <v>13</v>
      </c>
      <c r="G5510">
        <v>0</v>
      </c>
      <c r="H5510" s="2">
        <v>98.139599999999987</v>
      </c>
      <c r="I5510" s="2">
        <v>272.61</v>
      </c>
    </row>
    <row r="5511" spans="2:9" x14ac:dyDescent="0.3">
      <c r="E5511" t="s">
        <v>20</v>
      </c>
      <c r="F5511">
        <v>3</v>
      </c>
      <c r="G5511">
        <v>0</v>
      </c>
      <c r="H5511" s="2">
        <v>6.7392000000000003</v>
      </c>
      <c r="I5511" s="2">
        <v>14.04</v>
      </c>
    </row>
    <row r="5512" spans="2:9" x14ac:dyDescent="0.3">
      <c r="C5512" t="s">
        <v>22</v>
      </c>
      <c r="D5512" t="s">
        <v>8</v>
      </c>
      <c r="E5512" t="s">
        <v>20</v>
      </c>
      <c r="F5512">
        <v>5</v>
      </c>
      <c r="G5512">
        <v>0.8</v>
      </c>
      <c r="H5512" s="2">
        <v>-13.717499999999998</v>
      </c>
      <c r="I5512" s="2">
        <v>8.8499999999999979</v>
      </c>
    </row>
    <row r="5513" spans="2:9" x14ac:dyDescent="0.3">
      <c r="D5513" t="s">
        <v>15</v>
      </c>
      <c r="E5513" t="s">
        <v>33</v>
      </c>
      <c r="F5513">
        <v>8</v>
      </c>
      <c r="G5513">
        <v>0.3</v>
      </c>
      <c r="H5513" s="2">
        <v>-12.078400000000101</v>
      </c>
      <c r="I5513" s="2">
        <v>845.48799999999994</v>
      </c>
    </row>
    <row r="5514" spans="2:9" x14ac:dyDescent="0.3">
      <c r="D5514" t="s">
        <v>17</v>
      </c>
      <c r="E5514" t="s">
        <v>19</v>
      </c>
      <c r="F5514">
        <v>2</v>
      </c>
      <c r="G5514">
        <v>0.2</v>
      </c>
      <c r="H5514" s="2">
        <v>0.90999999999999981</v>
      </c>
      <c r="I5514" s="2">
        <v>2.9120000000000004</v>
      </c>
    </row>
    <row r="5515" spans="2:9" x14ac:dyDescent="0.3">
      <c r="B5515" t="s">
        <v>556</v>
      </c>
      <c r="C5515" t="s">
        <v>11</v>
      </c>
      <c r="D5515" t="s">
        <v>15</v>
      </c>
      <c r="E5515" t="s">
        <v>20</v>
      </c>
      <c r="F5515">
        <v>3</v>
      </c>
      <c r="G5515">
        <v>0</v>
      </c>
      <c r="H5515" s="2">
        <v>22.89</v>
      </c>
      <c r="I5515" s="2">
        <v>45.78</v>
      </c>
    </row>
    <row r="5516" spans="2:9" x14ac:dyDescent="0.3">
      <c r="E5516" t="s">
        <v>16</v>
      </c>
      <c r="F5516">
        <v>7</v>
      </c>
      <c r="G5516">
        <v>0</v>
      </c>
      <c r="H5516" s="2">
        <v>21.772800000000004</v>
      </c>
      <c r="I5516" s="2">
        <v>45.36</v>
      </c>
    </row>
    <row r="5517" spans="2:9" x14ac:dyDescent="0.3">
      <c r="C5517" t="s">
        <v>7</v>
      </c>
      <c r="D5517" t="s">
        <v>8</v>
      </c>
      <c r="E5517" t="s">
        <v>21</v>
      </c>
      <c r="F5517">
        <v>2</v>
      </c>
      <c r="G5517">
        <v>0</v>
      </c>
      <c r="H5517" s="2">
        <v>20.1248</v>
      </c>
      <c r="I5517" s="2">
        <v>52.96</v>
      </c>
    </row>
    <row r="5518" spans="2:9" x14ac:dyDescent="0.3">
      <c r="C5518" t="s">
        <v>22</v>
      </c>
      <c r="D5518" t="s">
        <v>15</v>
      </c>
      <c r="E5518" t="s">
        <v>14</v>
      </c>
      <c r="F5518">
        <v>3</v>
      </c>
      <c r="G5518">
        <v>0</v>
      </c>
      <c r="H5518" s="2">
        <v>13.891499999999999</v>
      </c>
      <c r="I5518" s="2">
        <v>51.449999999999996</v>
      </c>
    </row>
    <row r="5519" spans="2:9" x14ac:dyDescent="0.3">
      <c r="B5519" t="s">
        <v>557</v>
      </c>
      <c r="C5519" t="s">
        <v>7</v>
      </c>
      <c r="D5519" t="s">
        <v>8</v>
      </c>
      <c r="E5519" t="s">
        <v>23</v>
      </c>
      <c r="F5519">
        <v>3</v>
      </c>
      <c r="G5519">
        <v>0</v>
      </c>
      <c r="H5519" s="2">
        <v>177.58890000000002</v>
      </c>
      <c r="I5519" s="2">
        <v>479.97</v>
      </c>
    </row>
    <row r="5520" spans="2:9" x14ac:dyDescent="0.3">
      <c r="E5520" t="s">
        <v>19</v>
      </c>
      <c r="F5520">
        <v>3</v>
      </c>
      <c r="G5520">
        <v>0</v>
      </c>
      <c r="H5520" s="2">
        <v>15.475200000000001</v>
      </c>
      <c r="I5520" s="2">
        <v>59.519999999999996</v>
      </c>
    </row>
    <row r="5521" spans="2:9" x14ac:dyDescent="0.3">
      <c r="E5521" t="s">
        <v>20</v>
      </c>
      <c r="F5521">
        <v>6</v>
      </c>
      <c r="G5521">
        <v>0.2</v>
      </c>
      <c r="H5521" s="2">
        <v>16.750799999999998</v>
      </c>
      <c r="I5521" s="2">
        <v>49.632000000000005</v>
      </c>
    </row>
    <row r="5522" spans="2:9" x14ac:dyDescent="0.3">
      <c r="E5522" t="s">
        <v>16</v>
      </c>
      <c r="F5522">
        <v>2</v>
      </c>
      <c r="G5522">
        <v>0</v>
      </c>
      <c r="H5522" s="2">
        <v>45.975399999999993</v>
      </c>
      <c r="I5522" s="2">
        <v>97.82</v>
      </c>
    </row>
    <row r="5523" spans="2:9" x14ac:dyDescent="0.3">
      <c r="E5523" t="s">
        <v>9</v>
      </c>
      <c r="F5523">
        <v>2</v>
      </c>
      <c r="G5523">
        <v>0</v>
      </c>
      <c r="H5523" s="2">
        <v>5.399799999999999</v>
      </c>
      <c r="I5523" s="2">
        <v>18.62</v>
      </c>
    </row>
    <row r="5524" spans="2:9" x14ac:dyDescent="0.3">
      <c r="D5524" t="s">
        <v>17</v>
      </c>
      <c r="E5524" t="s">
        <v>23</v>
      </c>
      <c r="F5524">
        <v>4</v>
      </c>
      <c r="G5524">
        <v>0</v>
      </c>
      <c r="H5524" s="2">
        <v>70.502800000000008</v>
      </c>
      <c r="I5524" s="2">
        <v>163.96</v>
      </c>
    </row>
    <row r="5525" spans="2:9" x14ac:dyDescent="0.3">
      <c r="C5525" t="s">
        <v>22</v>
      </c>
      <c r="D5525" t="s">
        <v>8</v>
      </c>
      <c r="E5525" t="s">
        <v>20</v>
      </c>
      <c r="F5525">
        <v>6</v>
      </c>
      <c r="G5525">
        <v>0.4</v>
      </c>
      <c r="H5525" s="2">
        <v>18.513599999999997</v>
      </c>
      <c r="I5525" s="2">
        <v>51.072000000000003</v>
      </c>
    </row>
    <row r="5526" spans="2:9" x14ac:dyDescent="0.3">
      <c r="E5526" t="s">
        <v>21</v>
      </c>
      <c r="F5526">
        <v>1</v>
      </c>
      <c r="G5526">
        <v>0</v>
      </c>
      <c r="H5526" s="2">
        <v>4.0203000000000007</v>
      </c>
      <c r="I5526" s="2">
        <v>14.89</v>
      </c>
    </row>
    <row r="5527" spans="2:9" x14ac:dyDescent="0.3">
      <c r="E5527" t="s">
        <v>46</v>
      </c>
      <c r="F5527">
        <v>7</v>
      </c>
      <c r="G5527">
        <v>0</v>
      </c>
      <c r="H5527" s="2">
        <v>2400.9656999999997</v>
      </c>
      <c r="I5527" s="2">
        <v>4899.93</v>
      </c>
    </row>
    <row r="5528" spans="2:9" x14ac:dyDescent="0.3">
      <c r="E5528" t="s">
        <v>16</v>
      </c>
      <c r="F5528">
        <v>1</v>
      </c>
      <c r="G5528">
        <v>0</v>
      </c>
      <c r="H5528" s="2">
        <v>12.134799999999998</v>
      </c>
      <c r="I5528" s="2">
        <v>26.38</v>
      </c>
    </row>
    <row r="5529" spans="2:9" x14ac:dyDescent="0.3">
      <c r="E5529" t="s">
        <v>24</v>
      </c>
      <c r="F5529">
        <v>8</v>
      </c>
      <c r="G5529">
        <v>0</v>
      </c>
      <c r="H5529" s="2">
        <v>135.98000000000002</v>
      </c>
      <c r="I5529" s="2">
        <v>543.91999999999996</v>
      </c>
    </row>
    <row r="5530" spans="2:9" x14ac:dyDescent="0.3">
      <c r="E5530" t="s">
        <v>14</v>
      </c>
      <c r="F5530">
        <v>2</v>
      </c>
      <c r="G5530">
        <v>0</v>
      </c>
      <c r="H5530" s="2">
        <v>105.24679999999995</v>
      </c>
      <c r="I5530" s="2">
        <v>362.92</v>
      </c>
    </row>
    <row r="5531" spans="2:9" x14ac:dyDescent="0.3">
      <c r="E5531" t="s">
        <v>25</v>
      </c>
      <c r="F5531">
        <v>8</v>
      </c>
      <c r="G5531">
        <v>0.4</v>
      </c>
      <c r="H5531" s="2">
        <v>-264.92079999999999</v>
      </c>
      <c r="I5531" s="2">
        <v>836.59199999999998</v>
      </c>
    </row>
    <row r="5532" spans="2:9" x14ac:dyDescent="0.3">
      <c r="D5532" t="s">
        <v>17</v>
      </c>
      <c r="E5532" t="s">
        <v>46</v>
      </c>
      <c r="F5532">
        <v>4</v>
      </c>
      <c r="G5532">
        <v>0</v>
      </c>
      <c r="H5532" s="2">
        <v>24.122399999999995</v>
      </c>
      <c r="I5532" s="2">
        <v>52.44</v>
      </c>
    </row>
    <row r="5533" spans="2:9" x14ac:dyDescent="0.3">
      <c r="B5533" t="s">
        <v>558</v>
      </c>
      <c r="C5533" t="s">
        <v>22</v>
      </c>
      <c r="D5533" t="s">
        <v>15</v>
      </c>
      <c r="E5533" t="s">
        <v>20</v>
      </c>
      <c r="F5533">
        <v>8</v>
      </c>
      <c r="G5533">
        <v>1.4</v>
      </c>
      <c r="H5533" s="2">
        <v>-56.984799999999993</v>
      </c>
      <c r="I5533" s="2">
        <v>75.984000000000009</v>
      </c>
    </row>
    <row r="5534" spans="2:9" x14ac:dyDescent="0.3">
      <c r="E5534" t="s">
        <v>33</v>
      </c>
      <c r="F5534">
        <v>3</v>
      </c>
      <c r="G5534">
        <v>0.3</v>
      </c>
      <c r="H5534" s="2">
        <v>-18.088200000000001</v>
      </c>
      <c r="I5534" s="2">
        <v>422.05799999999994</v>
      </c>
    </row>
    <row r="5535" spans="2:9" x14ac:dyDescent="0.3">
      <c r="E5535" t="s">
        <v>16</v>
      </c>
      <c r="F5535">
        <v>2</v>
      </c>
      <c r="G5535">
        <v>0.2</v>
      </c>
      <c r="H5535" s="2">
        <v>23.7742</v>
      </c>
      <c r="I5535" s="2">
        <v>65.584000000000003</v>
      </c>
    </row>
    <row r="5536" spans="2:9" x14ac:dyDescent="0.3">
      <c r="E5536" t="s">
        <v>14</v>
      </c>
      <c r="F5536">
        <v>6</v>
      </c>
      <c r="G5536">
        <v>0.2</v>
      </c>
      <c r="H5536" s="2">
        <v>-50.870400000000018</v>
      </c>
      <c r="I5536" s="2">
        <v>254.35200000000003</v>
      </c>
    </row>
    <row r="5537" spans="1:9" x14ac:dyDescent="0.3">
      <c r="B5537" t="s">
        <v>559</v>
      </c>
      <c r="C5537" t="s">
        <v>22</v>
      </c>
      <c r="D5537" t="s">
        <v>15</v>
      </c>
      <c r="E5537" t="s">
        <v>19</v>
      </c>
      <c r="F5537">
        <v>5</v>
      </c>
      <c r="G5537">
        <v>0</v>
      </c>
      <c r="H5537" s="2">
        <v>13.208000000000002</v>
      </c>
      <c r="I5537" s="2">
        <v>50.8</v>
      </c>
    </row>
    <row r="5538" spans="1:9" x14ac:dyDescent="0.3">
      <c r="B5538" t="s">
        <v>560</v>
      </c>
      <c r="C5538" t="s">
        <v>27</v>
      </c>
      <c r="D5538" t="s">
        <v>15</v>
      </c>
      <c r="E5538" t="s">
        <v>23</v>
      </c>
      <c r="F5538">
        <v>7</v>
      </c>
      <c r="G5538">
        <v>0.2</v>
      </c>
      <c r="H5538" s="2">
        <v>48.701099999999997</v>
      </c>
      <c r="I5538" s="2">
        <v>185.52800000000002</v>
      </c>
    </row>
    <row r="5539" spans="1:9" x14ac:dyDescent="0.3">
      <c r="D5539" t="s">
        <v>17</v>
      </c>
      <c r="E5539" t="s">
        <v>20</v>
      </c>
      <c r="F5539">
        <v>6</v>
      </c>
      <c r="G5539">
        <v>0.7</v>
      </c>
      <c r="H5539" s="2">
        <v>-35.884799999999984</v>
      </c>
      <c r="I5539" s="2">
        <v>44.856000000000009</v>
      </c>
    </row>
    <row r="5540" spans="1:9" x14ac:dyDescent="0.3">
      <c r="C5540" t="s">
        <v>7</v>
      </c>
      <c r="D5540" t="s">
        <v>15</v>
      </c>
      <c r="E5540" t="s">
        <v>19</v>
      </c>
      <c r="F5540">
        <v>4</v>
      </c>
      <c r="G5540">
        <v>0.2</v>
      </c>
      <c r="H5540" s="2">
        <v>1.1807999999999983</v>
      </c>
      <c r="I5540" s="2">
        <v>10.496</v>
      </c>
    </row>
    <row r="5541" spans="1:9" x14ac:dyDescent="0.3">
      <c r="C5541" t="s">
        <v>22</v>
      </c>
      <c r="D5541" t="s">
        <v>17</v>
      </c>
      <c r="E5541" t="s">
        <v>46</v>
      </c>
      <c r="F5541">
        <v>5</v>
      </c>
      <c r="G5541">
        <v>0.7</v>
      </c>
      <c r="H5541" s="2">
        <v>-479.98799999999994</v>
      </c>
      <c r="I5541" s="2">
        <v>599.98500000000013</v>
      </c>
    </row>
    <row r="5542" spans="1:9" ht="18.600000000000001" thickBot="1" x14ac:dyDescent="0.4">
      <c r="A5542" s="3" t="s">
        <v>565</v>
      </c>
      <c r="B5542" s="3"/>
      <c r="C5542" s="3"/>
      <c r="D5542" s="3"/>
      <c r="E5542" s="3"/>
      <c r="F5542" s="3">
        <f>SUM(F3:F5541)</f>
        <v>37873</v>
      </c>
      <c r="G5542" s="3"/>
      <c r="H5542" s="4">
        <f>SUM(H3:H5541)</f>
        <v>286397.02169999934</v>
      </c>
      <c r="I5542" s="4">
        <f>SUM(I3:I5541)</f>
        <v>2297200.8602999877</v>
      </c>
    </row>
    <row r="5543" spans="1:9" ht="15" thickTop="1" x14ac:dyDescent="0.3"/>
  </sheetData>
  <mergeCells count="1">
    <mergeCell ref="A1:I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7BD4-6FDB-4BB0-9920-C8B05C11E9E5}">
  <sheetPr>
    <tabColor rgb="FF0070C0"/>
  </sheetPr>
  <dimension ref="C9:E52"/>
  <sheetViews>
    <sheetView showGridLines="0" topLeftCell="A15" zoomScale="38" zoomScaleNormal="50" workbookViewId="0">
      <selection activeCell="I28" sqref="I28"/>
    </sheetView>
  </sheetViews>
  <sheetFormatPr defaultRowHeight="14.4" x14ac:dyDescent="0.3"/>
  <cols>
    <col min="1" max="1" width="4.33203125" customWidth="1"/>
    <col min="2" max="2" width="2.88671875" customWidth="1"/>
    <col min="3" max="3" width="16.6640625" bestFit="1" customWidth="1"/>
    <col min="4" max="4" width="33.6640625" customWidth="1"/>
    <col min="5" max="5" width="29.33203125" bestFit="1" customWidth="1"/>
  </cols>
  <sheetData>
    <row r="9" spans="3:5" ht="21" x14ac:dyDescent="0.4">
      <c r="C9" s="5" t="s">
        <v>567</v>
      </c>
      <c r="D9" s="6" t="s">
        <v>568</v>
      </c>
      <c r="E9" s="7" t="s">
        <v>569</v>
      </c>
    </row>
    <row r="10" spans="3:5" ht="21" x14ac:dyDescent="0.4">
      <c r="C10" s="8">
        <v>707256</v>
      </c>
      <c r="D10" s="9" t="s">
        <v>570</v>
      </c>
      <c r="E10" s="10">
        <v>125279</v>
      </c>
    </row>
    <row r="11" spans="3:5" ht="21" x14ac:dyDescent="0.4">
      <c r="C11" s="8"/>
      <c r="D11" s="9"/>
      <c r="E11" s="10">
        <v>32090</v>
      </c>
    </row>
    <row r="12" spans="3:5" ht="21" x14ac:dyDescent="0.4">
      <c r="C12" s="8"/>
      <c r="D12" s="9"/>
      <c r="E12" s="10">
        <v>136529</v>
      </c>
    </row>
    <row r="13" spans="3:5" ht="21" x14ac:dyDescent="0.4">
      <c r="C13" s="8"/>
      <c r="D13" s="9"/>
      <c r="E13" s="10">
        <v>45305</v>
      </c>
    </row>
    <row r="14" spans="3:5" ht="21" x14ac:dyDescent="0.4">
      <c r="C14" s="8">
        <v>712157</v>
      </c>
      <c r="D14" s="9" t="s">
        <v>571</v>
      </c>
      <c r="E14" s="10">
        <v>108411</v>
      </c>
    </row>
    <row r="15" spans="3:5" ht="21" x14ac:dyDescent="0.4">
      <c r="C15" s="8"/>
      <c r="D15" s="9"/>
      <c r="E15" s="10">
        <v>171781</v>
      </c>
    </row>
    <row r="16" spans="3:5" ht="21" x14ac:dyDescent="0.4">
      <c r="C16" s="8"/>
      <c r="D16" s="9"/>
      <c r="E16" s="10">
        <v>156918</v>
      </c>
    </row>
    <row r="17" spans="3:5" ht="21" x14ac:dyDescent="0.4">
      <c r="C17" s="8">
        <v>712158</v>
      </c>
      <c r="D17" s="9" t="s">
        <v>572</v>
      </c>
      <c r="E17" s="10">
        <v>74676</v>
      </c>
    </row>
    <row r="18" spans="3:5" ht="21" x14ac:dyDescent="0.4">
      <c r="C18" s="8"/>
      <c r="D18" s="9"/>
      <c r="E18" s="10">
        <v>110210</v>
      </c>
    </row>
    <row r="19" spans="3:5" ht="21" x14ac:dyDescent="0.4">
      <c r="C19" s="8"/>
      <c r="D19" s="9"/>
      <c r="E19" s="10">
        <v>20866</v>
      </c>
    </row>
    <row r="20" spans="3:5" ht="21" x14ac:dyDescent="0.4">
      <c r="C20" s="8"/>
      <c r="D20" s="9"/>
      <c r="E20" s="10">
        <v>48500</v>
      </c>
    </row>
    <row r="21" spans="3:5" ht="21" x14ac:dyDescent="0.4">
      <c r="C21" s="8"/>
      <c r="D21" s="9"/>
      <c r="E21" s="10"/>
    </row>
    <row r="22" spans="3:5" ht="21" x14ac:dyDescent="0.4">
      <c r="C22" s="8">
        <v>777826</v>
      </c>
      <c r="D22" s="9" t="s">
        <v>573</v>
      </c>
      <c r="E22" s="10">
        <v>111433</v>
      </c>
    </row>
    <row r="23" spans="3:5" ht="21" x14ac:dyDescent="0.4">
      <c r="C23" s="8"/>
      <c r="D23" s="9"/>
      <c r="E23" s="10">
        <v>56903</v>
      </c>
    </row>
    <row r="24" spans="3:5" ht="21" x14ac:dyDescent="0.4">
      <c r="C24" s="8"/>
      <c r="D24" s="9"/>
      <c r="E24" s="10">
        <v>144393</v>
      </c>
    </row>
    <row r="25" spans="3:5" ht="21" x14ac:dyDescent="0.4">
      <c r="C25" s="8">
        <v>228612</v>
      </c>
      <c r="D25" s="9" t="s">
        <v>574</v>
      </c>
      <c r="E25" s="10">
        <v>175059</v>
      </c>
    </row>
    <row r="26" spans="3:5" ht="21" x14ac:dyDescent="0.4">
      <c r="C26" s="8"/>
      <c r="D26" s="9"/>
      <c r="E26" s="10">
        <v>44285</v>
      </c>
    </row>
    <row r="27" spans="3:5" ht="21" x14ac:dyDescent="0.4">
      <c r="C27" s="8"/>
      <c r="D27" s="9"/>
      <c r="E27" s="10">
        <v>113265</v>
      </c>
    </row>
    <row r="28" spans="3:5" ht="21" x14ac:dyDescent="0.4">
      <c r="C28" s="8">
        <v>220976</v>
      </c>
      <c r="D28" s="9" t="s">
        <v>575</v>
      </c>
      <c r="E28" s="10">
        <v>94405</v>
      </c>
    </row>
    <row r="29" spans="3:5" ht="21" x14ac:dyDescent="0.4">
      <c r="C29" s="8"/>
      <c r="D29" s="9"/>
      <c r="E29" s="10">
        <v>31483</v>
      </c>
    </row>
    <row r="30" spans="3:5" ht="21" x14ac:dyDescent="0.4">
      <c r="C30" s="8"/>
      <c r="D30" s="9"/>
      <c r="E30" s="10">
        <v>111150</v>
      </c>
    </row>
    <row r="31" spans="3:5" ht="21" x14ac:dyDescent="0.4">
      <c r="C31" s="8"/>
      <c r="D31" s="9"/>
      <c r="E31" s="10">
        <v>96454</v>
      </c>
    </row>
    <row r="32" spans="3:5" ht="21" x14ac:dyDescent="0.4">
      <c r="C32" s="8"/>
      <c r="D32" s="9"/>
      <c r="E32" s="10">
        <v>134819</v>
      </c>
    </row>
    <row r="33" spans="3:5" ht="21" x14ac:dyDescent="0.4">
      <c r="C33" s="8"/>
      <c r="D33" s="9"/>
      <c r="E33" s="10">
        <v>179814</v>
      </c>
    </row>
    <row r="34" spans="3:5" ht="21" x14ac:dyDescent="0.4">
      <c r="C34" s="8">
        <v>477072</v>
      </c>
      <c r="D34" s="9" t="s">
        <v>576</v>
      </c>
      <c r="E34" s="10">
        <v>33118</v>
      </c>
    </row>
    <row r="35" spans="3:5" ht="21" x14ac:dyDescent="0.4">
      <c r="C35" s="8"/>
      <c r="D35" s="9"/>
      <c r="E35" s="10">
        <v>155513</v>
      </c>
    </row>
    <row r="36" spans="3:5" ht="21" x14ac:dyDescent="0.4">
      <c r="C36" s="8"/>
      <c r="D36" s="9"/>
      <c r="E36" s="10">
        <v>177347</v>
      </c>
    </row>
    <row r="37" spans="3:5" ht="21" x14ac:dyDescent="0.4">
      <c r="C37" s="8"/>
      <c r="D37" s="9"/>
      <c r="E37" s="10">
        <v>120875</v>
      </c>
    </row>
    <row r="38" spans="3:5" ht="21" x14ac:dyDescent="0.4">
      <c r="C38" s="8">
        <v>258967</v>
      </c>
      <c r="D38" s="9" t="s">
        <v>577</v>
      </c>
      <c r="E38" s="10">
        <v>41077</v>
      </c>
    </row>
    <row r="39" spans="3:5" ht="21" x14ac:dyDescent="0.4">
      <c r="C39" s="8"/>
      <c r="D39" s="9"/>
      <c r="E39" s="10">
        <v>14986</v>
      </c>
    </row>
    <row r="40" spans="3:5" ht="21" x14ac:dyDescent="0.4">
      <c r="C40" s="8"/>
      <c r="D40" s="9"/>
      <c r="E40" s="10">
        <v>92638</v>
      </c>
    </row>
    <row r="41" spans="3:5" ht="21" x14ac:dyDescent="0.4">
      <c r="C41" s="8"/>
      <c r="D41" s="9"/>
      <c r="E41" s="10">
        <v>108512</v>
      </c>
    </row>
    <row r="42" spans="3:5" ht="21" x14ac:dyDescent="0.4">
      <c r="C42" s="8"/>
      <c r="D42" s="9"/>
      <c r="E42" s="10">
        <v>72096</v>
      </c>
    </row>
    <row r="43" spans="3:5" ht="21" x14ac:dyDescent="0.4">
      <c r="C43" s="8"/>
      <c r="D43" s="9"/>
      <c r="E43" s="10">
        <v>85242</v>
      </c>
    </row>
    <row r="44" spans="3:5" ht="21" x14ac:dyDescent="0.4">
      <c r="C44" s="8"/>
      <c r="D44" s="9"/>
      <c r="E44" s="10">
        <v>171648</v>
      </c>
    </row>
    <row r="45" spans="3:5" ht="21" x14ac:dyDescent="0.4">
      <c r="C45" s="8">
        <v>410297</v>
      </c>
      <c r="D45" s="9" t="s">
        <v>578</v>
      </c>
      <c r="E45" s="10">
        <v>143004</v>
      </c>
    </row>
    <row r="46" spans="3:5" ht="21" x14ac:dyDescent="0.4">
      <c r="C46" s="8"/>
      <c r="D46" s="9"/>
      <c r="E46" s="10">
        <v>182525</v>
      </c>
    </row>
    <row r="47" spans="3:5" ht="21" x14ac:dyDescent="0.4">
      <c r="C47" s="8"/>
      <c r="D47" s="9"/>
      <c r="E47" s="10">
        <v>102964</v>
      </c>
    </row>
    <row r="48" spans="3:5" ht="21" x14ac:dyDescent="0.4">
      <c r="C48" s="8">
        <v>744088</v>
      </c>
      <c r="D48" s="9" t="s">
        <v>579</v>
      </c>
      <c r="E48" s="10">
        <v>19942</v>
      </c>
    </row>
    <row r="49" spans="3:5" ht="21" x14ac:dyDescent="0.4">
      <c r="C49" s="8"/>
      <c r="D49" s="9"/>
      <c r="E49" s="10">
        <v>127960</v>
      </c>
    </row>
    <row r="50" spans="3:5" ht="21" x14ac:dyDescent="0.4">
      <c r="C50" s="8"/>
      <c r="D50" s="9"/>
      <c r="E50" s="10">
        <v>138556</v>
      </c>
    </row>
    <row r="51" spans="3:5" ht="21" x14ac:dyDescent="0.4">
      <c r="C51" s="8"/>
      <c r="D51" s="9"/>
      <c r="E51" s="10">
        <v>64088</v>
      </c>
    </row>
    <row r="52" spans="3:5" ht="21" x14ac:dyDescent="0.4">
      <c r="C52" s="8"/>
      <c r="D52" s="9"/>
      <c r="E52" s="10">
        <v>103953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7DCD2-5B02-49BB-92BC-6B8DAFEC0380}">
  <dimension ref="C1:J44"/>
  <sheetViews>
    <sheetView zoomScale="27" workbookViewId="0">
      <selection activeCell="J30" sqref="J30"/>
    </sheetView>
  </sheetViews>
  <sheetFormatPr defaultRowHeight="14.4" x14ac:dyDescent="0.3"/>
  <cols>
    <col min="3" max="3" width="17.5546875" bestFit="1" customWidth="1"/>
    <col min="4" max="4" width="34.6640625" bestFit="1" customWidth="1"/>
    <col min="5" max="5" width="30.109375" bestFit="1" customWidth="1"/>
    <col min="9" max="9" width="21.33203125" bestFit="1" customWidth="1"/>
    <col min="10" max="10" width="32.88671875" bestFit="1" customWidth="1"/>
  </cols>
  <sheetData>
    <row r="1" spans="3:10" ht="21" x14ac:dyDescent="0.4">
      <c r="C1" s="5" t="s">
        <v>567</v>
      </c>
      <c r="D1" s="6" t="s">
        <v>568</v>
      </c>
      <c r="E1" s="7" t="s">
        <v>569</v>
      </c>
    </row>
    <row r="2" spans="3:10" ht="21" x14ac:dyDescent="0.4">
      <c r="C2" s="8">
        <v>707256</v>
      </c>
      <c r="D2" s="9" t="s">
        <v>570</v>
      </c>
      <c r="E2" s="10">
        <v>125279</v>
      </c>
    </row>
    <row r="3" spans="3:10" ht="21" x14ac:dyDescent="0.4">
      <c r="C3" s="8">
        <f t="shared" ref="C3:D5" si="0">C2</f>
        <v>707256</v>
      </c>
      <c r="D3" s="9" t="str">
        <f t="shared" si="0"/>
        <v>D.C. Power System</v>
      </c>
      <c r="E3" s="10">
        <v>32090</v>
      </c>
      <c r="I3" s="12" t="s">
        <v>580</v>
      </c>
      <c r="J3" t="s">
        <v>583</v>
      </c>
    </row>
    <row r="4" spans="3:10" ht="21" x14ac:dyDescent="0.4">
      <c r="C4" s="8">
        <f t="shared" si="0"/>
        <v>707256</v>
      </c>
      <c r="D4" s="9" t="str">
        <f t="shared" si="0"/>
        <v>D.C. Power System</v>
      </c>
      <c r="E4" s="10">
        <v>136529</v>
      </c>
      <c r="I4" s="13" t="s">
        <v>575</v>
      </c>
      <c r="J4" s="14">
        <v>648125</v>
      </c>
    </row>
    <row r="5" spans="3:10" ht="21" x14ac:dyDescent="0.4">
      <c r="C5" s="8">
        <f t="shared" si="0"/>
        <v>707256</v>
      </c>
      <c r="D5" s="9" t="str">
        <f t="shared" si="0"/>
        <v>D.C. Power System</v>
      </c>
      <c r="E5" s="10">
        <v>45305</v>
      </c>
      <c r="I5" s="13" t="s">
        <v>577</v>
      </c>
      <c r="J5" s="14">
        <v>586199</v>
      </c>
    </row>
    <row r="6" spans="3:10" ht="21" x14ac:dyDescent="0.4">
      <c r="C6" s="8">
        <v>712157</v>
      </c>
      <c r="D6" s="9" t="s">
        <v>571</v>
      </c>
      <c r="E6" s="10">
        <v>108411</v>
      </c>
      <c r="I6" s="13" t="s">
        <v>576</v>
      </c>
      <c r="J6" s="14">
        <v>486853</v>
      </c>
    </row>
    <row r="7" spans="3:10" ht="21" x14ac:dyDescent="0.4">
      <c r="C7" s="8">
        <f t="shared" ref="C7:D8" si="1">C6</f>
        <v>712157</v>
      </c>
      <c r="D7" s="9" t="str">
        <f t="shared" si="1"/>
        <v>ATMA Tele Power Limited</v>
      </c>
      <c r="E7" s="10">
        <v>171781</v>
      </c>
      <c r="I7" s="13" t="s">
        <v>581</v>
      </c>
      <c r="J7" s="14">
        <v>1721177</v>
      </c>
    </row>
    <row r="8" spans="3:10" ht="21" x14ac:dyDescent="0.4">
      <c r="C8" s="8">
        <f t="shared" si="1"/>
        <v>712157</v>
      </c>
      <c r="D8" s="9" t="str">
        <f t="shared" si="1"/>
        <v>ATMA Tele Power Limited</v>
      </c>
      <c r="E8" s="10">
        <v>156918</v>
      </c>
    </row>
    <row r="9" spans="3:10" ht="21" x14ac:dyDescent="0.4">
      <c r="C9" s="8">
        <v>712158</v>
      </c>
      <c r="D9" s="9" t="s">
        <v>572</v>
      </c>
      <c r="E9" s="10">
        <v>74676</v>
      </c>
    </row>
    <row r="10" spans="3:10" ht="21" x14ac:dyDescent="0.4">
      <c r="C10" s="8">
        <f t="shared" ref="C10:D12" si="2">C9</f>
        <v>712158</v>
      </c>
      <c r="D10" s="9" t="str">
        <f t="shared" si="2"/>
        <v>ANZ Tele Power Ltd</v>
      </c>
      <c r="E10" s="10">
        <v>110210</v>
      </c>
    </row>
    <row r="11" spans="3:10" ht="21" x14ac:dyDescent="0.4">
      <c r="C11" s="8">
        <f t="shared" si="2"/>
        <v>712158</v>
      </c>
      <c r="D11" s="9" t="str">
        <f t="shared" si="2"/>
        <v>ANZ Tele Power Ltd</v>
      </c>
      <c r="E11" s="10">
        <v>20866</v>
      </c>
    </row>
    <row r="12" spans="3:10" ht="21" x14ac:dyDescent="0.4">
      <c r="C12" s="8">
        <f t="shared" si="2"/>
        <v>712158</v>
      </c>
      <c r="D12" s="9" t="str">
        <f t="shared" si="2"/>
        <v>ANZ Tele Power Ltd</v>
      </c>
      <c r="E12" s="10">
        <v>48500</v>
      </c>
    </row>
    <row r="13" spans="3:10" ht="21" x14ac:dyDescent="0.4">
      <c r="C13" s="8">
        <f t="shared" ref="C13:E13" si="3">C12</f>
        <v>712158</v>
      </c>
      <c r="D13" s="9" t="str">
        <f t="shared" si="3"/>
        <v>ANZ Tele Power Ltd</v>
      </c>
      <c r="E13" s="10">
        <f t="shared" si="3"/>
        <v>48500</v>
      </c>
    </row>
    <row r="14" spans="3:10" ht="21" x14ac:dyDescent="0.4">
      <c r="C14" s="8">
        <v>777826</v>
      </c>
      <c r="D14" s="9" t="s">
        <v>573</v>
      </c>
      <c r="E14" s="10">
        <v>111433</v>
      </c>
    </row>
    <row r="15" spans="3:10" ht="21" x14ac:dyDescent="0.4">
      <c r="C15" s="8">
        <f t="shared" ref="C15:D16" si="4">C14</f>
        <v>777826</v>
      </c>
      <c r="D15" s="9" t="str">
        <f t="shared" si="4"/>
        <v>Agile Technologies</v>
      </c>
      <c r="E15" s="10">
        <v>56903</v>
      </c>
    </row>
    <row r="16" spans="3:10" ht="21" x14ac:dyDescent="0.4">
      <c r="C16" s="8">
        <f t="shared" si="4"/>
        <v>777826</v>
      </c>
      <c r="D16" s="9" t="str">
        <f t="shared" si="4"/>
        <v>Agile Technologies</v>
      </c>
      <c r="E16" s="10">
        <v>144393</v>
      </c>
    </row>
    <row r="17" spans="3:5" ht="21" x14ac:dyDescent="0.4">
      <c r="C17" s="8">
        <v>228612</v>
      </c>
      <c r="D17" s="9" t="s">
        <v>574</v>
      </c>
      <c r="E17" s="10">
        <v>175059</v>
      </c>
    </row>
    <row r="18" spans="3:5" ht="21" x14ac:dyDescent="0.4">
      <c r="C18" s="8">
        <f t="shared" ref="C18:D19" si="5">C17</f>
        <v>228612</v>
      </c>
      <c r="D18" s="9" t="str">
        <f t="shared" si="5"/>
        <v>K Jindal.</v>
      </c>
      <c r="E18" s="10">
        <v>44285</v>
      </c>
    </row>
    <row r="19" spans="3:5" ht="21" x14ac:dyDescent="0.4">
      <c r="C19" s="8">
        <f t="shared" si="5"/>
        <v>228612</v>
      </c>
      <c r="D19" s="9" t="str">
        <f t="shared" si="5"/>
        <v>K Jindal.</v>
      </c>
      <c r="E19" s="10">
        <v>113265</v>
      </c>
    </row>
    <row r="20" spans="3:5" ht="21" x14ac:dyDescent="0.4">
      <c r="C20" s="8">
        <v>220976</v>
      </c>
      <c r="D20" s="9" t="s">
        <v>575</v>
      </c>
      <c r="E20" s="10">
        <v>94405</v>
      </c>
    </row>
    <row r="21" spans="3:5" ht="21" x14ac:dyDescent="0.4">
      <c r="C21" s="8">
        <f t="shared" ref="C21:D25" si="6">C20</f>
        <v>220976</v>
      </c>
      <c r="D21" s="9" t="str">
        <f t="shared" si="6"/>
        <v>M/s. D.P. Tron Pvt Ltd.</v>
      </c>
      <c r="E21" s="10">
        <v>31483</v>
      </c>
    </row>
    <row r="22" spans="3:5" ht="21" x14ac:dyDescent="0.4">
      <c r="C22" s="8">
        <f t="shared" si="6"/>
        <v>220976</v>
      </c>
      <c r="D22" s="9" t="str">
        <f t="shared" si="6"/>
        <v>M/s. D.P. Tron Pvt Ltd.</v>
      </c>
      <c r="E22" s="10">
        <v>111150</v>
      </c>
    </row>
    <row r="23" spans="3:5" ht="21" x14ac:dyDescent="0.4">
      <c r="C23" s="8">
        <f t="shared" si="6"/>
        <v>220976</v>
      </c>
      <c r="D23" s="9" t="str">
        <f t="shared" si="6"/>
        <v>M/s. D.P. Tron Pvt Ltd.</v>
      </c>
      <c r="E23" s="10">
        <v>96454</v>
      </c>
    </row>
    <row r="24" spans="3:5" ht="21" x14ac:dyDescent="0.4">
      <c r="C24" s="8">
        <f t="shared" si="6"/>
        <v>220976</v>
      </c>
      <c r="D24" s="9" t="str">
        <f t="shared" si="6"/>
        <v>M/s. D.P. Tron Pvt Ltd.</v>
      </c>
      <c r="E24" s="10">
        <v>134819</v>
      </c>
    </row>
    <row r="25" spans="3:5" ht="21" x14ac:dyDescent="0.4">
      <c r="C25" s="8">
        <f t="shared" si="6"/>
        <v>220976</v>
      </c>
      <c r="D25" s="9" t="str">
        <f t="shared" si="6"/>
        <v>M/s. D.P. Tron Pvt Ltd.</v>
      </c>
      <c r="E25" s="10">
        <v>179814</v>
      </c>
    </row>
    <row r="26" spans="3:5" ht="21" x14ac:dyDescent="0.4">
      <c r="C26" s="8">
        <v>477072</v>
      </c>
      <c r="D26" s="9" t="s">
        <v>576</v>
      </c>
      <c r="E26" s="10">
        <v>33118</v>
      </c>
    </row>
    <row r="27" spans="3:5" ht="21" x14ac:dyDescent="0.4">
      <c r="C27" s="8">
        <f t="shared" ref="C27:D29" si="7">C26</f>
        <v>477072</v>
      </c>
      <c r="D27" s="9" t="str">
        <f t="shared" si="7"/>
        <v>KK MONDAL</v>
      </c>
      <c r="E27" s="10">
        <v>155513</v>
      </c>
    </row>
    <row r="28" spans="3:5" ht="21" x14ac:dyDescent="0.4">
      <c r="C28" s="8">
        <f t="shared" si="7"/>
        <v>477072</v>
      </c>
      <c r="D28" s="9" t="str">
        <f t="shared" si="7"/>
        <v>KK MONDAL</v>
      </c>
      <c r="E28" s="10">
        <v>177347</v>
      </c>
    </row>
    <row r="29" spans="3:5" ht="21" x14ac:dyDescent="0.4">
      <c r="C29" s="8">
        <f t="shared" si="7"/>
        <v>477072</v>
      </c>
      <c r="D29" s="9" t="str">
        <f t="shared" si="7"/>
        <v>KK MONDAL</v>
      </c>
      <c r="E29" s="10">
        <v>120875</v>
      </c>
    </row>
    <row r="30" spans="3:5" ht="21" x14ac:dyDescent="0.4">
      <c r="C30" s="8">
        <v>258967</v>
      </c>
      <c r="D30" s="9" t="s">
        <v>577</v>
      </c>
      <c r="E30" s="10">
        <v>41077</v>
      </c>
    </row>
    <row r="31" spans="3:5" ht="21" x14ac:dyDescent="0.4">
      <c r="C31" s="8">
        <f t="shared" ref="C31:D36" si="8">C30</f>
        <v>258967</v>
      </c>
      <c r="D31" s="9" t="str">
        <f t="shared" si="8"/>
        <v>ABC CORPORATE</v>
      </c>
      <c r="E31" s="10">
        <v>14986</v>
      </c>
    </row>
    <row r="32" spans="3:5" ht="21" x14ac:dyDescent="0.4">
      <c r="C32" s="8">
        <f t="shared" si="8"/>
        <v>258967</v>
      </c>
      <c r="D32" s="9" t="str">
        <f t="shared" si="8"/>
        <v>ABC CORPORATE</v>
      </c>
      <c r="E32" s="10">
        <v>92638</v>
      </c>
    </row>
    <row r="33" spans="3:5" ht="21" x14ac:dyDescent="0.4">
      <c r="C33" s="8">
        <f t="shared" si="8"/>
        <v>258967</v>
      </c>
      <c r="D33" s="9" t="str">
        <f t="shared" si="8"/>
        <v>ABC CORPORATE</v>
      </c>
      <c r="E33" s="10">
        <v>108512</v>
      </c>
    </row>
    <row r="34" spans="3:5" ht="21" x14ac:dyDescent="0.4">
      <c r="C34" s="8">
        <f t="shared" si="8"/>
        <v>258967</v>
      </c>
      <c r="D34" s="9" t="str">
        <f t="shared" si="8"/>
        <v>ABC CORPORATE</v>
      </c>
      <c r="E34" s="10">
        <v>72096</v>
      </c>
    </row>
    <row r="35" spans="3:5" ht="21" x14ac:dyDescent="0.4">
      <c r="C35" s="8">
        <f t="shared" si="8"/>
        <v>258967</v>
      </c>
      <c r="D35" s="9" t="str">
        <f t="shared" si="8"/>
        <v>ABC CORPORATE</v>
      </c>
      <c r="E35" s="10">
        <v>85242</v>
      </c>
    </row>
    <row r="36" spans="3:5" ht="21" x14ac:dyDescent="0.4">
      <c r="C36" s="8">
        <f t="shared" si="8"/>
        <v>258967</v>
      </c>
      <c r="D36" s="9" t="str">
        <f t="shared" si="8"/>
        <v>ABC CORPORATE</v>
      </c>
      <c r="E36" s="10">
        <v>171648</v>
      </c>
    </row>
    <row r="37" spans="3:5" ht="21" x14ac:dyDescent="0.4">
      <c r="C37" s="8">
        <v>410297</v>
      </c>
      <c r="D37" s="9" t="s">
        <v>578</v>
      </c>
      <c r="E37" s="10">
        <v>143004</v>
      </c>
    </row>
    <row r="38" spans="3:5" ht="21" x14ac:dyDescent="0.4">
      <c r="C38" s="8">
        <f t="shared" ref="C38:D39" si="9">C37</f>
        <v>410297</v>
      </c>
      <c r="D38" s="9" t="str">
        <f t="shared" si="9"/>
        <v>BBK Inc</v>
      </c>
      <c r="E38" s="10">
        <v>182525</v>
      </c>
    </row>
    <row r="39" spans="3:5" ht="21" x14ac:dyDescent="0.4">
      <c r="C39" s="8">
        <f t="shared" si="9"/>
        <v>410297</v>
      </c>
      <c r="D39" s="9" t="str">
        <f t="shared" si="9"/>
        <v>BBK Inc</v>
      </c>
      <c r="E39" s="10">
        <v>102964</v>
      </c>
    </row>
    <row r="40" spans="3:5" ht="21" x14ac:dyDescent="0.4">
      <c r="C40" s="8">
        <v>744088</v>
      </c>
      <c r="D40" s="9" t="s">
        <v>579</v>
      </c>
      <c r="E40" s="10">
        <v>19942</v>
      </c>
    </row>
    <row r="41" spans="3:5" ht="21" x14ac:dyDescent="0.4">
      <c r="C41" s="8">
        <f t="shared" ref="C41:D44" si="10">C40</f>
        <v>744088</v>
      </c>
      <c r="D41" s="9" t="str">
        <f t="shared" si="10"/>
        <v>SAM TELECOM</v>
      </c>
      <c r="E41" s="10">
        <v>127960</v>
      </c>
    </row>
    <row r="42" spans="3:5" ht="21" x14ac:dyDescent="0.4">
      <c r="C42" s="8">
        <f t="shared" si="10"/>
        <v>744088</v>
      </c>
      <c r="D42" s="9" t="str">
        <f t="shared" si="10"/>
        <v>SAM TELECOM</v>
      </c>
      <c r="E42" s="10">
        <v>138556</v>
      </c>
    </row>
    <row r="43" spans="3:5" ht="21" x14ac:dyDescent="0.4">
      <c r="C43" s="8">
        <f t="shared" si="10"/>
        <v>744088</v>
      </c>
      <c r="D43" s="9" t="str">
        <f t="shared" si="10"/>
        <v>SAM TELECOM</v>
      </c>
      <c r="E43" s="10">
        <v>64088</v>
      </c>
    </row>
    <row r="44" spans="3:5" ht="21" x14ac:dyDescent="0.4">
      <c r="C44" s="8">
        <f t="shared" si="10"/>
        <v>744088</v>
      </c>
      <c r="D44" s="9" t="str">
        <f t="shared" si="10"/>
        <v>SAM TELECOM</v>
      </c>
      <c r="E44" s="10">
        <v>103953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Formatted Orders Data</vt:lpstr>
      <vt:lpstr>Clients Requirement</vt:lpstr>
      <vt:lpstr>Homework</vt:lpstr>
      <vt:lpstr>Homework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Dinesh Shrestha</cp:lastModifiedBy>
  <dcterms:created xsi:type="dcterms:W3CDTF">2025-09-16T06:29:44Z</dcterms:created>
  <dcterms:modified xsi:type="dcterms:W3CDTF">2026-08-27T04:25:07Z</dcterms:modified>
</cp:coreProperties>
</file>